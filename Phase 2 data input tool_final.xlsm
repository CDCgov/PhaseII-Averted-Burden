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cdc.sharepoint.com/teams/NCIRD-ID-Global-Influenza/Shared Documents/Situational Awareness-Modeling Team/Phase II Averted Burden/Averted_Illness_PhaseII_2026Feb5/"/>
    </mc:Choice>
  </mc:AlternateContent>
  <xr:revisionPtr revIDLastSave="2517" documentId="11_A5DCDAF1DE880E4868EC71AFF4B4105CE0FFE634" xr6:coauthVersionLast="47" xr6:coauthVersionMax="47" xr10:uidLastSave="{20B7AEA7-01EE-4FB6-9B8F-DBCCCA3CA3CA}"/>
  <bookViews>
    <workbookView xWindow="-110" yWindow="-110" windowWidth="19420" windowHeight="11500" firstSheet="1" activeTab="1" xr2:uid="{00000000-000D-0000-FFFF-FFFF00000000}"/>
  </bookViews>
  <sheets>
    <sheet name="Selections" sheetId="2" state="hidden" r:id="rId1"/>
    <sheet name="Inputs" sheetId="1" r:id="rId2"/>
    <sheet name="Results" sheetId="11" r:id="rId3"/>
    <sheet name="Export" sheetId="4" state="hidden" r:id="rId4"/>
    <sheet name="HelperFunctions" sheetId="12" state="hidden" r:id="rId5"/>
    <sheet name="EffectivelyVax" sheetId="13" state="hidden" r:id="rId6"/>
    <sheet name="NotEffectivelyVax (hypo)" sheetId="14" state="hidden" r:id="rId7"/>
    <sheet name="Hypothetical vaccine model" sheetId="15" state="hidden" r:id="rId8"/>
    <sheet name="NotEffectivelyVax (current)" sheetId="17" state="hidden" r:id="rId9"/>
    <sheet name="Current vaccine model" sheetId="16" state="hidden" r:id="rId10"/>
    <sheet name="R Output" sheetId="8" state="hidden" r:id="rId11"/>
    <sheet name="Scenarios" sheetId="5" r:id="rId12"/>
    <sheet name="Scenarios Export" sheetId="6" state="hidden" r:id="rId13"/>
    <sheet name="Scen EffectivelyVax" sheetId="18" state="hidden" r:id="rId14"/>
    <sheet name="Scen NotEffectivelyVax (hypo)" sheetId="19" state="hidden" r:id="rId15"/>
    <sheet name="Scen Hypothetical vaccine model" sheetId="20" state="hidden" r:id="rId16"/>
    <sheet name="Scenario Results" sheetId="9" r:id="rId17"/>
    <sheet name="Scenario Output" sheetId="23" state="hidden" r:id="rId18"/>
  </sheets>
  <definedNames>
    <definedName name="_xlnm._FilterDatabase" localSheetId="10" hidden="1">'R Output'!$A$1:$CN$5</definedName>
    <definedName name="_xleta.AND" hidden="1" xlm="1">#NAME?</definedName>
    <definedName name="_xleta.IF" hidden="1" xlm="1">#NAME?</definedName>
    <definedName name="_xleta.N" hidden="1" xlm="1">#NAME?</definedName>
    <definedName name="_xleta.NA" hidden="1" xlm="1">#NAME?</definedName>
    <definedName name="_xleta.OFFSET" hidden="1" xlm="1">#NAME?</definedName>
    <definedName name="_xleta.SUM" hidden="1" xlm="1">#NAME?</definedName>
    <definedName name="_xleta.T" hidden="1" xlm="1">#NAME?</definedName>
    <definedName name="_xleta.YEAR" hidden="1" xlm="1">#NAME?</definedName>
    <definedName name="ChartData">IF('Scenario Results'!#REF!="Prevented Fraction", PreventedFraction, NNV)</definedName>
    <definedName name="NNV">'Scenario Results'!$A$13:$F$19</definedName>
    <definedName name="PreventedFraction">'Scenario Results'!$A$4:$F$10</definedName>
    <definedName name="RunFlag">Selections!$L$1</definedName>
    <definedName name="RunScenFlag">Selections!$L$2</definedName>
    <definedName name="solver_adj" localSheetId="4" hidden="1">HelperFunctions!$J$59</definedName>
    <definedName name="solver_adj" localSheetId="1" hidden="1">Inputs!$J$59</definedName>
    <definedName name="solver_cvg" localSheetId="4" hidden="1">0.0001</definedName>
    <definedName name="solver_drv" localSheetId="4" hidden="1">1</definedName>
    <definedName name="solver_eng" localSheetId="4" hidden="1">1</definedName>
    <definedName name="solver_eng" localSheetId="1" hidden="1">1</definedName>
    <definedName name="solver_est" localSheetId="4" hidden="1">1</definedName>
    <definedName name="solver_itr" localSheetId="4" hidden="1">2147483647</definedName>
    <definedName name="solver_lhs1" localSheetId="4" hidden="1">HelperFunctions!$J$59</definedName>
    <definedName name="solver_lhs1" localSheetId="1" hidden="1">Inputs!$B$3</definedName>
    <definedName name="solver_lhs2" localSheetId="4" hidden="1">HelperFunctions!$J$59</definedName>
    <definedName name="solver_lhs2" localSheetId="1" hidden="1">Inputs!$B$3</definedName>
    <definedName name="solver_lhs3" localSheetId="4" hidden="1">HelperFunctions!$B$3</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eg" localSheetId="1" hidden="1">1</definedName>
    <definedName name="solver_nod" localSheetId="4" hidden="1">2147483647</definedName>
    <definedName name="solver_num" localSheetId="4" hidden="1">2</definedName>
    <definedName name="solver_num" localSheetId="1" hidden="1">0</definedName>
    <definedName name="solver_nwt" localSheetId="4" hidden="1">1</definedName>
    <definedName name="solver_opt" localSheetId="4" hidden="1">HelperFunctions!$N$59</definedName>
    <definedName name="solver_opt" localSheetId="1" hidden="1">Inputs!$N$59</definedName>
    <definedName name="solver_pre" localSheetId="4" hidden="1">0.000001</definedName>
    <definedName name="solver_rbv" localSheetId="4" hidden="1">1</definedName>
    <definedName name="solver_rel1" localSheetId="4" hidden="1">3</definedName>
    <definedName name="solver_rel1" localSheetId="1" hidden="1">3</definedName>
    <definedName name="solver_rel2" localSheetId="4" hidden="1">1</definedName>
    <definedName name="solver_rel2" localSheetId="1" hidden="1">1</definedName>
    <definedName name="solver_rel3" localSheetId="4" hidden="1">3</definedName>
    <definedName name="solver_rhs1" localSheetId="4" hidden="1">0</definedName>
    <definedName name="solver_rhs1" localSheetId="1" hidden="1">0</definedName>
    <definedName name="solver_rhs2" localSheetId="4" hidden="1">100</definedName>
    <definedName name="solver_rhs2" localSheetId="1" hidden="1">100</definedName>
    <definedName name="solver_rhs3" localSheetId="4" hidden="1">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typ" localSheetId="1" hidden="1">2</definedName>
    <definedName name="solver_val" localSheetId="4" hidden="1">0</definedName>
    <definedName name="solver_val" localSheetId="1" hidden="1">0</definedName>
    <definedName name="solver_ver" localSheetId="4" hidden="1">3</definedName>
    <definedName name="solver_ver" localSheetId="1" hidden="1">3</definedName>
    <definedName name="Year1_PF">'Scenario Results'!$A$5:INDEX('Scenario Results'!$A$5:$F$10,_xlfn.XMATCH(TRUE, 'Scenario Results'!$A$6:$A$10&lt;&gt;"", 0, -1)+1,_xlfn.XMATCH(TRUE, 'Scenario Results'!$B$5:$F$5&lt;&gt;"", 0, -1)+1)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1" i="9" l="1"/>
  <c r="O111" i="9"/>
  <c r="H111" i="9"/>
  <c r="A111" i="9"/>
  <c r="V87" i="9"/>
  <c r="O87" i="9"/>
  <c r="H87" i="9"/>
  <c r="A87" i="9"/>
  <c r="V66" i="9"/>
  <c r="O66" i="9"/>
  <c r="H66" i="9"/>
  <c r="A66" i="9"/>
  <c r="W60" i="9"/>
  <c r="P60" i="9"/>
  <c r="I60" i="9"/>
  <c r="B60" i="9"/>
  <c r="AA59" i="9"/>
  <c r="Z59" i="9"/>
  <c r="Y59" i="9"/>
  <c r="X59" i="9"/>
  <c r="T59" i="9"/>
  <c r="T60" i="9" s="1"/>
  <c r="S59" i="9"/>
  <c r="S60" i="9" s="1"/>
  <c r="R59" i="9"/>
  <c r="R60" i="9" s="1"/>
  <c r="Q59" i="9"/>
  <c r="M59" i="9"/>
  <c r="M60" i="9" s="1"/>
  <c r="L59" i="9"/>
  <c r="K59" i="9"/>
  <c r="J59" i="9"/>
  <c r="F59" i="9"/>
  <c r="F60" i="9" s="1"/>
  <c r="E59" i="9"/>
  <c r="E60" i="9" s="1"/>
  <c r="D59" i="9"/>
  <c r="D60" i="9" s="1"/>
  <c r="C59" i="9"/>
  <c r="C60" i="9" s="1"/>
  <c r="W57" i="9"/>
  <c r="P57" i="9"/>
  <c r="I57" i="9"/>
  <c r="B57" i="9"/>
  <c r="W51" i="9"/>
  <c r="P51" i="9"/>
  <c r="I51" i="9"/>
  <c r="B51" i="9"/>
  <c r="AA50" i="9"/>
  <c r="Z50" i="9"/>
  <c r="Y50" i="9"/>
  <c r="Y51" i="9" s="1"/>
  <c r="X50" i="9"/>
  <c r="X51" i="9" s="1"/>
  <c r="T50" i="9"/>
  <c r="S50" i="9"/>
  <c r="R50" i="9"/>
  <c r="R51" i="9" s="1"/>
  <c r="Q50" i="9"/>
  <c r="Q51" i="9" s="1"/>
  <c r="M50" i="9"/>
  <c r="M51" i="9" s="1"/>
  <c r="L50" i="9"/>
  <c r="L51" i="9" s="1"/>
  <c r="K50" i="9"/>
  <c r="K51" i="9" s="1"/>
  <c r="J50" i="9"/>
  <c r="F50" i="9"/>
  <c r="F51" i="9" s="1"/>
  <c r="E50" i="9"/>
  <c r="D50" i="9"/>
  <c r="C50" i="9"/>
  <c r="W42" i="9"/>
  <c r="P42" i="9"/>
  <c r="I42" i="9"/>
  <c r="C42" i="9"/>
  <c r="B42" i="9"/>
  <c r="AA41" i="9"/>
  <c r="Z41" i="9"/>
  <c r="Y41" i="9"/>
  <c r="X41" i="9"/>
  <c r="T41" i="9"/>
  <c r="T42" i="9" s="1"/>
  <c r="S41" i="9"/>
  <c r="S42" i="9" s="1"/>
  <c r="R41" i="9"/>
  <c r="R42" i="9" s="1"/>
  <c r="Q41" i="9"/>
  <c r="Q42" i="9" s="1"/>
  <c r="M41" i="9"/>
  <c r="M42" i="9" s="1"/>
  <c r="L41" i="9"/>
  <c r="K41" i="9"/>
  <c r="J41" i="9"/>
  <c r="F41" i="9"/>
  <c r="F42" i="9" s="1"/>
  <c r="E41" i="9"/>
  <c r="E42" i="9" s="1"/>
  <c r="D41" i="9"/>
  <c r="D42" i="9" s="1"/>
  <c r="C41" i="9"/>
  <c r="AA32" i="9"/>
  <c r="AA33" i="9" s="1"/>
  <c r="AA111" i="9" s="1"/>
  <c r="Z32" i="9"/>
  <c r="Z33" i="9" s="1"/>
  <c r="Z111" i="9" s="1"/>
  <c r="Y32" i="9"/>
  <c r="Y33" i="9" s="1"/>
  <c r="Y111" i="9" s="1"/>
  <c r="X32" i="9"/>
  <c r="X33" i="9" s="1"/>
  <c r="X111" i="9" s="1"/>
  <c r="T32" i="9"/>
  <c r="T33" i="9" s="1"/>
  <c r="T111" i="9" s="1"/>
  <c r="S32" i="9"/>
  <c r="S33" i="9" s="1"/>
  <c r="S111" i="9" s="1"/>
  <c r="R32" i="9"/>
  <c r="R33" i="9" s="1"/>
  <c r="R111" i="9" s="1"/>
  <c r="Q32" i="9"/>
  <c r="M32" i="9"/>
  <c r="L32" i="9"/>
  <c r="L33" i="9" s="1"/>
  <c r="L111" i="9" s="1"/>
  <c r="K32" i="9"/>
  <c r="K33" i="9" s="1"/>
  <c r="K111" i="9" s="1"/>
  <c r="J32" i="9"/>
  <c r="J33" i="9" s="1"/>
  <c r="J111" i="9" s="1"/>
  <c r="F32" i="9"/>
  <c r="F33" i="9" s="1"/>
  <c r="F111" i="9" s="1"/>
  <c r="E32" i="9"/>
  <c r="E33" i="9" s="1"/>
  <c r="E111" i="9" s="1"/>
  <c r="D32" i="9"/>
  <c r="D33" i="9" s="1"/>
  <c r="D111" i="9" s="1"/>
  <c r="C32" i="9"/>
  <c r="C33" i="9" s="1"/>
  <c r="C111" i="9" s="1"/>
  <c r="W24" i="9"/>
  <c r="P24" i="9"/>
  <c r="I24" i="9"/>
  <c r="B24" i="9"/>
  <c r="B33" i="9" s="1"/>
  <c r="B111" i="9" s="1"/>
  <c r="AA23" i="9"/>
  <c r="Z23" i="9"/>
  <c r="Y23" i="9"/>
  <c r="Y24" i="9" s="1"/>
  <c r="X23" i="9"/>
  <c r="X24" i="9" s="1"/>
  <c r="T23" i="9"/>
  <c r="S23" i="9"/>
  <c r="R23" i="9"/>
  <c r="R24" i="9" s="1"/>
  <c r="Q23" i="9"/>
  <c r="Q24" i="9" s="1"/>
  <c r="M23" i="9"/>
  <c r="M24" i="9" s="1"/>
  <c r="L23" i="9"/>
  <c r="L24" i="9" s="1"/>
  <c r="K23" i="9"/>
  <c r="K24" i="9" s="1"/>
  <c r="J23" i="9"/>
  <c r="F23" i="9"/>
  <c r="F24" i="9" s="1"/>
  <c r="E23" i="9"/>
  <c r="D23" i="9"/>
  <c r="D24" i="9" s="1"/>
  <c r="C23" i="9"/>
  <c r="C24" i="9" s="1"/>
  <c r="W15" i="9"/>
  <c r="P15" i="9"/>
  <c r="I15" i="9"/>
  <c r="B15" i="9"/>
  <c r="AA14" i="9"/>
  <c r="Z14" i="9"/>
  <c r="Y14" i="9"/>
  <c r="X14" i="9"/>
  <c r="T14" i="9"/>
  <c r="T15" i="9" s="1"/>
  <c r="S14" i="9"/>
  <c r="S15" i="9" s="1"/>
  <c r="R14" i="9"/>
  <c r="R15" i="9" s="1"/>
  <c r="Q14" i="9"/>
  <c r="Q15" i="9" s="1"/>
  <c r="M14" i="9"/>
  <c r="L14" i="9"/>
  <c r="L15" i="9" s="1"/>
  <c r="K14" i="9"/>
  <c r="J14" i="9"/>
  <c r="F14" i="9"/>
  <c r="F15" i="9" s="1"/>
  <c r="E14" i="9"/>
  <c r="E15" i="9" s="1"/>
  <c r="D14" i="9"/>
  <c r="D15" i="9" s="1"/>
  <c r="C14" i="9"/>
  <c r="C15" i="9" s="1"/>
  <c r="W6" i="9"/>
  <c r="P6" i="9"/>
  <c r="K6" i="9"/>
  <c r="J6" i="9"/>
  <c r="I6" i="9"/>
  <c r="B6" i="9"/>
  <c r="AA5" i="9"/>
  <c r="AA110" i="9" s="1"/>
  <c r="Z5" i="9"/>
  <c r="Z110" i="9" s="1"/>
  <c r="Y5" i="9"/>
  <c r="Y110" i="9" s="1"/>
  <c r="X5" i="9"/>
  <c r="X110" i="9" s="1"/>
  <c r="T5" i="9"/>
  <c r="S5" i="9"/>
  <c r="R5" i="9"/>
  <c r="R6" i="9" s="1"/>
  <c r="Q5" i="9"/>
  <c r="M5" i="9"/>
  <c r="L5" i="9"/>
  <c r="K5" i="9"/>
  <c r="K110" i="9" s="1"/>
  <c r="J5" i="9"/>
  <c r="J110" i="9" s="1"/>
  <c r="F5" i="9"/>
  <c r="F110" i="9" s="1"/>
  <c r="E5" i="9"/>
  <c r="E110" i="9" s="1"/>
  <c r="D5" i="9"/>
  <c r="D6" i="9" s="1"/>
  <c r="C5" i="9"/>
  <c r="C6" i="9" s="1"/>
  <c r="L63" i="20"/>
  <c r="A63" i="20"/>
  <c r="L62" i="20"/>
  <c r="A62" i="20"/>
  <c r="L61" i="20"/>
  <c r="A61" i="20"/>
  <c r="L60" i="20"/>
  <c r="A60" i="20"/>
  <c r="L59" i="20"/>
  <c r="A59" i="20"/>
  <c r="L58" i="20"/>
  <c r="A58" i="20"/>
  <c r="L57" i="20"/>
  <c r="A57" i="20"/>
  <c r="L56" i="20"/>
  <c r="A56" i="20"/>
  <c r="L55" i="20"/>
  <c r="A55" i="20"/>
  <c r="L54" i="20"/>
  <c r="A54" i="20"/>
  <c r="L53" i="20"/>
  <c r="A53" i="20"/>
  <c r="L52" i="20"/>
  <c r="A52" i="20"/>
  <c r="L51" i="20"/>
  <c r="A51" i="20"/>
  <c r="L50" i="20"/>
  <c r="A50" i="20"/>
  <c r="L49" i="20"/>
  <c r="A49" i="20"/>
  <c r="L48" i="20"/>
  <c r="A48" i="20"/>
  <c r="L47" i="20"/>
  <c r="A47" i="20"/>
  <c r="L46" i="20"/>
  <c r="A46" i="20"/>
  <c r="L45" i="20"/>
  <c r="A45" i="20"/>
  <c r="L44" i="20"/>
  <c r="A44" i="20"/>
  <c r="L43" i="20"/>
  <c r="A43" i="20"/>
  <c r="L42" i="20"/>
  <c r="A42" i="20"/>
  <c r="L41" i="20"/>
  <c r="A41" i="20"/>
  <c r="L40" i="20"/>
  <c r="A40" i="20"/>
  <c r="L39" i="20"/>
  <c r="A39" i="20"/>
  <c r="L38" i="20"/>
  <c r="A38" i="20"/>
  <c r="L37" i="20"/>
  <c r="A37" i="20"/>
  <c r="L36" i="20"/>
  <c r="A36" i="20"/>
  <c r="L35" i="20"/>
  <c r="A35" i="20"/>
  <c r="L34" i="20"/>
  <c r="A34" i="20"/>
  <c r="L33" i="20"/>
  <c r="A33" i="20"/>
  <c r="L32" i="20"/>
  <c r="A32" i="20"/>
  <c r="L31" i="20"/>
  <c r="A31" i="20"/>
  <c r="L30" i="20"/>
  <c r="A30" i="20"/>
  <c r="L29" i="20"/>
  <c r="A29" i="20"/>
  <c r="L28" i="20"/>
  <c r="A28" i="20"/>
  <c r="L27" i="20"/>
  <c r="A27" i="20"/>
  <c r="L26" i="20"/>
  <c r="A26" i="20"/>
  <c r="L25" i="20"/>
  <c r="A25" i="20"/>
  <c r="L24" i="20"/>
  <c r="A24" i="20"/>
  <c r="L23" i="20"/>
  <c r="A23" i="20"/>
  <c r="L22" i="20"/>
  <c r="A22" i="20"/>
  <c r="L21" i="20"/>
  <c r="A21" i="20"/>
  <c r="L20" i="20"/>
  <c r="A20" i="20"/>
  <c r="L19" i="20"/>
  <c r="A19" i="20"/>
  <c r="L18" i="20"/>
  <c r="A18" i="20"/>
  <c r="L17" i="20"/>
  <c r="A17" i="20"/>
  <c r="L16" i="20"/>
  <c r="A16" i="20"/>
  <c r="L15" i="20"/>
  <c r="A15" i="20"/>
  <c r="L14" i="20"/>
  <c r="A14" i="20"/>
  <c r="L13" i="20"/>
  <c r="A13" i="20"/>
  <c r="L12" i="20"/>
  <c r="A12" i="20"/>
  <c r="L11" i="20"/>
  <c r="A11" i="20"/>
  <c r="L10" i="20"/>
  <c r="A10" i="20"/>
  <c r="L9" i="20"/>
  <c r="A9" i="20"/>
  <c r="L8" i="20"/>
  <c r="A8" i="20"/>
  <c r="L7" i="20"/>
  <c r="A7" i="20"/>
  <c r="L6" i="20"/>
  <c r="A6" i="20"/>
  <c r="L5" i="20"/>
  <c r="A5" i="20"/>
  <c r="X4" i="20"/>
  <c r="W4" i="20"/>
  <c r="L4" i="20"/>
  <c r="A4" i="20"/>
  <c r="BK62" i="18"/>
  <c r="BJ61" i="18"/>
  <c r="BI60" i="18"/>
  <c r="BH59" i="18"/>
  <c r="BG58" i="18"/>
  <c r="BF57" i="18"/>
  <c r="BE56" i="18"/>
  <c r="BD55" i="18"/>
  <c r="BC54" i="18"/>
  <c r="BB53" i="18"/>
  <c r="BA52" i="18"/>
  <c r="AZ51" i="18"/>
  <c r="AY50" i="18"/>
  <c r="AX49" i="18"/>
  <c r="AW48" i="18"/>
  <c r="AV47" i="18"/>
  <c r="AU46" i="18"/>
  <c r="AT45" i="18"/>
  <c r="AS44" i="18"/>
  <c r="AR43" i="18"/>
  <c r="AQ42" i="18"/>
  <c r="AP41" i="18"/>
  <c r="AO40" i="18"/>
  <c r="AN39" i="18"/>
  <c r="AM38" i="18"/>
  <c r="AL37" i="18"/>
  <c r="AK36" i="18"/>
  <c r="AJ35" i="18"/>
  <c r="AI34" i="18"/>
  <c r="AH33" i="18"/>
  <c r="AG32" i="18"/>
  <c r="AF31" i="18"/>
  <c r="AE30" i="18"/>
  <c r="AD29" i="18"/>
  <c r="AC28" i="18"/>
  <c r="AB27" i="18"/>
  <c r="AA26" i="18"/>
  <c r="Z25" i="18"/>
  <c r="Y24" i="18"/>
  <c r="X23" i="18"/>
  <c r="W22" i="18"/>
  <c r="V21" i="18"/>
  <c r="U20" i="18"/>
  <c r="T19" i="18"/>
  <c r="S18" i="18"/>
  <c r="R17" i="18"/>
  <c r="Q16" i="18"/>
  <c r="P15" i="18"/>
  <c r="O14" i="18"/>
  <c r="N13" i="18"/>
  <c r="M12" i="18"/>
  <c r="L11" i="18"/>
  <c r="K10" i="18"/>
  <c r="J9" i="18"/>
  <c r="I8" i="18"/>
  <c r="H7" i="18"/>
  <c r="G6" i="18"/>
  <c r="F5" i="18"/>
  <c r="E4" i="18"/>
  <c r="D3" i="18"/>
  <c r="P4" i="20" s="1"/>
  <c r="U61" i="6"/>
  <c r="P61" i="6"/>
  <c r="K61" i="6"/>
  <c r="F61" i="6"/>
  <c r="U60" i="6"/>
  <c r="P60" i="6"/>
  <c r="K60" i="6"/>
  <c r="F60" i="6"/>
  <c r="U59" i="6"/>
  <c r="P59" i="6"/>
  <c r="K59" i="6"/>
  <c r="F59" i="6"/>
  <c r="U58" i="6"/>
  <c r="P58" i="6"/>
  <c r="K58" i="6"/>
  <c r="F58" i="6"/>
  <c r="U57" i="6"/>
  <c r="P57" i="6"/>
  <c r="K57" i="6"/>
  <c r="F57" i="6"/>
  <c r="U56" i="6"/>
  <c r="P56" i="6"/>
  <c r="K56" i="6"/>
  <c r="F56" i="6"/>
  <c r="U55" i="6"/>
  <c r="P55" i="6"/>
  <c r="K55" i="6"/>
  <c r="F55" i="6"/>
  <c r="U54" i="6"/>
  <c r="P54" i="6"/>
  <c r="K54" i="6"/>
  <c r="F54" i="6"/>
  <c r="U53" i="6"/>
  <c r="P53" i="6"/>
  <c r="K53" i="6"/>
  <c r="F53" i="6"/>
  <c r="U52" i="6"/>
  <c r="P52" i="6"/>
  <c r="K52" i="6"/>
  <c r="F52" i="6"/>
  <c r="U51" i="6"/>
  <c r="P51" i="6"/>
  <c r="K51" i="6"/>
  <c r="F51" i="6"/>
  <c r="U50" i="6"/>
  <c r="P50" i="6"/>
  <c r="K50" i="6"/>
  <c r="F50" i="6"/>
  <c r="U49" i="6"/>
  <c r="P49" i="6"/>
  <c r="K49" i="6"/>
  <c r="F49" i="6"/>
  <c r="U48" i="6"/>
  <c r="P48" i="6"/>
  <c r="K48" i="6"/>
  <c r="F48" i="6"/>
  <c r="U47" i="6"/>
  <c r="P47" i="6"/>
  <c r="K47" i="6"/>
  <c r="F47" i="6"/>
  <c r="U46" i="6"/>
  <c r="P46" i="6"/>
  <c r="K46" i="6"/>
  <c r="F46" i="6"/>
  <c r="U45" i="6"/>
  <c r="P45" i="6"/>
  <c r="K45" i="6"/>
  <c r="F45" i="6"/>
  <c r="U44" i="6"/>
  <c r="P44" i="6"/>
  <c r="K44" i="6"/>
  <c r="F44" i="6"/>
  <c r="U43" i="6"/>
  <c r="P43" i="6"/>
  <c r="K43" i="6"/>
  <c r="F43" i="6"/>
  <c r="U42" i="6"/>
  <c r="P42" i="6"/>
  <c r="K42" i="6"/>
  <c r="F42" i="6"/>
  <c r="U41" i="6"/>
  <c r="P41" i="6"/>
  <c r="K41" i="6"/>
  <c r="F41" i="6"/>
  <c r="U40" i="6"/>
  <c r="P40" i="6"/>
  <c r="K40" i="6"/>
  <c r="F40" i="6"/>
  <c r="U39" i="6"/>
  <c r="P39" i="6"/>
  <c r="K39" i="6"/>
  <c r="F39" i="6"/>
  <c r="U38" i="6"/>
  <c r="P38" i="6"/>
  <c r="K38" i="6"/>
  <c r="F38" i="6"/>
  <c r="U37" i="6"/>
  <c r="P37" i="6"/>
  <c r="K37" i="6"/>
  <c r="F37" i="6"/>
  <c r="U36" i="6"/>
  <c r="P36" i="6"/>
  <c r="K36" i="6"/>
  <c r="F36" i="6"/>
  <c r="U35" i="6"/>
  <c r="P35" i="6"/>
  <c r="K35" i="6"/>
  <c r="F35" i="6"/>
  <c r="U34" i="6"/>
  <c r="P34" i="6"/>
  <c r="K34" i="6"/>
  <c r="F34" i="6"/>
  <c r="U33" i="6"/>
  <c r="P33" i="6"/>
  <c r="K33" i="6"/>
  <c r="F33" i="6"/>
  <c r="U32" i="6"/>
  <c r="P32" i="6"/>
  <c r="K32" i="6"/>
  <c r="F32" i="6"/>
  <c r="U31" i="6"/>
  <c r="P31" i="6"/>
  <c r="K31" i="6"/>
  <c r="F31" i="6"/>
  <c r="U30" i="6"/>
  <c r="P30" i="6"/>
  <c r="K30" i="6"/>
  <c r="F30" i="6"/>
  <c r="U29" i="6"/>
  <c r="P29" i="6"/>
  <c r="K29" i="6"/>
  <c r="F29" i="6"/>
  <c r="U28" i="6"/>
  <c r="P28" i="6"/>
  <c r="K28" i="6"/>
  <c r="F28" i="6"/>
  <c r="U27" i="6"/>
  <c r="P27" i="6"/>
  <c r="K27" i="6"/>
  <c r="F27" i="6"/>
  <c r="U26" i="6"/>
  <c r="P26" i="6"/>
  <c r="K26" i="6"/>
  <c r="F26" i="6"/>
  <c r="U25" i="6"/>
  <c r="P25" i="6"/>
  <c r="K25" i="6"/>
  <c r="F25" i="6"/>
  <c r="U24" i="6"/>
  <c r="P24" i="6"/>
  <c r="K24" i="6"/>
  <c r="F24" i="6"/>
  <c r="U23" i="6"/>
  <c r="P23" i="6"/>
  <c r="K23" i="6"/>
  <c r="F23" i="6"/>
  <c r="U22" i="6"/>
  <c r="P22" i="6"/>
  <c r="K22" i="6"/>
  <c r="F22" i="6"/>
  <c r="U21" i="6"/>
  <c r="P21" i="6"/>
  <c r="K21" i="6"/>
  <c r="F21" i="6"/>
  <c r="U20" i="6"/>
  <c r="P20" i="6"/>
  <c r="K20" i="6"/>
  <c r="F20" i="6"/>
  <c r="U19" i="6"/>
  <c r="P19" i="6"/>
  <c r="K19" i="6"/>
  <c r="F19" i="6"/>
  <c r="U18" i="6"/>
  <c r="P18" i="6"/>
  <c r="K18" i="6"/>
  <c r="F18" i="6"/>
  <c r="U17" i="6"/>
  <c r="P17" i="6"/>
  <c r="K17" i="6"/>
  <c r="F17" i="6"/>
  <c r="U16" i="6"/>
  <c r="P16" i="6"/>
  <c r="K16" i="6"/>
  <c r="F16" i="6"/>
  <c r="U15" i="6"/>
  <c r="P15" i="6"/>
  <c r="K15" i="6"/>
  <c r="F15" i="6"/>
  <c r="U14" i="6"/>
  <c r="P14" i="6"/>
  <c r="K14" i="6"/>
  <c r="F14" i="6"/>
  <c r="U13" i="6"/>
  <c r="P13" i="6"/>
  <c r="K13" i="6"/>
  <c r="F13" i="6"/>
  <c r="U12" i="6"/>
  <c r="P12" i="6"/>
  <c r="K12" i="6"/>
  <c r="F12" i="6"/>
  <c r="U11" i="6"/>
  <c r="P11" i="6"/>
  <c r="K11" i="6"/>
  <c r="F11" i="6"/>
  <c r="U10" i="6"/>
  <c r="P10" i="6"/>
  <c r="K10" i="6"/>
  <c r="F10" i="6"/>
  <c r="U9" i="6"/>
  <c r="P9" i="6"/>
  <c r="K9" i="6"/>
  <c r="F9" i="6"/>
  <c r="U8" i="6"/>
  <c r="P8" i="6"/>
  <c r="K8" i="6"/>
  <c r="F8" i="6"/>
  <c r="U7" i="6"/>
  <c r="P7" i="6"/>
  <c r="K7" i="6"/>
  <c r="F7" i="6"/>
  <c r="U6" i="6"/>
  <c r="P6" i="6"/>
  <c r="K6" i="6"/>
  <c r="F6" i="6"/>
  <c r="U5" i="6"/>
  <c r="P5" i="6"/>
  <c r="K5" i="6"/>
  <c r="F5" i="6"/>
  <c r="U4" i="6"/>
  <c r="P4" i="6"/>
  <c r="K4" i="6"/>
  <c r="F4" i="6"/>
  <c r="U3" i="6"/>
  <c r="P3" i="6"/>
  <c r="K3" i="6"/>
  <c r="F3" i="6"/>
  <c r="U2" i="6"/>
  <c r="P2" i="6"/>
  <c r="K2" i="6"/>
  <c r="F2" i="6"/>
  <c r="G55" i="5"/>
  <c r="J55" i="6" s="1"/>
  <c r="F55" i="5"/>
  <c r="S58" i="6" s="1"/>
  <c r="E55" i="5"/>
  <c r="C50" i="6" s="1"/>
  <c r="D55" i="5"/>
  <c r="L56" i="6" s="1"/>
  <c r="G41" i="5"/>
  <c r="E47" i="6" s="1"/>
  <c r="F41" i="5"/>
  <c r="S49" i="6" s="1"/>
  <c r="E41" i="5"/>
  <c r="H48" i="6" s="1"/>
  <c r="D41" i="5"/>
  <c r="V42" i="6" s="1"/>
  <c r="G27" i="5"/>
  <c r="Y27" i="6" s="1"/>
  <c r="F27" i="5"/>
  <c r="S33" i="6" s="1"/>
  <c r="E27" i="5"/>
  <c r="H32" i="6" s="1"/>
  <c r="D27" i="5"/>
  <c r="G33" i="6" s="1"/>
  <c r="G12" i="5"/>
  <c r="O13" i="6" s="1"/>
  <c r="F12" i="5"/>
  <c r="N15" i="6" s="1"/>
  <c r="E12" i="5"/>
  <c r="R6" i="6" s="1"/>
  <c r="D12" i="5"/>
  <c r="Q15" i="6" s="1"/>
  <c r="DA1" i="8"/>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R4" i="16"/>
  <c r="Q4" i="16"/>
  <c r="A4" i="16"/>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X4" i="15"/>
  <c r="W4" i="15"/>
  <c r="A4" i="15"/>
  <c r="BK62" i="13"/>
  <c r="BJ61" i="13"/>
  <c r="BI60" i="13"/>
  <c r="BH59" i="13"/>
  <c r="BG58" i="13"/>
  <c r="BF57" i="13"/>
  <c r="BE56" i="13"/>
  <c r="BD55" i="13"/>
  <c r="BC54" i="13"/>
  <c r="BB53" i="13"/>
  <c r="BA52" i="13"/>
  <c r="AZ51" i="13"/>
  <c r="AY50" i="13"/>
  <c r="AX49" i="13"/>
  <c r="AW48" i="13"/>
  <c r="AV47" i="13"/>
  <c r="AU46" i="13"/>
  <c r="AT45" i="13"/>
  <c r="AS44" i="13"/>
  <c r="AR43" i="13"/>
  <c r="AQ42" i="13"/>
  <c r="AP41" i="13"/>
  <c r="AO40" i="13"/>
  <c r="AN39" i="13"/>
  <c r="AM38" i="13"/>
  <c r="AL37" i="13"/>
  <c r="AK36" i="13"/>
  <c r="AJ35" i="13"/>
  <c r="AI34" i="13"/>
  <c r="AH33" i="13"/>
  <c r="AG32" i="13"/>
  <c r="AF31" i="13"/>
  <c r="AE30" i="13"/>
  <c r="AD29" i="13"/>
  <c r="AC28" i="13"/>
  <c r="AB27" i="13"/>
  <c r="AA26" i="13"/>
  <c r="Z25" i="13"/>
  <c r="Y24" i="13"/>
  <c r="X23" i="13"/>
  <c r="W22" i="13"/>
  <c r="V21" i="13"/>
  <c r="U20" i="13"/>
  <c r="T19" i="13"/>
  <c r="S18" i="13"/>
  <c r="R17" i="13"/>
  <c r="Q16" i="13"/>
  <c r="P15" i="13"/>
  <c r="L70" i="12"/>
  <c r="O70" i="12" s="1"/>
  <c r="R70" i="12" s="1"/>
  <c r="D70" i="12"/>
  <c r="L69" i="12"/>
  <c r="O69" i="12" s="1"/>
  <c r="D69" i="12"/>
  <c r="G69" i="12" s="1"/>
  <c r="L68" i="12"/>
  <c r="O68" i="12" s="1"/>
  <c r="D68" i="12"/>
  <c r="G68" i="12" s="1"/>
  <c r="L67" i="12"/>
  <c r="O67" i="12" s="1"/>
  <c r="D67" i="12"/>
  <c r="G67" i="12" s="1"/>
  <c r="L66" i="12"/>
  <c r="O66" i="12" s="1"/>
  <c r="D66" i="12"/>
  <c r="G66" i="12" s="1"/>
  <c r="L65" i="12"/>
  <c r="O65" i="12" s="1"/>
  <c r="D65" i="12"/>
  <c r="G65" i="12" s="1"/>
  <c r="L64" i="12"/>
  <c r="O64" i="12" s="1"/>
  <c r="D64" i="12"/>
  <c r="G64" i="12" s="1"/>
  <c r="L63" i="12"/>
  <c r="O63" i="12" s="1"/>
  <c r="D63" i="12"/>
  <c r="G63" i="12" s="1"/>
  <c r="L62" i="12"/>
  <c r="O62" i="12" s="1"/>
  <c r="D62" i="12"/>
  <c r="G62" i="12" s="1"/>
  <c r="L61" i="12"/>
  <c r="O61" i="12" s="1"/>
  <c r="D61" i="12"/>
  <c r="G61" i="12" s="1"/>
  <c r="L60" i="12"/>
  <c r="O60" i="12" s="1"/>
  <c r="D60" i="12"/>
  <c r="G60" i="12" s="1"/>
  <c r="L59" i="12"/>
  <c r="I59" i="12"/>
  <c r="D59" i="12"/>
  <c r="G59" i="12" s="1"/>
  <c r="A59" i="12"/>
  <c r="L56" i="12"/>
  <c r="O56" i="12" s="1"/>
  <c r="D56" i="12"/>
  <c r="G56" i="12" s="1"/>
  <c r="L55" i="12"/>
  <c r="O55" i="12" s="1"/>
  <c r="D55" i="12"/>
  <c r="G55" i="12" s="1"/>
  <c r="L54" i="12"/>
  <c r="O54" i="12" s="1"/>
  <c r="D54" i="12"/>
  <c r="G54" i="12" s="1"/>
  <c r="L53" i="12"/>
  <c r="O53" i="12" s="1"/>
  <c r="D53" i="12"/>
  <c r="G53" i="12" s="1"/>
  <c r="L52" i="12"/>
  <c r="O52" i="12" s="1"/>
  <c r="D52" i="12"/>
  <c r="G52" i="12" s="1"/>
  <c r="L51" i="12"/>
  <c r="O51" i="12" s="1"/>
  <c r="D51" i="12"/>
  <c r="G51" i="12" s="1"/>
  <c r="L50" i="12"/>
  <c r="O50" i="12" s="1"/>
  <c r="D50" i="12"/>
  <c r="G50" i="12" s="1"/>
  <c r="L49" i="12"/>
  <c r="O49" i="12" s="1"/>
  <c r="D49" i="12"/>
  <c r="G49" i="12" s="1"/>
  <c r="L48" i="12"/>
  <c r="O48" i="12" s="1"/>
  <c r="D48" i="12"/>
  <c r="G48" i="12" s="1"/>
  <c r="L47" i="12"/>
  <c r="O47" i="12" s="1"/>
  <c r="D47" i="12"/>
  <c r="G47" i="12" s="1"/>
  <c r="L46" i="12"/>
  <c r="O46" i="12" s="1"/>
  <c r="D46" i="12"/>
  <c r="G46" i="12" s="1"/>
  <c r="L45" i="12"/>
  <c r="O45" i="12" s="1"/>
  <c r="I45" i="12"/>
  <c r="D45" i="12"/>
  <c r="G45" i="12" s="1"/>
  <c r="A45" i="12"/>
  <c r="L42" i="12"/>
  <c r="O42" i="12" s="1"/>
  <c r="D42" i="12"/>
  <c r="G42" i="12" s="1"/>
  <c r="L41" i="12"/>
  <c r="O41" i="12" s="1"/>
  <c r="D41" i="12"/>
  <c r="G41" i="12" s="1"/>
  <c r="L40" i="12"/>
  <c r="O40" i="12" s="1"/>
  <c r="D40" i="12"/>
  <c r="G40" i="12" s="1"/>
  <c r="L39" i="12"/>
  <c r="O39" i="12" s="1"/>
  <c r="D39" i="12"/>
  <c r="G39" i="12" s="1"/>
  <c r="L38" i="12"/>
  <c r="O38" i="12" s="1"/>
  <c r="D38" i="12"/>
  <c r="G38" i="12" s="1"/>
  <c r="L37" i="12"/>
  <c r="O37" i="12" s="1"/>
  <c r="D37" i="12"/>
  <c r="G37" i="12" s="1"/>
  <c r="L36" i="12"/>
  <c r="O36" i="12" s="1"/>
  <c r="D36" i="12"/>
  <c r="G36" i="12" s="1"/>
  <c r="L35" i="12"/>
  <c r="O35" i="12" s="1"/>
  <c r="D35" i="12"/>
  <c r="G35" i="12" s="1"/>
  <c r="L34" i="12"/>
  <c r="O34" i="12" s="1"/>
  <c r="D34" i="12"/>
  <c r="G34" i="12" s="1"/>
  <c r="L33" i="12"/>
  <c r="O33" i="12" s="1"/>
  <c r="D33" i="12"/>
  <c r="G33" i="12" s="1"/>
  <c r="L32" i="12"/>
  <c r="O32" i="12" s="1"/>
  <c r="D32" i="12"/>
  <c r="G32" i="12" s="1"/>
  <c r="L31" i="12"/>
  <c r="O31" i="12" s="1"/>
  <c r="I31" i="12"/>
  <c r="D31" i="12"/>
  <c r="G31" i="12" s="1"/>
  <c r="A31" i="12"/>
  <c r="L28" i="12"/>
  <c r="O28" i="12" s="1"/>
  <c r="D28" i="12"/>
  <c r="G28" i="12" s="1"/>
  <c r="L27" i="12"/>
  <c r="O27" i="12" s="1"/>
  <c r="D27" i="12"/>
  <c r="G27" i="12" s="1"/>
  <c r="L26" i="12"/>
  <c r="O26" i="12" s="1"/>
  <c r="D26" i="12"/>
  <c r="G26" i="12" s="1"/>
  <c r="L25" i="12"/>
  <c r="O25" i="12" s="1"/>
  <c r="D25" i="12"/>
  <c r="G25" i="12" s="1"/>
  <c r="L24" i="12"/>
  <c r="O24" i="12" s="1"/>
  <c r="D24" i="12"/>
  <c r="G24" i="12" s="1"/>
  <c r="L23" i="12"/>
  <c r="O23" i="12" s="1"/>
  <c r="D23" i="12"/>
  <c r="G23" i="12" s="1"/>
  <c r="L22" i="12"/>
  <c r="O22" i="12" s="1"/>
  <c r="D22" i="12"/>
  <c r="G22" i="12" s="1"/>
  <c r="L21" i="12"/>
  <c r="O21" i="12" s="1"/>
  <c r="D21" i="12"/>
  <c r="G21" i="12" s="1"/>
  <c r="L20" i="12"/>
  <c r="O20" i="12" s="1"/>
  <c r="D20" i="12"/>
  <c r="G20" i="12" s="1"/>
  <c r="L19" i="12"/>
  <c r="O19" i="12" s="1"/>
  <c r="D19" i="12"/>
  <c r="G19" i="12" s="1"/>
  <c r="L18" i="12"/>
  <c r="O18" i="12" s="1"/>
  <c r="D18" i="12"/>
  <c r="G18" i="12" s="1"/>
  <c r="L17" i="12"/>
  <c r="I17" i="12"/>
  <c r="D17" i="12"/>
  <c r="A17" i="12"/>
  <c r="L14" i="12"/>
  <c r="O14" i="12" s="1"/>
  <c r="D14" i="12"/>
  <c r="G14" i="12" s="1"/>
  <c r="L13" i="12"/>
  <c r="O13" i="12" s="1"/>
  <c r="D13" i="12"/>
  <c r="G13" i="12" s="1"/>
  <c r="L12" i="12"/>
  <c r="O12" i="12" s="1"/>
  <c r="D12" i="12"/>
  <c r="G12" i="12" s="1"/>
  <c r="L11" i="12"/>
  <c r="O11" i="12" s="1"/>
  <c r="D11" i="12"/>
  <c r="G11" i="12" s="1"/>
  <c r="L10" i="12"/>
  <c r="O10" i="12" s="1"/>
  <c r="D10" i="12"/>
  <c r="G10" i="12" s="1"/>
  <c r="L9" i="12"/>
  <c r="O9" i="12" s="1"/>
  <c r="D9" i="12"/>
  <c r="G9" i="12" s="1"/>
  <c r="L8" i="12"/>
  <c r="O8" i="12" s="1"/>
  <c r="D8" i="12"/>
  <c r="G8" i="12" s="1"/>
  <c r="L7" i="12"/>
  <c r="O7" i="12" s="1"/>
  <c r="D7" i="12"/>
  <c r="G7" i="12" s="1"/>
  <c r="L6" i="12"/>
  <c r="O6" i="12" s="1"/>
  <c r="D6" i="12"/>
  <c r="G6" i="12" s="1"/>
  <c r="L5" i="12"/>
  <c r="O5" i="12" s="1"/>
  <c r="D5" i="12"/>
  <c r="G5" i="12" s="1"/>
  <c r="L4" i="12"/>
  <c r="O4" i="12" s="1"/>
  <c r="D4" i="12"/>
  <c r="G4" i="12" s="1"/>
  <c r="L3" i="12"/>
  <c r="O3" i="12" s="1"/>
  <c r="D3" i="12"/>
  <c r="G3" i="12" s="1"/>
  <c r="F62" i="4"/>
  <c r="E62" i="4"/>
  <c r="N61" i="4"/>
  <c r="M61" i="4"/>
  <c r="L61" i="4"/>
  <c r="K61" i="4"/>
  <c r="J61" i="4"/>
  <c r="I61" i="4"/>
  <c r="H61" i="4"/>
  <c r="G61" i="4"/>
  <c r="F61" i="4"/>
  <c r="E61" i="4"/>
  <c r="D61" i="4"/>
  <c r="C61" i="4"/>
  <c r="B61" i="4"/>
  <c r="N60" i="4"/>
  <c r="M60" i="4"/>
  <c r="L60" i="4"/>
  <c r="K60" i="4"/>
  <c r="J60" i="4"/>
  <c r="I60" i="4"/>
  <c r="H60" i="4"/>
  <c r="G60" i="4"/>
  <c r="F60" i="4"/>
  <c r="E60" i="4"/>
  <c r="D60" i="4"/>
  <c r="C60" i="4"/>
  <c r="B60" i="4"/>
  <c r="N59" i="4"/>
  <c r="M59" i="4"/>
  <c r="L59" i="4"/>
  <c r="K59" i="4"/>
  <c r="J59" i="4"/>
  <c r="I59" i="4"/>
  <c r="H59" i="4"/>
  <c r="G59" i="4"/>
  <c r="F59" i="4"/>
  <c r="E59" i="4"/>
  <c r="D59" i="4"/>
  <c r="C59" i="4"/>
  <c r="B59" i="4"/>
  <c r="N58" i="4"/>
  <c r="M58" i="4"/>
  <c r="L58" i="4"/>
  <c r="K58" i="4"/>
  <c r="J58" i="4"/>
  <c r="I58" i="4"/>
  <c r="H58" i="4"/>
  <c r="G58" i="4"/>
  <c r="F58" i="4"/>
  <c r="E58" i="4"/>
  <c r="D58" i="4"/>
  <c r="C58" i="4"/>
  <c r="B58" i="4"/>
  <c r="N57" i="4"/>
  <c r="M57" i="4"/>
  <c r="L57" i="4"/>
  <c r="K57" i="4"/>
  <c r="J57" i="4"/>
  <c r="I57" i="4"/>
  <c r="H57" i="4"/>
  <c r="G57" i="4"/>
  <c r="F57" i="4"/>
  <c r="E57" i="4"/>
  <c r="D57" i="4"/>
  <c r="C57" i="4"/>
  <c r="B57" i="4"/>
  <c r="N56" i="4"/>
  <c r="M56" i="4"/>
  <c r="L56" i="4"/>
  <c r="K56" i="4"/>
  <c r="J56" i="4"/>
  <c r="I56" i="4"/>
  <c r="H56" i="4"/>
  <c r="G56" i="4"/>
  <c r="F56" i="4"/>
  <c r="E56" i="4"/>
  <c r="D56" i="4"/>
  <c r="C56" i="4"/>
  <c r="B56" i="4"/>
  <c r="N55" i="4"/>
  <c r="M55" i="4"/>
  <c r="L55" i="4"/>
  <c r="K55" i="4"/>
  <c r="J55" i="4"/>
  <c r="I55" i="4"/>
  <c r="H55" i="4"/>
  <c r="G55" i="4"/>
  <c r="F55" i="4"/>
  <c r="E55" i="4"/>
  <c r="D55" i="4"/>
  <c r="C55" i="4"/>
  <c r="B55" i="4"/>
  <c r="N54" i="4"/>
  <c r="M54" i="4"/>
  <c r="L54" i="4"/>
  <c r="K54" i="4"/>
  <c r="J54" i="4"/>
  <c r="I54" i="4"/>
  <c r="H54" i="4"/>
  <c r="G54" i="4"/>
  <c r="F54" i="4"/>
  <c r="E54" i="4"/>
  <c r="D54" i="4"/>
  <c r="C54" i="4"/>
  <c r="B54" i="4"/>
  <c r="N53" i="4"/>
  <c r="M53" i="4"/>
  <c r="L53" i="4"/>
  <c r="K53" i="4"/>
  <c r="J53" i="4"/>
  <c r="I53" i="4"/>
  <c r="H53" i="4"/>
  <c r="G53" i="4"/>
  <c r="F53" i="4"/>
  <c r="E53" i="4"/>
  <c r="D53" i="4"/>
  <c r="C53" i="4"/>
  <c r="B53" i="4"/>
  <c r="N52" i="4"/>
  <c r="M52" i="4"/>
  <c r="L52" i="4"/>
  <c r="K52" i="4"/>
  <c r="J52" i="4"/>
  <c r="I52" i="4"/>
  <c r="H52" i="4"/>
  <c r="G52" i="4"/>
  <c r="F52" i="4"/>
  <c r="E52" i="4"/>
  <c r="D52" i="4"/>
  <c r="C52" i="4"/>
  <c r="B52" i="4"/>
  <c r="N51" i="4"/>
  <c r="M51" i="4"/>
  <c r="L51" i="4"/>
  <c r="K51" i="4"/>
  <c r="J51" i="4"/>
  <c r="I51" i="4"/>
  <c r="H51" i="4"/>
  <c r="G51" i="4"/>
  <c r="F51" i="4"/>
  <c r="E51" i="4"/>
  <c r="D51" i="4"/>
  <c r="C51" i="4"/>
  <c r="B51" i="4"/>
  <c r="N50" i="4"/>
  <c r="M50" i="4"/>
  <c r="L50" i="4"/>
  <c r="K50" i="4"/>
  <c r="J50" i="4"/>
  <c r="I50" i="4"/>
  <c r="H50" i="4"/>
  <c r="G50" i="4"/>
  <c r="F50" i="4"/>
  <c r="E50" i="4"/>
  <c r="D50" i="4"/>
  <c r="C50" i="4"/>
  <c r="B50" i="4"/>
  <c r="N49" i="4"/>
  <c r="M49" i="4"/>
  <c r="L49" i="4"/>
  <c r="K49" i="4"/>
  <c r="J49" i="4"/>
  <c r="I49" i="4"/>
  <c r="H49" i="4"/>
  <c r="G49" i="4"/>
  <c r="F49" i="4"/>
  <c r="E49" i="4"/>
  <c r="D49" i="4"/>
  <c r="C49" i="4"/>
  <c r="B49" i="4"/>
  <c r="N48" i="4"/>
  <c r="M48" i="4"/>
  <c r="L48" i="4"/>
  <c r="K48" i="4"/>
  <c r="J48" i="4"/>
  <c r="I48" i="4"/>
  <c r="H48" i="4"/>
  <c r="G48" i="4"/>
  <c r="F48" i="4"/>
  <c r="E48" i="4"/>
  <c r="D48" i="4"/>
  <c r="C48" i="4"/>
  <c r="B48" i="4"/>
  <c r="N47" i="4"/>
  <c r="M47" i="4"/>
  <c r="L47" i="4"/>
  <c r="K47" i="4"/>
  <c r="J47" i="4"/>
  <c r="I47" i="4"/>
  <c r="H47" i="4"/>
  <c r="G47" i="4"/>
  <c r="F47" i="4"/>
  <c r="E47" i="4"/>
  <c r="D47" i="4"/>
  <c r="C47" i="4"/>
  <c r="B47" i="4"/>
  <c r="N46" i="4"/>
  <c r="M46" i="4"/>
  <c r="L46" i="4"/>
  <c r="K46" i="4"/>
  <c r="J46" i="4"/>
  <c r="I46" i="4"/>
  <c r="H46" i="4"/>
  <c r="G46" i="4"/>
  <c r="F46" i="4"/>
  <c r="E46" i="4"/>
  <c r="D46" i="4"/>
  <c r="C46" i="4"/>
  <c r="B46" i="4"/>
  <c r="N45" i="4"/>
  <c r="M45" i="4"/>
  <c r="L45" i="4"/>
  <c r="K45" i="4"/>
  <c r="J45" i="4"/>
  <c r="I45" i="4"/>
  <c r="H45" i="4"/>
  <c r="G45" i="4"/>
  <c r="F45" i="4"/>
  <c r="E45" i="4"/>
  <c r="D45" i="4"/>
  <c r="C45" i="4"/>
  <c r="B45" i="4"/>
  <c r="N44" i="4"/>
  <c r="M44" i="4"/>
  <c r="L44" i="4"/>
  <c r="K44" i="4"/>
  <c r="J44" i="4"/>
  <c r="I44" i="4"/>
  <c r="H44" i="4"/>
  <c r="G44" i="4"/>
  <c r="F44" i="4"/>
  <c r="E44" i="4"/>
  <c r="D44" i="4"/>
  <c r="C44" i="4"/>
  <c r="B44" i="4"/>
  <c r="N43" i="4"/>
  <c r="M43" i="4"/>
  <c r="L43" i="4"/>
  <c r="K43" i="4"/>
  <c r="J43" i="4"/>
  <c r="I43" i="4"/>
  <c r="H43" i="4"/>
  <c r="G43" i="4"/>
  <c r="F43" i="4"/>
  <c r="E43" i="4"/>
  <c r="D43" i="4"/>
  <c r="C43" i="4"/>
  <c r="B43" i="4"/>
  <c r="N42" i="4"/>
  <c r="M42" i="4"/>
  <c r="L42" i="4"/>
  <c r="K42" i="4"/>
  <c r="J42" i="4"/>
  <c r="I42" i="4"/>
  <c r="H42" i="4"/>
  <c r="G42" i="4"/>
  <c r="F42" i="4"/>
  <c r="E42" i="4"/>
  <c r="D42" i="4"/>
  <c r="C42" i="4"/>
  <c r="B42" i="4"/>
  <c r="N41" i="4"/>
  <c r="M41" i="4"/>
  <c r="L41" i="4"/>
  <c r="K41" i="4"/>
  <c r="J41" i="4"/>
  <c r="I41" i="4"/>
  <c r="H41" i="4"/>
  <c r="G41" i="4"/>
  <c r="F41" i="4"/>
  <c r="E41" i="4"/>
  <c r="D41" i="4"/>
  <c r="C41" i="4"/>
  <c r="B41" i="4"/>
  <c r="N40" i="4"/>
  <c r="M40" i="4"/>
  <c r="L40" i="4"/>
  <c r="K40" i="4"/>
  <c r="J40" i="4"/>
  <c r="I40" i="4"/>
  <c r="H40" i="4"/>
  <c r="G40" i="4"/>
  <c r="F40" i="4"/>
  <c r="E40" i="4"/>
  <c r="D40" i="4"/>
  <c r="C40" i="4"/>
  <c r="B40" i="4"/>
  <c r="N39" i="4"/>
  <c r="M39" i="4"/>
  <c r="L39" i="4"/>
  <c r="K39" i="4"/>
  <c r="J39" i="4"/>
  <c r="I39" i="4"/>
  <c r="H39" i="4"/>
  <c r="G39" i="4"/>
  <c r="F39" i="4"/>
  <c r="E39" i="4"/>
  <c r="D39" i="4"/>
  <c r="C39" i="4"/>
  <c r="B39" i="4"/>
  <c r="N38" i="4"/>
  <c r="M38" i="4"/>
  <c r="L38" i="4"/>
  <c r="K38" i="4"/>
  <c r="J38" i="4"/>
  <c r="I38" i="4"/>
  <c r="H38" i="4"/>
  <c r="G38" i="4"/>
  <c r="F38" i="4"/>
  <c r="E38" i="4"/>
  <c r="D38" i="4"/>
  <c r="C38" i="4"/>
  <c r="B38" i="4"/>
  <c r="N37" i="4"/>
  <c r="M37" i="4"/>
  <c r="L37" i="4"/>
  <c r="K37" i="4"/>
  <c r="J37" i="4"/>
  <c r="I37" i="4"/>
  <c r="H37" i="4"/>
  <c r="G37" i="4"/>
  <c r="F37" i="4"/>
  <c r="E37" i="4"/>
  <c r="D37" i="4"/>
  <c r="C37" i="4"/>
  <c r="B37" i="4"/>
  <c r="N36" i="4"/>
  <c r="M36" i="4"/>
  <c r="L36" i="4"/>
  <c r="K36" i="4"/>
  <c r="J36" i="4"/>
  <c r="I36" i="4"/>
  <c r="H36" i="4"/>
  <c r="G36" i="4"/>
  <c r="F36" i="4"/>
  <c r="E36" i="4"/>
  <c r="D36" i="4"/>
  <c r="C36" i="4"/>
  <c r="B36" i="4"/>
  <c r="N35" i="4"/>
  <c r="M35" i="4"/>
  <c r="L35" i="4"/>
  <c r="K35" i="4"/>
  <c r="J35" i="4"/>
  <c r="I35" i="4"/>
  <c r="H35" i="4"/>
  <c r="G35" i="4"/>
  <c r="F35" i="4"/>
  <c r="E35" i="4"/>
  <c r="D35" i="4"/>
  <c r="C35" i="4"/>
  <c r="B35" i="4"/>
  <c r="N34" i="4"/>
  <c r="M34" i="4"/>
  <c r="L34" i="4"/>
  <c r="K34" i="4"/>
  <c r="J34" i="4"/>
  <c r="I34" i="4"/>
  <c r="H34" i="4"/>
  <c r="G34" i="4"/>
  <c r="F34" i="4"/>
  <c r="E34" i="4"/>
  <c r="D34" i="4"/>
  <c r="C34" i="4"/>
  <c r="B34" i="4"/>
  <c r="N33" i="4"/>
  <c r="M33" i="4"/>
  <c r="L33" i="4"/>
  <c r="K33" i="4"/>
  <c r="J33" i="4"/>
  <c r="I33" i="4"/>
  <c r="H33" i="4"/>
  <c r="G33" i="4"/>
  <c r="F33" i="4"/>
  <c r="E33" i="4"/>
  <c r="D33" i="4"/>
  <c r="C33" i="4"/>
  <c r="B33" i="4"/>
  <c r="N32" i="4"/>
  <c r="M32" i="4"/>
  <c r="L32" i="4"/>
  <c r="K32" i="4"/>
  <c r="J32" i="4"/>
  <c r="I32" i="4"/>
  <c r="H32" i="4"/>
  <c r="G32" i="4"/>
  <c r="F32" i="4"/>
  <c r="E32" i="4"/>
  <c r="D32" i="4"/>
  <c r="C32" i="4"/>
  <c r="B32" i="4"/>
  <c r="N31" i="4"/>
  <c r="M31" i="4"/>
  <c r="L31" i="4"/>
  <c r="K31" i="4"/>
  <c r="J31" i="4"/>
  <c r="I31" i="4"/>
  <c r="H31" i="4"/>
  <c r="G31" i="4"/>
  <c r="F31" i="4"/>
  <c r="E31" i="4"/>
  <c r="D31" i="4"/>
  <c r="C31" i="4"/>
  <c r="B31" i="4"/>
  <c r="N30" i="4"/>
  <c r="M30" i="4"/>
  <c r="L30" i="4"/>
  <c r="K30" i="4"/>
  <c r="J30" i="4"/>
  <c r="I30" i="4"/>
  <c r="H30" i="4"/>
  <c r="G30" i="4"/>
  <c r="F30" i="4"/>
  <c r="E30" i="4"/>
  <c r="D30" i="4"/>
  <c r="C30" i="4"/>
  <c r="B30" i="4"/>
  <c r="N29" i="4"/>
  <c r="M29" i="4"/>
  <c r="L29" i="4"/>
  <c r="K29" i="4"/>
  <c r="J29" i="4"/>
  <c r="I29" i="4"/>
  <c r="H29" i="4"/>
  <c r="G29" i="4"/>
  <c r="F29" i="4"/>
  <c r="E29" i="4"/>
  <c r="D29" i="4"/>
  <c r="C29" i="4"/>
  <c r="B29" i="4"/>
  <c r="N28" i="4"/>
  <c r="M28" i="4"/>
  <c r="L28" i="4"/>
  <c r="K28" i="4"/>
  <c r="J28" i="4"/>
  <c r="I28" i="4"/>
  <c r="H28" i="4"/>
  <c r="G28" i="4"/>
  <c r="F28" i="4"/>
  <c r="E28" i="4"/>
  <c r="D28" i="4"/>
  <c r="C28" i="4"/>
  <c r="B28" i="4"/>
  <c r="N27" i="4"/>
  <c r="M27" i="4"/>
  <c r="L27" i="4"/>
  <c r="K27" i="4"/>
  <c r="J27" i="4"/>
  <c r="I27" i="4"/>
  <c r="H27" i="4"/>
  <c r="G27" i="4"/>
  <c r="F27" i="4"/>
  <c r="E27" i="4"/>
  <c r="D27" i="4"/>
  <c r="C27" i="4"/>
  <c r="B27" i="4"/>
  <c r="N26" i="4"/>
  <c r="M26" i="4"/>
  <c r="L26" i="4"/>
  <c r="K26" i="4"/>
  <c r="J26" i="4"/>
  <c r="I26" i="4"/>
  <c r="H26" i="4"/>
  <c r="G26" i="4"/>
  <c r="F26" i="4"/>
  <c r="E26" i="4"/>
  <c r="D26" i="4"/>
  <c r="C26" i="4"/>
  <c r="B26" i="4"/>
  <c r="N25" i="4"/>
  <c r="M25" i="4"/>
  <c r="L25" i="4"/>
  <c r="K25" i="4"/>
  <c r="J25" i="4"/>
  <c r="I25" i="4"/>
  <c r="H25" i="4"/>
  <c r="G25" i="4"/>
  <c r="F25" i="4"/>
  <c r="E25" i="4"/>
  <c r="D25" i="4"/>
  <c r="C25" i="4"/>
  <c r="B25" i="4"/>
  <c r="A25" i="4" a="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N24" i="4"/>
  <c r="M24" i="4"/>
  <c r="L24" i="4"/>
  <c r="K24" i="4"/>
  <c r="J24" i="4"/>
  <c r="I24" i="4"/>
  <c r="H24" i="4"/>
  <c r="G24" i="4"/>
  <c r="F24" i="4"/>
  <c r="E24" i="4"/>
  <c r="D24" i="4"/>
  <c r="C24" i="4"/>
  <c r="B24" i="4"/>
  <c r="A24" i="4" a="1"/>
  <c r="A24" i="4" s="1"/>
  <c r="N23" i="4"/>
  <c r="M23" i="4"/>
  <c r="L23" i="4"/>
  <c r="K23" i="4"/>
  <c r="J23" i="4"/>
  <c r="I23" i="4"/>
  <c r="H23" i="4"/>
  <c r="G23" i="4"/>
  <c r="F23" i="4"/>
  <c r="E23" i="4"/>
  <c r="D23" i="4"/>
  <c r="C23" i="4"/>
  <c r="B23" i="4"/>
  <c r="A23" i="4" a="1"/>
  <c r="A23" i="4" s="1"/>
  <c r="N22" i="4"/>
  <c r="M22" i="4"/>
  <c r="L22" i="4"/>
  <c r="K22" i="4"/>
  <c r="J22" i="4"/>
  <c r="I22" i="4"/>
  <c r="H22" i="4"/>
  <c r="G22" i="4"/>
  <c r="F22" i="4"/>
  <c r="E22" i="4"/>
  <c r="D22" i="4"/>
  <c r="C22" i="4"/>
  <c r="B22" i="4"/>
  <c r="A22" i="4" a="1"/>
  <c r="A22" i="4" s="1"/>
  <c r="N21" i="4"/>
  <c r="M21" i="4"/>
  <c r="L21" i="4"/>
  <c r="K21" i="4"/>
  <c r="J21" i="4"/>
  <c r="I21" i="4"/>
  <c r="H21" i="4"/>
  <c r="G21" i="4"/>
  <c r="F21" i="4"/>
  <c r="E21" i="4"/>
  <c r="D21" i="4"/>
  <c r="C21" i="4"/>
  <c r="B21" i="4"/>
  <c r="A21" i="4" a="1"/>
  <c r="A21" i="4" s="1"/>
  <c r="N20" i="4"/>
  <c r="M20" i="4"/>
  <c r="L20" i="4"/>
  <c r="K20" i="4"/>
  <c r="J20" i="4"/>
  <c r="I20" i="4"/>
  <c r="H20" i="4"/>
  <c r="G20" i="4"/>
  <c r="F20" i="4"/>
  <c r="E20" i="4"/>
  <c r="D20" i="4"/>
  <c r="C20" i="4"/>
  <c r="B20" i="4"/>
  <c r="A20" i="4" a="1"/>
  <c r="A20" i="4" s="1"/>
  <c r="N19" i="4"/>
  <c r="M19" i="4"/>
  <c r="L19" i="4"/>
  <c r="K19" i="4"/>
  <c r="J19" i="4"/>
  <c r="I19" i="4"/>
  <c r="H19" i="4"/>
  <c r="G19" i="4"/>
  <c r="F19" i="4"/>
  <c r="E19" i="4"/>
  <c r="D19" i="4"/>
  <c r="C19" i="4"/>
  <c r="B19" i="4"/>
  <c r="A19" i="4" a="1"/>
  <c r="A19" i="4" s="1"/>
  <c r="N18" i="4"/>
  <c r="M18" i="4"/>
  <c r="L18" i="4"/>
  <c r="K18" i="4"/>
  <c r="J18" i="4"/>
  <c r="I18" i="4"/>
  <c r="H18" i="4"/>
  <c r="G18" i="4"/>
  <c r="F18" i="4"/>
  <c r="E18" i="4"/>
  <c r="D18" i="4"/>
  <c r="C18" i="4"/>
  <c r="B18" i="4"/>
  <c r="A18" i="4" a="1"/>
  <c r="A18" i="4" s="1"/>
  <c r="N17" i="4"/>
  <c r="M17" i="4"/>
  <c r="L17" i="4"/>
  <c r="K17" i="4"/>
  <c r="J17" i="4"/>
  <c r="I17" i="4"/>
  <c r="H17" i="4"/>
  <c r="G17" i="4"/>
  <c r="F17" i="4"/>
  <c r="E17" i="4"/>
  <c r="D17" i="4"/>
  <c r="C17" i="4"/>
  <c r="B17" i="4"/>
  <c r="A17" i="4" a="1"/>
  <c r="A17" i="4" s="1"/>
  <c r="N16" i="4"/>
  <c r="M16" i="4"/>
  <c r="L16" i="4"/>
  <c r="K16" i="4"/>
  <c r="J16" i="4"/>
  <c r="I16" i="4"/>
  <c r="H16" i="4"/>
  <c r="G16" i="4"/>
  <c r="F16" i="4"/>
  <c r="E16" i="4"/>
  <c r="D16" i="4"/>
  <c r="C16" i="4"/>
  <c r="B16" i="4"/>
  <c r="A16" i="4" a="1"/>
  <c r="A16" i="4" s="1"/>
  <c r="N15" i="4"/>
  <c r="M15" i="4"/>
  <c r="L15" i="4"/>
  <c r="K15" i="4"/>
  <c r="J15" i="4"/>
  <c r="I15" i="4"/>
  <c r="H15" i="4"/>
  <c r="G15" i="4"/>
  <c r="F15" i="4"/>
  <c r="E15" i="4"/>
  <c r="D15" i="4"/>
  <c r="C15" i="4"/>
  <c r="B15" i="4"/>
  <c r="A15" i="4" a="1"/>
  <c r="A15" i="4" s="1"/>
  <c r="N14" i="4"/>
  <c r="M14" i="4"/>
  <c r="L14" i="4"/>
  <c r="K14" i="4"/>
  <c r="J14" i="4"/>
  <c r="I14" i="4"/>
  <c r="H14" i="4"/>
  <c r="G14" i="4"/>
  <c r="F14" i="4"/>
  <c r="E14" i="4"/>
  <c r="D14" i="4"/>
  <c r="C14" i="4"/>
  <c r="B14" i="4"/>
  <c r="A14" i="4" a="1"/>
  <c r="A14" i="4" s="1"/>
  <c r="N13" i="4"/>
  <c r="A13" i="4" a="1"/>
  <c r="A13" i="4" s="1"/>
  <c r="N12" i="4"/>
  <c r="A12" i="4" a="1"/>
  <c r="A12" i="4" s="1"/>
  <c r="N11" i="4"/>
  <c r="A11" i="4" a="1"/>
  <c r="A11" i="4" s="1"/>
  <c r="N10" i="4"/>
  <c r="A10" i="4" a="1"/>
  <c r="A10" i="4" s="1"/>
  <c r="N9" i="4"/>
  <c r="A9" i="4" a="1"/>
  <c r="A9" i="4" s="1"/>
  <c r="N8" i="4"/>
  <c r="A8" i="4" a="1"/>
  <c r="A8" i="4" s="1"/>
  <c r="N7" i="4"/>
  <c r="A7" i="4" a="1"/>
  <c r="A7" i="4" s="1"/>
  <c r="N6" i="4"/>
  <c r="A6" i="4" a="1"/>
  <c r="A6" i="4" s="1"/>
  <c r="N5" i="4"/>
  <c r="A5" i="4" a="1"/>
  <c r="A5" i="4" s="1"/>
  <c r="N4" i="4"/>
  <c r="A4" i="4" a="1"/>
  <c r="A4" i="4" s="1"/>
  <c r="N3" i="4"/>
  <c r="A3" i="4" a="1"/>
  <c r="A3" i="4" s="1"/>
  <c r="N2" i="4"/>
  <c r="A2" i="4" a="1"/>
  <c r="A2" i="4" s="1"/>
  <c r="L25" i="11"/>
  <c r="J25" i="11"/>
  <c r="H25" i="11"/>
  <c r="F25" i="11"/>
  <c r="D25" i="11"/>
  <c r="L24" i="11"/>
  <c r="J24" i="11"/>
  <c r="H24" i="11"/>
  <c r="F24" i="11"/>
  <c r="D24" i="11"/>
  <c r="B24" i="11"/>
  <c r="L23" i="11"/>
  <c r="J23" i="11"/>
  <c r="H23" i="11"/>
  <c r="F23" i="11"/>
  <c r="D23" i="11"/>
  <c r="L22" i="11"/>
  <c r="J22" i="11"/>
  <c r="H22" i="11"/>
  <c r="F22" i="11"/>
  <c r="D22" i="11"/>
  <c r="L21" i="11"/>
  <c r="J21" i="11"/>
  <c r="H21" i="11"/>
  <c r="F21" i="11"/>
  <c r="D21" i="11"/>
  <c r="L20" i="11"/>
  <c r="J20" i="11"/>
  <c r="H20" i="11"/>
  <c r="F20" i="11"/>
  <c r="D20" i="11"/>
  <c r="L19" i="11"/>
  <c r="J19" i="11"/>
  <c r="H19" i="11"/>
  <c r="F19" i="11"/>
  <c r="D19" i="11"/>
  <c r="B19" i="11"/>
  <c r="L18" i="11"/>
  <c r="J18" i="11"/>
  <c r="H18" i="11"/>
  <c r="F18" i="11"/>
  <c r="D18" i="11"/>
  <c r="L17" i="11"/>
  <c r="J17" i="11"/>
  <c r="H17" i="11"/>
  <c r="F17" i="11"/>
  <c r="D17" i="11"/>
  <c r="L16" i="11"/>
  <c r="J16" i="11"/>
  <c r="H16" i="11"/>
  <c r="F16" i="11"/>
  <c r="D16" i="11"/>
  <c r="L15" i="11"/>
  <c r="J15" i="11"/>
  <c r="H15" i="11"/>
  <c r="F15" i="11"/>
  <c r="D15" i="11"/>
  <c r="L14" i="11"/>
  <c r="J14" i="11"/>
  <c r="H14" i="11"/>
  <c r="F14" i="11"/>
  <c r="D14" i="11"/>
  <c r="B14" i="11"/>
  <c r="L13" i="11"/>
  <c r="J13" i="11"/>
  <c r="H13" i="11"/>
  <c r="F13" i="11"/>
  <c r="D13" i="11"/>
  <c r="L12" i="11"/>
  <c r="J12" i="11"/>
  <c r="H12" i="11"/>
  <c r="F12" i="11"/>
  <c r="D12" i="11"/>
  <c r="L11" i="11"/>
  <c r="J11" i="11"/>
  <c r="H11" i="11"/>
  <c r="F11" i="11"/>
  <c r="D11" i="11"/>
  <c r="L10" i="11"/>
  <c r="J10" i="11"/>
  <c r="H10" i="11"/>
  <c r="F10" i="11"/>
  <c r="D10" i="11"/>
  <c r="L9" i="11"/>
  <c r="J9" i="11"/>
  <c r="H9" i="11"/>
  <c r="F9" i="11"/>
  <c r="D9" i="11"/>
  <c r="B9" i="11"/>
  <c r="L8" i="11"/>
  <c r="J8" i="11"/>
  <c r="H8" i="11"/>
  <c r="F8" i="11"/>
  <c r="D8" i="11"/>
  <c r="L7" i="11"/>
  <c r="J7" i="11"/>
  <c r="H7" i="11"/>
  <c r="F7" i="11"/>
  <c r="D7" i="11"/>
  <c r="L6" i="11"/>
  <c r="J6" i="11"/>
  <c r="H6" i="11"/>
  <c r="F6" i="11"/>
  <c r="D6" i="11"/>
  <c r="A6" i="11"/>
  <c r="A11" i="11" s="1"/>
  <c r="A16" i="11" s="1"/>
  <c r="A21" i="11" s="1"/>
  <c r="B3" i="11"/>
  <c r="B2" i="11"/>
  <c r="B1" i="11"/>
  <c r="H85" i="1"/>
  <c r="S83" i="1"/>
  <c r="P59" i="4" s="1"/>
  <c r="M83" i="1"/>
  <c r="F5" i="5" s="1"/>
  <c r="H83" i="1"/>
  <c r="A67" i="5" s="1"/>
  <c r="H82" i="1"/>
  <c r="H81" i="1"/>
  <c r="A65" i="5" s="1"/>
  <c r="H80" i="1"/>
  <c r="A64" i="5" s="1"/>
  <c r="H79" i="1"/>
  <c r="A63" i="5" s="1"/>
  <c r="H78" i="1"/>
  <c r="H77" i="1"/>
  <c r="A61" i="5" s="1"/>
  <c r="H76" i="1"/>
  <c r="A60" i="5" s="1"/>
  <c r="H75" i="1"/>
  <c r="A59" i="5" s="1"/>
  <c r="H74" i="1"/>
  <c r="H73" i="1"/>
  <c r="A57" i="5" s="1"/>
  <c r="H72" i="1"/>
  <c r="A56" i="5" s="1"/>
  <c r="S71" i="1"/>
  <c r="P47" i="4" s="1"/>
  <c r="M71" i="1"/>
  <c r="E5" i="5" s="1"/>
  <c r="H71" i="1"/>
  <c r="A53" i="5" s="1"/>
  <c r="H70" i="1"/>
  <c r="A52" i="5" s="1"/>
  <c r="H69" i="1"/>
  <c r="A51" i="5" s="1"/>
  <c r="H68" i="1"/>
  <c r="A50" i="5" s="1"/>
  <c r="H67" i="1"/>
  <c r="A49" i="5" s="1"/>
  <c r="H66" i="1"/>
  <c r="A48" i="5" s="1"/>
  <c r="H65" i="1"/>
  <c r="A47" i="5" s="1"/>
  <c r="H64" i="1"/>
  <c r="A46" i="5" s="1"/>
  <c r="H63" i="1"/>
  <c r="A45" i="5" s="1"/>
  <c r="H62" i="1"/>
  <c r="A44" i="5" s="1"/>
  <c r="H61" i="1"/>
  <c r="A43" i="5" s="1"/>
  <c r="H60" i="1"/>
  <c r="A42" i="5" s="1"/>
  <c r="S59" i="1"/>
  <c r="P35" i="4" s="1"/>
  <c r="M59" i="1"/>
  <c r="D5" i="5" s="1"/>
  <c r="H59" i="1"/>
  <c r="A39" i="5" s="1"/>
  <c r="H58" i="1"/>
  <c r="A38" i="5" s="1"/>
  <c r="H57" i="1"/>
  <c r="A37" i="5" s="1"/>
  <c r="H56" i="1"/>
  <c r="A36" i="5" s="1"/>
  <c r="H55" i="1"/>
  <c r="A35" i="5" s="1"/>
  <c r="H54" i="1"/>
  <c r="A34" i="5" s="1"/>
  <c r="H53" i="1"/>
  <c r="A33" i="5" s="1"/>
  <c r="H52" i="1"/>
  <c r="A32" i="5" s="1"/>
  <c r="H51" i="1"/>
  <c r="A31" i="5" s="1"/>
  <c r="H50" i="1"/>
  <c r="A30" i="5" s="1"/>
  <c r="H49" i="1"/>
  <c r="A29" i="5" s="1"/>
  <c r="H48" i="1"/>
  <c r="A28" i="5" s="1"/>
  <c r="S47" i="1"/>
  <c r="M47" i="1"/>
  <c r="C5" i="5" s="1"/>
  <c r="H47" i="1"/>
  <c r="A25" i="5" s="1"/>
  <c r="H46" i="1"/>
  <c r="A24" i="5" s="1"/>
  <c r="H45" i="1"/>
  <c r="A23" i="5" s="1"/>
  <c r="H44" i="1"/>
  <c r="A22" i="5" s="1"/>
  <c r="H43" i="1"/>
  <c r="A21" i="5" s="1"/>
  <c r="H42" i="1"/>
  <c r="A20" i="5" s="1"/>
  <c r="H41" i="1"/>
  <c r="A19" i="5" s="1"/>
  <c r="H40" i="1"/>
  <c r="A18" i="5" s="1"/>
  <c r="H39" i="1"/>
  <c r="A17" i="5" s="1"/>
  <c r="H38" i="1"/>
  <c r="A16" i="5" s="1"/>
  <c r="H37" i="1"/>
  <c r="A15" i="5" s="1"/>
  <c r="I36" i="1"/>
  <c r="O36" i="1" s="1"/>
  <c r="H36" i="1"/>
  <c r="A14" i="5" s="1"/>
  <c r="H33" i="1"/>
  <c r="H32" i="1"/>
  <c r="H31" i="1"/>
  <c r="H30" i="1"/>
  <c r="F30" i="1"/>
  <c r="M12" i="4" s="1"/>
  <c r="H29" i="1"/>
  <c r="F29" i="1"/>
  <c r="H28" i="1"/>
  <c r="F28" i="1"/>
  <c r="J13" i="4" s="1"/>
  <c r="H27" i="1"/>
  <c r="F27" i="1"/>
  <c r="H26" i="1"/>
  <c r="H25" i="1"/>
  <c r="H24" i="1"/>
  <c r="F24" i="1"/>
  <c r="F10" i="4" s="1"/>
  <c r="D24" i="1"/>
  <c r="E11" i="4" s="1"/>
  <c r="B24" i="1"/>
  <c r="D11" i="4" s="1"/>
  <c r="H23" i="1"/>
  <c r="F23" i="1"/>
  <c r="D23" i="1"/>
  <c r="H10" i="4" s="1"/>
  <c r="B23" i="1"/>
  <c r="I3" i="12" s="1"/>
  <c r="I22" i="1"/>
  <c r="O22" i="1" s="1"/>
  <c r="H22" i="1"/>
  <c r="I33" i="9" l="1"/>
  <c r="I111" i="9" s="1"/>
  <c r="P33" i="9"/>
  <c r="P111" i="9" s="1"/>
  <c r="W33" i="9"/>
  <c r="W111" i="9" s="1"/>
  <c r="G45" i="6"/>
  <c r="O38" i="6"/>
  <c r="X29" i="6"/>
  <c r="W42" i="6"/>
  <c r="E8" i="6"/>
  <c r="G5" i="6"/>
  <c r="G4" i="6"/>
  <c r="V11" i="6"/>
  <c r="Q6" i="6"/>
  <c r="Q16" i="6"/>
  <c r="V5" i="6"/>
  <c r="Y5" i="6"/>
  <c r="E11" i="6"/>
  <c r="O50" i="6"/>
  <c r="Y52" i="6"/>
  <c r="T2" i="6"/>
  <c r="J22" i="6"/>
  <c r="M43" i="6"/>
  <c r="O53" i="6"/>
  <c r="Y4" i="6"/>
  <c r="X32" i="6"/>
  <c r="R35" i="6"/>
  <c r="E7" i="6"/>
  <c r="O14" i="6"/>
  <c r="Q48" i="6"/>
  <c r="J3" i="6"/>
  <c r="H20" i="6"/>
  <c r="W30" i="6"/>
  <c r="G46" i="6"/>
  <c r="H44" i="6"/>
  <c r="P22" i="4"/>
  <c r="P15" i="4"/>
  <c r="O3" i="6"/>
  <c r="C29" i="6"/>
  <c r="I31" i="6"/>
  <c r="T7" i="6"/>
  <c r="J10" i="6"/>
  <c r="R26" i="6"/>
  <c r="D37" i="6"/>
  <c r="T44" i="6"/>
  <c r="N2" i="6"/>
  <c r="D4" i="6"/>
  <c r="X17" i="6"/>
  <c r="D24" i="6"/>
  <c r="O2" i="6"/>
  <c r="E4" i="6"/>
  <c r="D5" i="6"/>
  <c r="X8" i="6"/>
  <c r="E12" i="6"/>
  <c r="E16" i="6"/>
  <c r="E24" i="6"/>
  <c r="J42" i="6"/>
  <c r="E59" i="6"/>
  <c r="S61" i="6"/>
  <c r="L3" i="6"/>
  <c r="E5" i="6"/>
  <c r="X5" i="6"/>
  <c r="D8" i="6"/>
  <c r="Y8" i="6"/>
  <c r="J18" i="6"/>
  <c r="Y19" i="6"/>
  <c r="G22" i="6"/>
  <c r="N38" i="6"/>
  <c r="T48" i="6"/>
  <c r="I55" i="6"/>
  <c r="G57" i="6"/>
  <c r="S2" i="6"/>
  <c r="N3" i="6"/>
  <c r="I12" i="6"/>
  <c r="D6" i="6"/>
  <c r="N18" i="6"/>
  <c r="N4" i="6"/>
  <c r="J5" i="6"/>
  <c r="E6" i="6"/>
  <c r="I8" i="6"/>
  <c r="O18" i="6"/>
  <c r="T24" i="6"/>
  <c r="X40" i="6"/>
  <c r="S57" i="6"/>
  <c r="X6" i="9"/>
  <c r="D2" i="6"/>
  <c r="V2" i="6"/>
  <c r="S3" i="6"/>
  <c r="O4" i="6"/>
  <c r="G7" i="6"/>
  <c r="S9" i="6"/>
  <c r="I11" i="6"/>
  <c r="T12" i="6"/>
  <c r="S22" i="6"/>
  <c r="C37" i="6"/>
  <c r="E39" i="6"/>
  <c r="Y40" i="6"/>
  <c r="I47" i="6"/>
  <c r="O49" i="6"/>
  <c r="W53" i="6"/>
  <c r="V55" i="6"/>
  <c r="T57" i="6"/>
  <c r="Y6" i="9"/>
  <c r="E2" i="6"/>
  <c r="Y2" i="6"/>
  <c r="T3" i="6"/>
  <c r="N5" i="6"/>
  <c r="I6" i="6"/>
  <c r="J7" i="6"/>
  <c r="N8" i="6"/>
  <c r="T9" i="6"/>
  <c r="J11" i="6"/>
  <c r="E15" i="6"/>
  <c r="T20" i="6"/>
  <c r="M27" i="6"/>
  <c r="Y51" i="6"/>
  <c r="X53" i="6"/>
  <c r="Z6" i="9"/>
  <c r="D3" i="6"/>
  <c r="S4" i="6"/>
  <c r="O5" i="6"/>
  <c r="J6" i="6"/>
  <c r="O8" i="6"/>
  <c r="D13" i="6"/>
  <c r="I56" i="6"/>
  <c r="AA6" i="9"/>
  <c r="I37" i="1"/>
  <c r="C17" i="17" s="1"/>
  <c r="I2" i="6"/>
  <c r="E3" i="6"/>
  <c r="X3" i="6"/>
  <c r="T4" i="6"/>
  <c r="N7" i="6"/>
  <c r="X9" i="6"/>
  <c r="O17" i="6"/>
  <c r="I19" i="6"/>
  <c r="O25" i="6"/>
  <c r="N39" i="6"/>
  <c r="J54" i="6"/>
  <c r="J58" i="6"/>
  <c r="J2" i="6"/>
  <c r="Y3" i="6"/>
  <c r="S5" i="6"/>
  <c r="L6" i="6"/>
  <c r="O7" i="6"/>
  <c r="Q8" i="6"/>
  <c r="Q11" i="6"/>
  <c r="J19" i="6"/>
  <c r="N30" i="6"/>
  <c r="I3" i="6"/>
  <c r="X4" i="6"/>
  <c r="T5" i="6"/>
  <c r="O6" i="6"/>
  <c r="T8" i="6"/>
  <c r="G10" i="6"/>
  <c r="Q39" i="6"/>
  <c r="B42" i="6"/>
  <c r="V43" i="6"/>
  <c r="W45" i="6"/>
  <c r="F6" i="9"/>
  <c r="P61" i="12"/>
  <c r="M59" i="12"/>
  <c r="N59" i="12" s="1"/>
  <c r="P62" i="12"/>
  <c r="O59" i="12"/>
  <c r="P60" i="12" s="1"/>
  <c r="H66" i="12"/>
  <c r="R68" i="12"/>
  <c r="H69" i="12"/>
  <c r="AZ61" i="18" s="1"/>
  <c r="H61" i="12"/>
  <c r="BD57" i="18" s="1"/>
  <c r="E59" i="12"/>
  <c r="F59" i="12" s="1"/>
  <c r="H63" i="12"/>
  <c r="BF61" i="18" s="1"/>
  <c r="P52" i="12"/>
  <c r="P51" i="12"/>
  <c r="M45" i="12"/>
  <c r="N45" i="12" s="1"/>
  <c r="R56" i="12"/>
  <c r="H54" i="12"/>
  <c r="AQ51" i="18" s="1"/>
  <c r="H56" i="12"/>
  <c r="AT60" i="18" s="1"/>
  <c r="H50" i="12"/>
  <c r="AT50" i="18" s="1"/>
  <c r="R50" i="12"/>
  <c r="H48" i="12"/>
  <c r="AV50" i="13" s="1"/>
  <c r="R46" i="12"/>
  <c r="H53" i="12"/>
  <c r="AP49" i="18" s="1"/>
  <c r="H46" i="12"/>
  <c r="AV48" i="18" s="1"/>
  <c r="R45" i="12"/>
  <c r="H47" i="12"/>
  <c r="AQ44" i="18" s="1"/>
  <c r="H55" i="12"/>
  <c r="AX59" i="18" s="1"/>
  <c r="P35" i="12"/>
  <c r="P41" i="12"/>
  <c r="M31" i="12"/>
  <c r="N31" i="12" s="1"/>
  <c r="H32" i="12"/>
  <c r="H41" i="12"/>
  <c r="AH43" i="18" s="1"/>
  <c r="H37" i="12"/>
  <c r="AM44" i="18" s="1"/>
  <c r="H38" i="12"/>
  <c r="AI41" i="13" s="1"/>
  <c r="H33" i="12"/>
  <c r="AM40" i="18" s="1"/>
  <c r="R36" i="12"/>
  <c r="H36" i="12"/>
  <c r="AE35" i="18" s="1"/>
  <c r="P19" i="12"/>
  <c r="M17" i="12"/>
  <c r="N17" i="12" s="1"/>
  <c r="O17" i="12"/>
  <c r="P18" i="12" s="1"/>
  <c r="H22" i="12"/>
  <c r="X28" i="18" s="1"/>
  <c r="H24" i="12"/>
  <c r="W29" i="18" s="1"/>
  <c r="R18" i="12"/>
  <c r="H27" i="12"/>
  <c r="T29" i="18" s="1"/>
  <c r="H28" i="12"/>
  <c r="X37" i="13" s="1"/>
  <c r="H26" i="12"/>
  <c r="Z34" i="18" s="1"/>
  <c r="R28" i="12"/>
  <c r="H23" i="12"/>
  <c r="W28" i="18" s="1"/>
  <c r="R26" i="12"/>
  <c r="E17" i="12"/>
  <c r="F17" i="12" s="1"/>
  <c r="G17" i="12"/>
  <c r="BK23" i="14" s="1"/>
  <c r="H21" i="12"/>
  <c r="AA30" i="18" s="1"/>
  <c r="P9" i="12"/>
  <c r="M3" i="12"/>
  <c r="N3" i="12" s="1"/>
  <c r="P10" i="12"/>
  <c r="R14" i="12"/>
  <c r="H9" i="12"/>
  <c r="I14" i="18" s="1"/>
  <c r="H4" i="12"/>
  <c r="D4" i="18" s="1"/>
  <c r="P5" i="20" s="1"/>
  <c r="H7" i="12"/>
  <c r="J13" i="18" s="1"/>
  <c r="H5" i="12"/>
  <c r="L13" i="18" s="1"/>
  <c r="H6" i="12"/>
  <c r="D6" i="18" s="1"/>
  <c r="H13" i="12"/>
  <c r="J19" i="18" s="1"/>
  <c r="R4" i="12"/>
  <c r="H11" i="12"/>
  <c r="N21" i="18" s="1"/>
  <c r="R3" i="12"/>
  <c r="O20" i="4"/>
  <c r="A62" i="5"/>
  <c r="R21" i="12"/>
  <c r="P22" i="12"/>
  <c r="H40" i="12"/>
  <c r="R39" i="12"/>
  <c r="I13" i="4"/>
  <c r="I9" i="4"/>
  <c r="I5" i="4"/>
  <c r="I12" i="4"/>
  <c r="I8" i="4"/>
  <c r="I4" i="4"/>
  <c r="I11" i="4"/>
  <c r="I7" i="4"/>
  <c r="I3" i="4"/>
  <c r="I10" i="4"/>
  <c r="I6" i="4"/>
  <c r="I2" i="4"/>
  <c r="R9" i="12"/>
  <c r="H10" i="12"/>
  <c r="H14" i="12"/>
  <c r="H19" i="12"/>
  <c r="R31" i="12"/>
  <c r="P32" i="12"/>
  <c r="R61" i="12"/>
  <c r="H62" i="12"/>
  <c r="R8" i="12"/>
  <c r="P36" i="12"/>
  <c r="R35" i="12"/>
  <c r="P48" i="12"/>
  <c r="R47" i="12"/>
  <c r="R60" i="12"/>
  <c r="P6" i="12"/>
  <c r="R5" i="12"/>
  <c r="P14" i="12"/>
  <c r="R13" i="12"/>
  <c r="R22" i="12"/>
  <c r="P23" i="12"/>
  <c r="H49" i="12"/>
  <c r="AT53" i="18"/>
  <c r="P70" i="12"/>
  <c r="R69" i="12"/>
  <c r="P56" i="12"/>
  <c r="R55" i="12"/>
  <c r="AE32" i="13"/>
  <c r="P53" i="12"/>
  <c r="R52" i="12"/>
  <c r="P66" i="12"/>
  <c r="R65" i="12"/>
  <c r="P65" i="12"/>
  <c r="A66" i="5"/>
  <c r="R19" i="12"/>
  <c r="H20" i="12"/>
  <c r="R32" i="12"/>
  <c r="P33" i="12"/>
  <c r="P49" i="12"/>
  <c r="R48" i="12"/>
  <c r="H67" i="12"/>
  <c r="R66" i="12"/>
  <c r="P26" i="12"/>
  <c r="R25" i="12"/>
  <c r="K13" i="4"/>
  <c r="K9" i="4"/>
  <c r="K5" i="4"/>
  <c r="K12" i="4"/>
  <c r="K8" i="4"/>
  <c r="K4" i="4"/>
  <c r="K11" i="4"/>
  <c r="K7" i="4"/>
  <c r="K3" i="4"/>
  <c r="K10" i="4"/>
  <c r="K6" i="4"/>
  <c r="K2" i="4"/>
  <c r="CL32" i="14"/>
  <c r="P24" i="12"/>
  <c r="R23" i="12"/>
  <c r="P28" i="12"/>
  <c r="R27" i="12"/>
  <c r="R40" i="12"/>
  <c r="H60" i="12"/>
  <c r="R12" i="12"/>
  <c r="P13" i="12"/>
  <c r="P39" i="12"/>
  <c r="R38" i="12"/>
  <c r="R42" i="12"/>
  <c r="P7" i="12"/>
  <c r="R6" i="12"/>
  <c r="P11" i="12"/>
  <c r="R10" i="12"/>
  <c r="P20" i="12"/>
  <c r="H25" i="12"/>
  <c r="R24" i="12"/>
  <c r="H34" i="12"/>
  <c r="R41" i="12"/>
  <c r="H42" i="12"/>
  <c r="R49" i="12"/>
  <c r="P50" i="12"/>
  <c r="R53" i="12"/>
  <c r="P54" i="12"/>
  <c r="P63" i="12"/>
  <c r="R62" i="12"/>
  <c r="P67" i="12"/>
  <c r="R51" i="12"/>
  <c r="H52" i="12"/>
  <c r="H65" i="12"/>
  <c r="R64" i="12"/>
  <c r="DD38" i="14"/>
  <c r="L12" i="4"/>
  <c r="L8" i="4"/>
  <c r="L4" i="4"/>
  <c r="L11" i="4"/>
  <c r="L7" i="4"/>
  <c r="L3" i="4"/>
  <c r="L10" i="4"/>
  <c r="L6" i="4"/>
  <c r="L2" i="4"/>
  <c r="L13" i="4"/>
  <c r="L9" i="4"/>
  <c r="L5" i="4"/>
  <c r="H8" i="12"/>
  <c r="R7" i="12"/>
  <c r="P34" i="12"/>
  <c r="R33" i="12"/>
  <c r="P38" i="12"/>
  <c r="R37" i="12"/>
  <c r="H51" i="12"/>
  <c r="H68" i="12"/>
  <c r="A58" i="5"/>
  <c r="CU35" i="14"/>
  <c r="H12" i="12"/>
  <c r="P25" i="12"/>
  <c r="H35" i="12"/>
  <c r="R34" i="12"/>
  <c r="P42" i="12"/>
  <c r="R54" i="12"/>
  <c r="P55" i="12"/>
  <c r="H64" i="12"/>
  <c r="P68" i="12"/>
  <c r="R67" i="12"/>
  <c r="R11" i="12"/>
  <c r="P12" i="12"/>
  <c r="P21" i="12"/>
  <c r="R20" i="12"/>
  <c r="R26" i="13"/>
  <c r="H39" i="12"/>
  <c r="R63" i="12"/>
  <c r="P64" i="12"/>
  <c r="C4" i="19"/>
  <c r="C3" i="18"/>
  <c r="B14" i="5"/>
  <c r="C4" i="17"/>
  <c r="C16" i="19"/>
  <c r="C15" i="18"/>
  <c r="B28" i="5"/>
  <c r="C16" i="17"/>
  <c r="I32" i="9"/>
  <c r="I5" i="9"/>
  <c r="I110" i="9" s="1"/>
  <c r="I59" i="9"/>
  <c r="I23" i="9"/>
  <c r="I14" i="9"/>
  <c r="I50" i="9"/>
  <c r="I41" i="9"/>
  <c r="C36" i="5"/>
  <c r="A34" i="6" s="1"/>
  <c r="C32" i="5"/>
  <c r="A30" i="6" s="1"/>
  <c r="C28" i="5"/>
  <c r="A26" i="6" s="1"/>
  <c r="C31" i="5"/>
  <c r="A29" i="6" s="1"/>
  <c r="C39" i="5"/>
  <c r="A37" i="6" s="1"/>
  <c r="C38" i="5"/>
  <c r="A36" i="6" s="1"/>
  <c r="C37" i="5"/>
  <c r="A35" i="6" s="1"/>
  <c r="C35" i="5"/>
  <c r="A33" i="6" s="1"/>
  <c r="C34" i="5"/>
  <c r="A32" i="6" s="1"/>
  <c r="C33" i="5"/>
  <c r="A31" i="6" s="1"/>
  <c r="C29" i="5"/>
  <c r="A27" i="6" s="1"/>
  <c r="C30" i="5"/>
  <c r="A28" i="6" s="1"/>
  <c r="F3" i="4"/>
  <c r="F7" i="4"/>
  <c r="F11" i="4"/>
  <c r="G22" i="16"/>
  <c r="D22" i="15"/>
  <c r="G22" i="15" s="1"/>
  <c r="E22" i="15"/>
  <c r="D27" i="16"/>
  <c r="L27" i="15"/>
  <c r="C27" i="20"/>
  <c r="C27" i="16"/>
  <c r="C27" i="15"/>
  <c r="D30" i="16"/>
  <c r="L30" i="15"/>
  <c r="C30" i="20"/>
  <c r="CF30" i="19"/>
  <c r="C30" i="16"/>
  <c r="CF30" i="17"/>
  <c r="C30" i="15"/>
  <c r="CF30" i="14"/>
  <c r="D33" i="16"/>
  <c r="L33" i="15"/>
  <c r="C33" i="20"/>
  <c r="CO33" i="19"/>
  <c r="C33" i="16"/>
  <c r="CO33" i="17"/>
  <c r="C33" i="15"/>
  <c r="CO33" i="14"/>
  <c r="D36" i="16"/>
  <c r="L36" i="15"/>
  <c r="C36" i="20"/>
  <c r="CX36" i="19"/>
  <c r="C36" i="16"/>
  <c r="CX36" i="17"/>
  <c r="C36" i="15"/>
  <c r="CX36" i="14"/>
  <c r="D39" i="16"/>
  <c r="L39" i="15"/>
  <c r="C39" i="20"/>
  <c r="DG39" i="19"/>
  <c r="C39" i="16"/>
  <c r="DG39" i="17"/>
  <c r="C39" i="15"/>
  <c r="D42" i="16"/>
  <c r="L42" i="15"/>
  <c r="C42" i="20"/>
  <c r="DP42" i="19"/>
  <c r="DP42" i="17"/>
  <c r="C42" i="16"/>
  <c r="C42" i="15"/>
  <c r="D45" i="16"/>
  <c r="L45" i="15"/>
  <c r="C45" i="20"/>
  <c r="DY45" i="19"/>
  <c r="C45" i="16"/>
  <c r="DY45" i="17"/>
  <c r="C45" i="15"/>
  <c r="DY45" i="14"/>
  <c r="D48" i="16"/>
  <c r="L48" i="15"/>
  <c r="C48" i="20"/>
  <c r="EH48" i="19"/>
  <c r="C48" i="16"/>
  <c r="EH48" i="17"/>
  <c r="C48" i="15"/>
  <c r="EH48" i="14"/>
  <c r="D51" i="16"/>
  <c r="L51" i="15"/>
  <c r="C51" i="20"/>
  <c r="EQ51" i="19"/>
  <c r="C51" i="16"/>
  <c r="EQ51" i="17"/>
  <c r="C51" i="15"/>
  <c r="EQ51" i="14"/>
  <c r="D54" i="16"/>
  <c r="L54" i="15"/>
  <c r="C54" i="20"/>
  <c r="EZ54" i="19"/>
  <c r="C54" i="16"/>
  <c r="EZ54" i="17"/>
  <c r="C54" i="15"/>
  <c r="D57" i="16"/>
  <c r="L57" i="15"/>
  <c r="C57" i="20"/>
  <c r="FI57" i="19"/>
  <c r="FI57" i="17"/>
  <c r="C57" i="16"/>
  <c r="C57" i="15"/>
  <c r="FI57" i="14"/>
  <c r="D60" i="16"/>
  <c r="L60" i="15"/>
  <c r="C60" i="20"/>
  <c r="FR60" i="19"/>
  <c r="C60" i="16"/>
  <c r="FR60" i="17"/>
  <c r="C60" i="15"/>
  <c r="FR60" i="14"/>
  <c r="D63" i="16"/>
  <c r="L63" i="15"/>
  <c r="C63" i="20"/>
  <c r="GA63" i="19"/>
  <c r="GA63" i="17"/>
  <c r="C63" i="16"/>
  <c r="C63" i="15"/>
  <c r="GA63" i="14"/>
  <c r="J2" i="4"/>
  <c r="G3" i="4"/>
  <c r="D4" i="4"/>
  <c r="M5" i="4"/>
  <c r="J6" i="4"/>
  <c r="G7" i="4"/>
  <c r="D8" i="4"/>
  <c r="M9" i="4"/>
  <c r="J10" i="4"/>
  <c r="G11" i="4"/>
  <c r="D12" i="4"/>
  <c r="M13" i="4"/>
  <c r="D20" i="16"/>
  <c r="L20" i="15"/>
  <c r="C20" i="20"/>
  <c r="C20" i="16"/>
  <c r="C20" i="15"/>
  <c r="P20" i="4"/>
  <c r="G27" i="16"/>
  <c r="D27" i="15"/>
  <c r="G27" i="15" s="1"/>
  <c r="E27" i="15"/>
  <c r="O25" i="4"/>
  <c r="G30" i="16"/>
  <c r="E30" i="15"/>
  <c r="D30" i="15"/>
  <c r="O28" i="4"/>
  <c r="G33" i="16"/>
  <c r="E33" i="15"/>
  <c r="D33" i="15"/>
  <c r="G33" i="15" s="1"/>
  <c r="O31" i="4"/>
  <c r="G36" i="16"/>
  <c r="E36" i="15"/>
  <c r="D36" i="15"/>
  <c r="G36" i="15" s="1"/>
  <c r="O34" i="4"/>
  <c r="G39" i="16"/>
  <c r="E39" i="15"/>
  <c r="D39" i="15"/>
  <c r="O37" i="4"/>
  <c r="G42" i="16"/>
  <c r="D42" i="15"/>
  <c r="E42" i="15"/>
  <c r="O40" i="4"/>
  <c r="G45" i="16"/>
  <c r="E45" i="15"/>
  <c r="D45" i="15"/>
  <c r="G45" i="15" s="1"/>
  <c r="O43" i="4"/>
  <c r="G48" i="16"/>
  <c r="E48" i="15"/>
  <c r="D48" i="15"/>
  <c r="O46" i="4"/>
  <c r="G51" i="16"/>
  <c r="E51" i="15"/>
  <c r="D51" i="15"/>
  <c r="O49" i="4"/>
  <c r="G54" i="16"/>
  <c r="E54" i="15"/>
  <c r="D54" i="15"/>
  <c r="G54" i="15" s="1"/>
  <c r="O52" i="4"/>
  <c r="G57" i="16"/>
  <c r="E57" i="15"/>
  <c r="D57" i="15"/>
  <c r="O55" i="4"/>
  <c r="G60" i="16"/>
  <c r="E60" i="15"/>
  <c r="D60" i="15"/>
  <c r="G60" i="15" s="1"/>
  <c r="O58" i="4"/>
  <c r="G63" i="16"/>
  <c r="E63" i="15"/>
  <c r="D63" i="15"/>
  <c r="G63" i="15" s="1"/>
  <c r="O61" i="4"/>
  <c r="P8" i="12"/>
  <c r="P40" i="12"/>
  <c r="DP42" i="14"/>
  <c r="P50" i="9"/>
  <c r="P23" i="9"/>
  <c r="P41" i="9"/>
  <c r="P59" i="9"/>
  <c r="P5" i="9"/>
  <c r="P110" i="9" s="1"/>
  <c r="P32" i="9"/>
  <c r="P14" i="9"/>
  <c r="C50" i="5"/>
  <c r="A46" i="6" s="1"/>
  <c r="C46" i="5"/>
  <c r="A42" i="6" s="1"/>
  <c r="C42" i="5"/>
  <c r="A38" i="6" s="1"/>
  <c r="C53" i="5"/>
  <c r="A49" i="6" s="1"/>
  <c r="C49" i="5"/>
  <c r="A45" i="6" s="1"/>
  <c r="C45" i="5"/>
  <c r="A41" i="6" s="1"/>
  <c r="C52" i="5"/>
  <c r="A48" i="6" s="1"/>
  <c r="C48" i="5"/>
  <c r="A44" i="6" s="1"/>
  <c r="C44" i="5"/>
  <c r="A40" i="6" s="1"/>
  <c r="C51" i="5"/>
  <c r="A47" i="6" s="1"/>
  <c r="C47" i="5"/>
  <c r="A43" i="6" s="1"/>
  <c r="C43" i="5"/>
  <c r="A39" i="6" s="1"/>
  <c r="H3" i="4"/>
  <c r="E4" i="4"/>
  <c r="C7" i="20"/>
  <c r="O7" i="19"/>
  <c r="C7" i="16"/>
  <c r="C7" i="15"/>
  <c r="H7" i="4"/>
  <c r="E8" i="4"/>
  <c r="C11" i="20"/>
  <c r="AA11" i="19"/>
  <c r="C11" i="16"/>
  <c r="C11" i="15"/>
  <c r="H11" i="4"/>
  <c r="E12" i="4"/>
  <c r="C15" i="20"/>
  <c r="AM15" i="19"/>
  <c r="C15" i="16"/>
  <c r="C15" i="15"/>
  <c r="G20" i="16"/>
  <c r="E20" i="15"/>
  <c r="D20" i="15"/>
  <c r="O18" i="4"/>
  <c r="D25" i="16"/>
  <c r="L25" i="15"/>
  <c r="C25" i="20"/>
  <c r="C25" i="16"/>
  <c r="C25" i="15"/>
  <c r="P25" i="4"/>
  <c r="P28" i="4"/>
  <c r="P31" i="4"/>
  <c r="P34" i="4"/>
  <c r="P37" i="4"/>
  <c r="P40" i="4"/>
  <c r="P43" i="4"/>
  <c r="P46" i="4"/>
  <c r="P49" i="4"/>
  <c r="P52" i="4"/>
  <c r="P55" i="4"/>
  <c r="P58" i="4"/>
  <c r="P61" i="4"/>
  <c r="DG39" i="14"/>
  <c r="F4" i="4"/>
  <c r="F8" i="4"/>
  <c r="F12" i="4"/>
  <c r="D18" i="16"/>
  <c r="L18" i="15"/>
  <c r="C18" i="20"/>
  <c r="C18" i="16"/>
  <c r="C18" i="15"/>
  <c r="P18" i="4"/>
  <c r="G25" i="16"/>
  <c r="E25" i="15"/>
  <c r="D25" i="15"/>
  <c r="G25" i="15" s="1"/>
  <c r="O23" i="4"/>
  <c r="E31" i="12"/>
  <c r="F31" i="12" s="1"/>
  <c r="W59" i="9"/>
  <c r="W41" i="9"/>
  <c r="W14" i="9"/>
  <c r="W32" i="9"/>
  <c r="W23" i="9"/>
  <c r="W5" i="9"/>
  <c r="W110" i="9" s="1"/>
  <c r="W50" i="9"/>
  <c r="C67" i="5"/>
  <c r="A61" i="6" s="1"/>
  <c r="C63" i="5"/>
  <c r="A57" i="6" s="1"/>
  <c r="C59" i="5"/>
  <c r="A53" i="6" s="1"/>
  <c r="C65" i="5"/>
  <c r="A59" i="6" s="1"/>
  <c r="C61" i="5"/>
  <c r="A55" i="6" s="1"/>
  <c r="C57" i="5"/>
  <c r="A51" i="6" s="1"/>
  <c r="C64" i="5"/>
  <c r="A58" i="6" s="1"/>
  <c r="C60" i="5"/>
  <c r="A54" i="6" s="1"/>
  <c r="C56" i="5"/>
  <c r="A50" i="6" s="1"/>
  <c r="C58" i="5"/>
  <c r="A52" i="6" s="1"/>
  <c r="C66" i="5"/>
  <c r="A60" i="6" s="1"/>
  <c r="C62" i="5"/>
  <c r="A56" i="6" s="1"/>
  <c r="M2" i="4"/>
  <c r="J3" i="4"/>
  <c r="G4" i="4"/>
  <c r="D5" i="4"/>
  <c r="M6" i="4"/>
  <c r="J7" i="4"/>
  <c r="G8" i="4"/>
  <c r="D9" i="4"/>
  <c r="M10" i="4"/>
  <c r="J11" i="4"/>
  <c r="G12" i="4"/>
  <c r="D13" i="4"/>
  <c r="G18" i="16"/>
  <c r="D18" i="15"/>
  <c r="E18" i="15"/>
  <c r="O16" i="4"/>
  <c r="D23" i="16"/>
  <c r="L23" i="15"/>
  <c r="C23" i="20"/>
  <c r="C23" i="16"/>
  <c r="C23" i="15"/>
  <c r="P23" i="4"/>
  <c r="P31" i="1" s="1"/>
  <c r="C11" i="4" s="1"/>
  <c r="D28" i="16"/>
  <c r="L28" i="15"/>
  <c r="C28" i="20"/>
  <c r="BZ28" i="19"/>
  <c r="C28" i="16"/>
  <c r="BZ28" i="17"/>
  <c r="C28" i="15"/>
  <c r="BZ28" i="14"/>
  <c r="D31" i="16"/>
  <c r="L31" i="15"/>
  <c r="C31" i="20"/>
  <c r="CI31" i="19"/>
  <c r="C31" i="16"/>
  <c r="CI31" i="17"/>
  <c r="C31" i="15"/>
  <c r="D34" i="16"/>
  <c r="L34" i="15"/>
  <c r="C34" i="20"/>
  <c r="CR34" i="19"/>
  <c r="C34" i="16"/>
  <c r="CR34" i="17"/>
  <c r="C34" i="15"/>
  <c r="CR34" i="14"/>
  <c r="D37" i="16"/>
  <c r="L37" i="15"/>
  <c r="C37" i="20"/>
  <c r="DA37" i="19"/>
  <c r="C37" i="16"/>
  <c r="DA37" i="17"/>
  <c r="C37" i="15"/>
  <c r="DA37" i="14"/>
  <c r="D40" i="16"/>
  <c r="L40" i="15"/>
  <c r="C40" i="20"/>
  <c r="DJ40" i="19"/>
  <c r="C40" i="16"/>
  <c r="DJ40" i="17"/>
  <c r="C40" i="15"/>
  <c r="DJ40" i="14"/>
  <c r="D43" i="16"/>
  <c r="L43" i="15"/>
  <c r="C43" i="20"/>
  <c r="DS43" i="19"/>
  <c r="C43" i="16"/>
  <c r="DS43" i="17"/>
  <c r="C43" i="15"/>
  <c r="DS43" i="14"/>
  <c r="D46" i="16"/>
  <c r="L46" i="15"/>
  <c r="C46" i="20"/>
  <c r="EB46" i="19"/>
  <c r="C46" i="16"/>
  <c r="EB46" i="17"/>
  <c r="C46" i="15"/>
  <c r="EB46" i="14"/>
  <c r="D49" i="16"/>
  <c r="L49" i="15"/>
  <c r="C49" i="20"/>
  <c r="EK49" i="19"/>
  <c r="C49" i="16"/>
  <c r="EK49" i="17"/>
  <c r="C49" i="15"/>
  <c r="EK49" i="14"/>
  <c r="D52" i="16"/>
  <c r="L52" i="15"/>
  <c r="C52" i="20"/>
  <c r="ET52" i="19"/>
  <c r="C52" i="16"/>
  <c r="ET52" i="17"/>
  <c r="C52" i="15"/>
  <c r="ET52" i="14"/>
  <c r="D55" i="16"/>
  <c r="L55" i="15"/>
  <c r="C55" i="20"/>
  <c r="FC55" i="19"/>
  <c r="C55" i="16"/>
  <c r="FC55" i="17"/>
  <c r="C55" i="15"/>
  <c r="FC55" i="14"/>
  <c r="D58" i="16"/>
  <c r="L58" i="15"/>
  <c r="C58" i="20"/>
  <c r="FL58" i="19"/>
  <c r="C58" i="16"/>
  <c r="FL58" i="17"/>
  <c r="C58" i="15"/>
  <c r="FL58" i="14"/>
  <c r="D61" i="16"/>
  <c r="L61" i="15"/>
  <c r="C61" i="20"/>
  <c r="FU61" i="19"/>
  <c r="C61" i="16"/>
  <c r="FU61" i="17"/>
  <c r="FU61" i="14"/>
  <c r="C61" i="15"/>
  <c r="P5" i="12"/>
  <c r="P27" i="12"/>
  <c r="P37" i="12"/>
  <c r="P47" i="12"/>
  <c r="P69" i="12"/>
  <c r="C4" i="20"/>
  <c r="F4" i="19"/>
  <c r="C4" i="16"/>
  <c r="C4" i="15"/>
  <c r="H4" i="4"/>
  <c r="E5" i="4"/>
  <c r="C8" i="20"/>
  <c r="R8" i="19"/>
  <c r="C8" i="16"/>
  <c r="C8" i="15"/>
  <c r="H8" i="4"/>
  <c r="E9" i="4"/>
  <c r="C12" i="20"/>
  <c r="AD12" i="19"/>
  <c r="C12" i="16"/>
  <c r="C12" i="15"/>
  <c r="H12" i="4"/>
  <c r="E13" i="4"/>
  <c r="D16" i="16"/>
  <c r="L16" i="15"/>
  <c r="C16" i="20"/>
  <c r="C16" i="16"/>
  <c r="C16" i="15"/>
  <c r="P16" i="4"/>
  <c r="G23" i="16"/>
  <c r="E23" i="15"/>
  <c r="D23" i="15"/>
  <c r="O21" i="4"/>
  <c r="G28" i="16"/>
  <c r="E28" i="15"/>
  <c r="D28" i="15"/>
  <c r="O26" i="4"/>
  <c r="G31" i="16"/>
  <c r="E31" i="15"/>
  <c r="D31" i="15"/>
  <c r="G31" i="15" s="1"/>
  <c r="O29" i="4"/>
  <c r="G34" i="16"/>
  <c r="E34" i="15"/>
  <c r="D34" i="15"/>
  <c r="G34" i="15" s="1"/>
  <c r="O32" i="4"/>
  <c r="G37" i="16"/>
  <c r="E37" i="15"/>
  <c r="D37" i="15"/>
  <c r="G37" i="15" s="1"/>
  <c r="O35" i="4"/>
  <c r="G40" i="16"/>
  <c r="E40" i="15"/>
  <c r="D40" i="15"/>
  <c r="G40" i="15" s="1"/>
  <c r="O38" i="4"/>
  <c r="G43" i="16"/>
  <c r="E43" i="15"/>
  <c r="D43" i="15"/>
  <c r="G43" i="15" s="1"/>
  <c r="O41" i="4"/>
  <c r="G46" i="16"/>
  <c r="E46" i="15"/>
  <c r="D46" i="15"/>
  <c r="G46" i="15" s="1"/>
  <c r="O44" i="4"/>
  <c r="G49" i="16"/>
  <c r="E49" i="15"/>
  <c r="D49" i="15"/>
  <c r="G49" i="15" s="1"/>
  <c r="O47" i="4"/>
  <c r="G52" i="16"/>
  <c r="E52" i="15"/>
  <c r="D52" i="15"/>
  <c r="G52" i="15" s="1"/>
  <c r="O50" i="4"/>
  <c r="G55" i="16"/>
  <c r="E55" i="15"/>
  <c r="D55" i="15"/>
  <c r="O53" i="4"/>
  <c r="G58" i="16"/>
  <c r="E58" i="15"/>
  <c r="D58" i="15"/>
  <c r="G58" i="15" s="1"/>
  <c r="O56" i="4"/>
  <c r="G61" i="16"/>
  <c r="E61" i="15"/>
  <c r="D61" i="15"/>
  <c r="G61" i="15" s="1"/>
  <c r="O59" i="4"/>
  <c r="A3" i="12"/>
  <c r="C15" i="13"/>
  <c r="C4" i="14"/>
  <c r="F5" i="4"/>
  <c r="F9" i="4"/>
  <c r="F13" i="4"/>
  <c r="G16" i="16"/>
  <c r="E16" i="15"/>
  <c r="D16" i="15"/>
  <c r="O14" i="4"/>
  <c r="D21" i="16"/>
  <c r="L21" i="15"/>
  <c r="C21" i="20"/>
  <c r="C21" i="16"/>
  <c r="C21" i="15"/>
  <c r="P21" i="4"/>
  <c r="P26" i="4"/>
  <c r="P29" i="4"/>
  <c r="P32" i="4"/>
  <c r="P38" i="4"/>
  <c r="P41" i="4"/>
  <c r="P44" i="4"/>
  <c r="P50" i="4"/>
  <c r="P53" i="4"/>
  <c r="P56" i="4"/>
  <c r="D2" i="4"/>
  <c r="M3" i="4"/>
  <c r="J4" i="4"/>
  <c r="G5" i="4"/>
  <c r="D6" i="4"/>
  <c r="M7" i="4"/>
  <c r="J8" i="4"/>
  <c r="G9" i="4"/>
  <c r="D10" i="4"/>
  <c r="M11" i="4"/>
  <c r="J12" i="4"/>
  <c r="G13" i="4"/>
  <c r="P14" i="4"/>
  <c r="G21" i="16"/>
  <c r="D21" i="15"/>
  <c r="G21" i="15" s="1"/>
  <c r="E21" i="15"/>
  <c r="O19" i="4"/>
  <c r="D26" i="16"/>
  <c r="L26" i="15"/>
  <c r="C26" i="20"/>
  <c r="C26" i="16"/>
  <c r="C26" i="15"/>
  <c r="E3" i="12"/>
  <c r="E45" i="12"/>
  <c r="F45" i="12" s="1"/>
  <c r="CI31" i="14"/>
  <c r="EZ54" i="14"/>
  <c r="E2" i="4"/>
  <c r="C5" i="20"/>
  <c r="I5" i="19"/>
  <c r="C5" i="16"/>
  <c r="C5" i="15"/>
  <c r="H5" i="4"/>
  <c r="E6" i="4"/>
  <c r="C9" i="20"/>
  <c r="U9" i="19"/>
  <c r="C9" i="16"/>
  <c r="C9" i="15"/>
  <c r="H9" i="4"/>
  <c r="E10" i="4"/>
  <c r="C13" i="20"/>
  <c r="AG13" i="19"/>
  <c r="C13" i="16"/>
  <c r="C13" i="15"/>
  <c r="H13" i="4"/>
  <c r="D19" i="16"/>
  <c r="L19" i="15"/>
  <c r="C19" i="20"/>
  <c r="C19" i="16"/>
  <c r="C19" i="15"/>
  <c r="P19" i="4"/>
  <c r="G26" i="16"/>
  <c r="E26" i="15"/>
  <c r="D26" i="15"/>
  <c r="O24" i="4"/>
  <c r="D29" i="16"/>
  <c r="L29" i="15"/>
  <c r="C29" i="20"/>
  <c r="CC29" i="19"/>
  <c r="C29" i="16"/>
  <c r="CC29" i="17"/>
  <c r="C29" i="15"/>
  <c r="D32" i="16"/>
  <c r="L32" i="15"/>
  <c r="C32" i="20"/>
  <c r="CL32" i="19"/>
  <c r="C32" i="16"/>
  <c r="CL32" i="17"/>
  <c r="C32" i="15"/>
  <c r="D35" i="16"/>
  <c r="L35" i="15"/>
  <c r="C35" i="20"/>
  <c r="CU35" i="19"/>
  <c r="C35" i="16"/>
  <c r="CU35" i="17"/>
  <c r="C35" i="15"/>
  <c r="D38" i="16"/>
  <c r="L38" i="15"/>
  <c r="C38" i="20"/>
  <c r="DD38" i="19"/>
  <c r="C38" i="16"/>
  <c r="DD38" i="17"/>
  <c r="C38" i="15"/>
  <c r="D41" i="16"/>
  <c r="L41" i="15"/>
  <c r="C41" i="20"/>
  <c r="DM41" i="19"/>
  <c r="C41" i="16"/>
  <c r="DM41" i="17"/>
  <c r="C41" i="15"/>
  <c r="DM41" i="14"/>
  <c r="D44" i="16"/>
  <c r="L44" i="15"/>
  <c r="C44" i="20"/>
  <c r="DV44" i="19"/>
  <c r="C44" i="16"/>
  <c r="DV44" i="17"/>
  <c r="C44" i="15"/>
  <c r="DV44" i="14"/>
  <c r="D47" i="16"/>
  <c r="L47" i="15"/>
  <c r="C47" i="20"/>
  <c r="EE47" i="19"/>
  <c r="C47" i="16"/>
  <c r="EE47" i="17"/>
  <c r="C47" i="15"/>
  <c r="EE47" i="14"/>
  <c r="D50" i="16"/>
  <c r="L50" i="15"/>
  <c r="C50" i="20"/>
  <c r="EN50" i="19"/>
  <c r="EN50" i="17"/>
  <c r="C50" i="16"/>
  <c r="C50" i="15"/>
  <c r="EN50" i="14"/>
  <c r="D53" i="16"/>
  <c r="L53" i="15"/>
  <c r="C53" i="20"/>
  <c r="EW53" i="19"/>
  <c r="C53" i="16"/>
  <c r="EW53" i="17"/>
  <c r="C53" i="15"/>
  <c r="EW53" i="14"/>
  <c r="D56" i="16"/>
  <c r="L56" i="15"/>
  <c r="C56" i="20"/>
  <c r="FF56" i="19"/>
  <c r="C56" i="16"/>
  <c r="FF56" i="17"/>
  <c r="C56" i="15"/>
  <c r="FF56" i="14"/>
  <c r="D59" i="16"/>
  <c r="L59" i="15"/>
  <c r="C59" i="20"/>
  <c r="FO59" i="19"/>
  <c r="C59" i="16"/>
  <c r="FO59" i="17"/>
  <c r="C59" i="15"/>
  <c r="FO59" i="14"/>
  <c r="D62" i="16"/>
  <c r="L62" i="15"/>
  <c r="C62" i="20"/>
  <c r="FX62" i="19"/>
  <c r="C62" i="16"/>
  <c r="FX62" i="17"/>
  <c r="C62" i="15"/>
  <c r="FX62" i="14"/>
  <c r="AI41" i="18"/>
  <c r="AK43" i="18"/>
  <c r="AD36" i="13"/>
  <c r="AM45" i="13"/>
  <c r="I23" i="1"/>
  <c r="F2" i="4"/>
  <c r="F6" i="4"/>
  <c r="G19" i="16"/>
  <c r="E19" i="15"/>
  <c r="D19" i="15"/>
  <c r="G19" i="15" s="1"/>
  <c r="O17" i="4"/>
  <c r="D24" i="16"/>
  <c r="L24" i="15"/>
  <c r="C24" i="20"/>
  <c r="C24" i="16"/>
  <c r="C24" i="15"/>
  <c r="P24" i="4"/>
  <c r="G29" i="16"/>
  <c r="E29" i="15"/>
  <c r="D29" i="15"/>
  <c r="G29" i="15" s="1"/>
  <c r="O27" i="4"/>
  <c r="G32" i="16"/>
  <c r="E32" i="15"/>
  <c r="D32" i="15"/>
  <c r="G32" i="15" s="1"/>
  <c r="O30" i="4"/>
  <c r="G35" i="16"/>
  <c r="E35" i="15"/>
  <c r="D35" i="15"/>
  <c r="O33" i="4"/>
  <c r="G38" i="16"/>
  <c r="E38" i="15"/>
  <c r="D38" i="15"/>
  <c r="G38" i="15" s="1"/>
  <c r="O36" i="4"/>
  <c r="G41" i="16"/>
  <c r="D41" i="15"/>
  <c r="G41" i="15" s="1"/>
  <c r="E41" i="15"/>
  <c r="O39" i="4"/>
  <c r="G44" i="16"/>
  <c r="D44" i="15"/>
  <c r="G44" i="15" s="1"/>
  <c r="E44" i="15"/>
  <c r="O42" i="4"/>
  <c r="G47" i="16"/>
  <c r="E47" i="15"/>
  <c r="D47" i="15"/>
  <c r="G47" i="15" s="1"/>
  <c r="O45" i="4"/>
  <c r="G50" i="16"/>
  <c r="E50" i="15"/>
  <c r="D50" i="15"/>
  <c r="G50" i="15" s="1"/>
  <c r="O48" i="4"/>
  <c r="G53" i="16"/>
  <c r="E53" i="15"/>
  <c r="D53" i="15"/>
  <c r="G53" i="15" s="1"/>
  <c r="O51" i="4"/>
  <c r="G56" i="16"/>
  <c r="E56" i="15"/>
  <c r="D56" i="15"/>
  <c r="O54" i="4"/>
  <c r="G59" i="16"/>
  <c r="E59" i="15"/>
  <c r="D59" i="15"/>
  <c r="O57" i="4"/>
  <c r="G62" i="16"/>
  <c r="E62" i="15"/>
  <c r="D62" i="15"/>
  <c r="G62" i="15" s="1"/>
  <c r="O60" i="4"/>
  <c r="P4" i="12"/>
  <c r="P46" i="12"/>
  <c r="AF38" i="13"/>
  <c r="CC29" i="14"/>
  <c r="B59" i="9"/>
  <c r="B41" i="9"/>
  <c r="B14" i="9"/>
  <c r="B50" i="9"/>
  <c r="B32" i="9"/>
  <c r="B23" i="9"/>
  <c r="B5" i="9"/>
  <c r="B110" i="9" s="1"/>
  <c r="C25" i="5"/>
  <c r="A25" i="6" s="1"/>
  <c r="C21" i="5"/>
  <c r="A21" i="6" s="1"/>
  <c r="C17" i="5"/>
  <c r="A17" i="6" s="1"/>
  <c r="C23" i="5"/>
  <c r="A23" i="6" s="1"/>
  <c r="C19" i="5"/>
  <c r="A19" i="6" s="1"/>
  <c r="C15" i="5"/>
  <c r="A15" i="6" s="1"/>
  <c r="C22" i="5"/>
  <c r="A22" i="6" s="1"/>
  <c r="C18" i="5"/>
  <c r="A18" i="6" s="1"/>
  <c r="C14" i="5"/>
  <c r="A14" i="6" s="1"/>
  <c r="C16" i="5"/>
  <c r="A16" i="6" s="1"/>
  <c r="C24" i="5"/>
  <c r="A24" i="6" s="1"/>
  <c r="C20" i="5"/>
  <c r="A20" i="6" s="1"/>
  <c r="G2" i="4"/>
  <c r="D3" i="4"/>
  <c r="M4" i="4"/>
  <c r="J5" i="4"/>
  <c r="G6" i="4"/>
  <c r="D7" i="4"/>
  <c r="M8" i="4"/>
  <c r="J9" i="4"/>
  <c r="G10" i="4"/>
  <c r="D17" i="16"/>
  <c r="L17" i="15"/>
  <c r="C17" i="20"/>
  <c r="C17" i="16"/>
  <c r="C17" i="15"/>
  <c r="P17" i="4"/>
  <c r="G24" i="16"/>
  <c r="D24" i="15"/>
  <c r="G24" i="15" s="1"/>
  <c r="E24" i="15"/>
  <c r="O22" i="4"/>
  <c r="P27" i="4"/>
  <c r="P30" i="4"/>
  <c r="P33" i="4"/>
  <c r="P36" i="4"/>
  <c r="P39" i="4"/>
  <c r="P42" i="4"/>
  <c r="P45" i="4"/>
  <c r="P48" i="4"/>
  <c r="P51" i="4"/>
  <c r="P54" i="4"/>
  <c r="P57" i="4"/>
  <c r="P60" i="4"/>
  <c r="H2" i="4"/>
  <c r="E3" i="4"/>
  <c r="C6" i="20"/>
  <c r="L6" i="19"/>
  <c r="C6" i="16"/>
  <c r="C6" i="15"/>
  <c r="H6" i="4"/>
  <c r="E7" i="4"/>
  <c r="C10" i="20"/>
  <c r="X10" i="19"/>
  <c r="C10" i="16"/>
  <c r="C10" i="15"/>
  <c r="C14" i="20"/>
  <c r="AJ14" i="19"/>
  <c r="C14" i="16"/>
  <c r="C14" i="15"/>
  <c r="G17" i="16"/>
  <c r="D17" i="15"/>
  <c r="E17" i="15"/>
  <c r="O15" i="4"/>
  <c r="D22" i="16"/>
  <c r="L22" i="15"/>
  <c r="C22" i="20"/>
  <c r="C22" i="16"/>
  <c r="C22" i="15"/>
  <c r="G48" i="15"/>
  <c r="G51" i="15"/>
  <c r="G57" i="15"/>
  <c r="C3" i="13"/>
  <c r="C16" i="14"/>
  <c r="Y4" i="15"/>
  <c r="S4" i="16"/>
  <c r="A35" i="9"/>
  <c r="C35" i="9" s="1"/>
  <c r="C113" i="9" s="1"/>
  <c r="A8" i="9"/>
  <c r="D8" i="9" s="1"/>
  <c r="A62" i="9"/>
  <c r="F62" i="9" s="1"/>
  <c r="A44" i="9"/>
  <c r="A26" i="9"/>
  <c r="B26" i="9" s="1"/>
  <c r="A17" i="9"/>
  <c r="A53" i="9"/>
  <c r="B53" i="9" s="1"/>
  <c r="R25" i="6"/>
  <c r="H23" i="6"/>
  <c r="W20" i="6"/>
  <c r="M18" i="6"/>
  <c r="C16" i="6"/>
  <c r="R13" i="6"/>
  <c r="H11" i="6"/>
  <c r="W8" i="6"/>
  <c r="R24" i="6"/>
  <c r="H22" i="6"/>
  <c r="W19" i="6"/>
  <c r="M17" i="6"/>
  <c r="C15" i="6"/>
  <c r="R12" i="6"/>
  <c r="H10" i="6"/>
  <c r="W7" i="6"/>
  <c r="C24" i="6"/>
  <c r="R21" i="6"/>
  <c r="H19" i="6"/>
  <c r="W16" i="6"/>
  <c r="M14" i="6"/>
  <c r="R9" i="6"/>
  <c r="M25" i="6"/>
  <c r="C23" i="6"/>
  <c r="R20" i="6"/>
  <c r="H18" i="6"/>
  <c r="W15" i="6"/>
  <c r="M13" i="6"/>
  <c r="R8" i="6"/>
  <c r="M24" i="6"/>
  <c r="C22" i="6"/>
  <c r="R19" i="6"/>
  <c r="H17" i="6"/>
  <c r="W14" i="6"/>
  <c r="M12" i="6"/>
  <c r="W25" i="6"/>
  <c r="M23" i="6"/>
  <c r="C21" i="6"/>
  <c r="R18" i="6"/>
  <c r="H16" i="6"/>
  <c r="W13" i="6"/>
  <c r="M11" i="6"/>
  <c r="W24" i="6"/>
  <c r="M22" i="6"/>
  <c r="C20" i="6"/>
  <c r="R17" i="6"/>
  <c r="H15" i="6"/>
  <c r="W12" i="6"/>
  <c r="M10" i="6"/>
  <c r="W23" i="6"/>
  <c r="M21" i="6"/>
  <c r="C19" i="6"/>
  <c r="R16" i="6"/>
  <c r="H14" i="6"/>
  <c r="W11" i="6"/>
  <c r="M9" i="6"/>
  <c r="H25" i="6"/>
  <c r="W22" i="6"/>
  <c r="M20" i="6"/>
  <c r="C18" i="6"/>
  <c r="H9" i="6"/>
  <c r="M8" i="6"/>
  <c r="H6" i="6"/>
  <c r="W3" i="6"/>
  <c r="H24" i="6"/>
  <c r="H7" i="6"/>
  <c r="H5" i="6"/>
  <c r="W2" i="6"/>
  <c r="R22" i="6"/>
  <c r="H21" i="6"/>
  <c r="H12" i="6"/>
  <c r="H8" i="6"/>
  <c r="R7" i="6"/>
  <c r="R4" i="6"/>
  <c r="H2" i="6"/>
  <c r="M16" i="6"/>
  <c r="H13" i="6"/>
  <c r="W9" i="6"/>
  <c r="R3" i="6"/>
  <c r="R23" i="6"/>
  <c r="M15" i="6"/>
  <c r="W10" i="6"/>
  <c r="R2" i="6"/>
  <c r="C25" i="6"/>
  <c r="M6" i="6"/>
  <c r="C14" i="6"/>
  <c r="M7" i="6"/>
  <c r="W6" i="6"/>
  <c r="M4" i="6"/>
  <c r="W21" i="6"/>
  <c r="R11" i="6"/>
  <c r="R10" i="6"/>
  <c r="W5" i="6"/>
  <c r="M3" i="6"/>
  <c r="V53" i="9"/>
  <c r="V26" i="9"/>
  <c r="X26" i="9" s="1"/>
  <c r="V35" i="9"/>
  <c r="V17" i="9"/>
  <c r="W17" i="9" s="1"/>
  <c r="V8" i="9"/>
  <c r="V62" i="9"/>
  <c r="AA62" i="9" s="1"/>
  <c r="V44" i="9"/>
  <c r="W44" i="9" s="1"/>
  <c r="R61" i="6"/>
  <c r="H59" i="6"/>
  <c r="W56" i="6"/>
  <c r="M54" i="6"/>
  <c r="C52" i="6"/>
  <c r="R60" i="6"/>
  <c r="H58" i="6"/>
  <c r="W55" i="6"/>
  <c r="M53" i="6"/>
  <c r="C51" i="6"/>
  <c r="C60" i="6"/>
  <c r="R57" i="6"/>
  <c r="H55" i="6"/>
  <c r="W52" i="6"/>
  <c r="M50" i="6"/>
  <c r="M61" i="6"/>
  <c r="C59" i="6"/>
  <c r="R56" i="6"/>
  <c r="H54" i="6"/>
  <c r="W51" i="6"/>
  <c r="M60" i="6"/>
  <c r="C58" i="6"/>
  <c r="R55" i="6"/>
  <c r="H53" i="6"/>
  <c r="W50" i="6"/>
  <c r="W61" i="6"/>
  <c r="M59" i="6"/>
  <c r="C57" i="6"/>
  <c r="R54" i="6"/>
  <c r="H52" i="6"/>
  <c r="W60" i="6"/>
  <c r="M58" i="6"/>
  <c r="C56" i="6"/>
  <c r="R53" i="6"/>
  <c r="H51" i="6"/>
  <c r="W59" i="6"/>
  <c r="M57" i="6"/>
  <c r="C55" i="6"/>
  <c r="R52" i="6"/>
  <c r="H50" i="6"/>
  <c r="H61" i="6"/>
  <c r="W58" i="6"/>
  <c r="M56" i="6"/>
  <c r="C54" i="6"/>
  <c r="R51" i="6"/>
  <c r="W57" i="6"/>
  <c r="H60" i="6"/>
  <c r="H56" i="6"/>
  <c r="W54" i="6"/>
  <c r="R58" i="6"/>
  <c r="H57" i="6"/>
  <c r="R59" i="6"/>
  <c r="R50" i="6"/>
  <c r="C61" i="6"/>
  <c r="C53" i="6"/>
  <c r="M55" i="6"/>
  <c r="W4" i="6"/>
  <c r="W17" i="6"/>
  <c r="R14" i="6"/>
  <c r="H52" i="9"/>
  <c r="J52" i="9" s="1"/>
  <c r="H25" i="9"/>
  <c r="J25" i="9" s="1"/>
  <c r="H34" i="9"/>
  <c r="L34" i="9" s="1"/>
  <c r="L112" i="9" s="1"/>
  <c r="H16" i="9"/>
  <c r="I16" i="9" s="1"/>
  <c r="H7" i="9"/>
  <c r="M7" i="9" s="1"/>
  <c r="H61" i="9"/>
  <c r="I61" i="9" s="1"/>
  <c r="H43" i="9"/>
  <c r="I43" i="9" s="1"/>
  <c r="G36" i="6"/>
  <c r="V33" i="6"/>
  <c r="L31" i="6"/>
  <c r="B29" i="6"/>
  <c r="Q26" i="6"/>
  <c r="Q37" i="6"/>
  <c r="G35" i="6"/>
  <c r="V32" i="6"/>
  <c r="L30" i="6"/>
  <c r="B28" i="6"/>
  <c r="B37" i="6"/>
  <c r="Q34" i="6"/>
  <c r="G32" i="6"/>
  <c r="V29" i="6"/>
  <c r="L27" i="6"/>
  <c r="B36" i="6"/>
  <c r="Q33" i="6"/>
  <c r="G31" i="6"/>
  <c r="V28" i="6"/>
  <c r="L26" i="6"/>
  <c r="L37" i="6"/>
  <c r="B35" i="6"/>
  <c r="Q32" i="6"/>
  <c r="G30" i="6"/>
  <c r="V27" i="6"/>
  <c r="L36" i="6"/>
  <c r="B34" i="6"/>
  <c r="Q31" i="6"/>
  <c r="G29" i="6"/>
  <c r="V26" i="6"/>
  <c r="V37" i="6"/>
  <c r="L35" i="6"/>
  <c r="B33" i="6"/>
  <c r="Q30" i="6"/>
  <c r="G28" i="6"/>
  <c r="V36" i="6"/>
  <c r="L34" i="6"/>
  <c r="B32" i="6"/>
  <c r="Q29" i="6"/>
  <c r="G27" i="6"/>
  <c r="V35" i="6"/>
  <c r="L33" i="6"/>
  <c r="B31" i="6"/>
  <c r="Q28" i="6"/>
  <c r="G26" i="6"/>
  <c r="V30" i="6"/>
  <c r="B27" i="6"/>
  <c r="G37" i="6"/>
  <c r="L29" i="6"/>
  <c r="Q35" i="6"/>
  <c r="G34" i="6"/>
  <c r="Q27" i="6"/>
  <c r="Q36" i="6"/>
  <c r="B30" i="6"/>
  <c r="V34" i="6"/>
  <c r="L28" i="6"/>
  <c r="B26" i="6"/>
  <c r="R5" i="6"/>
  <c r="V31" i="6"/>
  <c r="M19" i="6"/>
  <c r="M51" i="6"/>
  <c r="H4" i="6"/>
  <c r="H55" i="9"/>
  <c r="H28" i="9"/>
  <c r="H37" i="9"/>
  <c r="H19" i="9"/>
  <c r="I19" i="9" s="1"/>
  <c r="H10" i="9"/>
  <c r="M10" i="9" s="1"/>
  <c r="H64" i="9"/>
  <c r="I64" i="9" s="1"/>
  <c r="H46" i="9"/>
  <c r="I46" i="9" s="1"/>
  <c r="T35" i="6"/>
  <c r="J33" i="6"/>
  <c r="Y30" i="6"/>
  <c r="O28" i="6"/>
  <c r="E26" i="6"/>
  <c r="E37" i="6"/>
  <c r="T34" i="6"/>
  <c r="J32" i="6"/>
  <c r="Y29" i="6"/>
  <c r="O27" i="6"/>
  <c r="O36" i="6"/>
  <c r="E34" i="6"/>
  <c r="T31" i="6"/>
  <c r="J29" i="6"/>
  <c r="Y26" i="6"/>
  <c r="Y37" i="6"/>
  <c r="O35" i="6"/>
  <c r="E33" i="6"/>
  <c r="T30" i="6"/>
  <c r="J28" i="6"/>
  <c r="Y36" i="6"/>
  <c r="O34" i="6"/>
  <c r="E32" i="6"/>
  <c r="T29" i="6"/>
  <c r="J27" i="6"/>
  <c r="Y35" i="6"/>
  <c r="O33" i="6"/>
  <c r="E31" i="6"/>
  <c r="T28" i="6"/>
  <c r="J26" i="6"/>
  <c r="J37" i="6"/>
  <c r="Y34" i="6"/>
  <c r="O32" i="6"/>
  <c r="E30" i="6"/>
  <c r="T27" i="6"/>
  <c r="J36" i="6"/>
  <c r="Y33" i="6"/>
  <c r="O31" i="6"/>
  <c r="E29" i="6"/>
  <c r="T26" i="6"/>
  <c r="T37" i="6"/>
  <c r="J35" i="6"/>
  <c r="Y32" i="6"/>
  <c r="O30" i="6"/>
  <c r="E28" i="6"/>
  <c r="E36" i="6"/>
  <c r="O29" i="6"/>
  <c r="Y31" i="6"/>
  <c r="J34" i="6"/>
  <c r="J30" i="6"/>
  <c r="Y28" i="6"/>
  <c r="O26" i="6"/>
  <c r="T36" i="6"/>
  <c r="T32" i="6"/>
  <c r="J31" i="6"/>
  <c r="E35" i="6"/>
  <c r="T33" i="6"/>
  <c r="O37" i="6"/>
  <c r="E27" i="6"/>
  <c r="C17" i="6"/>
  <c r="L32" i="6"/>
  <c r="M2" i="6"/>
  <c r="R15" i="6"/>
  <c r="W18" i="6"/>
  <c r="A34" i="9"/>
  <c r="C34" i="9" s="1"/>
  <c r="C112" i="9" s="1"/>
  <c r="A7" i="9"/>
  <c r="A16" i="9"/>
  <c r="A61" i="9"/>
  <c r="A52" i="9"/>
  <c r="B52" i="9" s="1"/>
  <c r="A43" i="9"/>
  <c r="A25" i="9"/>
  <c r="B25" i="9" s="1"/>
  <c r="G24" i="6"/>
  <c r="V21" i="6"/>
  <c r="L19" i="6"/>
  <c r="B17" i="6"/>
  <c r="Q14" i="6"/>
  <c r="G12" i="6"/>
  <c r="V9" i="6"/>
  <c r="L7" i="6"/>
  <c r="Q25" i="6"/>
  <c r="G23" i="6"/>
  <c r="V20" i="6"/>
  <c r="L18" i="6"/>
  <c r="B16" i="6"/>
  <c r="Q13" i="6"/>
  <c r="G11" i="6"/>
  <c r="V8" i="6"/>
  <c r="B25" i="6"/>
  <c r="Q22" i="6"/>
  <c r="G20" i="6"/>
  <c r="V17" i="6"/>
  <c r="L15" i="6"/>
  <c r="Q10" i="6"/>
  <c r="B24" i="6"/>
  <c r="Q21" i="6"/>
  <c r="G19" i="6"/>
  <c r="V16" i="6"/>
  <c r="L14" i="6"/>
  <c r="Q9" i="6"/>
  <c r="L25" i="6"/>
  <c r="B23" i="6"/>
  <c r="Q20" i="6"/>
  <c r="G18" i="6"/>
  <c r="V15" i="6"/>
  <c r="L13" i="6"/>
  <c r="L24" i="6"/>
  <c r="B22" i="6"/>
  <c r="Q19" i="6"/>
  <c r="G17" i="6"/>
  <c r="V14" i="6"/>
  <c r="L12" i="6"/>
  <c r="V25" i="6"/>
  <c r="L23" i="6"/>
  <c r="B21" i="6"/>
  <c r="Q18" i="6"/>
  <c r="G16" i="6"/>
  <c r="V13" i="6"/>
  <c r="L11" i="6"/>
  <c r="V24" i="6"/>
  <c r="L22" i="6"/>
  <c r="B20" i="6"/>
  <c r="Q17" i="6"/>
  <c r="G15" i="6"/>
  <c r="V12" i="6"/>
  <c r="L10" i="6"/>
  <c r="V23" i="6"/>
  <c r="L21" i="6"/>
  <c r="Q12" i="6"/>
  <c r="V4" i="6"/>
  <c r="L2" i="6"/>
  <c r="V22" i="6"/>
  <c r="B19" i="6"/>
  <c r="B18" i="6"/>
  <c r="G9" i="6"/>
  <c r="L8" i="6"/>
  <c r="V7" i="6"/>
  <c r="G6" i="6"/>
  <c r="V3" i="6"/>
  <c r="G25" i="6"/>
  <c r="V18" i="6"/>
  <c r="Q5" i="6"/>
  <c r="G3" i="6"/>
  <c r="G21" i="6"/>
  <c r="V19" i="6"/>
  <c r="G8" i="6"/>
  <c r="Q7" i="6"/>
  <c r="Q4" i="6"/>
  <c r="G2" i="6"/>
  <c r="L16" i="6"/>
  <c r="G13" i="6"/>
  <c r="Q3" i="6"/>
  <c r="Q23" i="6"/>
  <c r="L17" i="6"/>
  <c r="G14" i="6"/>
  <c r="V10" i="6"/>
  <c r="Q2" i="6"/>
  <c r="L5" i="6"/>
  <c r="Q24" i="6"/>
  <c r="B15" i="6"/>
  <c r="B14" i="6"/>
  <c r="L9" i="6"/>
  <c r="V6" i="6"/>
  <c r="L4" i="6"/>
  <c r="V52" i="9"/>
  <c r="V25" i="9"/>
  <c r="Z25" i="9" s="1"/>
  <c r="V7" i="9"/>
  <c r="V43" i="9"/>
  <c r="W43" i="9" s="1"/>
  <c r="V34" i="9"/>
  <c r="V61" i="9"/>
  <c r="W61" i="9" s="1"/>
  <c r="V16" i="9"/>
  <c r="W16" i="9" s="1"/>
  <c r="G60" i="6"/>
  <c r="V57" i="6"/>
  <c r="L55" i="6"/>
  <c r="B53" i="6"/>
  <c r="Q50" i="6"/>
  <c r="Q61" i="6"/>
  <c r="G59" i="6"/>
  <c r="V56" i="6"/>
  <c r="L54" i="6"/>
  <c r="B52" i="6"/>
  <c r="B61" i="6"/>
  <c r="Q58" i="6"/>
  <c r="G56" i="6"/>
  <c r="V53" i="6"/>
  <c r="L51" i="6"/>
  <c r="B60" i="6"/>
  <c r="Q57" i="6"/>
  <c r="G55" i="6"/>
  <c r="V52" i="6"/>
  <c r="L50" i="6"/>
  <c r="L61" i="6"/>
  <c r="B59" i="6"/>
  <c r="Q56" i="6"/>
  <c r="G54" i="6"/>
  <c r="V51" i="6"/>
  <c r="L60" i="6"/>
  <c r="B58" i="6"/>
  <c r="Q55" i="6"/>
  <c r="G53" i="6"/>
  <c r="V50" i="6"/>
  <c r="V61" i="6"/>
  <c r="L59" i="6"/>
  <c r="B57" i="6"/>
  <c r="Q54" i="6"/>
  <c r="G52" i="6"/>
  <c r="V60" i="6"/>
  <c r="L58" i="6"/>
  <c r="B56" i="6"/>
  <c r="Q53" i="6"/>
  <c r="G51" i="6"/>
  <c r="V59" i="6"/>
  <c r="L57" i="6"/>
  <c r="B55" i="6"/>
  <c r="Q52" i="6"/>
  <c r="G50" i="6"/>
  <c r="Q60" i="6"/>
  <c r="B54" i="6"/>
  <c r="V58" i="6"/>
  <c r="L52" i="6"/>
  <c r="B50" i="6"/>
  <c r="V54" i="6"/>
  <c r="B51" i="6"/>
  <c r="G61" i="6"/>
  <c r="L53" i="6"/>
  <c r="Q59" i="6"/>
  <c r="G58" i="6"/>
  <c r="Q51" i="6"/>
  <c r="H3" i="6"/>
  <c r="M5" i="6"/>
  <c r="L20" i="6"/>
  <c r="M52" i="6"/>
  <c r="H53" i="9"/>
  <c r="H26" i="9"/>
  <c r="H35" i="9"/>
  <c r="L35" i="9" s="1"/>
  <c r="L113" i="9" s="1"/>
  <c r="H8" i="9"/>
  <c r="H62" i="9"/>
  <c r="H17" i="9"/>
  <c r="I17" i="9" s="1"/>
  <c r="H44" i="9"/>
  <c r="I44" i="9" s="1"/>
  <c r="R37" i="6"/>
  <c r="H35" i="6"/>
  <c r="W32" i="6"/>
  <c r="M30" i="6"/>
  <c r="C28" i="6"/>
  <c r="R36" i="6"/>
  <c r="H34" i="6"/>
  <c r="W31" i="6"/>
  <c r="M29" i="6"/>
  <c r="C27" i="6"/>
  <c r="C36" i="6"/>
  <c r="R33" i="6"/>
  <c r="H31" i="6"/>
  <c r="W28" i="6"/>
  <c r="M26" i="6"/>
  <c r="M37" i="6"/>
  <c r="C35" i="6"/>
  <c r="R32" i="6"/>
  <c r="H30" i="6"/>
  <c r="W27" i="6"/>
  <c r="M36" i="6"/>
  <c r="C34" i="6"/>
  <c r="R31" i="6"/>
  <c r="H29" i="6"/>
  <c r="W26" i="6"/>
  <c r="W37" i="6"/>
  <c r="M35" i="6"/>
  <c r="C33" i="6"/>
  <c r="R30" i="6"/>
  <c r="H28" i="6"/>
  <c r="W36" i="6"/>
  <c r="M34" i="6"/>
  <c r="C32" i="6"/>
  <c r="R29" i="6"/>
  <c r="H27" i="6"/>
  <c r="W35" i="6"/>
  <c r="M33" i="6"/>
  <c r="C31" i="6"/>
  <c r="R28" i="6"/>
  <c r="H26" i="6"/>
  <c r="H37" i="6"/>
  <c r="W34" i="6"/>
  <c r="M32" i="6"/>
  <c r="C30" i="6"/>
  <c r="R27" i="6"/>
  <c r="D16" i="6"/>
  <c r="D17" i="6"/>
  <c r="I23" i="6"/>
  <c r="I32" i="6"/>
  <c r="H36" i="6"/>
  <c r="D40" i="6"/>
  <c r="L41" i="6"/>
  <c r="Y43" i="6"/>
  <c r="H45" i="6"/>
  <c r="R46" i="6"/>
  <c r="D48" i="6"/>
  <c r="G49" i="6"/>
  <c r="X56" i="6"/>
  <c r="H54" i="9"/>
  <c r="H27" i="9"/>
  <c r="J27" i="9" s="1"/>
  <c r="H9" i="9"/>
  <c r="M9" i="9" s="1"/>
  <c r="H45" i="9"/>
  <c r="I45" i="9" s="1"/>
  <c r="H36" i="9"/>
  <c r="M36" i="9" s="1"/>
  <c r="M114" i="9" s="1"/>
  <c r="H63" i="9"/>
  <c r="I63" i="9" s="1"/>
  <c r="H18" i="9"/>
  <c r="I18" i="9" s="1"/>
  <c r="S36" i="6"/>
  <c r="I34" i="6"/>
  <c r="X31" i="6"/>
  <c r="N29" i="6"/>
  <c r="D27" i="6"/>
  <c r="S35" i="6"/>
  <c r="I33" i="6"/>
  <c r="X30" i="6"/>
  <c r="N28" i="6"/>
  <c r="D26" i="6"/>
  <c r="N37" i="6"/>
  <c r="D35" i="6"/>
  <c r="S32" i="6"/>
  <c r="I30" i="6"/>
  <c r="X27" i="6"/>
  <c r="N36" i="6"/>
  <c r="D34" i="6"/>
  <c r="S31" i="6"/>
  <c r="I29" i="6"/>
  <c r="X26" i="6"/>
  <c r="X37" i="6"/>
  <c r="N35" i="6"/>
  <c r="D33" i="6"/>
  <c r="S30" i="6"/>
  <c r="I28" i="6"/>
  <c r="X36" i="6"/>
  <c r="N34" i="6"/>
  <c r="D32" i="6"/>
  <c r="S29" i="6"/>
  <c r="I27" i="6"/>
  <c r="X35" i="6"/>
  <c r="N33" i="6"/>
  <c r="D31" i="6"/>
  <c r="S28" i="6"/>
  <c r="I26" i="6"/>
  <c r="I37" i="6"/>
  <c r="X34" i="6"/>
  <c r="N32" i="6"/>
  <c r="D30" i="6"/>
  <c r="S27" i="6"/>
  <c r="I36" i="6"/>
  <c r="X33" i="6"/>
  <c r="N31" i="6"/>
  <c r="D29" i="6"/>
  <c r="S26" i="6"/>
  <c r="S10" i="6"/>
  <c r="C26" i="6"/>
  <c r="M28" i="6"/>
  <c r="W29" i="6"/>
  <c r="S37" i="6"/>
  <c r="B39" i="6"/>
  <c r="O41" i="6"/>
  <c r="S46" i="6"/>
  <c r="E48" i="6"/>
  <c r="N54" i="6"/>
  <c r="D61" i="6"/>
  <c r="O34" i="9"/>
  <c r="Q34" i="9" s="1"/>
  <c r="Q112" i="9" s="1"/>
  <c r="O7" i="9"/>
  <c r="Q7" i="9" s="1"/>
  <c r="O43" i="9"/>
  <c r="O16" i="9"/>
  <c r="O61" i="9"/>
  <c r="Q61" i="9" s="1"/>
  <c r="O25" i="9"/>
  <c r="S25" i="9" s="1"/>
  <c r="O52" i="9"/>
  <c r="R52" i="9" s="1"/>
  <c r="G48" i="6"/>
  <c r="V45" i="6"/>
  <c r="L43" i="6"/>
  <c r="B41" i="6"/>
  <c r="Q38" i="6"/>
  <c r="Q49" i="6"/>
  <c r="G47" i="6"/>
  <c r="V44" i="6"/>
  <c r="L42" i="6"/>
  <c r="B40" i="6"/>
  <c r="B49" i="6"/>
  <c r="Q46" i="6"/>
  <c r="G44" i="6"/>
  <c r="V41" i="6"/>
  <c r="L39" i="6"/>
  <c r="B48" i="6"/>
  <c r="Q45" i="6"/>
  <c r="G43" i="6"/>
  <c r="V40" i="6"/>
  <c r="L38" i="6"/>
  <c r="L49" i="6"/>
  <c r="B47" i="6"/>
  <c r="Q44" i="6"/>
  <c r="G42" i="6"/>
  <c r="V39" i="6"/>
  <c r="L48" i="6"/>
  <c r="B46" i="6"/>
  <c r="Q43" i="6"/>
  <c r="G41" i="6"/>
  <c r="V38" i="6"/>
  <c r="V49" i="6"/>
  <c r="L47" i="6"/>
  <c r="B45" i="6"/>
  <c r="Q42" i="6"/>
  <c r="G40" i="6"/>
  <c r="V48" i="6"/>
  <c r="L46" i="6"/>
  <c r="B44" i="6"/>
  <c r="Q41" i="6"/>
  <c r="G39" i="6"/>
  <c r="V47" i="6"/>
  <c r="L45" i="6"/>
  <c r="B43" i="6"/>
  <c r="Q40" i="6"/>
  <c r="G38" i="6"/>
  <c r="S8" i="6"/>
  <c r="D12" i="6"/>
  <c r="X20" i="6"/>
  <c r="N27" i="6"/>
  <c r="W33" i="6"/>
  <c r="I35" i="6"/>
  <c r="B38" i="6"/>
  <c r="L40" i="6"/>
  <c r="I44" i="6"/>
  <c r="S45" i="6"/>
  <c r="V46" i="6"/>
  <c r="D52" i="6"/>
  <c r="Y55" i="6"/>
  <c r="D60" i="6"/>
  <c r="O35" i="9"/>
  <c r="O8" i="9"/>
  <c r="O17" i="9"/>
  <c r="O62" i="9"/>
  <c r="O53" i="9"/>
  <c r="T53" i="9" s="1"/>
  <c r="O44" i="9"/>
  <c r="Q44" i="9" s="1"/>
  <c r="O26" i="9"/>
  <c r="R26" i="9" s="1"/>
  <c r="R49" i="6"/>
  <c r="H47" i="6"/>
  <c r="W44" i="6"/>
  <c r="M42" i="6"/>
  <c r="C40" i="6"/>
  <c r="R48" i="6"/>
  <c r="H46" i="6"/>
  <c r="W43" i="6"/>
  <c r="M41" i="6"/>
  <c r="C39" i="6"/>
  <c r="C48" i="6"/>
  <c r="R45" i="6"/>
  <c r="H43" i="6"/>
  <c r="W40" i="6"/>
  <c r="M38" i="6"/>
  <c r="M49" i="6"/>
  <c r="C47" i="6"/>
  <c r="R44" i="6"/>
  <c r="H42" i="6"/>
  <c r="W39" i="6"/>
  <c r="M48" i="6"/>
  <c r="C46" i="6"/>
  <c r="R43" i="6"/>
  <c r="H41" i="6"/>
  <c r="W38" i="6"/>
  <c r="W49" i="6"/>
  <c r="M47" i="6"/>
  <c r="C45" i="6"/>
  <c r="R42" i="6"/>
  <c r="H40" i="6"/>
  <c r="W48" i="6"/>
  <c r="M46" i="6"/>
  <c r="C44" i="6"/>
  <c r="R41" i="6"/>
  <c r="H39" i="6"/>
  <c r="W47" i="6"/>
  <c r="M45" i="6"/>
  <c r="C43" i="6"/>
  <c r="R40" i="6"/>
  <c r="H38" i="6"/>
  <c r="H49" i="6"/>
  <c r="W46" i="6"/>
  <c r="M44" i="6"/>
  <c r="C42" i="6"/>
  <c r="R39" i="6"/>
  <c r="N6" i="6"/>
  <c r="D25" i="6"/>
  <c r="N26" i="6"/>
  <c r="X28" i="6"/>
  <c r="C38" i="6"/>
  <c r="M40" i="6"/>
  <c r="W41" i="6"/>
  <c r="T45" i="6"/>
  <c r="E60" i="6"/>
  <c r="O36" i="9"/>
  <c r="R36" i="9" s="1"/>
  <c r="R114" i="9" s="1"/>
  <c r="O9" i="9"/>
  <c r="R9" i="9" s="1"/>
  <c r="O63" i="9"/>
  <c r="O45" i="9"/>
  <c r="O27" i="9"/>
  <c r="S27" i="9" s="1"/>
  <c r="O18" i="9"/>
  <c r="Q18" i="9" s="1"/>
  <c r="O54" i="9"/>
  <c r="S54" i="9" s="1"/>
  <c r="S48" i="6"/>
  <c r="I46" i="6"/>
  <c r="X43" i="6"/>
  <c r="N41" i="6"/>
  <c r="D39" i="6"/>
  <c r="S47" i="6"/>
  <c r="I45" i="6"/>
  <c r="X42" i="6"/>
  <c r="N40" i="6"/>
  <c r="D38" i="6"/>
  <c r="N49" i="6"/>
  <c r="D47" i="6"/>
  <c r="S44" i="6"/>
  <c r="I42" i="6"/>
  <c r="X39" i="6"/>
  <c r="N48" i="6"/>
  <c r="D46" i="6"/>
  <c r="S43" i="6"/>
  <c r="I41" i="6"/>
  <c r="X38" i="6"/>
  <c r="X49" i="6"/>
  <c r="N47" i="6"/>
  <c r="D45" i="6"/>
  <c r="S42" i="6"/>
  <c r="I40" i="6"/>
  <c r="X48" i="6"/>
  <c r="N46" i="6"/>
  <c r="D44" i="6"/>
  <c r="S41" i="6"/>
  <c r="I39" i="6"/>
  <c r="X47" i="6"/>
  <c r="N45" i="6"/>
  <c r="D43" i="6"/>
  <c r="S40" i="6"/>
  <c r="I38" i="6"/>
  <c r="I49" i="6"/>
  <c r="X46" i="6"/>
  <c r="N44" i="6"/>
  <c r="D42" i="6"/>
  <c r="S39" i="6"/>
  <c r="I48" i="6"/>
  <c r="X45" i="6"/>
  <c r="N43" i="6"/>
  <c r="D41" i="6"/>
  <c r="S38" i="6"/>
  <c r="D7" i="6"/>
  <c r="N14" i="6"/>
  <c r="M31" i="6"/>
  <c r="M39" i="6"/>
  <c r="X41" i="6"/>
  <c r="I43" i="6"/>
  <c r="L44" i="6"/>
  <c r="E51" i="6"/>
  <c r="O61" i="6"/>
  <c r="O37" i="9"/>
  <c r="R37" i="9" s="1"/>
  <c r="R115" i="9" s="1"/>
  <c r="O10" i="9"/>
  <c r="R10" i="9" s="1"/>
  <c r="O46" i="9"/>
  <c r="O19" i="9"/>
  <c r="O64" i="9"/>
  <c r="Q64" i="9" s="1"/>
  <c r="O28" i="9"/>
  <c r="S28" i="9" s="1"/>
  <c r="O55" i="9"/>
  <c r="T55" i="9" s="1"/>
  <c r="T47" i="6"/>
  <c r="J45" i="6"/>
  <c r="Y42" i="6"/>
  <c r="O40" i="6"/>
  <c r="E38" i="6"/>
  <c r="E49" i="6"/>
  <c r="T46" i="6"/>
  <c r="J44" i="6"/>
  <c r="Y41" i="6"/>
  <c r="O39" i="6"/>
  <c r="O48" i="6"/>
  <c r="E46" i="6"/>
  <c r="T43" i="6"/>
  <c r="J41" i="6"/>
  <c r="Y38" i="6"/>
  <c r="Y49" i="6"/>
  <c r="O47" i="6"/>
  <c r="E45" i="6"/>
  <c r="T42" i="6"/>
  <c r="J40" i="6"/>
  <c r="Y48" i="6"/>
  <c r="O46" i="6"/>
  <c r="E44" i="6"/>
  <c r="T41" i="6"/>
  <c r="J39" i="6"/>
  <c r="Y47" i="6"/>
  <c r="O45" i="6"/>
  <c r="E43" i="6"/>
  <c r="T40" i="6"/>
  <c r="J38" i="6"/>
  <c r="J49" i="6"/>
  <c r="Y46" i="6"/>
  <c r="O44" i="6"/>
  <c r="E42" i="6"/>
  <c r="T39" i="6"/>
  <c r="J48" i="6"/>
  <c r="Y45" i="6"/>
  <c r="O43" i="6"/>
  <c r="E41" i="6"/>
  <c r="T38" i="6"/>
  <c r="T49" i="6"/>
  <c r="J47" i="6"/>
  <c r="Y44" i="6"/>
  <c r="O42" i="6"/>
  <c r="E40" i="6"/>
  <c r="J43" i="6"/>
  <c r="A36" i="9"/>
  <c r="C36" i="9" s="1"/>
  <c r="C114" i="9" s="1"/>
  <c r="A9" i="9"/>
  <c r="D9" i="9" s="1"/>
  <c r="A45" i="9"/>
  <c r="F45" i="9" s="1"/>
  <c r="A18" i="9"/>
  <c r="A63" i="9"/>
  <c r="A54" i="9"/>
  <c r="B54" i="9" s="1"/>
  <c r="A27" i="9"/>
  <c r="S24" i="6"/>
  <c r="I22" i="6"/>
  <c r="X19" i="6"/>
  <c r="N17" i="6"/>
  <c r="D15" i="6"/>
  <c r="S12" i="6"/>
  <c r="I10" i="6"/>
  <c r="X7" i="6"/>
  <c r="S23" i="6"/>
  <c r="I21" i="6"/>
  <c r="X18" i="6"/>
  <c r="N16" i="6"/>
  <c r="D14" i="6"/>
  <c r="S11" i="6"/>
  <c r="I9" i="6"/>
  <c r="X6" i="6"/>
  <c r="N25" i="6"/>
  <c r="D23" i="6"/>
  <c r="S20" i="6"/>
  <c r="I18" i="6"/>
  <c r="X15" i="6"/>
  <c r="N13" i="6"/>
  <c r="D11" i="6"/>
  <c r="N24" i="6"/>
  <c r="D22" i="6"/>
  <c r="S19" i="6"/>
  <c r="I17" i="6"/>
  <c r="X14" i="6"/>
  <c r="N12" i="6"/>
  <c r="D10" i="6"/>
  <c r="S7" i="6"/>
  <c r="X25" i="6"/>
  <c r="N23" i="6"/>
  <c r="D21" i="6"/>
  <c r="S18" i="6"/>
  <c r="I16" i="6"/>
  <c r="X13" i="6"/>
  <c r="N11" i="6"/>
  <c r="D9" i="6"/>
  <c r="X24" i="6"/>
  <c r="N22" i="6"/>
  <c r="D20" i="6"/>
  <c r="S17" i="6"/>
  <c r="I15" i="6"/>
  <c r="X12" i="6"/>
  <c r="N10" i="6"/>
  <c r="X23" i="6"/>
  <c r="N21" i="6"/>
  <c r="D19" i="6"/>
  <c r="S16" i="6"/>
  <c r="I14" i="6"/>
  <c r="X11" i="6"/>
  <c r="N9" i="6"/>
  <c r="I25" i="6"/>
  <c r="X22" i="6"/>
  <c r="N20" i="6"/>
  <c r="D18" i="6"/>
  <c r="S15" i="6"/>
  <c r="I13" i="6"/>
  <c r="X10" i="6"/>
  <c r="I24" i="6"/>
  <c r="X21" i="6"/>
  <c r="N19" i="6"/>
  <c r="V54" i="9"/>
  <c r="Z54" i="9" s="1"/>
  <c r="V27" i="9"/>
  <c r="AA27" i="9" s="1"/>
  <c r="V36" i="9"/>
  <c r="V9" i="9"/>
  <c r="V63" i="9"/>
  <c r="W63" i="9" s="1"/>
  <c r="V18" i="9"/>
  <c r="W18" i="9" s="1"/>
  <c r="V45" i="9"/>
  <c r="W45" i="9" s="1"/>
  <c r="S60" i="6"/>
  <c r="I58" i="6"/>
  <c r="X55" i="6"/>
  <c r="N53" i="6"/>
  <c r="D51" i="6"/>
  <c r="S59" i="6"/>
  <c r="I57" i="6"/>
  <c r="X54" i="6"/>
  <c r="N52" i="6"/>
  <c r="D50" i="6"/>
  <c r="N61" i="6"/>
  <c r="D59" i="6"/>
  <c r="S56" i="6"/>
  <c r="I54" i="6"/>
  <c r="X51" i="6"/>
  <c r="N60" i="6"/>
  <c r="D58" i="6"/>
  <c r="S55" i="6"/>
  <c r="I53" i="6"/>
  <c r="X50" i="6"/>
  <c r="X61" i="6"/>
  <c r="N59" i="6"/>
  <c r="D57" i="6"/>
  <c r="S54" i="6"/>
  <c r="I52" i="6"/>
  <c r="X60" i="6"/>
  <c r="N58" i="6"/>
  <c r="D56" i="6"/>
  <c r="S53" i="6"/>
  <c r="I51" i="6"/>
  <c r="X59" i="6"/>
  <c r="N57" i="6"/>
  <c r="D55" i="6"/>
  <c r="S52" i="6"/>
  <c r="I50" i="6"/>
  <c r="I61" i="6"/>
  <c r="X58" i="6"/>
  <c r="N56" i="6"/>
  <c r="D54" i="6"/>
  <c r="S51" i="6"/>
  <c r="I60" i="6"/>
  <c r="X57" i="6"/>
  <c r="N55" i="6"/>
  <c r="D53" i="6"/>
  <c r="S50" i="6"/>
  <c r="I4" i="6"/>
  <c r="S6" i="6"/>
  <c r="S13" i="6"/>
  <c r="S14" i="6"/>
  <c r="X16" i="6"/>
  <c r="I20" i="6"/>
  <c r="S21" i="6"/>
  <c r="D28" i="6"/>
  <c r="H33" i="6"/>
  <c r="R34" i="6"/>
  <c r="D36" i="6"/>
  <c r="C41" i="6"/>
  <c r="X44" i="6"/>
  <c r="J46" i="6"/>
  <c r="Q47" i="6"/>
  <c r="C49" i="6"/>
  <c r="N51" i="6"/>
  <c r="I59" i="6"/>
  <c r="A37" i="9"/>
  <c r="E37" i="9" s="1"/>
  <c r="E115" i="9" s="1"/>
  <c r="A10" i="9"/>
  <c r="D10" i="9" s="1"/>
  <c r="A19" i="9"/>
  <c r="F19" i="9" s="1"/>
  <c r="A64" i="9"/>
  <c r="A55" i="9"/>
  <c r="B55" i="9" s="1"/>
  <c r="A46" i="9"/>
  <c r="A28" i="9"/>
  <c r="B28" i="9" s="1"/>
  <c r="T23" i="6"/>
  <c r="J21" i="6"/>
  <c r="Y18" i="6"/>
  <c r="O16" i="6"/>
  <c r="E14" i="6"/>
  <c r="T11" i="6"/>
  <c r="J9" i="6"/>
  <c r="Y6" i="6"/>
  <c r="E25" i="6"/>
  <c r="T22" i="6"/>
  <c r="J20" i="6"/>
  <c r="Y17" i="6"/>
  <c r="O15" i="6"/>
  <c r="E13" i="6"/>
  <c r="T10" i="6"/>
  <c r="J8" i="6"/>
  <c r="O24" i="6"/>
  <c r="E22" i="6"/>
  <c r="T19" i="6"/>
  <c r="J17" i="6"/>
  <c r="Y14" i="6"/>
  <c r="O12" i="6"/>
  <c r="E10" i="6"/>
  <c r="Y25" i="6"/>
  <c r="O23" i="6"/>
  <c r="E21" i="6"/>
  <c r="T18" i="6"/>
  <c r="J16" i="6"/>
  <c r="Y13" i="6"/>
  <c r="O11" i="6"/>
  <c r="E9" i="6"/>
  <c r="Y24" i="6"/>
  <c r="O22" i="6"/>
  <c r="E20" i="6"/>
  <c r="T17" i="6"/>
  <c r="J15" i="6"/>
  <c r="Y12" i="6"/>
  <c r="O10" i="6"/>
  <c r="Y23" i="6"/>
  <c r="O21" i="6"/>
  <c r="E19" i="6"/>
  <c r="T16" i="6"/>
  <c r="J14" i="6"/>
  <c r="Y11" i="6"/>
  <c r="O9" i="6"/>
  <c r="J25" i="6"/>
  <c r="Y22" i="6"/>
  <c r="O20" i="6"/>
  <c r="E18" i="6"/>
  <c r="T15" i="6"/>
  <c r="J13" i="6"/>
  <c r="Y10" i="6"/>
  <c r="J24" i="6"/>
  <c r="Y21" i="6"/>
  <c r="O19" i="6"/>
  <c r="E17" i="6"/>
  <c r="T14" i="6"/>
  <c r="J12" i="6"/>
  <c r="Y9" i="6"/>
  <c r="T25" i="6"/>
  <c r="J23" i="6"/>
  <c r="Y20" i="6"/>
  <c r="V55" i="9"/>
  <c r="X55" i="9" s="1"/>
  <c r="V28" i="9"/>
  <c r="AA28" i="9" s="1"/>
  <c r="V10" i="9"/>
  <c r="V46" i="9"/>
  <c r="W46" i="9" s="1"/>
  <c r="V37" i="9"/>
  <c r="V64" i="9"/>
  <c r="W64" i="9" s="1"/>
  <c r="V19" i="9"/>
  <c r="W19" i="9" s="1"/>
  <c r="T59" i="6"/>
  <c r="J57" i="6"/>
  <c r="Y54" i="6"/>
  <c r="O52" i="6"/>
  <c r="E50" i="6"/>
  <c r="E61" i="6"/>
  <c r="T58" i="6"/>
  <c r="J56" i="6"/>
  <c r="Y53" i="6"/>
  <c r="O51" i="6"/>
  <c r="O60" i="6"/>
  <c r="E58" i="6"/>
  <c r="T55" i="6"/>
  <c r="J53" i="6"/>
  <c r="Y50" i="6"/>
  <c r="Y61" i="6"/>
  <c r="O59" i="6"/>
  <c r="E57" i="6"/>
  <c r="T54" i="6"/>
  <c r="J52" i="6"/>
  <c r="Y60" i="6"/>
  <c r="O58" i="6"/>
  <c r="E56" i="6"/>
  <c r="T53" i="6"/>
  <c r="J51" i="6"/>
  <c r="Y59" i="6"/>
  <c r="O57" i="6"/>
  <c r="E55" i="6"/>
  <c r="T52" i="6"/>
  <c r="J50" i="6"/>
  <c r="J61" i="6"/>
  <c r="Y58" i="6"/>
  <c r="O56" i="6"/>
  <c r="E54" i="6"/>
  <c r="T51" i="6"/>
  <c r="J60" i="6"/>
  <c r="Y57" i="6"/>
  <c r="O55" i="6"/>
  <c r="E53" i="6"/>
  <c r="T50" i="6"/>
  <c r="T61" i="6"/>
  <c r="J59" i="6"/>
  <c r="Y56" i="6"/>
  <c r="O54" i="6"/>
  <c r="E52" i="6"/>
  <c r="X2" i="6"/>
  <c r="J4" i="6"/>
  <c r="I5" i="6"/>
  <c r="T6" i="6"/>
  <c r="I7" i="6"/>
  <c r="Y7" i="6"/>
  <c r="T13" i="6"/>
  <c r="Y15" i="6"/>
  <c r="Y16" i="6"/>
  <c r="T21" i="6"/>
  <c r="E23" i="6"/>
  <c r="S25" i="6"/>
  <c r="S34" i="6"/>
  <c r="R38" i="6"/>
  <c r="Y39" i="6"/>
  <c r="N42" i="6"/>
  <c r="R47" i="6"/>
  <c r="D49" i="6"/>
  <c r="N50" i="6"/>
  <c r="X52" i="6"/>
  <c r="T56" i="6"/>
  <c r="T60" i="6"/>
  <c r="Y4" i="20"/>
  <c r="J15" i="9"/>
  <c r="J19" i="9"/>
  <c r="J17" i="9"/>
  <c r="J16" i="9"/>
  <c r="AA15" i="9"/>
  <c r="Z24" i="9"/>
  <c r="J24" i="9"/>
  <c r="C51" i="9"/>
  <c r="T51" i="9"/>
  <c r="D51" i="9"/>
  <c r="M33" i="9"/>
  <c r="M111" i="9" s="1"/>
  <c r="Z44" i="9"/>
  <c r="Z42" i="9"/>
  <c r="M6" i="9"/>
  <c r="M110" i="9"/>
  <c r="AA46" i="9"/>
  <c r="AA42" i="9"/>
  <c r="Z51" i="9"/>
  <c r="Z15" i="9"/>
  <c r="J42" i="9"/>
  <c r="J43" i="9"/>
  <c r="J51" i="9"/>
  <c r="J54" i="9"/>
  <c r="S110" i="9"/>
  <c r="S6" i="9"/>
  <c r="AA24" i="9"/>
  <c r="C110" i="9"/>
  <c r="T110" i="9"/>
  <c r="T6" i="9"/>
  <c r="M19" i="9"/>
  <c r="M18" i="9"/>
  <c r="M17" i="9"/>
  <c r="M15" i="9"/>
  <c r="J28" i="9"/>
  <c r="D110" i="9"/>
  <c r="Q33" i="9"/>
  <c r="Q111" i="9" s="1"/>
  <c r="K42" i="9"/>
  <c r="X60" i="9"/>
  <c r="Q60" i="9"/>
  <c r="S24" i="9"/>
  <c r="AA51" i="9"/>
  <c r="Y60" i="9"/>
  <c r="T24" i="9"/>
  <c r="Z63" i="9"/>
  <c r="Z60" i="9"/>
  <c r="J60" i="9"/>
  <c r="AA60" i="9"/>
  <c r="X15" i="9"/>
  <c r="E24" i="9"/>
  <c r="K60" i="9"/>
  <c r="L6" i="9"/>
  <c r="L110" i="9"/>
  <c r="Y15" i="9"/>
  <c r="F28" i="9"/>
  <c r="L42" i="9"/>
  <c r="S51" i="9"/>
  <c r="Q6" i="9"/>
  <c r="Q10" i="9"/>
  <c r="Q110" i="9"/>
  <c r="E6" i="9"/>
  <c r="K15" i="9"/>
  <c r="K19" i="9"/>
  <c r="X42" i="9"/>
  <c r="E51" i="9"/>
  <c r="R110" i="9"/>
  <c r="L19" i="9"/>
  <c r="Y46" i="9"/>
  <c r="Y42" i="9"/>
  <c r="L60" i="9"/>
  <c r="R28" i="9" l="1"/>
  <c r="L64" i="9"/>
  <c r="C37" i="9"/>
  <c r="C115" i="9" s="1"/>
  <c r="C55" i="9"/>
  <c r="M34" i="9"/>
  <c r="M112" i="9" s="1"/>
  <c r="K17" i="9"/>
  <c r="AU60" i="18"/>
  <c r="X44" i="9"/>
  <c r="Y44" i="9"/>
  <c r="AA44" i="9"/>
  <c r="AA26" i="9"/>
  <c r="X43" i="9"/>
  <c r="AA25" i="9"/>
  <c r="AA43" i="9"/>
  <c r="AA16" i="9"/>
  <c r="R53" i="9"/>
  <c r="L17" i="9"/>
  <c r="E8" i="9"/>
  <c r="Z19" i="9"/>
  <c r="L16" i="9"/>
  <c r="Y16" i="9"/>
  <c r="M14" i="18"/>
  <c r="Y19" i="9"/>
  <c r="L61" i="9"/>
  <c r="Y64" i="9"/>
  <c r="X46" i="9"/>
  <c r="S53" i="9"/>
  <c r="X19" i="9"/>
  <c r="S26" i="9"/>
  <c r="L9" i="9"/>
  <c r="AA19" i="9"/>
  <c r="BA62" i="13"/>
  <c r="AZ62" i="18"/>
  <c r="AT48" i="13"/>
  <c r="AP44" i="18"/>
  <c r="AR46" i="18"/>
  <c r="AN42" i="18"/>
  <c r="AY53" i="13"/>
  <c r="AV50" i="18"/>
  <c r="AP44" i="13"/>
  <c r="AY53" i="18"/>
  <c r="AT48" i="18"/>
  <c r="AU49" i="18"/>
  <c r="AO43" i="18"/>
  <c r="AX52" i="18"/>
  <c r="AW51" i="13"/>
  <c r="AS47" i="18"/>
  <c r="AQ45" i="13"/>
  <c r="AR46" i="13"/>
  <c r="AW51" i="18"/>
  <c r="AS47" i="13"/>
  <c r="AO43" i="13"/>
  <c r="AQ45" i="18"/>
  <c r="AU49" i="13"/>
  <c r="AV55" i="13"/>
  <c r="AO48" i="18"/>
  <c r="AF37" i="18"/>
  <c r="AK46" i="18"/>
  <c r="AM44" i="13"/>
  <c r="AL43" i="18"/>
  <c r="AG38" i="18"/>
  <c r="AG42" i="13"/>
  <c r="AH39" i="13"/>
  <c r="AB33" i="13"/>
  <c r="AI40" i="13"/>
  <c r="AL43" i="13"/>
  <c r="AD35" i="13"/>
  <c r="AK42" i="13"/>
  <c r="AD35" i="18"/>
  <c r="AJ41" i="13"/>
  <c r="AF37" i="13"/>
  <c r="AG38" i="13"/>
  <c r="AC34" i="13"/>
  <c r="AJ41" i="18"/>
  <c r="X47" i="13"/>
  <c r="R33" i="18"/>
  <c r="T32" i="13"/>
  <c r="P57" i="18"/>
  <c r="S33" i="13"/>
  <c r="Y47" i="13"/>
  <c r="R38" i="18"/>
  <c r="P28" i="18"/>
  <c r="U54" i="18"/>
  <c r="V47" i="13"/>
  <c r="AA59" i="13"/>
  <c r="X35" i="18"/>
  <c r="Q38" i="18"/>
  <c r="R33" i="13"/>
  <c r="Q57" i="13"/>
  <c r="T38" i="13"/>
  <c r="T38" i="18"/>
  <c r="Z46" i="18"/>
  <c r="T57" i="18"/>
  <c r="Q62" i="13"/>
  <c r="X36" i="13"/>
  <c r="T62" i="13"/>
  <c r="S29" i="13"/>
  <c r="R29" i="18"/>
  <c r="AA51" i="18"/>
  <c r="Q47" i="18"/>
  <c r="Y62" i="18"/>
  <c r="S60" i="18"/>
  <c r="Q61" i="13"/>
  <c r="P29" i="13"/>
  <c r="V35" i="13"/>
  <c r="U33" i="13"/>
  <c r="Q28" i="18"/>
  <c r="R51" i="18"/>
  <c r="AA56" i="18"/>
  <c r="Y37" i="13"/>
  <c r="P32" i="13"/>
  <c r="P50" i="18"/>
  <c r="P39" i="18"/>
  <c r="S31" i="13"/>
  <c r="T61" i="13"/>
  <c r="S30" i="18"/>
  <c r="Z44" i="18"/>
  <c r="S48" i="18"/>
  <c r="P45" i="18"/>
  <c r="T61" i="18"/>
  <c r="P60" i="13"/>
  <c r="AA37" i="13"/>
  <c r="R62" i="13"/>
  <c r="Q34" i="13"/>
  <c r="P51" i="13"/>
  <c r="X38" i="13"/>
  <c r="U56" i="13"/>
  <c r="X39" i="13"/>
  <c r="P55" i="13"/>
  <c r="Q31" i="13"/>
  <c r="T49" i="13"/>
  <c r="AA38" i="13"/>
  <c r="T51" i="13"/>
  <c r="Y40" i="13"/>
  <c r="X54" i="13"/>
  <c r="Z40" i="13"/>
  <c r="V51" i="13"/>
  <c r="X34" i="13"/>
  <c r="W48" i="13"/>
  <c r="W61" i="18"/>
  <c r="S61" i="18"/>
  <c r="U55" i="18"/>
  <c r="S55" i="18"/>
  <c r="W56" i="18"/>
  <c r="R43" i="18"/>
  <c r="Y51" i="18"/>
  <c r="W50" i="18"/>
  <c r="P36" i="18"/>
  <c r="X45" i="18"/>
  <c r="X54" i="18"/>
  <c r="AA38" i="18"/>
  <c r="Y61" i="18"/>
  <c r="V43" i="18"/>
  <c r="T53" i="18"/>
  <c r="W39" i="18"/>
  <c r="W57" i="18"/>
  <c r="AA53" i="18"/>
  <c r="U42" i="18"/>
  <c r="W40" i="18"/>
  <c r="Q31" i="18"/>
  <c r="S29" i="18"/>
  <c r="Y49" i="18"/>
  <c r="AA43" i="18"/>
  <c r="S36" i="18"/>
  <c r="Q33" i="18"/>
  <c r="S37" i="13"/>
  <c r="X51" i="13"/>
  <c r="Q43" i="13"/>
  <c r="Q56" i="13"/>
  <c r="T36" i="13"/>
  <c r="AA50" i="13"/>
  <c r="U39" i="13"/>
  <c r="Y52" i="13"/>
  <c r="W39" i="13"/>
  <c r="Q36" i="13"/>
  <c r="X49" i="13"/>
  <c r="Q58" i="18"/>
  <c r="Q62" i="18"/>
  <c r="AA62" i="18"/>
  <c r="Q55" i="18"/>
  <c r="R40" i="18"/>
  <c r="Z50" i="18"/>
  <c r="W49" i="18"/>
  <c r="W34" i="18"/>
  <c r="S44" i="18"/>
  <c r="T51" i="18"/>
  <c r="AA37" i="18"/>
  <c r="S58" i="18"/>
  <c r="AA42" i="18"/>
  <c r="S52" i="18"/>
  <c r="X57" i="18"/>
  <c r="U44" i="18"/>
  <c r="U39" i="18"/>
  <c r="Q39" i="18"/>
  <c r="P43" i="18"/>
  <c r="Y52" i="18"/>
  <c r="Z45" i="18"/>
  <c r="Q41" i="18"/>
  <c r="U34" i="18"/>
  <c r="T31" i="18"/>
  <c r="R39" i="13"/>
  <c r="P30" i="13"/>
  <c r="V57" i="13"/>
  <c r="U37" i="13"/>
  <c r="Z51" i="13"/>
  <c r="V53" i="13"/>
  <c r="V36" i="13"/>
  <c r="W53" i="13"/>
  <c r="R58" i="13"/>
  <c r="S41" i="13"/>
  <c r="AA57" i="13"/>
  <c r="P33" i="13"/>
  <c r="S51" i="13"/>
  <c r="Z39" i="13"/>
  <c r="R52" i="13"/>
  <c r="V41" i="13"/>
  <c r="S55" i="13"/>
  <c r="W41" i="13"/>
  <c r="T52" i="13"/>
  <c r="R60" i="18"/>
  <c r="P55" i="18"/>
  <c r="V52" i="13"/>
  <c r="S40" i="13"/>
  <c r="W38" i="13"/>
  <c r="S54" i="13"/>
  <c r="Z42" i="13"/>
  <c r="W60" i="13"/>
  <c r="AA42" i="13"/>
  <c r="S58" i="13"/>
  <c r="Y36" i="13"/>
  <c r="Q52" i="13"/>
  <c r="X40" i="13"/>
  <c r="R42" i="13"/>
  <c r="Y56" i="13"/>
  <c r="S42" i="13"/>
  <c r="Q53" i="13"/>
  <c r="R37" i="13"/>
  <c r="X50" i="13"/>
  <c r="X62" i="18"/>
  <c r="Y57" i="18"/>
  <c r="P59" i="18"/>
  <c r="Q61" i="18"/>
  <c r="AA61" i="18"/>
  <c r="X60" i="18"/>
  <c r="T39" i="18"/>
  <c r="Z49" i="18"/>
  <c r="V48" i="18"/>
  <c r="S33" i="18"/>
  <c r="Y43" i="18"/>
  <c r="U50" i="18"/>
  <c r="Z36" i="18"/>
  <c r="X55" i="18"/>
  <c r="S41" i="18"/>
  <c r="Q51" i="18"/>
  <c r="R55" i="18"/>
  <c r="R54" i="18"/>
  <c r="V42" i="18"/>
  <c r="V36" i="18"/>
  <c r="W37" i="18"/>
  <c r="S40" i="18"/>
  <c r="W48" i="18"/>
  <c r="W44" i="18"/>
  <c r="S39" i="18"/>
  <c r="U32" i="18"/>
  <c r="P35" i="18"/>
  <c r="P40" i="13"/>
  <c r="S53" i="13"/>
  <c r="Q32" i="13"/>
  <c r="T46" i="13"/>
  <c r="Z58" i="13"/>
  <c r="U38" i="13"/>
  <c r="X52" i="13"/>
  <c r="P41" i="13"/>
  <c r="S56" i="13"/>
  <c r="Q55" i="13"/>
  <c r="P38" i="18"/>
  <c r="V39" i="13"/>
  <c r="Y57" i="13"/>
  <c r="U43" i="13"/>
  <c r="X61" i="13"/>
  <c r="V43" i="13"/>
  <c r="V59" i="13"/>
  <c r="Z37" i="13"/>
  <c r="Z53" i="13"/>
  <c r="U41" i="13"/>
  <c r="W54" i="13"/>
  <c r="Y43" i="13"/>
  <c r="R57" i="13"/>
  <c r="Z43" i="13"/>
  <c r="Y54" i="13"/>
  <c r="R38" i="13"/>
  <c r="W51" i="13"/>
  <c r="U59" i="18"/>
  <c r="T56" i="18"/>
  <c r="Y58" i="18"/>
  <c r="P60" i="18"/>
  <c r="Z60" i="18"/>
  <c r="P52" i="18"/>
  <c r="U38" i="18"/>
  <c r="Y48" i="18"/>
  <c r="T47" i="18"/>
  <c r="V62" i="18"/>
  <c r="Y40" i="18"/>
  <c r="U49" i="18"/>
  <c r="AA58" i="18"/>
  <c r="V54" i="18"/>
  <c r="V40" i="18"/>
  <c r="Q48" i="18"/>
  <c r="S54" i="18"/>
  <c r="R53" i="18"/>
  <c r="P41" i="18"/>
  <c r="S35" i="18"/>
  <c r="R31" i="18"/>
  <c r="Z38" i="18"/>
  <c r="Y41" i="18"/>
  <c r="Y42" i="18"/>
  <c r="Q35" i="18"/>
  <c r="R34" i="18"/>
  <c r="X50" i="18"/>
  <c r="Y41" i="13"/>
  <c r="AA54" i="13"/>
  <c r="V33" i="13"/>
  <c r="Q59" i="13"/>
  <c r="T39" i="13"/>
  <c r="U53" i="13"/>
  <c r="X42" i="13"/>
  <c r="X57" i="13"/>
  <c r="Q41" i="13"/>
  <c r="W61" i="13"/>
  <c r="X46" i="13"/>
  <c r="P28" i="13"/>
  <c r="Y46" i="13"/>
  <c r="Y61" i="13"/>
  <c r="W40" i="13"/>
  <c r="X56" i="13"/>
  <c r="X45" i="13"/>
  <c r="P61" i="13"/>
  <c r="Y45" i="13"/>
  <c r="Z56" i="13"/>
  <c r="AA40" i="13"/>
  <c r="Z57" i="18"/>
  <c r="T62" i="18"/>
  <c r="P56" i="18"/>
  <c r="W58" i="18"/>
  <c r="X56" i="18"/>
  <c r="AA50" i="18"/>
  <c r="T36" i="18"/>
  <c r="T46" i="18"/>
  <c r="W52" i="18"/>
  <c r="R47" i="18"/>
  <c r="W54" i="18"/>
  <c r="T52" i="18"/>
  <c r="X36" i="18"/>
  <c r="X46" i="18"/>
  <c r="R52" i="18"/>
  <c r="W36" i="18"/>
  <c r="U31" i="18"/>
  <c r="V56" i="18"/>
  <c r="P31" i="18"/>
  <c r="V38" i="18"/>
  <c r="X49" i="18"/>
  <c r="T40" i="13"/>
  <c r="T59" i="13"/>
  <c r="AA44" i="13"/>
  <c r="X62" i="13"/>
  <c r="U45" i="13"/>
  <c r="X60" i="13"/>
  <c r="Z38" i="13"/>
  <c r="V54" i="13"/>
  <c r="R44" i="13"/>
  <c r="R55" i="13"/>
  <c r="S44" i="13"/>
  <c r="AA60" i="13"/>
  <c r="T44" i="13"/>
  <c r="T55" i="13"/>
  <c r="Q39" i="13"/>
  <c r="U52" i="13"/>
  <c r="R58" i="18"/>
  <c r="Z55" i="18"/>
  <c r="U57" i="18"/>
  <c r="Z59" i="18"/>
  <c r="X59" i="18"/>
  <c r="Z51" i="18"/>
  <c r="U37" i="18"/>
  <c r="W47" i="18"/>
  <c r="Q46" i="18"/>
  <c r="S59" i="18"/>
  <c r="AA39" i="18"/>
  <c r="T48" i="18"/>
  <c r="Y55" i="18"/>
  <c r="U53" i="18"/>
  <c r="X39" i="18"/>
  <c r="AA47" i="18"/>
  <c r="S53" i="18"/>
  <c r="Q52" i="18"/>
  <c r="V39" i="18"/>
  <c r="S34" i="18"/>
  <c r="P26" i="18"/>
  <c r="T37" i="18"/>
  <c r="P40" i="18"/>
  <c r="T41" i="18"/>
  <c r="V33" i="18"/>
  <c r="Q32" i="18"/>
  <c r="U42" i="13"/>
  <c r="V55" i="13"/>
  <c r="S36" i="13"/>
  <c r="W47" i="13"/>
  <c r="S60" i="13"/>
  <c r="R40" i="13"/>
  <c r="Q54" i="13"/>
  <c r="Y44" i="13"/>
  <c r="P58" i="13"/>
  <c r="R53" i="13"/>
  <c r="Y45" i="18"/>
  <c r="S45" i="13"/>
  <c r="Q48" i="13"/>
  <c r="P47" i="13"/>
  <c r="T41" i="13"/>
  <c r="AA61" i="13"/>
  <c r="P38" i="13"/>
  <c r="Q38" i="13"/>
  <c r="U31" i="13"/>
  <c r="Q60" i="13"/>
  <c r="Q59" i="18"/>
  <c r="Y59" i="18"/>
  <c r="X47" i="18"/>
  <c r="V59" i="18"/>
  <c r="V49" i="18"/>
  <c r="R44" i="18"/>
  <c r="P47" i="18"/>
  <c r="U43" i="18"/>
  <c r="P49" i="18"/>
  <c r="T60" i="18"/>
  <c r="Z52" i="18"/>
  <c r="W35" i="18"/>
  <c r="Q27" i="18"/>
  <c r="P35" i="13"/>
  <c r="Y58" i="13"/>
  <c r="V42" i="13"/>
  <c r="X55" i="13"/>
  <c r="P50" i="13"/>
  <c r="X44" i="18"/>
  <c r="Z39" i="18"/>
  <c r="P44" i="18"/>
  <c r="U40" i="18"/>
  <c r="S48" i="13"/>
  <c r="U51" i="13"/>
  <c r="W49" i="13"/>
  <c r="R46" i="13"/>
  <c r="AA55" i="18"/>
  <c r="Z61" i="18"/>
  <c r="W33" i="18"/>
  <c r="W41" i="18"/>
  <c r="Y35" i="18"/>
  <c r="V61" i="18"/>
  <c r="Q50" i="18"/>
  <c r="T35" i="18"/>
  <c r="W51" i="18"/>
  <c r="R46" i="18"/>
  <c r="W43" i="18"/>
  <c r="AA45" i="13"/>
  <c r="Z50" i="13"/>
  <c r="AA41" i="13"/>
  <c r="V37" i="13"/>
  <c r="V62" i="13"/>
  <c r="W62" i="13"/>
  <c r="P31" i="13"/>
  <c r="Y62" i="13"/>
  <c r="W56" i="13"/>
  <c r="U50" i="13"/>
  <c r="S52" i="13"/>
  <c r="U47" i="13"/>
  <c r="T54" i="18"/>
  <c r="R61" i="18"/>
  <c r="Y60" i="18"/>
  <c r="R32" i="18"/>
  <c r="Z40" i="18"/>
  <c r="V34" i="18"/>
  <c r="S51" i="18"/>
  <c r="P58" i="18"/>
  <c r="Q49" i="18"/>
  <c r="T32" i="18"/>
  <c r="U47" i="18"/>
  <c r="Y36" i="18"/>
  <c r="S31" i="18"/>
  <c r="T37" i="13"/>
  <c r="Y51" i="13"/>
  <c r="W42" i="13"/>
  <c r="V38" i="13"/>
  <c r="Q27" i="13"/>
  <c r="S34" i="13"/>
  <c r="W59" i="13"/>
  <c r="R31" i="13"/>
  <c r="P53" i="13"/>
  <c r="W50" i="13"/>
  <c r="X53" i="18"/>
  <c r="X58" i="18"/>
  <c r="W59" i="18"/>
  <c r="Q30" i="18"/>
  <c r="R49" i="13"/>
  <c r="R48" i="13"/>
  <c r="P42" i="13"/>
  <c r="W45" i="13"/>
  <c r="AA62" i="13"/>
  <c r="AA39" i="13"/>
  <c r="P39" i="13"/>
  <c r="T33" i="13"/>
  <c r="R61" i="13"/>
  <c r="Z58" i="18"/>
  <c r="V58" i="18"/>
  <c r="U46" i="18"/>
  <c r="Z53" i="18"/>
  <c r="U48" i="18"/>
  <c r="X43" i="18"/>
  <c r="Y46" i="18"/>
  <c r="Z42" i="18"/>
  <c r="AA48" i="18"/>
  <c r="AA54" i="18"/>
  <c r="X48" i="18"/>
  <c r="P29" i="18"/>
  <c r="Q34" i="18"/>
  <c r="R36" i="13"/>
  <c r="P59" i="13"/>
  <c r="AA58" i="13"/>
  <c r="P26" i="13"/>
  <c r="AA51" i="13"/>
  <c r="S62" i="13"/>
  <c r="P46" i="18"/>
  <c r="Y48" i="13"/>
  <c r="T60" i="13"/>
  <c r="S35" i="13"/>
  <c r="W46" i="13"/>
  <c r="R50" i="13"/>
  <c r="S49" i="13"/>
  <c r="W43" i="13"/>
  <c r="AA46" i="13"/>
  <c r="U48" i="13"/>
  <c r="Q46" i="13"/>
  <c r="X41" i="13"/>
  <c r="V57" i="18"/>
  <c r="R57" i="18"/>
  <c r="Q45" i="18"/>
  <c r="X52" i="18"/>
  <c r="S47" i="18"/>
  <c r="Q42" i="18"/>
  <c r="U45" i="18"/>
  <c r="R41" i="18"/>
  <c r="R45" i="18"/>
  <c r="X51" i="18"/>
  <c r="Z41" i="18"/>
  <c r="Y39" i="18"/>
  <c r="P32" i="18"/>
  <c r="R59" i="13"/>
  <c r="R30" i="13"/>
  <c r="S59" i="13"/>
  <c r="V51" i="18"/>
  <c r="Y44" i="18"/>
  <c r="V47" i="18"/>
  <c r="Q40" i="18"/>
  <c r="X37" i="18"/>
  <c r="P27" i="18"/>
  <c r="P43" i="13"/>
  <c r="W33" i="13"/>
  <c r="U60" i="13"/>
  <c r="P48" i="13"/>
  <c r="Q51" i="13"/>
  <c r="S50" i="13"/>
  <c r="Q44" i="13"/>
  <c r="R47" i="13"/>
  <c r="V49" i="13"/>
  <c r="T47" i="13"/>
  <c r="T42" i="13"/>
  <c r="S62" i="18"/>
  <c r="Y56" i="18"/>
  <c r="Q49" i="13"/>
  <c r="T54" i="13"/>
  <c r="Y53" i="13"/>
  <c r="Q47" i="13"/>
  <c r="T48" i="13"/>
  <c r="V50" i="13"/>
  <c r="Z45" i="13"/>
  <c r="U56" i="18"/>
  <c r="V55" i="18"/>
  <c r="Z62" i="18"/>
  <c r="R35" i="18"/>
  <c r="T44" i="18"/>
  <c r="P37" i="18"/>
  <c r="V53" i="18"/>
  <c r="V35" i="18"/>
  <c r="P51" i="18"/>
  <c r="S43" i="18"/>
  <c r="T43" i="18"/>
  <c r="R30" i="18"/>
  <c r="U35" i="18"/>
  <c r="Z37" i="18"/>
  <c r="V44" i="13"/>
  <c r="Z49" i="13"/>
  <c r="R35" i="13"/>
  <c r="U61" i="13"/>
  <c r="U36" i="13"/>
  <c r="V61" i="13"/>
  <c r="Q50" i="13"/>
  <c r="AA55" i="13"/>
  <c r="U54" i="13"/>
  <c r="U49" i="13"/>
  <c r="R62" i="18"/>
  <c r="U52" i="18"/>
  <c r="R37" i="18"/>
  <c r="U62" i="13"/>
  <c r="P30" i="18"/>
  <c r="V46" i="13"/>
  <c r="U46" i="13"/>
  <c r="Z41" i="13"/>
  <c r="S46" i="13"/>
  <c r="X42" i="18"/>
  <c r="Q44" i="18"/>
  <c r="T55" i="18"/>
  <c r="V50" i="18"/>
  <c r="T58" i="18"/>
  <c r="X58" i="13"/>
  <c r="T31" i="13"/>
  <c r="Z60" i="13"/>
  <c r="S30" i="13"/>
  <c r="R45" i="13"/>
  <c r="R43" i="13"/>
  <c r="Q40" i="13"/>
  <c r="S38" i="18"/>
  <c r="S46" i="18"/>
  <c r="AA57" i="18"/>
  <c r="U51" i="18"/>
  <c r="AA60" i="18"/>
  <c r="T57" i="13"/>
  <c r="Q29" i="13"/>
  <c r="P62" i="13"/>
  <c r="X59" i="13"/>
  <c r="S39" i="13"/>
  <c r="Q29" i="18"/>
  <c r="Y50" i="18"/>
  <c r="R48" i="18"/>
  <c r="Q37" i="18"/>
  <c r="S57" i="18"/>
  <c r="AA56" i="13"/>
  <c r="P37" i="13"/>
  <c r="U58" i="13"/>
  <c r="Y38" i="13"/>
  <c r="T53" i="13"/>
  <c r="Q36" i="18"/>
  <c r="Z47" i="18"/>
  <c r="W45" i="18"/>
  <c r="P53" i="18"/>
  <c r="W62" i="18"/>
  <c r="S57" i="13"/>
  <c r="Z36" i="13"/>
  <c r="Z61" i="13"/>
  <c r="W36" i="13"/>
  <c r="W52" i="13"/>
  <c r="U57" i="13"/>
  <c r="AA40" i="18"/>
  <c r="V37" i="18"/>
  <c r="P48" i="18"/>
  <c r="AA46" i="18"/>
  <c r="U60" i="18"/>
  <c r="AA52" i="18"/>
  <c r="U34" i="13"/>
  <c r="Y60" i="13"/>
  <c r="R34" i="13"/>
  <c r="P49" i="13"/>
  <c r="AA49" i="13"/>
  <c r="P56" i="13"/>
  <c r="T42" i="18"/>
  <c r="T40" i="18"/>
  <c r="AA44" i="18"/>
  <c r="R59" i="18"/>
  <c r="Z48" i="18"/>
  <c r="Q33" i="13"/>
  <c r="Q28" i="13"/>
  <c r="T30" i="13"/>
  <c r="AA48" i="13"/>
  <c r="Z48" i="13"/>
  <c r="Y50" i="13"/>
  <c r="U36" i="18"/>
  <c r="Q43" i="18"/>
  <c r="T45" i="18"/>
  <c r="U62" i="18"/>
  <c r="AA49" i="18"/>
  <c r="W34" i="13"/>
  <c r="M15" i="18"/>
  <c r="C25" i="9"/>
  <c r="K61" i="9"/>
  <c r="X61" i="9"/>
  <c r="M61" i="9"/>
  <c r="L14" i="18"/>
  <c r="AD34" i="18"/>
  <c r="AE32" i="18"/>
  <c r="S55" i="9"/>
  <c r="K64" i="9"/>
  <c r="AA64" i="9"/>
  <c r="Z64" i="9"/>
  <c r="X64" i="9"/>
  <c r="C8" i="9"/>
  <c r="D52" i="9"/>
  <c r="M63" i="9"/>
  <c r="I11" i="18"/>
  <c r="R27" i="13"/>
  <c r="AF33" i="18"/>
  <c r="R7" i="9"/>
  <c r="J61" i="9"/>
  <c r="AF38" i="18"/>
  <c r="G9" i="18"/>
  <c r="AH35" i="18"/>
  <c r="R55" i="9"/>
  <c r="M44" i="9"/>
  <c r="L44" i="9"/>
  <c r="K44" i="9"/>
  <c r="C9" i="9"/>
  <c r="J44" i="9"/>
  <c r="D55" i="9"/>
  <c r="M64" i="9"/>
  <c r="R54" i="9"/>
  <c r="L36" i="9"/>
  <c r="L114" i="9" s="1"/>
  <c r="J63" i="9"/>
  <c r="M45" i="9"/>
  <c r="L45" i="9"/>
  <c r="K45" i="9"/>
  <c r="C10" i="9"/>
  <c r="J45" i="9"/>
  <c r="AC35" i="13"/>
  <c r="AD36" i="18"/>
  <c r="N16" i="18"/>
  <c r="AK38" i="18"/>
  <c r="AA61" i="9"/>
  <c r="E52" i="9"/>
  <c r="AB34" i="13"/>
  <c r="AM45" i="18"/>
  <c r="F8" i="18"/>
  <c r="BG60" i="13"/>
  <c r="H8" i="18"/>
  <c r="Y30" i="18"/>
  <c r="J46" i="9"/>
  <c r="D36" i="9"/>
  <c r="D114" i="9" s="1"/>
  <c r="AJ42" i="18"/>
  <c r="O17" i="18"/>
  <c r="BI62" i="13"/>
  <c r="Z61" i="9"/>
  <c r="M46" i="9"/>
  <c r="F25" i="9"/>
  <c r="R34" i="9"/>
  <c r="R112" i="9" s="1"/>
  <c r="Z27" i="9"/>
  <c r="E25" i="9"/>
  <c r="M16" i="9"/>
  <c r="AL44" i="18"/>
  <c r="E7" i="18"/>
  <c r="L63" i="9"/>
  <c r="X16" i="9"/>
  <c r="Y61" i="9"/>
  <c r="K16" i="9"/>
  <c r="F52" i="9"/>
  <c r="R27" i="9"/>
  <c r="D35" i="9"/>
  <c r="D113" i="9" s="1"/>
  <c r="J64" i="9"/>
  <c r="L46" i="9"/>
  <c r="K46" i="9"/>
  <c r="E55" i="9"/>
  <c r="T26" i="9"/>
  <c r="T54" i="9"/>
  <c r="Y43" i="9"/>
  <c r="S7" i="9"/>
  <c r="D25" i="9"/>
  <c r="Q37" i="9"/>
  <c r="Q115" i="9" s="1"/>
  <c r="Z16" i="9"/>
  <c r="C52" i="9"/>
  <c r="AH40" i="18"/>
  <c r="H10" i="18"/>
  <c r="AK43" i="13"/>
  <c r="BA56" i="18"/>
  <c r="AZ61" i="13"/>
  <c r="BG62" i="13"/>
  <c r="BA62" i="18"/>
  <c r="BH61" i="13"/>
  <c r="BF61" i="13"/>
  <c r="BG60" i="18"/>
  <c r="BH61" i="18"/>
  <c r="AZ53" i="13"/>
  <c r="BC58" i="18"/>
  <c r="BD57" i="13"/>
  <c r="BE60" i="18"/>
  <c r="BA54" i="18"/>
  <c r="BI62" i="18"/>
  <c r="AZ62" i="13"/>
  <c r="BB57" i="18"/>
  <c r="BA54" i="13"/>
  <c r="BD59" i="18"/>
  <c r="BC56" i="13"/>
  <c r="BD59" i="13"/>
  <c r="BG62" i="18"/>
  <c r="BF59" i="18"/>
  <c r="AZ55" i="13"/>
  <c r="BC58" i="13"/>
  <c r="BC56" i="18"/>
  <c r="BB57" i="13"/>
  <c r="BB55" i="18"/>
  <c r="BE60" i="13"/>
  <c r="AR51" i="13"/>
  <c r="AV48" i="13"/>
  <c r="AX50" i="13"/>
  <c r="AY58" i="18"/>
  <c r="AO41" i="13"/>
  <c r="AQ43" i="13"/>
  <c r="AU54" i="13"/>
  <c r="AX52" i="13"/>
  <c r="AW49" i="18"/>
  <c r="AN42" i="13"/>
  <c r="AU54" i="18"/>
  <c r="AN62" i="13"/>
  <c r="AO53" i="13"/>
  <c r="AQ53" i="13"/>
  <c r="AU57" i="13"/>
  <c r="AN41" i="13"/>
  <c r="AV56" i="13"/>
  <c r="AN47" i="18"/>
  <c r="AO58" i="13"/>
  <c r="AO53" i="18"/>
  <c r="AW50" i="18"/>
  <c r="AR52" i="13"/>
  <c r="AR51" i="18"/>
  <c r="AT60" i="13"/>
  <c r="AN55" i="18"/>
  <c r="AP56" i="13"/>
  <c r="AV49" i="18"/>
  <c r="AY59" i="13"/>
  <c r="AT56" i="13"/>
  <c r="AP59" i="18"/>
  <c r="AU48" i="18"/>
  <c r="AT54" i="18"/>
  <c r="AO48" i="13"/>
  <c r="AQ58" i="13"/>
  <c r="AS62" i="18"/>
  <c r="AN41" i="18"/>
  <c r="AV56" i="18"/>
  <c r="AN47" i="13"/>
  <c r="AP52" i="13"/>
  <c r="AO62" i="18"/>
  <c r="AN56" i="13"/>
  <c r="AT47" i="18"/>
  <c r="AY59" i="18"/>
  <c r="AQ50" i="13"/>
  <c r="AP55" i="13"/>
  <c r="AV58" i="18"/>
  <c r="AI40" i="18"/>
  <c r="AE36" i="18"/>
  <c r="AB33" i="18"/>
  <c r="AC34" i="18"/>
  <c r="AH39" i="18"/>
  <c r="AG37" i="13"/>
  <c r="AK42" i="18"/>
  <c r="AE36" i="13"/>
  <c r="AJ37" i="13"/>
  <c r="AK38" i="13"/>
  <c r="AI39" i="18"/>
  <c r="AG37" i="18"/>
  <c r="AD31" i="13"/>
  <c r="AG34" i="13"/>
  <c r="AB37" i="18"/>
  <c r="AM48" i="13"/>
  <c r="AD39" i="18"/>
  <c r="AL39" i="18"/>
  <c r="AH43" i="13"/>
  <c r="AB29" i="13"/>
  <c r="AB34" i="18"/>
  <c r="AL44" i="13"/>
  <c r="AK46" i="13"/>
  <c r="AI44" i="18"/>
  <c r="AF33" i="13"/>
  <c r="AE40" i="13"/>
  <c r="AC38" i="18"/>
  <c r="AL47" i="13"/>
  <c r="AL39" i="13"/>
  <c r="AG42" i="18"/>
  <c r="AC30" i="18"/>
  <c r="AJ42" i="13"/>
  <c r="AG39" i="18"/>
  <c r="AF41" i="13"/>
  <c r="AF41" i="18"/>
  <c r="AM40" i="13"/>
  <c r="AI44" i="13"/>
  <c r="AJ45" i="18"/>
  <c r="AE37" i="13"/>
  <c r="AC35" i="18"/>
  <c r="AH40" i="13"/>
  <c r="AB37" i="13"/>
  <c r="AE40" i="18"/>
  <c r="AC30" i="13"/>
  <c r="AJ45" i="13"/>
  <c r="AM48" i="18"/>
  <c r="AC38" i="13"/>
  <c r="AL47" i="18"/>
  <c r="AD31" i="18"/>
  <c r="AG39" i="13"/>
  <c r="AE37" i="18"/>
  <c r="AD39" i="13"/>
  <c r="AI36" i="13"/>
  <c r="AI36" i="18"/>
  <c r="Q22" i="18"/>
  <c r="P21" i="18"/>
  <c r="Z55" i="13"/>
  <c r="Z44" i="13"/>
  <c r="T25" i="18"/>
  <c r="V60" i="13"/>
  <c r="S27" i="18"/>
  <c r="AA31" i="13"/>
  <c r="P20" i="13"/>
  <c r="X28" i="13"/>
  <c r="U25" i="18"/>
  <c r="S27" i="13"/>
  <c r="Z30" i="18"/>
  <c r="P24" i="18"/>
  <c r="P20" i="18"/>
  <c r="T28" i="18"/>
  <c r="Y33" i="18"/>
  <c r="Y34" i="13"/>
  <c r="X32" i="18"/>
  <c r="AA36" i="18"/>
  <c r="P22" i="13"/>
  <c r="U29" i="18"/>
  <c r="K11" i="18"/>
  <c r="G7" i="18"/>
  <c r="J10" i="18"/>
  <c r="J15" i="18"/>
  <c r="O20" i="18"/>
  <c r="D9" i="18"/>
  <c r="L21" i="18"/>
  <c r="M16" i="18"/>
  <c r="E14" i="18"/>
  <c r="F7" i="18"/>
  <c r="D7" i="18"/>
  <c r="G10" i="18"/>
  <c r="L15" i="18"/>
  <c r="O18" i="18"/>
  <c r="K14" i="18"/>
  <c r="H11" i="18"/>
  <c r="F9" i="18"/>
  <c r="E8" i="18"/>
  <c r="N17" i="18"/>
  <c r="I12" i="18"/>
  <c r="E6" i="18"/>
  <c r="G16" i="18"/>
  <c r="G8" i="18"/>
  <c r="M18" i="18"/>
  <c r="E10" i="18"/>
  <c r="N19" i="18"/>
  <c r="L17" i="18"/>
  <c r="G12" i="18"/>
  <c r="H13" i="18"/>
  <c r="O24" i="18"/>
  <c r="F11" i="18"/>
  <c r="K16" i="18"/>
  <c r="J11" i="18"/>
  <c r="O15" i="18"/>
  <c r="E5" i="18"/>
  <c r="I9" i="18"/>
  <c r="F6" i="18"/>
  <c r="K18" i="18"/>
  <c r="Z28" i="9"/>
  <c r="B27" i="9"/>
  <c r="E27" i="9"/>
  <c r="D27" i="9"/>
  <c r="F27" i="9"/>
  <c r="L8" i="9"/>
  <c r="M8" i="9"/>
  <c r="AM39" i="18"/>
  <c r="AD30" i="13"/>
  <c r="AE31" i="18"/>
  <c r="AI35" i="13"/>
  <c r="AC29" i="18"/>
  <c r="AJ36" i="13"/>
  <c r="AH34" i="18"/>
  <c r="AG33" i="13"/>
  <c r="AL38" i="13"/>
  <c r="AG33" i="18"/>
  <c r="AK37" i="18"/>
  <c r="AC29" i="13"/>
  <c r="AJ36" i="18"/>
  <c r="AM39" i="13"/>
  <c r="AD30" i="18"/>
  <c r="AK37" i="13"/>
  <c r="AL38" i="18"/>
  <c r="AH34" i="13"/>
  <c r="AB28" i="18"/>
  <c r="AE31" i="13"/>
  <c r="BC61" i="18"/>
  <c r="BD62" i="18"/>
  <c r="BB60" i="18"/>
  <c r="AZ58" i="18"/>
  <c r="BC61" i="13"/>
  <c r="AZ58" i="13"/>
  <c r="BB60" i="13"/>
  <c r="BD62" i="13"/>
  <c r="BA59" i="13"/>
  <c r="AT50" i="13"/>
  <c r="BA59" i="18"/>
  <c r="AP46" i="13"/>
  <c r="C27" i="9"/>
  <c r="AF32" i="18"/>
  <c r="R8" i="9"/>
  <c r="Q8" i="9"/>
  <c r="T8" i="9"/>
  <c r="C7" i="9"/>
  <c r="D7" i="9"/>
  <c r="AV52" i="18"/>
  <c r="AQ47" i="13"/>
  <c r="AO45" i="13"/>
  <c r="AX54" i="13"/>
  <c r="AU51" i="13"/>
  <c r="AS49" i="18"/>
  <c r="AS49" i="13"/>
  <c r="AR48" i="18"/>
  <c r="AR48" i="13"/>
  <c r="AU51" i="18"/>
  <c r="AW53" i="18"/>
  <c r="AW53" i="13"/>
  <c r="AV52" i="13"/>
  <c r="AX54" i="18"/>
  <c r="AO45" i="18"/>
  <c r="AN44" i="18"/>
  <c r="AN44" i="13"/>
  <c r="AP46" i="18"/>
  <c r="AY55" i="13"/>
  <c r="AY55" i="18"/>
  <c r="Q36" i="9"/>
  <c r="Q114" i="9" s="1"/>
  <c r="AF32" i="13"/>
  <c r="AQ47" i="18"/>
  <c r="AB28" i="13"/>
  <c r="AI35" i="18"/>
  <c r="Q9" i="9"/>
  <c r="S9" i="9"/>
  <c r="T9" i="9"/>
  <c r="I62" i="9"/>
  <c r="L62" i="9"/>
  <c r="K62" i="9"/>
  <c r="M62" i="9"/>
  <c r="J62" i="9"/>
  <c r="Z52" i="9"/>
  <c r="AA52" i="9"/>
  <c r="L37" i="9"/>
  <c r="L115" i="9" s="1"/>
  <c r="M37" i="9"/>
  <c r="M115" i="9" s="1"/>
  <c r="W62" i="9"/>
  <c r="Z62" i="9"/>
  <c r="Y62" i="9"/>
  <c r="X62" i="9"/>
  <c r="C16" i="13"/>
  <c r="B17" i="16" s="1"/>
  <c r="U25" i="13"/>
  <c r="AS53" i="13"/>
  <c r="AN60" i="13"/>
  <c r="J28" i="1"/>
  <c r="B29" i="5"/>
  <c r="AW58" i="18"/>
  <c r="AS46" i="18"/>
  <c r="S23" i="13"/>
  <c r="V26" i="18"/>
  <c r="AN48" i="13"/>
  <c r="AN48" i="18"/>
  <c r="R24" i="18"/>
  <c r="AS56" i="13"/>
  <c r="AO52" i="13"/>
  <c r="AY61" i="13"/>
  <c r="AO62" i="13"/>
  <c r="AN54" i="13"/>
  <c r="AN58" i="13"/>
  <c r="AP56" i="18"/>
  <c r="AY62" i="18"/>
  <c r="AR62" i="18"/>
  <c r="U27" i="13"/>
  <c r="O37" i="1"/>
  <c r="AO50" i="13"/>
  <c r="S23" i="18"/>
  <c r="AW57" i="18"/>
  <c r="AO57" i="18"/>
  <c r="K43" i="9"/>
  <c r="C16" i="18"/>
  <c r="P33" i="1"/>
  <c r="C13" i="4" s="1"/>
  <c r="G15" i="16" s="1"/>
  <c r="V26" i="13"/>
  <c r="R22" i="18"/>
  <c r="AO49" i="13"/>
  <c r="AO49" i="18"/>
  <c r="S25" i="18"/>
  <c r="L12" i="18"/>
  <c r="AP58" i="13"/>
  <c r="AO55" i="13"/>
  <c r="AY62" i="13"/>
  <c r="AP53" i="13"/>
  <c r="AO59" i="13"/>
  <c r="AQ59" i="13"/>
  <c r="AT56" i="18"/>
  <c r="AP57" i="18"/>
  <c r="AO58" i="18"/>
  <c r="Y29" i="13"/>
  <c r="AU55" i="18"/>
  <c r="AV60" i="13"/>
  <c r="AQ57" i="13"/>
  <c r="AS61" i="13"/>
  <c r="AN57" i="18"/>
  <c r="AN54" i="18"/>
  <c r="T24" i="13"/>
  <c r="AX58" i="18"/>
  <c r="AW61" i="13"/>
  <c r="AU58" i="13"/>
  <c r="AN50" i="13"/>
  <c r="AX61" i="18"/>
  <c r="V28" i="13"/>
  <c r="AW62" i="13"/>
  <c r="AQ62" i="13"/>
  <c r="AT59" i="18"/>
  <c r="AR61" i="18"/>
  <c r="AA18" i="9"/>
  <c r="X45" i="9"/>
  <c r="AA54" i="9"/>
  <c r="C17" i="19"/>
  <c r="AR45" i="13"/>
  <c r="BF59" i="13"/>
  <c r="AZ53" i="18"/>
  <c r="R22" i="13"/>
  <c r="W27" i="18"/>
  <c r="AW57" i="13"/>
  <c r="AR52" i="18"/>
  <c r="X30" i="18"/>
  <c r="M13" i="18"/>
  <c r="I10" i="18"/>
  <c r="AS59" i="13"/>
  <c r="AN57" i="13"/>
  <c r="AQ55" i="13"/>
  <c r="AR57" i="13"/>
  <c r="AQ60" i="13"/>
  <c r="AS60" i="13"/>
  <c r="AS60" i="18"/>
  <c r="AW59" i="18"/>
  <c r="AU61" i="18"/>
  <c r="AR54" i="13"/>
  <c r="AP54" i="13"/>
  <c r="AO42" i="13"/>
  <c r="W27" i="13"/>
  <c r="AA31" i="18"/>
  <c r="AP50" i="13"/>
  <c r="AS53" i="18"/>
  <c r="Q23" i="18"/>
  <c r="AN51" i="13"/>
  <c r="AU60" i="13"/>
  <c r="AR58" i="13"/>
  <c r="AT58" i="13"/>
  <c r="AO60" i="13"/>
  <c r="AR61" i="13"/>
  <c r="AT61" i="13"/>
  <c r="AO54" i="18"/>
  <c r="AN61" i="18"/>
  <c r="AU62" i="18"/>
  <c r="P30" i="1"/>
  <c r="C10" i="4" s="1"/>
  <c r="G12" i="16" s="1"/>
  <c r="P24" i="13"/>
  <c r="AQ44" i="13"/>
  <c r="AE35" i="13"/>
  <c r="BB55" i="13"/>
  <c r="BE58" i="18"/>
  <c r="Z30" i="13"/>
  <c r="Q21" i="18"/>
  <c r="AQ51" i="13"/>
  <c r="AP50" i="18"/>
  <c r="T26" i="18"/>
  <c r="N14" i="18"/>
  <c r="H9" i="18"/>
  <c r="AQ54" i="13"/>
  <c r="AV61" i="13"/>
  <c r="AX61" i="13"/>
  <c r="AW59" i="13"/>
  <c r="AP61" i="13"/>
  <c r="AR62" i="13"/>
  <c r="AT62" i="13"/>
  <c r="AS61" i="18"/>
  <c r="AN62" i="18"/>
  <c r="AS56" i="18"/>
  <c r="AU61" i="13"/>
  <c r="AT59" i="13"/>
  <c r="AO57" i="13"/>
  <c r="AR55" i="13"/>
  <c r="AS57" i="13"/>
  <c r="AR60" i="13"/>
  <c r="AN52" i="18"/>
  <c r="AO55" i="18"/>
  <c r="AO60" i="18"/>
  <c r="C17" i="14"/>
  <c r="I38" i="1"/>
  <c r="T24" i="18"/>
  <c r="AU55" i="13"/>
  <c r="X30" i="13"/>
  <c r="AU62" i="13"/>
  <c r="AS58" i="13"/>
  <c r="AN59" i="13"/>
  <c r="AW61" i="18"/>
  <c r="Y29" i="18"/>
  <c r="AX58" i="13"/>
  <c r="Z32" i="13"/>
  <c r="AO51" i="13"/>
  <c r="AV59" i="13"/>
  <c r="AQ61" i="13"/>
  <c r="AN50" i="18"/>
  <c r="AO56" i="18"/>
  <c r="AX60" i="13"/>
  <c r="T27" i="9"/>
  <c r="F55" i="9"/>
  <c r="K63" i="9"/>
  <c r="T28" i="9"/>
  <c r="L43" i="9"/>
  <c r="Z43" i="9"/>
  <c r="Q25" i="13"/>
  <c r="AX51" i="13"/>
  <c r="AH38" i="18"/>
  <c r="BE58" i="13"/>
  <c r="Q21" i="13"/>
  <c r="AZ55" i="18"/>
  <c r="AT54" i="13"/>
  <c r="H15" i="18"/>
  <c r="O16" i="18"/>
  <c r="AR56" i="13"/>
  <c r="AN55" i="13"/>
  <c r="AX62" i="13"/>
  <c r="AN61" i="13"/>
  <c r="AP62" i="13"/>
  <c r="AO54" i="13"/>
  <c r="AP54" i="18"/>
  <c r="AQ53" i="18"/>
  <c r="AN60" i="18"/>
  <c r="AS59" i="18"/>
  <c r="R59" i="12"/>
  <c r="BA56" i="13"/>
  <c r="AQ50" i="18"/>
  <c r="AV62" i="13"/>
  <c r="AW60" i="13"/>
  <c r="AP57" i="13"/>
  <c r="AS55" i="13"/>
  <c r="AT57" i="13"/>
  <c r="AQ56" i="13"/>
  <c r="AN51" i="18"/>
  <c r="AW60" i="18"/>
  <c r="AP61" i="18"/>
  <c r="AT53" i="13"/>
  <c r="AW56" i="13"/>
  <c r="AV55" i="18"/>
  <c r="AS52" i="13"/>
  <c r="AW56" i="18"/>
  <c r="AX57" i="18"/>
  <c r="AY58" i="13"/>
  <c r="AQ56" i="18"/>
  <c r="AX62" i="18"/>
  <c r="AN56" i="18"/>
  <c r="AN53" i="18"/>
  <c r="AU57" i="18"/>
  <c r="AY61" i="18"/>
  <c r="AP60" i="18"/>
  <c r="AT46" i="13"/>
  <c r="AO41" i="18"/>
  <c r="AT46" i="18"/>
  <c r="AQ54" i="18"/>
  <c r="AO52" i="18"/>
  <c r="AQ55" i="18"/>
  <c r="AQ62" i="18"/>
  <c r="AO51" i="18"/>
  <c r="AS57" i="18"/>
  <c r="AR54" i="18"/>
  <c r="AU47" i="13"/>
  <c r="AR59" i="13"/>
  <c r="AN52" i="13"/>
  <c r="AU59" i="13"/>
  <c r="AN53" i="13"/>
  <c r="AO61" i="13"/>
  <c r="AP60" i="13"/>
  <c r="AP59" i="13"/>
  <c r="AN58" i="18"/>
  <c r="AR60" i="18"/>
  <c r="AU59" i="18"/>
  <c r="AU58" i="18"/>
  <c r="AT57" i="18"/>
  <c r="AQ59" i="18"/>
  <c r="AP53" i="18"/>
  <c r="AS58" i="18"/>
  <c r="AS55" i="18"/>
  <c r="AO59" i="18"/>
  <c r="AV61" i="18"/>
  <c r="AT62" i="18"/>
  <c r="AP52" i="18"/>
  <c r="AV59" i="18"/>
  <c r="AR57" i="18"/>
  <c r="AQ60" i="18"/>
  <c r="AV62" i="18"/>
  <c r="AP51" i="13"/>
  <c r="AS54" i="13"/>
  <c r="AU56" i="13"/>
  <c r="AW58" i="13"/>
  <c r="AN49" i="13"/>
  <c r="AV57" i="13"/>
  <c r="AN49" i="18"/>
  <c r="AS45" i="18"/>
  <c r="AR53" i="18"/>
  <c r="AP42" i="18"/>
  <c r="AO50" i="18"/>
  <c r="AP42" i="13"/>
  <c r="AR44" i="18"/>
  <c r="AP51" i="18"/>
  <c r="AP49" i="13"/>
  <c r="AS52" i="18"/>
  <c r="AR44" i="13"/>
  <c r="AX50" i="18"/>
  <c r="AT61" i="18"/>
  <c r="AV60" i="18"/>
  <c r="AR58" i="18"/>
  <c r="AT58" i="18"/>
  <c r="AP62" i="18"/>
  <c r="AR56" i="18"/>
  <c r="AN40" i="18"/>
  <c r="AP58" i="18"/>
  <c r="AW49" i="13"/>
  <c r="AU47" i="18"/>
  <c r="AV58" i="13"/>
  <c r="AO56" i="13"/>
  <c r="AS62" i="13"/>
  <c r="AQ58" i="18"/>
  <c r="AW62" i="18"/>
  <c r="AR55" i="18"/>
  <c r="AP55" i="18"/>
  <c r="AQ57" i="18"/>
  <c r="AN59" i="18"/>
  <c r="AR59" i="18"/>
  <c r="AY51" i="13"/>
  <c r="AX60" i="18"/>
  <c r="AO61" i="18"/>
  <c r="AQ61" i="18"/>
  <c r="AU48" i="13"/>
  <c r="AN40" i="13"/>
  <c r="AQ43" i="18"/>
  <c r="AY51" i="18"/>
  <c r="AY52" i="13"/>
  <c r="AY52" i="18"/>
  <c r="AX57" i="13"/>
  <c r="AS45" i="13"/>
  <c r="AQ52" i="18"/>
  <c r="AQ52" i="13"/>
  <c r="AV57" i="18"/>
  <c r="AY60" i="13"/>
  <c r="AS54" i="18"/>
  <c r="AX59" i="13"/>
  <c r="AU56" i="18"/>
  <c r="AT55" i="13"/>
  <c r="AY60" i="18"/>
  <c r="AT55" i="18"/>
  <c r="AS46" i="13"/>
  <c r="AP43" i="18"/>
  <c r="AV49" i="13"/>
  <c r="AX51" i="18"/>
  <c r="AT47" i="13"/>
  <c r="AR45" i="18"/>
  <c r="AW50" i="13"/>
  <c r="AO42" i="18"/>
  <c r="AR53" i="13"/>
  <c r="AP43" i="13"/>
  <c r="AB32" i="13"/>
  <c r="AF36" i="13"/>
  <c r="AF36" i="18"/>
  <c r="AI39" i="13"/>
  <c r="AM43" i="13"/>
  <c r="AB29" i="18"/>
  <c r="AG34" i="18"/>
  <c r="AK41" i="13"/>
  <c r="AJ40" i="18"/>
  <c r="AH38" i="13"/>
  <c r="AD34" i="13"/>
  <c r="AK41" i="18"/>
  <c r="AL42" i="13"/>
  <c r="AM43" i="18"/>
  <c r="AC33" i="13"/>
  <c r="AB32" i="18"/>
  <c r="AJ40" i="13"/>
  <c r="AC33" i="18"/>
  <c r="AH35" i="13"/>
  <c r="AJ37" i="18"/>
  <c r="AL42" i="18"/>
  <c r="V30" i="18"/>
  <c r="Y34" i="18"/>
  <c r="V31" i="13"/>
  <c r="T29" i="13"/>
  <c r="P25" i="13"/>
  <c r="Q25" i="18"/>
  <c r="X33" i="18"/>
  <c r="R26" i="18"/>
  <c r="Z35" i="13"/>
  <c r="V31" i="18"/>
  <c r="S28" i="18"/>
  <c r="W32" i="18"/>
  <c r="V30" i="13"/>
  <c r="U30" i="13"/>
  <c r="P25" i="18"/>
  <c r="X32" i="13"/>
  <c r="W32" i="13"/>
  <c r="U30" i="18"/>
  <c r="T28" i="13"/>
  <c r="S28" i="13"/>
  <c r="R27" i="18"/>
  <c r="T25" i="13"/>
  <c r="Z31" i="13"/>
  <c r="R23" i="18"/>
  <c r="X29" i="13"/>
  <c r="V27" i="13"/>
  <c r="P21" i="13"/>
  <c r="U26" i="18"/>
  <c r="W28" i="13"/>
  <c r="Z34" i="13"/>
  <c r="X33" i="13"/>
  <c r="Z35" i="18"/>
  <c r="Y31" i="13"/>
  <c r="Z32" i="18"/>
  <c r="U29" i="13"/>
  <c r="Q26" i="13"/>
  <c r="Q26" i="18"/>
  <c r="W29" i="13"/>
  <c r="P22" i="18"/>
  <c r="BB20" i="14"/>
  <c r="BQ25" i="19"/>
  <c r="BW27" i="19"/>
  <c r="R24" i="13"/>
  <c r="U27" i="18"/>
  <c r="AY19" i="17"/>
  <c r="AP16" i="17"/>
  <c r="S25" i="13"/>
  <c r="Y31" i="18"/>
  <c r="AA33" i="13"/>
  <c r="V28" i="18"/>
  <c r="Q23" i="13"/>
  <c r="AA33" i="18"/>
  <c r="BH22" i="14"/>
  <c r="Y33" i="13"/>
  <c r="W31" i="18"/>
  <c r="T23" i="13"/>
  <c r="AA36" i="13"/>
  <c r="T26" i="13"/>
  <c r="W26" i="18"/>
  <c r="W26" i="13"/>
  <c r="H18" i="12"/>
  <c r="R17" i="12"/>
  <c r="BE21" i="14"/>
  <c r="AP16" i="19"/>
  <c r="P19" i="13"/>
  <c r="S22" i="18"/>
  <c r="BN24" i="14"/>
  <c r="BN24" i="19"/>
  <c r="Z29" i="13"/>
  <c r="R54" i="13"/>
  <c r="S32" i="13"/>
  <c r="R56" i="13"/>
  <c r="X44" i="13"/>
  <c r="Q30" i="13"/>
  <c r="P54" i="13"/>
  <c r="W44" i="13"/>
  <c r="Q35" i="13"/>
  <c r="R60" i="13"/>
  <c r="X48" i="13"/>
  <c r="R39" i="18"/>
  <c r="V44" i="18"/>
  <c r="R28" i="18"/>
  <c r="X34" i="18"/>
  <c r="AA45" i="18"/>
  <c r="W38" i="18"/>
  <c r="T30" i="18"/>
  <c r="R36" i="18"/>
  <c r="T33" i="18"/>
  <c r="T34" i="18"/>
  <c r="Y47" i="18"/>
  <c r="W46" i="18"/>
  <c r="X38" i="18"/>
  <c r="R50" i="18"/>
  <c r="Y38" i="18"/>
  <c r="S50" i="18"/>
  <c r="T50" i="18"/>
  <c r="U41" i="18"/>
  <c r="W53" i="18"/>
  <c r="R42" i="18"/>
  <c r="Y54" i="18"/>
  <c r="Z43" i="18"/>
  <c r="R56" i="18"/>
  <c r="Z56" i="18"/>
  <c r="W42" i="18"/>
  <c r="Q54" i="18"/>
  <c r="U58" i="18"/>
  <c r="P62" i="18"/>
  <c r="Q60" i="18"/>
  <c r="Q56" i="18"/>
  <c r="V60" i="18"/>
  <c r="X61" i="18"/>
  <c r="Z54" i="13"/>
  <c r="AA43" i="13"/>
  <c r="W58" i="13"/>
  <c r="V48" i="13"/>
  <c r="P36" i="13"/>
  <c r="V58" i="13"/>
  <c r="P46" i="13"/>
  <c r="V34" i="13"/>
  <c r="AA53" i="13"/>
  <c r="Q42" i="13"/>
  <c r="P57" i="13"/>
  <c r="V45" i="13"/>
  <c r="T34" i="13"/>
  <c r="R51" i="13"/>
  <c r="V40" i="13"/>
  <c r="BQ25" i="17"/>
  <c r="AA52" i="13"/>
  <c r="U40" i="13"/>
  <c r="Z52" i="13"/>
  <c r="Y42" i="13"/>
  <c r="W31" i="13"/>
  <c r="AA35" i="18"/>
  <c r="V25" i="13"/>
  <c r="T23" i="18"/>
  <c r="AA32" i="13"/>
  <c r="S24" i="18"/>
  <c r="AY19" i="19"/>
  <c r="S22" i="13"/>
  <c r="X27" i="18"/>
  <c r="BE21" i="17"/>
  <c r="AV18" i="19"/>
  <c r="U59" i="13"/>
  <c r="AA47" i="13"/>
  <c r="U35" i="13"/>
  <c r="Q58" i="13"/>
  <c r="Z47" i="13"/>
  <c r="W37" i="13"/>
  <c r="X27" i="13"/>
  <c r="R21" i="18"/>
  <c r="S24" i="13"/>
  <c r="X29" i="18"/>
  <c r="BH22" i="19"/>
  <c r="BQ25" i="14"/>
  <c r="BK23" i="17"/>
  <c r="AA30" i="13"/>
  <c r="Y28" i="18"/>
  <c r="BT26" i="17"/>
  <c r="BE21" i="19"/>
  <c r="X35" i="13"/>
  <c r="Z62" i="13"/>
  <c r="T50" i="13"/>
  <c r="Y39" i="13"/>
  <c r="V56" i="13"/>
  <c r="P44" i="13"/>
  <c r="V32" i="13"/>
  <c r="Z57" i="13"/>
  <c r="T45" i="13"/>
  <c r="U32" i="13"/>
  <c r="BB20" i="17"/>
  <c r="T56" i="13"/>
  <c r="T35" i="13"/>
  <c r="R21" i="13"/>
  <c r="Z29" i="18"/>
  <c r="R23" i="13"/>
  <c r="V27" i="18"/>
  <c r="AP16" i="14"/>
  <c r="BN24" i="17"/>
  <c r="BK23" i="19"/>
  <c r="Y28" i="13"/>
  <c r="Q20" i="18"/>
  <c r="U26" i="13"/>
  <c r="Z31" i="18"/>
  <c r="AY19" i="14"/>
  <c r="AS17" i="17"/>
  <c r="BT26" i="14"/>
  <c r="BT26" i="19"/>
  <c r="BB20" i="19"/>
  <c r="BW27" i="14"/>
  <c r="Q20" i="13"/>
  <c r="U24" i="18"/>
  <c r="Q22" i="13"/>
  <c r="AA32" i="18"/>
  <c r="AV18" i="14"/>
  <c r="V25" i="18"/>
  <c r="P19" i="18"/>
  <c r="BH22" i="17"/>
  <c r="AV18" i="17"/>
  <c r="Y55" i="13"/>
  <c r="S43" i="13"/>
  <c r="P34" i="13"/>
  <c r="W57" i="13"/>
  <c r="Q45" i="13"/>
  <c r="R32" i="13"/>
  <c r="AS17" i="19"/>
  <c r="W55" i="13"/>
  <c r="P45" i="13"/>
  <c r="S61" i="13"/>
  <c r="Y49" i="13"/>
  <c r="S38" i="13"/>
  <c r="P33" i="18"/>
  <c r="P42" i="18"/>
  <c r="V45" i="18"/>
  <c r="V32" i="18"/>
  <c r="X41" i="18"/>
  <c r="S37" i="18"/>
  <c r="S56" i="18"/>
  <c r="P34" i="18"/>
  <c r="S32" i="18"/>
  <c r="U33" i="18"/>
  <c r="V46" i="18"/>
  <c r="S45" i="18"/>
  <c r="U61" i="18"/>
  <c r="R49" i="18"/>
  <c r="Y37" i="18"/>
  <c r="S49" i="18"/>
  <c r="T49" i="18"/>
  <c r="X40" i="18"/>
  <c r="V52" i="18"/>
  <c r="V41" i="18"/>
  <c r="Y53" i="18"/>
  <c r="S42" i="18"/>
  <c r="Z54" i="18"/>
  <c r="P54" i="18"/>
  <c r="AA41" i="18"/>
  <c r="Q53" i="18"/>
  <c r="Q57" i="18"/>
  <c r="P61" i="18"/>
  <c r="AA59" i="18"/>
  <c r="W55" i="18"/>
  <c r="T59" i="18"/>
  <c r="W60" i="18"/>
  <c r="U55" i="13"/>
  <c r="U44" i="13"/>
  <c r="R29" i="13"/>
  <c r="Z59" i="13"/>
  <c r="Q37" i="13"/>
  <c r="Y59" i="13"/>
  <c r="S47" i="13"/>
  <c r="Y35" i="13"/>
  <c r="X43" i="13"/>
  <c r="R28" i="13"/>
  <c r="T58" i="13"/>
  <c r="Z46" i="13"/>
  <c r="W35" i="13"/>
  <c r="P52" i="13"/>
  <c r="X53" i="13"/>
  <c r="R41" i="13"/>
  <c r="T43" i="13"/>
  <c r="P27" i="13"/>
  <c r="BW27" i="17"/>
  <c r="AA35" i="13"/>
  <c r="U24" i="13"/>
  <c r="Y30" i="13"/>
  <c r="AS17" i="14"/>
  <c r="M22" i="18"/>
  <c r="K12" i="18"/>
  <c r="D5" i="18"/>
  <c r="N15" i="18"/>
  <c r="F15" i="18"/>
  <c r="M20" i="18"/>
  <c r="H17" i="18"/>
  <c r="N23" i="18"/>
  <c r="L19" i="18"/>
  <c r="D13" i="18"/>
  <c r="F13" i="18"/>
  <c r="G14" i="18"/>
  <c r="O22" i="18"/>
  <c r="I16" i="18"/>
  <c r="E12" i="18"/>
  <c r="D11" i="18"/>
  <c r="J12" i="18"/>
  <c r="I18" i="18"/>
  <c r="K13" i="18"/>
  <c r="K20" i="18"/>
  <c r="J17" i="18"/>
  <c r="J24" i="1"/>
  <c r="E12" i="15"/>
  <c r="N34" i="20"/>
  <c r="M34" i="20"/>
  <c r="F20" i="15"/>
  <c r="H20" i="15" s="1"/>
  <c r="AM41" i="18"/>
  <c r="AD32" i="18"/>
  <c r="AL40" i="18"/>
  <c r="AE33" i="18"/>
  <c r="AJ38" i="18"/>
  <c r="AK39" i="18"/>
  <c r="AH36" i="18"/>
  <c r="AC31" i="18"/>
  <c r="AI37" i="18"/>
  <c r="AB30" i="18"/>
  <c r="AF34" i="18"/>
  <c r="AG35" i="18"/>
  <c r="AM41" i="13"/>
  <c r="AD32" i="13"/>
  <c r="AB30" i="13"/>
  <c r="AL40" i="13"/>
  <c r="AE33" i="13"/>
  <c r="AK39" i="13"/>
  <c r="AF34" i="13"/>
  <c r="AC31" i="13"/>
  <c r="AJ38" i="13"/>
  <c r="AG35" i="13"/>
  <c r="AI37" i="13"/>
  <c r="AH36" i="13"/>
  <c r="AA29" i="18"/>
  <c r="P18" i="18"/>
  <c r="Y27" i="18"/>
  <c r="T22" i="18"/>
  <c r="Q19" i="18"/>
  <c r="X26" i="18"/>
  <c r="U23" i="18"/>
  <c r="W25" i="18"/>
  <c r="V24" i="18"/>
  <c r="Z28" i="18"/>
  <c r="R20" i="18"/>
  <c r="S21" i="18"/>
  <c r="Y27" i="13"/>
  <c r="T22" i="13"/>
  <c r="Q19" i="13"/>
  <c r="X26" i="13"/>
  <c r="U23" i="13"/>
  <c r="W25" i="13"/>
  <c r="V24" i="13"/>
  <c r="AA29" i="13"/>
  <c r="R20" i="13"/>
  <c r="P18" i="13"/>
  <c r="Z28" i="13"/>
  <c r="S21" i="13"/>
  <c r="E18" i="9"/>
  <c r="D18" i="9"/>
  <c r="C18" i="9"/>
  <c r="B18" i="9"/>
  <c r="F18" i="9"/>
  <c r="F36" i="16"/>
  <c r="E36" i="16"/>
  <c r="W53" i="9"/>
  <c r="Y53" i="9"/>
  <c r="X53" i="9"/>
  <c r="N28" i="20"/>
  <c r="M28" i="20"/>
  <c r="F57" i="15"/>
  <c r="H57" i="15" s="1"/>
  <c r="F39" i="15"/>
  <c r="H39" i="15" s="1"/>
  <c r="L62" i="18"/>
  <c r="L61" i="18"/>
  <c r="K60" i="18"/>
  <c r="I59" i="18"/>
  <c r="F58" i="18"/>
  <c r="N57" i="18"/>
  <c r="I56" i="18"/>
  <c r="O55" i="18"/>
  <c r="H54" i="18"/>
  <c r="L53" i="18"/>
  <c r="O52" i="18"/>
  <c r="K62" i="18"/>
  <c r="K61" i="18"/>
  <c r="J60" i="18"/>
  <c r="H59" i="18"/>
  <c r="E58" i="18"/>
  <c r="M57" i="18"/>
  <c r="H56" i="18"/>
  <c r="N55" i="18"/>
  <c r="H62" i="18"/>
  <c r="H61" i="18"/>
  <c r="G60" i="18"/>
  <c r="E59" i="18"/>
  <c r="N58" i="18"/>
  <c r="J57" i="18"/>
  <c r="E56" i="18"/>
  <c r="K55" i="18"/>
  <c r="G62" i="18"/>
  <c r="G61" i="18"/>
  <c r="F60" i="18"/>
  <c r="D59" i="18"/>
  <c r="M58" i="18"/>
  <c r="I57" i="18"/>
  <c r="D56" i="18"/>
  <c r="J55" i="18"/>
  <c r="F62" i="18"/>
  <c r="F61" i="18"/>
  <c r="E60" i="18"/>
  <c r="O59" i="18"/>
  <c r="L58" i="18"/>
  <c r="H57" i="18"/>
  <c r="O56" i="18"/>
  <c r="I55" i="18"/>
  <c r="E62" i="18"/>
  <c r="E61" i="18"/>
  <c r="D60" i="18"/>
  <c r="N59" i="18"/>
  <c r="K58" i="18"/>
  <c r="G57" i="18"/>
  <c r="D62" i="18"/>
  <c r="D61" i="18"/>
  <c r="O60" i="18"/>
  <c r="M59" i="18"/>
  <c r="J58" i="18"/>
  <c r="F57" i="18"/>
  <c r="M56" i="18"/>
  <c r="O62" i="18"/>
  <c r="O61" i="18"/>
  <c r="N60" i="18"/>
  <c r="L59" i="18"/>
  <c r="I58" i="18"/>
  <c r="E57" i="18"/>
  <c r="L56" i="18"/>
  <c r="N62" i="18"/>
  <c r="N61" i="18"/>
  <c r="M60" i="18"/>
  <c r="K59" i="18"/>
  <c r="H58" i="18"/>
  <c r="D57" i="18"/>
  <c r="K56" i="18"/>
  <c r="E55" i="18"/>
  <c r="J61" i="18"/>
  <c r="D58" i="18"/>
  <c r="O57" i="18"/>
  <c r="M55" i="18"/>
  <c r="D54" i="18"/>
  <c r="D53" i="18"/>
  <c r="N51" i="18"/>
  <c r="O50" i="18"/>
  <c r="O49" i="18"/>
  <c r="N48" i="18"/>
  <c r="L47" i="18"/>
  <c r="I46" i="18"/>
  <c r="E45" i="18"/>
  <c r="L44" i="18"/>
  <c r="F43" i="18"/>
  <c r="K42" i="18"/>
  <c r="O41" i="18"/>
  <c r="F40" i="18"/>
  <c r="H39" i="18"/>
  <c r="I38" i="18"/>
  <c r="I37" i="18"/>
  <c r="H36" i="18"/>
  <c r="F35" i="18"/>
  <c r="O34" i="18"/>
  <c r="K33" i="18"/>
  <c r="F32" i="18"/>
  <c r="L31" i="18"/>
  <c r="E30" i="18"/>
  <c r="I61" i="18"/>
  <c r="L57" i="18"/>
  <c r="L55" i="18"/>
  <c r="N52" i="18"/>
  <c r="M51" i="18"/>
  <c r="N50" i="18"/>
  <c r="N49" i="18"/>
  <c r="M48" i="18"/>
  <c r="K47" i="18"/>
  <c r="H46" i="18"/>
  <c r="D45" i="18"/>
  <c r="I60" i="18"/>
  <c r="F55" i="18"/>
  <c r="M54" i="18"/>
  <c r="M53" i="18"/>
  <c r="K52" i="18"/>
  <c r="J51" i="18"/>
  <c r="K50" i="18"/>
  <c r="K49" i="18"/>
  <c r="J48" i="18"/>
  <c r="H47" i="18"/>
  <c r="E46" i="18"/>
  <c r="M45" i="18"/>
  <c r="H44" i="18"/>
  <c r="N43" i="18"/>
  <c r="G42" i="18"/>
  <c r="K41" i="18"/>
  <c r="N40" i="18"/>
  <c r="D39" i="18"/>
  <c r="E38" i="18"/>
  <c r="E37" i="18"/>
  <c r="D36" i="18"/>
  <c r="N35" i="18"/>
  <c r="K34" i="18"/>
  <c r="G33" i="18"/>
  <c r="H60" i="18"/>
  <c r="N56" i="18"/>
  <c r="D55" i="18"/>
  <c r="L54" i="18"/>
  <c r="K53" i="18"/>
  <c r="J52" i="18"/>
  <c r="I51" i="18"/>
  <c r="J50" i="18"/>
  <c r="J49" i="18"/>
  <c r="I48" i="18"/>
  <c r="G47" i="18"/>
  <c r="D46" i="18"/>
  <c r="L45" i="18"/>
  <c r="G44" i="18"/>
  <c r="M43" i="18"/>
  <c r="F42" i="18"/>
  <c r="J41" i="18"/>
  <c r="M40" i="18"/>
  <c r="O39" i="18"/>
  <c r="D38" i="18"/>
  <c r="D37" i="18"/>
  <c r="O36" i="18"/>
  <c r="M35" i="18"/>
  <c r="J34" i="18"/>
  <c r="F33" i="18"/>
  <c r="M32" i="18"/>
  <c r="J56" i="18"/>
  <c r="K54" i="18"/>
  <c r="J53" i="18"/>
  <c r="I52" i="18"/>
  <c r="H51" i="18"/>
  <c r="I50" i="18"/>
  <c r="I49" i="18"/>
  <c r="H48" i="18"/>
  <c r="F47" i="18"/>
  <c r="O46" i="18"/>
  <c r="K45" i="18"/>
  <c r="F44" i="18"/>
  <c r="L43" i="18"/>
  <c r="E42" i="18"/>
  <c r="I41" i="18"/>
  <c r="L40" i="18"/>
  <c r="N39" i="18"/>
  <c r="O38" i="18"/>
  <c r="O37" i="18"/>
  <c r="N36" i="18"/>
  <c r="M62" i="18"/>
  <c r="J59" i="18"/>
  <c r="G56" i="18"/>
  <c r="J54" i="18"/>
  <c r="I53" i="18"/>
  <c r="H52" i="18"/>
  <c r="G51" i="18"/>
  <c r="H50" i="18"/>
  <c r="H49" i="18"/>
  <c r="G48" i="18"/>
  <c r="E47" i="18"/>
  <c r="N46" i="18"/>
  <c r="J62" i="18"/>
  <c r="G59" i="18"/>
  <c r="F56" i="18"/>
  <c r="I54" i="18"/>
  <c r="H53" i="18"/>
  <c r="G52" i="18"/>
  <c r="F51" i="18"/>
  <c r="G50" i="18"/>
  <c r="G49" i="18"/>
  <c r="F48" i="18"/>
  <c r="D47" i="18"/>
  <c r="M46" i="18"/>
  <c r="I45" i="18"/>
  <c r="D44" i="18"/>
  <c r="J43" i="18"/>
  <c r="O42" i="18"/>
  <c r="G41" i="18"/>
  <c r="J40" i="18"/>
  <c r="L39" i="18"/>
  <c r="M38" i="18"/>
  <c r="M37" i="18"/>
  <c r="L36" i="18"/>
  <c r="J35" i="18"/>
  <c r="I62" i="18"/>
  <c r="F59" i="18"/>
  <c r="G54" i="18"/>
  <c r="G53" i="18"/>
  <c r="F52" i="18"/>
  <c r="E51" i="18"/>
  <c r="F50" i="18"/>
  <c r="F49" i="18"/>
  <c r="E48" i="18"/>
  <c r="O47" i="18"/>
  <c r="L46" i="18"/>
  <c r="H45" i="18"/>
  <c r="O44" i="18"/>
  <c r="I43" i="18"/>
  <c r="N42" i="18"/>
  <c r="F41" i="18"/>
  <c r="I40" i="18"/>
  <c r="K39" i="18"/>
  <c r="O58" i="18"/>
  <c r="F54" i="18"/>
  <c r="F53" i="18"/>
  <c r="E52" i="18"/>
  <c r="D51" i="18"/>
  <c r="E50" i="18"/>
  <c r="E49" i="18"/>
  <c r="D48" i="18"/>
  <c r="N47" i="18"/>
  <c r="K46" i="18"/>
  <c r="G45" i="18"/>
  <c r="N44" i="18"/>
  <c r="M61" i="18"/>
  <c r="G58" i="18"/>
  <c r="E54" i="18"/>
  <c r="E53" i="18"/>
  <c r="D52" i="18"/>
  <c r="O51" i="18"/>
  <c r="D50" i="18"/>
  <c r="D49" i="18"/>
  <c r="O48" i="18"/>
  <c r="M47" i="18"/>
  <c r="J46" i="18"/>
  <c r="F45" i="18"/>
  <c r="M44" i="18"/>
  <c r="M49" i="18"/>
  <c r="O45" i="18"/>
  <c r="D43" i="18"/>
  <c r="G40" i="18"/>
  <c r="N38" i="18"/>
  <c r="J37" i="18"/>
  <c r="E36" i="18"/>
  <c r="E34" i="18"/>
  <c r="D33" i="18"/>
  <c r="E32" i="18"/>
  <c r="I31" i="18"/>
  <c r="L30" i="18"/>
  <c r="N29" i="18"/>
  <c r="E28" i="18"/>
  <c r="G27" i="18"/>
  <c r="H26" i="18"/>
  <c r="H25" i="18"/>
  <c r="G24" i="18"/>
  <c r="E23" i="18"/>
  <c r="J21" i="18"/>
  <c r="E20" i="18"/>
  <c r="D18" i="18"/>
  <c r="O53" i="18"/>
  <c r="L49" i="18"/>
  <c r="N45" i="18"/>
  <c r="N41" i="18"/>
  <c r="E40" i="18"/>
  <c r="L38" i="18"/>
  <c r="H37" i="18"/>
  <c r="D34" i="18"/>
  <c r="D32" i="18"/>
  <c r="H31" i="18"/>
  <c r="K30" i="18"/>
  <c r="M29" i="18"/>
  <c r="D28" i="18"/>
  <c r="F27" i="18"/>
  <c r="G26" i="18"/>
  <c r="G25" i="18"/>
  <c r="F24" i="18"/>
  <c r="D23" i="18"/>
  <c r="I21" i="18"/>
  <c r="D20" i="18"/>
  <c r="G17" i="18"/>
  <c r="L50" i="18"/>
  <c r="F46" i="18"/>
  <c r="I44" i="18"/>
  <c r="M42" i="18"/>
  <c r="H41" i="18"/>
  <c r="H38" i="18"/>
  <c r="O35" i="18"/>
  <c r="O33" i="18"/>
  <c r="O32" i="18"/>
  <c r="E31" i="18"/>
  <c r="H30" i="18"/>
  <c r="J29" i="18"/>
  <c r="M28" i="18"/>
  <c r="O27" i="18"/>
  <c r="D26" i="18"/>
  <c r="D25" i="18"/>
  <c r="M23" i="18"/>
  <c r="J22" i="18"/>
  <c r="F21" i="18"/>
  <c r="G19" i="18"/>
  <c r="D17" i="18"/>
  <c r="L60" i="18"/>
  <c r="O54" i="18"/>
  <c r="E44" i="18"/>
  <c r="L42" i="18"/>
  <c r="E41" i="18"/>
  <c r="M39" i="18"/>
  <c r="G38" i="18"/>
  <c r="L35" i="18"/>
  <c r="N34" i="18"/>
  <c r="N33" i="18"/>
  <c r="N32" i="18"/>
  <c r="D31" i="18"/>
  <c r="G30" i="18"/>
  <c r="I29" i="18"/>
  <c r="L28" i="18"/>
  <c r="N27" i="18"/>
  <c r="O26" i="18"/>
  <c r="O25" i="18"/>
  <c r="N24" i="18"/>
  <c r="L23" i="18"/>
  <c r="I22" i="18"/>
  <c r="E21" i="18"/>
  <c r="F19" i="18"/>
  <c r="F16" i="18"/>
  <c r="N54" i="18"/>
  <c r="L51" i="18"/>
  <c r="J47" i="18"/>
  <c r="J42" i="18"/>
  <c r="D41" i="18"/>
  <c r="J39" i="18"/>
  <c r="F38" i="18"/>
  <c r="M36" i="18"/>
  <c r="K35" i="18"/>
  <c r="M34" i="18"/>
  <c r="M33" i="18"/>
  <c r="L32" i="18"/>
  <c r="F30" i="18"/>
  <c r="H29" i="18"/>
  <c r="K28" i="18"/>
  <c r="M27" i="18"/>
  <c r="N26" i="18"/>
  <c r="N25" i="18"/>
  <c r="M24" i="18"/>
  <c r="K23" i="18"/>
  <c r="H22" i="18"/>
  <c r="D21" i="18"/>
  <c r="E19" i="18"/>
  <c r="E16" i="18"/>
  <c r="K51" i="18"/>
  <c r="I47" i="18"/>
  <c r="O43" i="18"/>
  <c r="I42" i="18"/>
  <c r="I39" i="18"/>
  <c r="K36" i="18"/>
  <c r="I35" i="18"/>
  <c r="L34" i="18"/>
  <c r="L33" i="18"/>
  <c r="K32" i="18"/>
  <c r="O31" i="18"/>
  <c r="D30" i="18"/>
  <c r="G29" i="18"/>
  <c r="J28" i="18"/>
  <c r="L27" i="18"/>
  <c r="M26" i="18"/>
  <c r="M25" i="18"/>
  <c r="L24" i="18"/>
  <c r="J23" i="18"/>
  <c r="G22" i="18"/>
  <c r="J20" i="18"/>
  <c r="D19" i="18"/>
  <c r="D16" i="18"/>
  <c r="K43" i="18"/>
  <c r="H42" i="18"/>
  <c r="G39" i="18"/>
  <c r="J36" i="18"/>
  <c r="H35" i="18"/>
  <c r="I34" i="18"/>
  <c r="J33" i="18"/>
  <c r="J32" i="18"/>
  <c r="N31" i="18"/>
  <c r="F29" i="18"/>
  <c r="I28" i="18"/>
  <c r="K27" i="18"/>
  <c r="L26" i="18"/>
  <c r="L25" i="18"/>
  <c r="K24" i="18"/>
  <c r="I23" i="18"/>
  <c r="F22" i="18"/>
  <c r="I20" i="18"/>
  <c r="H18" i="18"/>
  <c r="E15" i="18"/>
  <c r="M52" i="18"/>
  <c r="L48" i="18"/>
  <c r="H43" i="18"/>
  <c r="D42" i="18"/>
  <c r="O40" i="18"/>
  <c r="F39" i="18"/>
  <c r="N37" i="18"/>
  <c r="I36" i="18"/>
  <c r="G35" i="18"/>
  <c r="H34" i="18"/>
  <c r="I33" i="18"/>
  <c r="I32" i="18"/>
  <c r="M31" i="18"/>
  <c r="O30" i="18"/>
  <c r="E29" i="18"/>
  <c r="H28" i="18"/>
  <c r="J27" i="18"/>
  <c r="K26" i="18"/>
  <c r="K25" i="18"/>
  <c r="J24" i="18"/>
  <c r="H23" i="18"/>
  <c r="E22" i="18"/>
  <c r="H20" i="18"/>
  <c r="G18" i="18"/>
  <c r="D15" i="18"/>
  <c r="H55" i="18"/>
  <c r="L52" i="18"/>
  <c r="K48" i="18"/>
  <c r="G43" i="18"/>
  <c r="K40" i="18"/>
  <c r="E39" i="18"/>
  <c r="L37" i="18"/>
  <c r="G36" i="18"/>
  <c r="E35" i="18"/>
  <c r="G34" i="18"/>
  <c r="H33" i="18"/>
  <c r="H32" i="18"/>
  <c r="K31" i="18"/>
  <c r="N30" i="18"/>
  <c r="D29" i="18"/>
  <c r="G28" i="18"/>
  <c r="I27" i="18"/>
  <c r="J26" i="18"/>
  <c r="J25" i="18"/>
  <c r="I24" i="18"/>
  <c r="G23" i="18"/>
  <c r="D22" i="18"/>
  <c r="G20" i="18"/>
  <c r="F18" i="18"/>
  <c r="D14" i="18"/>
  <c r="J30" i="18"/>
  <c r="D27" i="18"/>
  <c r="I25" i="18"/>
  <c r="K21" i="18"/>
  <c r="H19" i="18"/>
  <c r="G55" i="18"/>
  <c r="K37" i="18"/>
  <c r="I30" i="18"/>
  <c r="F25" i="18"/>
  <c r="H21" i="18"/>
  <c r="E33" i="18"/>
  <c r="J31" i="18"/>
  <c r="F28" i="18"/>
  <c r="J45" i="18"/>
  <c r="G31" i="18"/>
  <c r="I26" i="18"/>
  <c r="E18" i="18"/>
  <c r="F31" i="18"/>
  <c r="O29" i="18"/>
  <c r="F26" i="18"/>
  <c r="L22" i="18"/>
  <c r="N53" i="18"/>
  <c r="K38" i="18"/>
  <c r="L29" i="18"/>
  <c r="E26" i="18"/>
  <c r="H24" i="18"/>
  <c r="K22" i="18"/>
  <c r="F20" i="18"/>
  <c r="H40" i="18"/>
  <c r="J38" i="18"/>
  <c r="F36" i="18"/>
  <c r="K29" i="18"/>
  <c r="E24" i="18"/>
  <c r="K57" i="18"/>
  <c r="K44" i="18"/>
  <c r="D40" i="18"/>
  <c r="D24" i="18"/>
  <c r="F17" i="18"/>
  <c r="J44" i="18"/>
  <c r="F34" i="18"/>
  <c r="G32" i="18"/>
  <c r="H27" i="18"/>
  <c r="E17" i="18"/>
  <c r="M30" i="18"/>
  <c r="E27" i="18"/>
  <c r="I19" i="18"/>
  <c r="F37" i="18"/>
  <c r="E25" i="18"/>
  <c r="E43" i="18"/>
  <c r="M41" i="18"/>
  <c r="D35" i="18"/>
  <c r="L41" i="18"/>
  <c r="O28" i="18"/>
  <c r="N28" i="18"/>
  <c r="G21" i="18"/>
  <c r="G46" i="18"/>
  <c r="G37" i="18"/>
  <c r="M50" i="18"/>
  <c r="F23" i="18"/>
  <c r="D54" i="9"/>
  <c r="Z26" i="9"/>
  <c r="E46" i="9"/>
  <c r="D46" i="9"/>
  <c r="C46" i="9"/>
  <c r="B46" i="9"/>
  <c r="F46" i="9"/>
  <c r="V114" i="9"/>
  <c r="AA9" i="9"/>
  <c r="Z9" i="9"/>
  <c r="W9" i="9"/>
  <c r="X9" i="9"/>
  <c r="Y9" i="9"/>
  <c r="B9" i="9"/>
  <c r="A114" i="9"/>
  <c r="F9" i="9"/>
  <c r="E9" i="9"/>
  <c r="Q55" i="9"/>
  <c r="P55" i="9"/>
  <c r="T43" i="9"/>
  <c r="S43" i="9"/>
  <c r="R43" i="9"/>
  <c r="Q43" i="9"/>
  <c r="P43" i="9"/>
  <c r="E44" i="9"/>
  <c r="D44" i="9"/>
  <c r="C44" i="9"/>
  <c r="B44" i="9"/>
  <c r="F44" i="9"/>
  <c r="N38" i="20"/>
  <c r="M38" i="20"/>
  <c r="F32" i="16"/>
  <c r="E32" i="16"/>
  <c r="J32" i="1"/>
  <c r="F26" i="16"/>
  <c r="E26" i="16"/>
  <c r="M58" i="15"/>
  <c r="N58" i="15"/>
  <c r="N55" i="20"/>
  <c r="M55" i="20"/>
  <c r="M49" i="15"/>
  <c r="N49" i="15"/>
  <c r="N46" i="20"/>
  <c r="M46" i="20"/>
  <c r="N40" i="15"/>
  <c r="M40" i="15"/>
  <c r="N37" i="20"/>
  <c r="M37" i="20"/>
  <c r="F18" i="15"/>
  <c r="H18" i="15" s="1"/>
  <c r="J31" i="1"/>
  <c r="M25" i="15"/>
  <c r="N25" i="15"/>
  <c r="N15" i="20"/>
  <c r="M15" i="20"/>
  <c r="E63" i="16"/>
  <c r="F63" i="16"/>
  <c r="F54" i="16"/>
  <c r="E54" i="16"/>
  <c r="F45" i="16"/>
  <c r="E45" i="16"/>
  <c r="N39" i="15"/>
  <c r="M39" i="15"/>
  <c r="N36" i="20"/>
  <c r="M36" i="20"/>
  <c r="M30" i="15"/>
  <c r="N30" i="15"/>
  <c r="N27" i="20"/>
  <c r="M27" i="20"/>
  <c r="AY54" i="18"/>
  <c r="AV51" i="18"/>
  <c r="AU50" i="18"/>
  <c r="AR47" i="18"/>
  <c r="AW52" i="18"/>
  <c r="AT49" i="18"/>
  <c r="AS48" i="18"/>
  <c r="AX53" i="18"/>
  <c r="AP45" i="18"/>
  <c r="AO44" i="18"/>
  <c r="AN43" i="18"/>
  <c r="AQ46" i="18"/>
  <c r="AW52" i="13"/>
  <c r="AP45" i="13"/>
  <c r="AY54" i="13"/>
  <c r="AV51" i="13"/>
  <c r="AQ46" i="13"/>
  <c r="AN43" i="13"/>
  <c r="AU50" i="13"/>
  <c r="AR47" i="13"/>
  <c r="AT49" i="13"/>
  <c r="AS48" i="13"/>
  <c r="AX53" i="13"/>
  <c r="AO44" i="13"/>
  <c r="J16" i="18"/>
  <c r="L18" i="18"/>
  <c r="I15" i="18"/>
  <c r="D10" i="18"/>
  <c r="H14" i="18"/>
  <c r="E11" i="18"/>
  <c r="O21" i="18"/>
  <c r="G13" i="18"/>
  <c r="F12" i="18"/>
  <c r="K17" i="18"/>
  <c r="M19" i="18"/>
  <c r="N20" i="18"/>
  <c r="I55" i="9"/>
  <c r="M55" i="9"/>
  <c r="L55" i="9"/>
  <c r="K55" i="9"/>
  <c r="Q25" i="9"/>
  <c r="P25" i="9"/>
  <c r="P34" i="9" s="1"/>
  <c r="P112" i="9" s="1"/>
  <c r="M44" i="20"/>
  <c r="N44" i="20"/>
  <c r="M42" i="20"/>
  <c r="N42" i="20"/>
  <c r="Y45" i="9"/>
  <c r="D34" i="9"/>
  <c r="D112" i="9" s="1"/>
  <c r="I53" i="9"/>
  <c r="M53" i="9"/>
  <c r="L53" i="9"/>
  <c r="K53" i="9"/>
  <c r="J53" i="9"/>
  <c r="N26" i="15"/>
  <c r="M26" i="15"/>
  <c r="J22" i="1"/>
  <c r="F58" i="15"/>
  <c r="H58" i="15" s="1"/>
  <c r="N4" i="20"/>
  <c r="M4" i="20"/>
  <c r="Z4" i="20"/>
  <c r="T4" i="16"/>
  <c r="Z4" i="15"/>
  <c r="S16" i="9"/>
  <c r="R16" i="9"/>
  <c r="Q16" i="9"/>
  <c r="P16" i="9"/>
  <c r="T16" i="9"/>
  <c r="Y18" i="9"/>
  <c r="Z53" i="9"/>
  <c r="J18" i="9"/>
  <c r="E53" i="9"/>
  <c r="D37" i="9"/>
  <c r="D115" i="9" s="1"/>
  <c r="T35" i="9"/>
  <c r="T113" i="9" s="1"/>
  <c r="M43" i="9"/>
  <c r="C53" i="9"/>
  <c r="W36" i="9"/>
  <c r="W114" i="9" s="1"/>
  <c r="AA36" i="9"/>
  <c r="AA114" i="9" s="1"/>
  <c r="Z36" i="9"/>
  <c r="Z114" i="9" s="1"/>
  <c r="Y36" i="9"/>
  <c r="Y114" i="9" s="1"/>
  <c r="X36" i="9"/>
  <c r="X114" i="9" s="1"/>
  <c r="B36" i="9"/>
  <c r="B114" i="9" s="1"/>
  <c r="F36" i="9"/>
  <c r="F114" i="9" s="1"/>
  <c r="E36" i="9"/>
  <c r="E114" i="9" s="1"/>
  <c r="Q28" i="9"/>
  <c r="P28" i="9"/>
  <c r="Q54" i="9"/>
  <c r="P54" i="9"/>
  <c r="P7" i="9"/>
  <c r="O112" i="9"/>
  <c r="T7" i="9"/>
  <c r="K36" i="9"/>
  <c r="K114" i="9" s="1"/>
  <c r="J36" i="9"/>
  <c r="J114" i="9" s="1"/>
  <c r="I36" i="9"/>
  <c r="I114" i="9" s="1"/>
  <c r="H112" i="9"/>
  <c r="L7" i="9"/>
  <c r="K7" i="9"/>
  <c r="J7" i="9"/>
  <c r="I7" i="9"/>
  <c r="E62" i="9"/>
  <c r="D62" i="9"/>
  <c r="C62" i="9"/>
  <c r="B62" i="9"/>
  <c r="B4" i="20"/>
  <c r="B4" i="16"/>
  <c r="B4" i="15"/>
  <c r="M22" i="15"/>
  <c r="N22" i="15"/>
  <c r="J25" i="1"/>
  <c r="N59" i="15"/>
  <c r="M59" i="15"/>
  <c r="M56" i="20"/>
  <c r="N56" i="20"/>
  <c r="N50" i="15"/>
  <c r="M50" i="15"/>
  <c r="N47" i="20"/>
  <c r="M47" i="20"/>
  <c r="N41" i="15"/>
  <c r="M41" i="15"/>
  <c r="F26" i="15"/>
  <c r="H26" i="15" s="1"/>
  <c r="P27" i="1"/>
  <c r="C7" i="4" s="1"/>
  <c r="P29" i="1"/>
  <c r="C9" i="4" s="1"/>
  <c r="F31" i="16"/>
  <c r="E31" i="16"/>
  <c r="F25" i="15"/>
  <c r="H25" i="15" s="1"/>
  <c r="P26" i="1"/>
  <c r="C6" i="4" s="1"/>
  <c r="G18" i="15"/>
  <c r="BB58" i="18"/>
  <c r="AZ56" i="18"/>
  <c r="BA57" i="18"/>
  <c r="BE61" i="18"/>
  <c r="BD60" i="18"/>
  <c r="BF62" i="18"/>
  <c r="BC59" i="18"/>
  <c r="BF62" i="13"/>
  <c r="BC59" i="13"/>
  <c r="BE61" i="13"/>
  <c r="BD60" i="13"/>
  <c r="AZ56" i="13"/>
  <c r="BA57" i="13"/>
  <c r="BB58" i="13"/>
  <c r="N52" i="20"/>
  <c r="M52" i="20"/>
  <c r="F42" i="15"/>
  <c r="H42" i="15" s="1"/>
  <c r="M20" i="20"/>
  <c r="N20" i="20"/>
  <c r="M36" i="15"/>
  <c r="N36" i="15"/>
  <c r="N27" i="15"/>
  <c r="M27" i="15"/>
  <c r="I26" i="9"/>
  <c r="M26" i="9"/>
  <c r="L26" i="9"/>
  <c r="K26" i="9"/>
  <c r="M47" i="15"/>
  <c r="N47" i="15"/>
  <c r="E45" i="9"/>
  <c r="D45" i="9"/>
  <c r="C45" i="9"/>
  <c r="B45" i="9"/>
  <c r="F56" i="16"/>
  <c r="E56" i="16"/>
  <c r="F47" i="16"/>
  <c r="E47" i="16"/>
  <c r="F16" i="15"/>
  <c r="H16" i="15" s="1"/>
  <c r="BA58" i="18"/>
  <c r="BD61" i="18"/>
  <c r="BC60" i="18"/>
  <c r="AZ57" i="18"/>
  <c r="BE62" i="18"/>
  <c r="BB59" i="18"/>
  <c r="BE62" i="13"/>
  <c r="BB59" i="13"/>
  <c r="BD61" i="13"/>
  <c r="BC60" i="13"/>
  <c r="AZ57" i="13"/>
  <c r="BA58" i="13"/>
  <c r="AA34" i="18"/>
  <c r="X31" i="18"/>
  <c r="Y32" i="18"/>
  <c r="S26" i="18"/>
  <c r="P23" i="18"/>
  <c r="V29" i="18"/>
  <c r="Z33" i="18"/>
  <c r="U28" i="18"/>
  <c r="Q24" i="18"/>
  <c r="T27" i="18"/>
  <c r="W30" i="18"/>
  <c r="R25" i="18"/>
  <c r="V29" i="13"/>
  <c r="AA34" i="13"/>
  <c r="X31" i="13"/>
  <c r="U28" i="13"/>
  <c r="Y32" i="13"/>
  <c r="W30" i="13"/>
  <c r="T27" i="13"/>
  <c r="S26" i="13"/>
  <c r="P23" i="13"/>
  <c r="Z33" i="13"/>
  <c r="R25" i="13"/>
  <c r="Q24" i="13"/>
  <c r="R25" i="9"/>
  <c r="E54" i="9"/>
  <c r="C26" i="9"/>
  <c r="E64" i="9"/>
  <c r="D64" i="9"/>
  <c r="C64" i="9"/>
  <c r="B64" i="9"/>
  <c r="F64" i="9"/>
  <c r="W27" i="9"/>
  <c r="Y27" i="9"/>
  <c r="X27" i="9"/>
  <c r="S64" i="9"/>
  <c r="R64" i="9"/>
  <c r="P64" i="9"/>
  <c r="T64" i="9"/>
  <c r="R19" i="9"/>
  <c r="S18" i="9"/>
  <c r="R18" i="9"/>
  <c r="P18" i="9"/>
  <c r="T18" i="9"/>
  <c r="Q26" i="9"/>
  <c r="P26" i="9"/>
  <c r="P35" i="9" s="1"/>
  <c r="P113" i="9" s="1"/>
  <c r="T34" i="9"/>
  <c r="T112" i="9" s="1"/>
  <c r="S34" i="9"/>
  <c r="S112" i="9" s="1"/>
  <c r="AA34" i="9"/>
  <c r="AA112" i="9" s="1"/>
  <c r="Z34" i="9"/>
  <c r="Z112" i="9" s="1"/>
  <c r="Y34" i="9"/>
  <c r="Y112" i="9" s="1"/>
  <c r="X34" i="9"/>
  <c r="X112" i="9" s="1"/>
  <c r="B8" i="9"/>
  <c r="A113" i="9"/>
  <c r="F8" i="9"/>
  <c r="G39" i="15"/>
  <c r="F22" i="16"/>
  <c r="E22" i="16"/>
  <c r="F56" i="15"/>
  <c r="H56" i="15" s="1"/>
  <c r="F47" i="15"/>
  <c r="H47" i="15" s="1"/>
  <c r="F38" i="15"/>
  <c r="H38" i="15" s="1"/>
  <c r="F29" i="15"/>
  <c r="H29" i="15" s="1"/>
  <c r="F19" i="15"/>
  <c r="H19" i="15" s="1"/>
  <c r="F50" i="16"/>
  <c r="E50" i="16"/>
  <c r="M32" i="20"/>
  <c r="N32" i="20"/>
  <c r="M19" i="15"/>
  <c r="N19" i="15"/>
  <c r="N13" i="20"/>
  <c r="M13" i="20"/>
  <c r="N26" i="20"/>
  <c r="M26" i="20"/>
  <c r="F55" i="15"/>
  <c r="H55" i="15" s="1"/>
  <c r="F46" i="15"/>
  <c r="H46" i="15" s="1"/>
  <c r="F37" i="15"/>
  <c r="H37" i="15" s="1"/>
  <c r="F28" i="15"/>
  <c r="H28" i="15" s="1"/>
  <c r="F58" i="16"/>
  <c r="E58" i="16"/>
  <c r="F49" i="16"/>
  <c r="E49" i="16"/>
  <c r="F40" i="16"/>
  <c r="E40" i="16"/>
  <c r="G13" i="16"/>
  <c r="E13" i="15"/>
  <c r="D13" i="15"/>
  <c r="G13" i="15" s="1"/>
  <c r="N18" i="15"/>
  <c r="M18" i="15"/>
  <c r="E25" i="16"/>
  <c r="F25" i="16"/>
  <c r="N7" i="20"/>
  <c r="M7" i="20"/>
  <c r="J33" i="1"/>
  <c r="N54" i="20"/>
  <c r="M54" i="20"/>
  <c r="N48" i="15"/>
  <c r="M48" i="15"/>
  <c r="M45" i="20"/>
  <c r="N45" i="20"/>
  <c r="F39" i="16"/>
  <c r="E39" i="16"/>
  <c r="F30" i="16"/>
  <c r="E30" i="16"/>
  <c r="M12" i="20"/>
  <c r="N12" i="20"/>
  <c r="M46" i="15"/>
  <c r="N46" i="15"/>
  <c r="G20" i="15"/>
  <c r="AX56" i="18"/>
  <c r="AN46" i="18"/>
  <c r="AS51" i="18"/>
  <c r="AR50" i="18"/>
  <c r="AO47" i="18"/>
  <c r="AU53" i="18"/>
  <c r="AT52" i="18"/>
  <c r="AQ49" i="18"/>
  <c r="AP48" i="18"/>
  <c r="AV54" i="18"/>
  <c r="AW55" i="18"/>
  <c r="AY57" i="18"/>
  <c r="AW55" i="13"/>
  <c r="AT52" i="13"/>
  <c r="AX56" i="13"/>
  <c r="AV54" i="13"/>
  <c r="AS51" i="13"/>
  <c r="AN46" i="13"/>
  <c r="AR50" i="13"/>
  <c r="AO47" i="13"/>
  <c r="AY57" i="13"/>
  <c r="AQ49" i="13"/>
  <c r="AP48" i="13"/>
  <c r="AU53" i="13"/>
  <c r="S61" i="9"/>
  <c r="R61" i="9"/>
  <c r="P61" i="9"/>
  <c r="T61" i="9"/>
  <c r="N24" i="20"/>
  <c r="M24" i="20"/>
  <c r="N32" i="15"/>
  <c r="M32" i="15"/>
  <c r="F49" i="15"/>
  <c r="H49" i="15" s="1"/>
  <c r="M54" i="15"/>
  <c r="N54" i="15"/>
  <c r="E27" i="16"/>
  <c r="F27" i="16"/>
  <c r="Y17" i="9"/>
  <c r="F30" i="15"/>
  <c r="H30" i="15" s="1"/>
  <c r="K18" i="9"/>
  <c r="Q35" i="9"/>
  <c r="Q113" i="9" s="1"/>
  <c r="Z45" i="9"/>
  <c r="D53" i="9"/>
  <c r="J26" i="9"/>
  <c r="E19" i="9"/>
  <c r="D19" i="9"/>
  <c r="C19" i="9"/>
  <c r="B19" i="9"/>
  <c r="W54" i="9"/>
  <c r="Y54" i="9"/>
  <c r="X54" i="9"/>
  <c r="S19" i="9"/>
  <c r="T19" i="9"/>
  <c r="Q19" i="9"/>
  <c r="P19" i="9"/>
  <c r="Q27" i="9"/>
  <c r="P27" i="9"/>
  <c r="S44" i="9"/>
  <c r="R44" i="9"/>
  <c r="P44" i="9"/>
  <c r="T44" i="9"/>
  <c r="H114" i="9"/>
  <c r="I9" i="9"/>
  <c r="K9" i="9"/>
  <c r="J9" i="9"/>
  <c r="E43" i="9"/>
  <c r="D43" i="9"/>
  <c r="C43" i="9"/>
  <c r="B43" i="9"/>
  <c r="B34" i="9" s="1"/>
  <c r="B112" i="9" s="1"/>
  <c r="F43" i="9"/>
  <c r="I34" i="9"/>
  <c r="I112" i="9" s="1"/>
  <c r="K34" i="9"/>
  <c r="K112" i="9" s="1"/>
  <c r="J34" i="9"/>
  <c r="J112" i="9" s="1"/>
  <c r="B35" i="9"/>
  <c r="B113" i="9" s="1"/>
  <c r="F35" i="9"/>
  <c r="F113" i="9" s="1"/>
  <c r="E35" i="9"/>
  <c r="E113" i="9" s="1"/>
  <c r="M14" i="20"/>
  <c r="N14" i="20"/>
  <c r="N6" i="20"/>
  <c r="M6" i="20"/>
  <c r="P23" i="1"/>
  <c r="C3" i="4" s="1"/>
  <c r="F59" i="16"/>
  <c r="E59" i="16"/>
  <c r="E41" i="16"/>
  <c r="F41" i="16"/>
  <c r="N35" i="15"/>
  <c r="M35" i="15"/>
  <c r="N21" i="15"/>
  <c r="M21" i="15"/>
  <c r="B16" i="20"/>
  <c r="B16" i="16"/>
  <c r="B16" i="15"/>
  <c r="M8" i="20"/>
  <c r="N8" i="20"/>
  <c r="M61" i="15"/>
  <c r="N61" i="15"/>
  <c r="N31" i="20"/>
  <c r="M31" i="20"/>
  <c r="N23" i="15"/>
  <c r="M23" i="15"/>
  <c r="G16" i="15"/>
  <c r="G28" i="15"/>
  <c r="F63" i="15"/>
  <c r="H63" i="15" s="1"/>
  <c r="F54" i="15"/>
  <c r="H54" i="15" s="1"/>
  <c r="F45" i="15"/>
  <c r="H45" i="15" s="1"/>
  <c r="F36" i="15"/>
  <c r="H36" i="15" s="1"/>
  <c r="P28" i="1"/>
  <c r="C8" i="4" s="1"/>
  <c r="M63" i="20"/>
  <c r="N63" i="20"/>
  <c r="M57" i="15"/>
  <c r="N57" i="15"/>
  <c r="AJ44" i="18"/>
  <c r="AK45" i="18"/>
  <c r="AC37" i="18"/>
  <c r="AB36" i="18"/>
  <c r="AG41" i="18"/>
  <c r="AL46" i="18"/>
  <c r="AM47" i="18"/>
  <c r="AD38" i="18"/>
  <c r="AH42" i="18"/>
  <c r="AE39" i="18"/>
  <c r="AI43" i="18"/>
  <c r="AF40" i="18"/>
  <c r="AJ44" i="13"/>
  <c r="AH42" i="13"/>
  <c r="AE39" i="13"/>
  <c r="AD38" i="13"/>
  <c r="AK45" i="13"/>
  <c r="AC37" i="13"/>
  <c r="AB36" i="13"/>
  <c r="AG41" i="13"/>
  <c r="AL46" i="13"/>
  <c r="AI43" i="13"/>
  <c r="AM47" i="13"/>
  <c r="AF40" i="13"/>
  <c r="Q52" i="9"/>
  <c r="P52" i="9"/>
  <c r="I35" i="9"/>
  <c r="I113" i="9" s="1"/>
  <c r="K35" i="9"/>
  <c r="K113" i="9" s="1"/>
  <c r="J35" i="9"/>
  <c r="J113" i="9" s="1"/>
  <c r="N10" i="20"/>
  <c r="M10" i="20"/>
  <c r="N61" i="20"/>
  <c r="M61" i="20"/>
  <c r="M33" i="20"/>
  <c r="N33" i="20"/>
  <c r="N62" i="20"/>
  <c r="M62" i="20"/>
  <c r="F28" i="16"/>
  <c r="E28" i="16"/>
  <c r="E60" i="16"/>
  <c r="F60" i="16"/>
  <c r="X17" i="9"/>
  <c r="BB62" i="18"/>
  <c r="BA61" i="18"/>
  <c r="AZ60" i="18"/>
  <c r="BB62" i="13"/>
  <c r="BA61" i="13"/>
  <c r="AZ60" i="13"/>
  <c r="X18" i="9"/>
  <c r="N16" i="20"/>
  <c r="M16" i="20"/>
  <c r="N31" i="15"/>
  <c r="M31" i="15"/>
  <c r="M63" i="15"/>
  <c r="N63" i="15"/>
  <c r="AV53" i="18"/>
  <c r="AX55" i="18"/>
  <c r="AY56" i="18"/>
  <c r="AN45" i="18"/>
  <c r="AO46" i="18"/>
  <c r="AT51" i="18"/>
  <c r="AS50" i="18"/>
  <c r="AP47" i="18"/>
  <c r="AU52" i="18"/>
  <c r="AR49" i="18"/>
  <c r="AQ48" i="18"/>
  <c r="AW54" i="18"/>
  <c r="AU52" i="13"/>
  <c r="AN45" i="13"/>
  <c r="AY56" i="13"/>
  <c r="AW54" i="13"/>
  <c r="AT51" i="13"/>
  <c r="AO46" i="13"/>
  <c r="AS50" i="13"/>
  <c r="AP47" i="13"/>
  <c r="AR49" i="13"/>
  <c r="AQ48" i="13"/>
  <c r="AV53" i="13"/>
  <c r="AX55" i="13"/>
  <c r="R35" i="9"/>
  <c r="R113" i="9" s="1"/>
  <c r="F53" i="9"/>
  <c r="D26" i="9"/>
  <c r="E26" i="9"/>
  <c r="Y63" i="9"/>
  <c r="J55" i="9"/>
  <c r="AA45" i="9"/>
  <c r="Z46" i="9"/>
  <c r="S35" i="9"/>
  <c r="S113" i="9" s="1"/>
  <c r="AA37" i="9"/>
  <c r="AA115" i="9" s="1"/>
  <c r="Z37" i="9"/>
  <c r="Z115" i="9" s="1"/>
  <c r="Y37" i="9"/>
  <c r="Y115" i="9" s="1"/>
  <c r="X37" i="9"/>
  <c r="X115" i="9" s="1"/>
  <c r="W37" i="9"/>
  <c r="W115" i="9" s="1"/>
  <c r="B10" i="9"/>
  <c r="A115" i="9"/>
  <c r="F10" i="9"/>
  <c r="E10" i="9"/>
  <c r="T46" i="9"/>
  <c r="S46" i="9"/>
  <c r="R46" i="9"/>
  <c r="Q46" i="9"/>
  <c r="P46" i="9"/>
  <c r="S45" i="9"/>
  <c r="R45" i="9"/>
  <c r="Q45" i="9"/>
  <c r="P45" i="9"/>
  <c r="T45" i="9"/>
  <c r="Q53" i="9"/>
  <c r="P53" i="9"/>
  <c r="I27" i="9"/>
  <c r="M27" i="9"/>
  <c r="L27" i="9"/>
  <c r="K27" i="9"/>
  <c r="V112" i="9"/>
  <c r="W7" i="9"/>
  <c r="AA7" i="9"/>
  <c r="Z7" i="9"/>
  <c r="Y7" i="9"/>
  <c r="X7" i="9"/>
  <c r="H115" i="9"/>
  <c r="L10" i="9"/>
  <c r="K10" i="9"/>
  <c r="J10" i="9"/>
  <c r="I10" i="9"/>
  <c r="I25" i="9"/>
  <c r="M25" i="9"/>
  <c r="L25" i="9"/>
  <c r="K25" i="9"/>
  <c r="U4" i="16"/>
  <c r="N22" i="20"/>
  <c r="M22" i="20"/>
  <c r="J30" i="1"/>
  <c r="F19" i="16"/>
  <c r="E19" i="16"/>
  <c r="M5" i="20"/>
  <c r="N5" i="20"/>
  <c r="G56" i="15"/>
  <c r="F3" i="12"/>
  <c r="N58" i="20"/>
  <c r="M58" i="20"/>
  <c r="M52" i="15"/>
  <c r="N52" i="15"/>
  <c r="N49" i="20"/>
  <c r="M49" i="20"/>
  <c r="N43" i="15"/>
  <c r="M43" i="15"/>
  <c r="N40" i="20"/>
  <c r="M40" i="20"/>
  <c r="N34" i="15"/>
  <c r="M34" i="15"/>
  <c r="F18" i="16"/>
  <c r="E18" i="16"/>
  <c r="N25" i="20"/>
  <c r="M25" i="20"/>
  <c r="F27" i="15"/>
  <c r="H27" i="15" s="1"/>
  <c r="N20" i="15"/>
  <c r="M20" i="15"/>
  <c r="F57" i="16"/>
  <c r="E57" i="16"/>
  <c r="F48" i="16"/>
  <c r="E48" i="16"/>
  <c r="N39" i="20"/>
  <c r="M39" i="20"/>
  <c r="M33" i="15"/>
  <c r="N33" i="15"/>
  <c r="M30" i="20"/>
  <c r="N30" i="20"/>
  <c r="F22" i="15"/>
  <c r="H22" i="15" s="1"/>
  <c r="BC62" i="18"/>
  <c r="AZ59" i="18"/>
  <c r="BB61" i="18"/>
  <c r="BA60" i="18"/>
  <c r="BC62" i="13"/>
  <c r="AZ59" i="13"/>
  <c r="BB61" i="13"/>
  <c r="BA60" i="13"/>
  <c r="E17" i="16"/>
  <c r="F17" i="16"/>
  <c r="F24" i="16"/>
  <c r="E24" i="16"/>
  <c r="N37" i="15"/>
  <c r="M37" i="15"/>
  <c r="N56" i="15"/>
  <c r="M56" i="15"/>
  <c r="N29" i="20"/>
  <c r="M29" i="20"/>
  <c r="C54" i="9"/>
  <c r="F32" i="15"/>
  <c r="H32" i="15" s="1"/>
  <c r="E38" i="16"/>
  <c r="F38" i="16"/>
  <c r="F40" i="15"/>
  <c r="H40" i="15" s="1"/>
  <c r="P17" i="18"/>
  <c r="Z27" i="18"/>
  <c r="U22" i="18"/>
  <c r="R19" i="18"/>
  <c r="Y26" i="18"/>
  <c r="V23" i="18"/>
  <c r="X25" i="18"/>
  <c r="W24" i="18"/>
  <c r="S20" i="18"/>
  <c r="T21" i="18"/>
  <c r="AA28" i="18"/>
  <c r="Q18" i="18"/>
  <c r="P17" i="13"/>
  <c r="Z27" i="13"/>
  <c r="U22" i="13"/>
  <c r="R19" i="13"/>
  <c r="Y26" i="13"/>
  <c r="V23" i="13"/>
  <c r="X25" i="13"/>
  <c r="W24" i="13"/>
  <c r="S20" i="13"/>
  <c r="Q18" i="13"/>
  <c r="AA28" i="13"/>
  <c r="T21" i="13"/>
  <c r="E15" i="15"/>
  <c r="D15" i="15"/>
  <c r="G15" i="15" s="1"/>
  <c r="F48" i="15"/>
  <c r="H48" i="15" s="1"/>
  <c r="F54" i="9"/>
  <c r="AA63" i="9"/>
  <c r="B37" i="9"/>
  <c r="B115" i="9" s="1"/>
  <c r="F37" i="9"/>
  <c r="F115" i="9" s="1"/>
  <c r="P10" i="9"/>
  <c r="O115" i="9"/>
  <c r="S10" i="9"/>
  <c r="T10" i="9"/>
  <c r="T63" i="9"/>
  <c r="S63" i="9"/>
  <c r="R63" i="9"/>
  <c r="Q63" i="9"/>
  <c r="P63" i="9"/>
  <c r="S62" i="9"/>
  <c r="R62" i="9"/>
  <c r="T62" i="9"/>
  <c r="Q62" i="9"/>
  <c r="P62" i="9"/>
  <c r="I54" i="9"/>
  <c r="M54" i="9"/>
  <c r="L54" i="9"/>
  <c r="K54" i="9"/>
  <c r="W25" i="9"/>
  <c r="W34" i="9" s="1"/>
  <c r="W112" i="9" s="1"/>
  <c r="Y25" i="9"/>
  <c r="X25" i="9"/>
  <c r="E61" i="9"/>
  <c r="D61" i="9"/>
  <c r="C61" i="9"/>
  <c r="B61" i="9"/>
  <c r="F61" i="9"/>
  <c r="I52" i="9"/>
  <c r="M52" i="9"/>
  <c r="L52" i="9"/>
  <c r="K52" i="9"/>
  <c r="P25" i="1"/>
  <c r="C5" i="4" s="1"/>
  <c r="P32" i="1"/>
  <c r="C12" i="4" s="1"/>
  <c r="N62" i="15"/>
  <c r="M62" i="15"/>
  <c r="N59" i="20"/>
  <c r="M59" i="20"/>
  <c r="M53" i="15"/>
  <c r="N53" i="15"/>
  <c r="N50" i="20"/>
  <c r="M50" i="20"/>
  <c r="N44" i="15"/>
  <c r="M44" i="15"/>
  <c r="M41" i="20"/>
  <c r="N41" i="20"/>
  <c r="F35" i="16"/>
  <c r="E35" i="16"/>
  <c r="N29" i="15"/>
  <c r="M29" i="15"/>
  <c r="J27" i="1"/>
  <c r="F21" i="16"/>
  <c r="E21" i="16"/>
  <c r="J29" i="1"/>
  <c r="E23" i="16"/>
  <c r="F23" i="16"/>
  <c r="N42" i="15"/>
  <c r="M42" i="15"/>
  <c r="AI42" i="18"/>
  <c r="AF39" i="18"/>
  <c r="AH41" i="18"/>
  <c r="AM46" i="18"/>
  <c r="AJ43" i="18"/>
  <c r="AG40" i="18"/>
  <c r="AK44" i="18"/>
  <c r="AD37" i="18"/>
  <c r="AE38" i="18"/>
  <c r="AL45" i="18"/>
  <c r="AB35" i="18"/>
  <c r="AC36" i="18"/>
  <c r="AK44" i="13"/>
  <c r="AI42" i="13"/>
  <c r="AF39" i="13"/>
  <c r="AE38" i="13"/>
  <c r="AB35" i="13"/>
  <c r="AL45" i="13"/>
  <c r="AD37" i="13"/>
  <c r="AC36" i="13"/>
  <c r="AH41" i="13"/>
  <c r="AM46" i="13"/>
  <c r="AJ43" i="13"/>
  <c r="AG40" i="13"/>
  <c r="J14" i="18"/>
  <c r="G11" i="18"/>
  <c r="I13" i="18"/>
  <c r="H12" i="18"/>
  <c r="M17" i="18"/>
  <c r="D8" i="18"/>
  <c r="O19" i="18"/>
  <c r="L16" i="18"/>
  <c r="K15" i="18"/>
  <c r="F10" i="18"/>
  <c r="N18" i="18"/>
  <c r="E9" i="18"/>
  <c r="F34" i="9"/>
  <c r="F112" i="9" s="1"/>
  <c r="N38" i="15"/>
  <c r="M38" i="15"/>
  <c r="M55" i="15"/>
  <c r="N55" i="15"/>
  <c r="N43" i="20"/>
  <c r="M43" i="20"/>
  <c r="F51" i="16"/>
  <c r="E51" i="16"/>
  <c r="N22" i="18"/>
  <c r="K19" i="18"/>
  <c r="L20" i="18"/>
  <c r="J18" i="18"/>
  <c r="G15" i="18"/>
  <c r="F14" i="18"/>
  <c r="M21" i="18"/>
  <c r="E13" i="18"/>
  <c r="D12" i="18"/>
  <c r="O23" i="18"/>
  <c r="I17" i="18"/>
  <c r="H16" i="18"/>
  <c r="S52" i="9"/>
  <c r="AA35" i="9"/>
  <c r="AA113" i="9" s="1"/>
  <c r="Z35" i="9"/>
  <c r="Z113" i="9" s="1"/>
  <c r="Y35" i="9"/>
  <c r="Y113" i="9" s="1"/>
  <c r="X35" i="9"/>
  <c r="X113" i="9" s="1"/>
  <c r="F17" i="15"/>
  <c r="H17" i="15" s="1"/>
  <c r="M53" i="20"/>
  <c r="N53" i="20"/>
  <c r="N9" i="20"/>
  <c r="M9" i="20"/>
  <c r="V4" i="20"/>
  <c r="W26" i="9"/>
  <c r="W35" i="9" s="1"/>
  <c r="W113" i="9" s="1"/>
  <c r="Y26" i="9"/>
  <c r="F59" i="15"/>
  <c r="H59" i="15" s="1"/>
  <c r="F55" i="16"/>
  <c r="E55" i="16"/>
  <c r="F46" i="16"/>
  <c r="E46" i="16"/>
  <c r="F37" i="16"/>
  <c r="E37" i="16"/>
  <c r="N45" i="15"/>
  <c r="M45" i="15"/>
  <c r="N60" i="20"/>
  <c r="M60" i="20"/>
  <c r="L18" i="9"/>
  <c r="E34" i="9"/>
  <c r="E112" i="9" s="1"/>
  <c r="Z17" i="9"/>
  <c r="AA55" i="9"/>
  <c r="F26" i="9"/>
  <c r="E28" i="9"/>
  <c r="T25" i="9"/>
  <c r="D28" i="9"/>
  <c r="X63" i="9"/>
  <c r="AA53" i="9"/>
  <c r="Z18" i="9"/>
  <c r="V115" i="9"/>
  <c r="W10" i="9"/>
  <c r="AA10" i="9"/>
  <c r="Z10" i="9"/>
  <c r="Y10" i="9"/>
  <c r="X10" i="9"/>
  <c r="P37" i="9"/>
  <c r="P115" i="9" s="1"/>
  <c r="T37" i="9"/>
  <c r="T115" i="9" s="1"/>
  <c r="S37" i="9"/>
  <c r="S115" i="9" s="1"/>
  <c r="P9" i="9"/>
  <c r="O114" i="9"/>
  <c r="T17" i="9"/>
  <c r="S17" i="9"/>
  <c r="R17" i="9"/>
  <c r="Q17" i="9"/>
  <c r="P17" i="9"/>
  <c r="W52" i="9"/>
  <c r="Y52" i="9"/>
  <c r="X52" i="9"/>
  <c r="F16" i="9"/>
  <c r="E16" i="9"/>
  <c r="D16" i="9"/>
  <c r="C16" i="9"/>
  <c r="B16" i="9"/>
  <c r="I37" i="9"/>
  <c r="I115" i="9" s="1"/>
  <c r="K37" i="9"/>
  <c r="K115" i="9" s="1"/>
  <c r="J37" i="9"/>
  <c r="J115" i="9" s="1"/>
  <c r="G42" i="15"/>
  <c r="F24" i="15"/>
  <c r="H24" i="15" s="1"/>
  <c r="N17" i="15"/>
  <c r="M17" i="15"/>
  <c r="F62" i="15"/>
  <c r="H62" i="15" s="1"/>
  <c r="F53" i="15"/>
  <c r="H53" i="15" s="1"/>
  <c r="F35" i="15"/>
  <c r="H35" i="15" s="1"/>
  <c r="N24" i="15"/>
  <c r="M24" i="15"/>
  <c r="N19" i="20"/>
  <c r="M19" i="20"/>
  <c r="P22" i="1"/>
  <c r="G26" i="15"/>
  <c r="F61" i="15"/>
  <c r="H61" i="15" s="1"/>
  <c r="F52" i="15"/>
  <c r="H52" i="15" s="1"/>
  <c r="F43" i="15"/>
  <c r="H43" i="15" s="1"/>
  <c r="F34" i="15"/>
  <c r="H34" i="15" s="1"/>
  <c r="F23" i="15"/>
  <c r="H23" i="15" s="1"/>
  <c r="P24" i="1"/>
  <c r="C4" i="4" s="1"/>
  <c r="F61" i="16"/>
  <c r="E61" i="16"/>
  <c r="F52" i="16"/>
  <c r="E52" i="16"/>
  <c r="F43" i="16"/>
  <c r="E43" i="16"/>
  <c r="F34" i="16"/>
  <c r="E34" i="16"/>
  <c r="G23" i="15"/>
  <c r="N18" i="20"/>
  <c r="M18" i="20"/>
  <c r="E20" i="16"/>
  <c r="F20" i="16"/>
  <c r="N51" i="15"/>
  <c r="M51" i="15"/>
  <c r="N48" i="20"/>
  <c r="M48" i="20"/>
  <c r="E42" i="16"/>
  <c r="F42" i="16"/>
  <c r="F33" i="16"/>
  <c r="E33" i="16"/>
  <c r="AK40" i="18"/>
  <c r="AD33" i="18"/>
  <c r="AM42" i="18"/>
  <c r="AJ39" i="18"/>
  <c r="AL41" i="18"/>
  <c r="AI38" i="18"/>
  <c r="AF35" i="18"/>
  <c r="AE34" i="18"/>
  <c r="AC32" i="18"/>
  <c r="AG36" i="18"/>
  <c r="AB31" i="18"/>
  <c r="AH37" i="18"/>
  <c r="AH37" i="13"/>
  <c r="AG36" i="13"/>
  <c r="AL41" i="13"/>
  <c r="AC32" i="13"/>
  <c r="AK40" i="13"/>
  <c r="AD33" i="13"/>
  <c r="AM42" i="13"/>
  <c r="AJ39" i="13"/>
  <c r="AE34" i="13"/>
  <c r="AB31" i="13"/>
  <c r="AI38" i="13"/>
  <c r="AF35" i="13"/>
  <c r="BD56" i="18"/>
  <c r="BE57" i="18"/>
  <c r="BF58" i="18"/>
  <c r="BC55" i="18"/>
  <c r="BJ62" i="18"/>
  <c r="BG59" i="18"/>
  <c r="BB54" i="18"/>
  <c r="BI61" i="18"/>
  <c r="AZ52" i="18"/>
  <c r="BA53" i="18"/>
  <c r="BH60" i="18"/>
  <c r="BB54" i="13"/>
  <c r="BE57" i="13"/>
  <c r="BA53" i="13"/>
  <c r="BF58" i="13"/>
  <c r="BC55" i="13"/>
  <c r="BJ62" i="13"/>
  <c r="BG59" i="13"/>
  <c r="BI61" i="13"/>
  <c r="BH60" i="13"/>
  <c r="AZ52" i="13"/>
  <c r="BD56" i="13"/>
  <c r="BH62" i="18"/>
  <c r="BE59" i="18"/>
  <c r="BG61" i="18"/>
  <c r="BF60" i="18"/>
  <c r="AZ54" i="18"/>
  <c r="BC57" i="18"/>
  <c r="BD58" i="18"/>
  <c r="BA55" i="18"/>
  <c r="BB56" i="18"/>
  <c r="BB56" i="13"/>
  <c r="AZ54" i="13"/>
  <c r="BC57" i="13"/>
  <c r="BD58" i="13"/>
  <c r="BA55" i="13"/>
  <c r="BH62" i="13"/>
  <c r="BE59" i="13"/>
  <c r="BG61" i="13"/>
  <c r="BF60" i="13"/>
  <c r="W55" i="9"/>
  <c r="Y55" i="9"/>
  <c r="E63" i="9"/>
  <c r="D63" i="9"/>
  <c r="C63" i="9"/>
  <c r="B63" i="9"/>
  <c r="F63" i="9"/>
  <c r="F16" i="16"/>
  <c r="E16" i="16"/>
  <c r="E17" i="9"/>
  <c r="D17" i="9"/>
  <c r="C17" i="9"/>
  <c r="B17" i="9"/>
  <c r="F17" i="9"/>
  <c r="M17" i="20"/>
  <c r="N17" i="20"/>
  <c r="F50" i="15"/>
  <c r="H50" i="15" s="1"/>
  <c r="F31" i="15"/>
  <c r="H31" i="15" s="1"/>
  <c r="M51" i="20"/>
  <c r="N51" i="20"/>
  <c r="Z55" i="9"/>
  <c r="F41" i="15"/>
  <c r="H41" i="15" s="1"/>
  <c r="T52" i="9"/>
  <c r="AA4" i="20"/>
  <c r="C28" i="9"/>
  <c r="M35" i="9"/>
  <c r="M113" i="9" s="1"/>
  <c r="AA17" i="9"/>
  <c r="W28" i="9"/>
  <c r="X28" i="9"/>
  <c r="Y28" i="9"/>
  <c r="P36" i="9"/>
  <c r="P114" i="9" s="1"/>
  <c r="T36" i="9"/>
  <c r="T114" i="9" s="1"/>
  <c r="S36" i="9"/>
  <c r="S114" i="9" s="1"/>
  <c r="P8" i="9"/>
  <c r="O113" i="9"/>
  <c r="S8" i="9"/>
  <c r="H113" i="9"/>
  <c r="I8" i="9"/>
  <c r="J8" i="9"/>
  <c r="K8" i="9"/>
  <c r="B7" i="9"/>
  <c r="A112" i="9"/>
  <c r="F7" i="9"/>
  <c r="E7" i="9"/>
  <c r="I28" i="9"/>
  <c r="M28" i="9"/>
  <c r="L28" i="9"/>
  <c r="K28" i="9"/>
  <c r="V113" i="9"/>
  <c r="AA8" i="9"/>
  <c r="Z8" i="9"/>
  <c r="Y8" i="9"/>
  <c r="X8" i="9"/>
  <c r="W8" i="9"/>
  <c r="AA4" i="15"/>
  <c r="G30" i="15"/>
  <c r="J23" i="1"/>
  <c r="F44" i="15"/>
  <c r="H44" i="15" s="1"/>
  <c r="G17" i="15"/>
  <c r="C5" i="19"/>
  <c r="C4" i="18"/>
  <c r="B15" i="5"/>
  <c r="C5" i="17"/>
  <c r="O23" i="1"/>
  <c r="C5" i="14"/>
  <c r="I24" i="1"/>
  <c r="C4" i="13"/>
  <c r="F62" i="16"/>
  <c r="E62" i="16"/>
  <c r="F53" i="16"/>
  <c r="E53" i="16"/>
  <c r="E44" i="16"/>
  <c r="F44" i="16"/>
  <c r="N35" i="20"/>
  <c r="M35" i="20"/>
  <c r="F29" i="16"/>
  <c r="E29" i="16"/>
  <c r="G59" i="15"/>
  <c r="G35" i="15"/>
  <c r="F21" i="15"/>
  <c r="H21" i="15" s="1"/>
  <c r="N21" i="20"/>
  <c r="M21" i="20"/>
  <c r="N16" i="15"/>
  <c r="M16" i="15"/>
  <c r="N28" i="15"/>
  <c r="M28" i="15"/>
  <c r="N23" i="20"/>
  <c r="M23" i="20"/>
  <c r="G55" i="15"/>
  <c r="J26" i="1"/>
  <c r="M11" i="20"/>
  <c r="N11" i="20"/>
  <c r="F60" i="15"/>
  <c r="H60" i="15" s="1"/>
  <c r="F51" i="15"/>
  <c r="H51" i="15" s="1"/>
  <c r="F33" i="15"/>
  <c r="H33" i="15" s="1"/>
  <c r="M60" i="15"/>
  <c r="N60" i="15"/>
  <c r="N57" i="20"/>
  <c r="M57" i="20"/>
  <c r="AJ62" i="18"/>
  <c r="AJ61" i="18"/>
  <c r="AI60" i="18"/>
  <c r="AG59" i="18"/>
  <c r="AD58" i="18"/>
  <c r="AL57" i="18"/>
  <c r="AG56" i="18"/>
  <c r="AM55" i="18"/>
  <c r="AF54" i="18"/>
  <c r="AJ53" i="18"/>
  <c r="AM52" i="18"/>
  <c r="AC51" i="18"/>
  <c r="AI62" i="18"/>
  <c r="AI61" i="18"/>
  <c r="AH60" i="18"/>
  <c r="AF59" i="18"/>
  <c r="AC58" i="18"/>
  <c r="AK57" i="18"/>
  <c r="AF56" i="18"/>
  <c r="AL55" i="18"/>
  <c r="AF62" i="18"/>
  <c r="AF61" i="18"/>
  <c r="AE60" i="18"/>
  <c r="AC59" i="18"/>
  <c r="AL58" i="18"/>
  <c r="AH57" i="18"/>
  <c r="AC56" i="18"/>
  <c r="AI55" i="18"/>
  <c r="AB54" i="18"/>
  <c r="AE62" i="18"/>
  <c r="AE61" i="18"/>
  <c r="AD60" i="18"/>
  <c r="AB59" i="18"/>
  <c r="AK58" i="18"/>
  <c r="AG57" i="18"/>
  <c r="AB56" i="18"/>
  <c r="AH55" i="18"/>
  <c r="AD62" i="18"/>
  <c r="AD61" i="18"/>
  <c r="AC60" i="18"/>
  <c r="AM59" i="18"/>
  <c r="AJ58" i="18"/>
  <c r="AF57" i="18"/>
  <c r="AM56" i="18"/>
  <c r="AG55" i="18"/>
  <c r="AC62" i="18"/>
  <c r="AC61" i="18"/>
  <c r="AB60" i="18"/>
  <c r="AL59" i="18"/>
  <c r="AI58" i="18"/>
  <c r="AE57" i="18"/>
  <c r="AL56" i="18"/>
  <c r="AB62" i="18"/>
  <c r="AB61" i="18"/>
  <c r="AM60" i="18"/>
  <c r="AK59" i="18"/>
  <c r="AH58" i="18"/>
  <c r="AD57" i="18"/>
  <c r="AK56" i="18"/>
  <c r="AE55" i="18"/>
  <c r="AM62" i="18"/>
  <c r="AM61" i="18"/>
  <c r="AL60" i="18"/>
  <c r="AJ59" i="18"/>
  <c r="AG58" i="18"/>
  <c r="AC57" i="18"/>
  <c r="AJ56" i="18"/>
  <c r="AD55" i="18"/>
  <c r="AL62" i="18"/>
  <c r="AL61" i="18"/>
  <c r="AK60" i="18"/>
  <c r="AI59" i="18"/>
  <c r="AF58" i="18"/>
  <c r="AB57" i="18"/>
  <c r="AI56" i="18"/>
  <c r="AC55" i="18"/>
  <c r="AD56" i="18"/>
  <c r="AE54" i="18"/>
  <c r="AD53" i="18"/>
  <c r="AC52" i="18"/>
  <c r="AM51" i="18"/>
  <c r="AM50" i="18"/>
  <c r="AM49" i="18"/>
  <c r="AL48" i="18"/>
  <c r="AJ47" i="18"/>
  <c r="AG46" i="18"/>
  <c r="AC45" i="18"/>
  <c r="AD43" i="18"/>
  <c r="AD40" i="18"/>
  <c r="AK62" i="18"/>
  <c r="AH59" i="18"/>
  <c r="AD54" i="18"/>
  <c r="AC53" i="18"/>
  <c r="AB52" i="18"/>
  <c r="AL51" i="18"/>
  <c r="AL50" i="18"/>
  <c r="AL49" i="18"/>
  <c r="AK48" i="18"/>
  <c r="AI47" i="18"/>
  <c r="AF46" i="18"/>
  <c r="AB45" i="18"/>
  <c r="AM58" i="18"/>
  <c r="AJ55" i="18"/>
  <c r="AM53" i="18"/>
  <c r="AK52" i="18"/>
  <c r="AI51" i="18"/>
  <c r="AI50" i="18"/>
  <c r="AI49" i="18"/>
  <c r="AH48" i="18"/>
  <c r="AF47" i="18"/>
  <c r="AC46" i="18"/>
  <c r="AF44" i="18"/>
  <c r="AE42" i="18"/>
  <c r="AB39" i="18"/>
  <c r="AK61" i="18"/>
  <c r="AE58" i="18"/>
  <c r="AF55" i="18"/>
  <c r="AM54" i="18"/>
  <c r="AL53" i="18"/>
  <c r="AJ52" i="18"/>
  <c r="AH51" i="18"/>
  <c r="AH50" i="18"/>
  <c r="AH49" i="18"/>
  <c r="AG48" i="18"/>
  <c r="AE47" i="18"/>
  <c r="AB46" i="18"/>
  <c r="AE44" i="18"/>
  <c r="AD42" i="18"/>
  <c r="AB38" i="18"/>
  <c r="AH61" i="18"/>
  <c r="AB58" i="18"/>
  <c r="AM57" i="18"/>
  <c r="AB55" i="18"/>
  <c r="AL54" i="18"/>
  <c r="AK53" i="18"/>
  <c r="AI52" i="18"/>
  <c r="AG51" i="18"/>
  <c r="AG50" i="18"/>
  <c r="AG49" i="18"/>
  <c r="AF48" i="18"/>
  <c r="AD47" i="18"/>
  <c r="AI45" i="18"/>
  <c r="AD44" i="18"/>
  <c r="AC42" i="18"/>
  <c r="AG61" i="18"/>
  <c r="AJ57" i="18"/>
  <c r="AK54" i="18"/>
  <c r="AI53" i="18"/>
  <c r="AH52" i="18"/>
  <c r="AF51" i="18"/>
  <c r="AF50" i="18"/>
  <c r="AF49" i="18"/>
  <c r="AE48" i="18"/>
  <c r="AC47" i="18"/>
  <c r="AI57" i="18"/>
  <c r="AJ54" i="18"/>
  <c r="AH53" i="18"/>
  <c r="AG52" i="18"/>
  <c r="AE51" i="18"/>
  <c r="AE50" i="18"/>
  <c r="AE49" i="18"/>
  <c r="AD48" i="18"/>
  <c r="AB47" i="18"/>
  <c r="AG45" i="18"/>
  <c r="AB44" i="18"/>
  <c r="AE41" i="18"/>
  <c r="AJ60" i="18"/>
  <c r="AI54" i="18"/>
  <c r="AG53" i="18"/>
  <c r="AF52" i="18"/>
  <c r="AD51" i="18"/>
  <c r="AD50" i="18"/>
  <c r="AD49" i="18"/>
  <c r="AC48" i="18"/>
  <c r="AJ46" i="18"/>
  <c r="AF45" i="18"/>
  <c r="AG43" i="18"/>
  <c r="AD41" i="18"/>
  <c r="AG60" i="18"/>
  <c r="AH56" i="18"/>
  <c r="AH54" i="18"/>
  <c r="AF53" i="18"/>
  <c r="AE52" i="18"/>
  <c r="AB51" i="18"/>
  <c r="AC50" i="18"/>
  <c r="AC49" i="18"/>
  <c r="AB48" i="18"/>
  <c r="AI46" i="18"/>
  <c r="AE45" i="18"/>
  <c r="AF60" i="18"/>
  <c r="AE56" i="18"/>
  <c r="AG54" i="18"/>
  <c r="AE53" i="18"/>
  <c r="AD52" i="18"/>
  <c r="AB50" i="18"/>
  <c r="AB49" i="18"/>
  <c r="AK47" i="18"/>
  <c r="AH46" i="18"/>
  <c r="AD45" i="18"/>
  <c r="AE43" i="18"/>
  <c r="AJ50" i="18"/>
  <c r="AD46" i="18"/>
  <c r="AC43" i="18"/>
  <c r="AB43" i="18"/>
  <c r="AC40" i="18"/>
  <c r="AJ48" i="18"/>
  <c r="AC41" i="18"/>
  <c r="AL52" i="18"/>
  <c r="AI48" i="18"/>
  <c r="AB41" i="18"/>
  <c r="AE59" i="18"/>
  <c r="AH44" i="18"/>
  <c r="AD59" i="18"/>
  <c r="AK49" i="18"/>
  <c r="AH45" i="18"/>
  <c r="AG44" i="18"/>
  <c r="AF42" i="18"/>
  <c r="AH62" i="18"/>
  <c r="AK55" i="18"/>
  <c r="AJ49" i="18"/>
  <c r="AC44" i="18"/>
  <c r="AB42" i="18"/>
  <c r="AG62" i="18"/>
  <c r="AC39" i="18"/>
  <c r="AE46" i="18"/>
  <c r="AF43" i="18"/>
  <c r="AK50" i="18"/>
  <c r="AC54" i="18"/>
  <c r="AB53" i="18"/>
  <c r="AB40" i="18"/>
  <c r="AH47" i="18"/>
  <c r="AK51" i="18"/>
  <c r="AG47" i="18"/>
  <c r="AJ51" i="18"/>
  <c r="AH62" i="13"/>
  <c r="AH61" i="13"/>
  <c r="AG60" i="13"/>
  <c r="AE59" i="13"/>
  <c r="AB58" i="13"/>
  <c r="AJ57" i="13"/>
  <c r="AE56" i="13"/>
  <c r="AK55" i="13"/>
  <c r="AD54" i="13"/>
  <c r="AH53" i="13"/>
  <c r="AK52" i="13"/>
  <c r="AM51" i="13"/>
  <c r="AB50" i="13"/>
  <c r="AB49" i="13"/>
  <c r="AK47" i="13"/>
  <c r="AH46" i="13"/>
  <c r="AD45" i="13"/>
  <c r="AE43" i="13"/>
  <c r="AB41" i="13"/>
  <c r="AG62" i="13"/>
  <c r="AG61" i="13"/>
  <c r="AF60" i="13"/>
  <c r="AD59" i="13"/>
  <c r="AM58" i="13"/>
  <c r="AI57" i="13"/>
  <c r="AD56" i="13"/>
  <c r="AJ55" i="13"/>
  <c r="AC54" i="13"/>
  <c r="AG53" i="13"/>
  <c r="AJ52" i="13"/>
  <c r="AL51" i="13"/>
  <c r="AM50" i="13"/>
  <c r="AM49" i="13"/>
  <c r="AL48" i="13"/>
  <c r="AJ47" i="13"/>
  <c r="AG46" i="13"/>
  <c r="AC45" i="13"/>
  <c r="AD43" i="13"/>
  <c r="AD40" i="13"/>
  <c r="AF62" i="13"/>
  <c r="AF61" i="13"/>
  <c r="AE60" i="13"/>
  <c r="AC59" i="13"/>
  <c r="AL58" i="13"/>
  <c r="AH57" i="13"/>
  <c r="AC56" i="13"/>
  <c r="AI55" i="13"/>
  <c r="AB54" i="13"/>
  <c r="AF53" i="13"/>
  <c r="AI52" i="13"/>
  <c r="AK51" i="13"/>
  <c r="AL50" i="13"/>
  <c r="AL49" i="13"/>
  <c r="AK48" i="13"/>
  <c r="AI47" i="13"/>
  <c r="AF46" i="13"/>
  <c r="AB45" i="13"/>
  <c r="AC43" i="13"/>
  <c r="AC40" i="13"/>
  <c r="AE62" i="13"/>
  <c r="AE61" i="13"/>
  <c r="AD60" i="13"/>
  <c r="AB59" i="13"/>
  <c r="AK58" i="13"/>
  <c r="AG57" i="13"/>
  <c r="AB56" i="13"/>
  <c r="AH55" i="13"/>
  <c r="AM54" i="13"/>
  <c r="AE53" i="13"/>
  <c r="AH52" i="13"/>
  <c r="AJ51" i="13"/>
  <c r="AK50" i="13"/>
  <c r="AK49" i="13"/>
  <c r="AJ48" i="13"/>
  <c r="AH47" i="13"/>
  <c r="AE46" i="13"/>
  <c r="AH44" i="13"/>
  <c r="AB43" i="13"/>
  <c r="AB40" i="13"/>
  <c r="AD62" i="13"/>
  <c r="AD61" i="13"/>
  <c r="AC60" i="13"/>
  <c r="AM59" i="13"/>
  <c r="AJ58" i="13"/>
  <c r="AF57" i="13"/>
  <c r="AM56" i="13"/>
  <c r="AG55" i="13"/>
  <c r="AL54" i="13"/>
  <c r="AD53" i="13"/>
  <c r="AG52" i="13"/>
  <c r="AI51" i="13"/>
  <c r="AJ50" i="13"/>
  <c r="AJ49" i="13"/>
  <c r="AI48" i="13"/>
  <c r="AG47" i="13"/>
  <c r="AD46" i="13"/>
  <c r="AG44" i="13"/>
  <c r="AF42" i="13"/>
  <c r="AC39" i="13"/>
  <c r="AC62" i="13"/>
  <c r="AC61" i="13"/>
  <c r="AB60" i="13"/>
  <c r="AL59" i="13"/>
  <c r="AI58" i="13"/>
  <c r="AE57" i="13"/>
  <c r="AL56" i="13"/>
  <c r="AF55" i="13"/>
  <c r="AK54" i="13"/>
  <c r="AC53" i="13"/>
  <c r="AF52" i="13"/>
  <c r="AH51" i="13"/>
  <c r="AI50" i="13"/>
  <c r="AI49" i="13"/>
  <c r="AH48" i="13"/>
  <c r="AF47" i="13"/>
  <c r="AC46" i="13"/>
  <c r="AF44" i="13"/>
  <c r="AE42" i="13"/>
  <c r="AB39" i="13"/>
  <c r="AB62" i="13"/>
  <c r="AB61" i="13"/>
  <c r="AM60" i="13"/>
  <c r="AK59" i="13"/>
  <c r="AH58" i="13"/>
  <c r="AD57" i="13"/>
  <c r="AK56" i="13"/>
  <c r="AE55" i="13"/>
  <c r="AJ54" i="13"/>
  <c r="AB53" i="13"/>
  <c r="AE52" i="13"/>
  <c r="AG51" i="13"/>
  <c r="AH50" i="13"/>
  <c r="AH49" i="13"/>
  <c r="AG48" i="13"/>
  <c r="AE47" i="13"/>
  <c r="AB46" i="13"/>
  <c r="AE44" i="13"/>
  <c r="AD42" i="13"/>
  <c r="AB38" i="13"/>
  <c r="AM62" i="13"/>
  <c r="AM61" i="13"/>
  <c r="AL60" i="13"/>
  <c r="AJ59" i="13"/>
  <c r="AG58" i="13"/>
  <c r="AC57" i="13"/>
  <c r="AJ56" i="13"/>
  <c r="AD55" i="13"/>
  <c r="AI54" i="13"/>
  <c r="AM53" i="13"/>
  <c r="AD52" i="13"/>
  <c r="AF51" i="13"/>
  <c r="AG50" i="13"/>
  <c r="AG49" i="13"/>
  <c r="AF48" i="13"/>
  <c r="AD47" i="13"/>
  <c r="AI45" i="13"/>
  <c r="AD44" i="13"/>
  <c r="AC42" i="13"/>
  <c r="AL62" i="13"/>
  <c r="AL61" i="13"/>
  <c r="AK60" i="13"/>
  <c r="AI59" i="13"/>
  <c r="AF58" i="13"/>
  <c r="AB57" i="13"/>
  <c r="AI56" i="13"/>
  <c r="AC55" i="13"/>
  <c r="AH54" i="13"/>
  <c r="AL53" i="13"/>
  <c r="AC52" i="13"/>
  <c r="AE51" i="13"/>
  <c r="AF50" i="13"/>
  <c r="AF49" i="13"/>
  <c r="AE48" i="13"/>
  <c r="AC47" i="13"/>
  <c r="AH45" i="13"/>
  <c r="AC44" i="13"/>
  <c r="AB42" i="13"/>
  <c r="AK62" i="13"/>
  <c r="AK61" i="13"/>
  <c r="AJ60" i="13"/>
  <c r="AH59" i="13"/>
  <c r="AE58" i="13"/>
  <c r="AM57" i="13"/>
  <c r="AH56" i="13"/>
  <c r="AB55" i="13"/>
  <c r="AG54" i="13"/>
  <c r="AK53" i="13"/>
  <c r="AB52" i="13"/>
  <c r="AD51" i="13"/>
  <c r="AE50" i="13"/>
  <c r="AE49" i="13"/>
  <c r="AD48" i="13"/>
  <c r="AB47" i="13"/>
  <c r="AG45" i="13"/>
  <c r="AB44" i="13"/>
  <c r="AE41" i="13"/>
  <c r="AJ62" i="13"/>
  <c r="AJ61" i="13"/>
  <c r="AI60" i="13"/>
  <c r="AG59" i="13"/>
  <c r="AD58" i="13"/>
  <c r="AL57" i="13"/>
  <c r="AG56" i="13"/>
  <c r="AM55" i="13"/>
  <c r="AF54" i="13"/>
  <c r="AJ53" i="13"/>
  <c r="AM52" i="13"/>
  <c r="AC51" i="13"/>
  <c r="AD50" i="13"/>
  <c r="AD49" i="13"/>
  <c r="AC48" i="13"/>
  <c r="AJ46" i="13"/>
  <c r="AF45" i="13"/>
  <c r="AG43" i="13"/>
  <c r="AD41" i="13"/>
  <c r="AI62" i="13"/>
  <c r="AI61" i="13"/>
  <c r="AH60" i="13"/>
  <c r="AF59" i="13"/>
  <c r="AC58" i="13"/>
  <c r="AK57" i="13"/>
  <c r="AF56" i="13"/>
  <c r="AL55" i="13"/>
  <c r="AE54" i="13"/>
  <c r="AI53" i="13"/>
  <c r="AL52" i="13"/>
  <c r="AB51" i="13"/>
  <c r="AC50" i="13"/>
  <c r="AC49" i="13"/>
  <c r="AB48" i="13"/>
  <c r="AI46" i="13"/>
  <c r="AE45" i="13"/>
  <c r="AF43" i="13"/>
  <c r="AC41" i="13"/>
  <c r="B17" i="20" l="1"/>
  <c r="P8" i="20"/>
  <c r="F6" i="13"/>
  <c r="B4" i="6"/>
  <c r="C4" i="6"/>
  <c r="J13" i="13"/>
  <c r="B8" i="6"/>
  <c r="C8" i="6"/>
  <c r="B10" i="6"/>
  <c r="C10" i="6"/>
  <c r="C11" i="6"/>
  <c r="B11" i="6"/>
  <c r="C12" i="6"/>
  <c r="B12" i="6"/>
  <c r="B5" i="6"/>
  <c r="C5" i="6"/>
  <c r="C9" i="6"/>
  <c r="B9" i="6"/>
  <c r="B3" i="6"/>
  <c r="C3" i="6"/>
  <c r="C6" i="6"/>
  <c r="B6" i="6"/>
  <c r="C13" i="6"/>
  <c r="B13" i="6"/>
  <c r="B7" i="6"/>
  <c r="C7" i="6"/>
  <c r="C2" i="6"/>
  <c r="B2" i="6"/>
  <c r="D12" i="15"/>
  <c r="G12" i="15" s="1"/>
  <c r="P9" i="20"/>
  <c r="P7" i="20"/>
  <c r="P10" i="20"/>
  <c r="P6" i="20"/>
  <c r="J27" i="13"/>
  <c r="J48" i="13"/>
  <c r="J51" i="13"/>
  <c r="J20" i="13"/>
  <c r="J12" i="13"/>
  <c r="J57" i="13"/>
  <c r="J31" i="13"/>
  <c r="J15" i="13"/>
  <c r="J14" i="13"/>
  <c r="J56" i="13"/>
  <c r="J22" i="13"/>
  <c r="J59" i="13"/>
  <c r="J29" i="13"/>
  <c r="F58" i="13"/>
  <c r="J21" i="13"/>
  <c r="J37" i="13"/>
  <c r="F47" i="13"/>
  <c r="J45" i="13"/>
  <c r="J54" i="13"/>
  <c r="J60" i="13"/>
  <c r="J17" i="13"/>
  <c r="J47" i="13"/>
  <c r="J53" i="13"/>
  <c r="F21" i="13"/>
  <c r="J11" i="13"/>
  <c r="J34" i="13"/>
  <c r="J52" i="13"/>
  <c r="J61" i="13"/>
  <c r="J36" i="13"/>
  <c r="J44" i="13"/>
  <c r="F11" i="13"/>
  <c r="F30" i="13"/>
  <c r="J16" i="13"/>
  <c r="J41" i="13"/>
  <c r="J55" i="13"/>
  <c r="J62" i="13"/>
  <c r="J19" i="13"/>
  <c r="J49" i="13"/>
  <c r="J18" i="13"/>
  <c r="A8" i="6"/>
  <c r="J40" i="13"/>
  <c r="J50" i="13"/>
  <c r="J33" i="13"/>
  <c r="F52" i="13"/>
  <c r="F29" i="13"/>
  <c r="F37" i="13"/>
  <c r="F8" i="13"/>
  <c r="J10" i="13"/>
  <c r="J38" i="13"/>
  <c r="F50" i="13"/>
  <c r="J43" i="13"/>
  <c r="J58" i="13"/>
  <c r="J42" i="13"/>
  <c r="F24" i="13"/>
  <c r="F54" i="13"/>
  <c r="F48" i="13"/>
  <c r="F18" i="13"/>
  <c r="F53" i="13"/>
  <c r="F32" i="13"/>
  <c r="A4" i="6"/>
  <c r="F46" i="13"/>
  <c r="F10" i="13"/>
  <c r="F51" i="13"/>
  <c r="F33" i="13"/>
  <c r="F61" i="13"/>
  <c r="F35" i="13"/>
  <c r="J39" i="13"/>
  <c r="J30" i="13"/>
  <c r="J24" i="13"/>
  <c r="J9" i="13"/>
  <c r="J46" i="13"/>
  <c r="F16" i="13"/>
  <c r="B17" i="15"/>
  <c r="F17" i="13"/>
  <c r="F7" i="13"/>
  <c r="F42" i="13"/>
  <c r="F62" i="13"/>
  <c r="F40" i="13"/>
  <c r="F38" i="13"/>
  <c r="F19" i="13"/>
  <c r="F25" i="13"/>
  <c r="F20" i="13"/>
  <c r="F57" i="13"/>
  <c r="F12" i="13"/>
  <c r="F43" i="13"/>
  <c r="F45" i="13"/>
  <c r="I39" i="1"/>
  <c r="C18" i="14"/>
  <c r="C17" i="13"/>
  <c r="C18" i="19"/>
  <c r="C17" i="18"/>
  <c r="B30" i="5"/>
  <c r="C18" i="17"/>
  <c r="O38" i="1"/>
  <c r="F27" i="13"/>
  <c r="F34" i="13"/>
  <c r="F28" i="13"/>
  <c r="F13" i="13"/>
  <c r="F36" i="13"/>
  <c r="F41" i="13"/>
  <c r="F31" i="13"/>
  <c r="F14" i="13"/>
  <c r="F39" i="13"/>
  <c r="B4" i="4"/>
  <c r="D6" i="16" s="1"/>
  <c r="J32" i="13"/>
  <c r="J25" i="13"/>
  <c r="J23" i="13"/>
  <c r="B8" i="4"/>
  <c r="D10" i="16" s="1"/>
  <c r="F55" i="13"/>
  <c r="F9" i="13"/>
  <c r="F26" i="13"/>
  <c r="F23" i="13"/>
  <c r="F5" i="13"/>
  <c r="F15" i="13"/>
  <c r="F56" i="13"/>
  <c r="F59" i="13"/>
  <c r="F49" i="13"/>
  <c r="F44" i="13"/>
  <c r="F22" i="13"/>
  <c r="F60" i="13"/>
  <c r="J35" i="13"/>
  <c r="J26" i="13"/>
  <c r="J28" i="13"/>
  <c r="T20" i="18"/>
  <c r="P21" i="20" s="1"/>
  <c r="R18" i="13"/>
  <c r="W23" i="18"/>
  <c r="P24" i="20" s="1"/>
  <c r="Y25" i="18"/>
  <c r="P26" i="20" s="1"/>
  <c r="P16" i="13"/>
  <c r="Q17" i="18"/>
  <c r="P18" i="20" s="1"/>
  <c r="Q17" i="13"/>
  <c r="U21" i="18"/>
  <c r="P22" i="20" s="1"/>
  <c r="AA27" i="13"/>
  <c r="AA27" i="18"/>
  <c r="P28" i="20" s="1"/>
  <c r="V22" i="13"/>
  <c r="V22" i="18"/>
  <c r="P23" i="20" s="1"/>
  <c r="S19" i="13"/>
  <c r="S19" i="18"/>
  <c r="P20" i="20" s="1"/>
  <c r="Z26" i="13"/>
  <c r="Z26" i="18"/>
  <c r="P27" i="20" s="1"/>
  <c r="W23" i="13"/>
  <c r="P16" i="18"/>
  <c r="P17" i="20" s="1"/>
  <c r="T20" i="13"/>
  <c r="R18" i="18"/>
  <c r="P19" i="20" s="1"/>
  <c r="U21" i="13"/>
  <c r="Y25" i="13"/>
  <c r="X24" i="13"/>
  <c r="X24" i="18"/>
  <c r="P25" i="20" s="1"/>
  <c r="P14" i="20"/>
  <c r="P11" i="20"/>
  <c r="P35" i="20"/>
  <c r="P12" i="20"/>
  <c r="P13" i="20"/>
  <c r="P36" i="20"/>
  <c r="P31" i="20"/>
  <c r="P32" i="20"/>
  <c r="P53" i="20"/>
  <c r="P52" i="20"/>
  <c r="P39" i="20"/>
  <c r="P61" i="20"/>
  <c r="P57" i="20"/>
  <c r="C6" i="19"/>
  <c r="B16" i="5"/>
  <c r="C5" i="18"/>
  <c r="C6" i="17"/>
  <c r="I25" i="1"/>
  <c r="C5" i="13"/>
  <c r="C6" i="14"/>
  <c r="O24" i="1"/>
  <c r="F15" i="15"/>
  <c r="H15" i="15" s="1"/>
  <c r="A10" i="6"/>
  <c r="L57" i="13"/>
  <c r="L42" i="13"/>
  <c r="L33" i="13"/>
  <c r="L18" i="13"/>
  <c r="L55" i="13"/>
  <c r="L52" i="13"/>
  <c r="L47" i="13"/>
  <c r="L44" i="13"/>
  <c r="L31" i="13"/>
  <c r="L28" i="13"/>
  <c r="L23" i="13"/>
  <c r="L20" i="13"/>
  <c r="L51" i="13"/>
  <c r="L48" i="13"/>
  <c r="L27" i="13"/>
  <c r="L24" i="13"/>
  <c r="L58" i="13"/>
  <c r="L50" i="13"/>
  <c r="L49" i="13"/>
  <c r="L41" i="13"/>
  <c r="L34" i="13"/>
  <c r="L26" i="13"/>
  <c r="L25" i="13"/>
  <c r="L17" i="13"/>
  <c r="L54" i="13"/>
  <c r="L45" i="13"/>
  <c r="L30" i="13"/>
  <c r="L21" i="13"/>
  <c r="B10" i="4"/>
  <c r="L59" i="13"/>
  <c r="L56" i="13"/>
  <c r="L43" i="13"/>
  <c r="L40" i="13"/>
  <c r="L35" i="13"/>
  <c r="L32" i="13"/>
  <c r="L19" i="13"/>
  <c r="L16" i="13"/>
  <c r="L11" i="13"/>
  <c r="L60" i="13"/>
  <c r="L39" i="13"/>
  <c r="L36" i="13"/>
  <c r="L15" i="13"/>
  <c r="L12" i="13"/>
  <c r="L62" i="13"/>
  <c r="L61" i="13"/>
  <c r="L53" i="13"/>
  <c r="L46" i="13"/>
  <c r="L38" i="13"/>
  <c r="L37" i="13"/>
  <c r="L29" i="13"/>
  <c r="L22" i="13"/>
  <c r="L14" i="13"/>
  <c r="L13" i="13"/>
  <c r="G8" i="16"/>
  <c r="E8" i="15"/>
  <c r="D8" i="15"/>
  <c r="P30" i="20"/>
  <c r="P43" i="20"/>
  <c r="P44" i="20"/>
  <c r="P58" i="20"/>
  <c r="G9" i="16"/>
  <c r="E9" i="15"/>
  <c r="D9" i="15"/>
  <c r="P40" i="20"/>
  <c r="G10" i="16"/>
  <c r="E10" i="15"/>
  <c r="D10" i="15"/>
  <c r="A13" i="6"/>
  <c r="O51" i="13"/>
  <c r="O48" i="13"/>
  <c r="O27" i="13"/>
  <c r="O24" i="13"/>
  <c r="O58" i="13"/>
  <c r="O50" i="13"/>
  <c r="O49" i="13"/>
  <c r="O41" i="13"/>
  <c r="O34" i="13"/>
  <c r="O26" i="13"/>
  <c r="O25" i="13"/>
  <c r="O17" i="13"/>
  <c r="O54" i="13"/>
  <c r="O45" i="13"/>
  <c r="O30" i="13"/>
  <c r="O21" i="13"/>
  <c r="O59" i="13"/>
  <c r="O56" i="13"/>
  <c r="O43" i="13"/>
  <c r="O40" i="13"/>
  <c r="O35" i="13"/>
  <c r="O32" i="13"/>
  <c r="O19" i="13"/>
  <c r="O16" i="13"/>
  <c r="O60" i="13"/>
  <c r="O39" i="13"/>
  <c r="O36" i="13"/>
  <c r="O15" i="13"/>
  <c r="O62" i="13"/>
  <c r="O61" i="13"/>
  <c r="O53" i="13"/>
  <c r="O46" i="13"/>
  <c r="O38" i="13"/>
  <c r="O37" i="13"/>
  <c r="O29" i="13"/>
  <c r="O22" i="13"/>
  <c r="O14" i="13"/>
  <c r="O57" i="13"/>
  <c r="O42" i="13"/>
  <c r="O33" i="13"/>
  <c r="O18" i="13"/>
  <c r="B13" i="4"/>
  <c r="O55" i="13"/>
  <c r="O52" i="13"/>
  <c r="O47" i="13"/>
  <c r="O44" i="13"/>
  <c r="O31" i="13"/>
  <c r="O28" i="13"/>
  <c r="O23" i="13"/>
  <c r="O20" i="13"/>
  <c r="P41" i="20"/>
  <c r="P15" i="20"/>
  <c r="P60" i="20"/>
  <c r="P51" i="20"/>
  <c r="P48" i="20"/>
  <c r="B5" i="20"/>
  <c r="B5" i="16"/>
  <c r="B5" i="15"/>
  <c r="L6" i="15"/>
  <c r="A12" i="6"/>
  <c r="B12" i="4"/>
  <c r="N51" i="13"/>
  <c r="N48" i="13"/>
  <c r="N27" i="13"/>
  <c r="N24" i="13"/>
  <c r="N58" i="13"/>
  <c r="N50" i="13"/>
  <c r="N49" i="13"/>
  <c r="N41" i="13"/>
  <c r="N34" i="13"/>
  <c r="N26" i="13"/>
  <c r="N25" i="13"/>
  <c r="N17" i="13"/>
  <c r="N54" i="13"/>
  <c r="N45" i="13"/>
  <c r="N30" i="13"/>
  <c r="N21" i="13"/>
  <c r="N59" i="13"/>
  <c r="N56" i="13"/>
  <c r="N43" i="13"/>
  <c r="N40" i="13"/>
  <c r="N35" i="13"/>
  <c r="N32" i="13"/>
  <c r="N19" i="13"/>
  <c r="N16" i="13"/>
  <c r="N60" i="13"/>
  <c r="N39" i="13"/>
  <c r="N36" i="13"/>
  <c r="N15" i="13"/>
  <c r="N62" i="13"/>
  <c r="N61" i="13"/>
  <c r="N53" i="13"/>
  <c r="N46" i="13"/>
  <c r="N38" i="13"/>
  <c r="N37" i="13"/>
  <c r="N29" i="13"/>
  <c r="N22" i="13"/>
  <c r="N14" i="13"/>
  <c r="N13" i="13"/>
  <c r="N57" i="13"/>
  <c r="N42" i="13"/>
  <c r="N33" i="13"/>
  <c r="N18" i="13"/>
  <c r="N55" i="13"/>
  <c r="N52" i="13"/>
  <c r="N47" i="13"/>
  <c r="N44" i="13"/>
  <c r="N31" i="13"/>
  <c r="N28" i="13"/>
  <c r="N23" i="13"/>
  <c r="N20" i="13"/>
  <c r="P16" i="20"/>
  <c r="G11" i="16"/>
  <c r="E11" i="15"/>
  <c r="D11" i="15"/>
  <c r="P38" i="20"/>
  <c r="A9" i="6"/>
  <c r="K57" i="13"/>
  <c r="K42" i="13"/>
  <c r="K33" i="13"/>
  <c r="K18" i="13"/>
  <c r="K55" i="13"/>
  <c r="K52" i="13"/>
  <c r="K47" i="13"/>
  <c r="K44" i="13"/>
  <c r="K31" i="13"/>
  <c r="K28" i="13"/>
  <c r="K23" i="13"/>
  <c r="K20" i="13"/>
  <c r="K51" i="13"/>
  <c r="K48" i="13"/>
  <c r="K27" i="13"/>
  <c r="K24" i="13"/>
  <c r="K58" i="13"/>
  <c r="K50" i="13"/>
  <c r="K49" i="13"/>
  <c r="K41" i="13"/>
  <c r="K34" i="13"/>
  <c r="K26" i="13"/>
  <c r="K25" i="13"/>
  <c r="K17" i="13"/>
  <c r="K10" i="13"/>
  <c r="K54" i="13"/>
  <c r="K45" i="13"/>
  <c r="K30" i="13"/>
  <c r="K21" i="13"/>
  <c r="K59" i="13"/>
  <c r="K56" i="13"/>
  <c r="K43" i="13"/>
  <c r="K40" i="13"/>
  <c r="K35" i="13"/>
  <c r="K32" i="13"/>
  <c r="K19" i="13"/>
  <c r="K16" i="13"/>
  <c r="K11" i="13"/>
  <c r="B9" i="4"/>
  <c r="K60" i="13"/>
  <c r="K39" i="13"/>
  <c r="K36" i="13"/>
  <c r="K15" i="13"/>
  <c r="K12" i="13"/>
  <c r="K62" i="13"/>
  <c r="K61" i="13"/>
  <c r="K53" i="13"/>
  <c r="K46" i="13"/>
  <c r="K38" i="13"/>
  <c r="K37" i="13"/>
  <c r="K29" i="13"/>
  <c r="K22" i="13"/>
  <c r="K14" i="13"/>
  <c r="K13" i="13"/>
  <c r="A11" i="6"/>
  <c r="M55" i="13"/>
  <c r="M52" i="13"/>
  <c r="M47" i="13"/>
  <c r="M44" i="13"/>
  <c r="M31" i="13"/>
  <c r="M28" i="13"/>
  <c r="M23" i="13"/>
  <c r="M20" i="13"/>
  <c r="M51" i="13"/>
  <c r="M48" i="13"/>
  <c r="M27" i="13"/>
  <c r="M24" i="13"/>
  <c r="M58" i="13"/>
  <c r="M50" i="13"/>
  <c r="M49" i="13"/>
  <c r="M41" i="13"/>
  <c r="M34" i="13"/>
  <c r="M26" i="13"/>
  <c r="M25" i="13"/>
  <c r="M17" i="13"/>
  <c r="B11" i="4"/>
  <c r="M54" i="13"/>
  <c r="M45" i="13"/>
  <c r="M30" i="13"/>
  <c r="M21" i="13"/>
  <c r="M59" i="13"/>
  <c r="M56" i="13"/>
  <c r="M43" i="13"/>
  <c r="M40" i="13"/>
  <c r="M35" i="13"/>
  <c r="M32" i="13"/>
  <c r="M19" i="13"/>
  <c r="M16" i="13"/>
  <c r="M60" i="13"/>
  <c r="M39" i="13"/>
  <c r="M36" i="13"/>
  <c r="M15" i="13"/>
  <c r="M12" i="13"/>
  <c r="M62" i="13"/>
  <c r="M61" i="13"/>
  <c r="M53" i="13"/>
  <c r="M46" i="13"/>
  <c r="M38" i="13"/>
  <c r="M37" i="13"/>
  <c r="M29" i="13"/>
  <c r="M22" i="13"/>
  <c r="M14" i="13"/>
  <c r="M13" i="13"/>
  <c r="M57" i="13"/>
  <c r="M42" i="13"/>
  <c r="M33" i="13"/>
  <c r="M18" i="13"/>
  <c r="P29" i="20"/>
  <c r="P56" i="20"/>
  <c r="P54" i="20"/>
  <c r="A2" i="6"/>
  <c r="D58" i="13"/>
  <c r="D50" i="13"/>
  <c r="D49" i="13"/>
  <c r="D41" i="13"/>
  <c r="D34" i="13"/>
  <c r="D26" i="13"/>
  <c r="D25" i="13"/>
  <c r="D17" i="13"/>
  <c r="D10" i="13"/>
  <c r="D54" i="13"/>
  <c r="D45" i="13"/>
  <c r="D30" i="13"/>
  <c r="D21" i="13"/>
  <c r="D6" i="13"/>
  <c r="M33" i="1"/>
  <c r="D59" i="13"/>
  <c r="D56" i="13"/>
  <c r="D43" i="13"/>
  <c r="D40" i="13"/>
  <c r="D35" i="13"/>
  <c r="D32" i="13"/>
  <c r="D19" i="13"/>
  <c r="D16" i="13"/>
  <c r="D11" i="13"/>
  <c r="D8" i="13"/>
  <c r="D60" i="13"/>
  <c r="D39" i="13"/>
  <c r="D36" i="13"/>
  <c r="D15" i="13"/>
  <c r="D12" i="13"/>
  <c r="D62" i="13"/>
  <c r="D61" i="13"/>
  <c r="D53" i="13"/>
  <c r="D46" i="13"/>
  <c r="D38" i="13"/>
  <c r="D37" i="13"/>
  <c r="D29" i="13"/>
  <c r="D22" i="13"/>
  <c r="D14" i="13"/>
  <c r="D13" i="13"/>
  <c r="D5" i="13"/>
  <c r="B2" i="4"/>
  <c r="D57" i="13"/>
  <c r="D42" i="13"/>
  <c r="D33" i="13"/>
  <c r="D18" i="13"/>
  <c r="D9" i="13"/>
  <c r="D55" i="13"/>
  <c r="D52" i="13"/>
  <c r="D47" i="13"/>
  <c r="D44" i="13"/>
  <c r="D31" i="13"/>
  <c r="D28" i="13"/>
  <c r="D23" i="13"/>
  <c r="D20" i="13"/>
  <c r="D7" i="13"/>
  <c r="D4" i="13"/>
  <c r="D51" i="13"/>
  <c r="D48" i="13"/>
  <c r="D27" i="13"/>
  <c r="D24" i="13"/>
  <c r="D3" i="13"/>
  <c r="P55" i="20"/>
  <c r="G6" i="16"/>
  <c r="E6" i="15"/>
  <c r="D6" i="15"/>
  <c r="P37" i="20"/>
  <c r="A6" i="6"/>
  <c r="H60" i="13"/>
  <c r="H39" i="13"/>
  <c r="H36" i="13"/>
  <c r="H15" i="13"/>
  <c r="H12" i="13"/>
  <c r="H62" i="13"/>
  <c r="H61" i="13"/>
  <c r="H53" i="13"/>
  <c r="H46" i="13"/>
  <c r="H38" i="13"/>
  <c r="H37" i="13"/>
  <c r="H29" i="13"/>
  <c r="H22" i="13"/>
  <c r="H14" i="13"/>
  <c r="H13" i="13"/>
  <c r="H57" i="13"/>
  <c r="H42" i="13"/>
  <c r="H33" i="13"/>
  <c r="H18" i="13"/>
  <c r="H9" i="13"/>
  <c r="H55" i="13"/>
  <c r="H52" i="13"/>
  <c r="H47" i="13"/>
  <c r="H44" i="13"/>
  <c r="H31" i="13"/>
  <c r="H28" i="13"/>
  <c r="H23" i="13"/>
  <c r="H20" i="13"/>
  <c r="H7" i="13"/>
  <c r="B6" i="4"/>
  <c r="H51" i="13"/>
  <c r="H48" i="13"/>
  <c r="H27" i="13"/>
  <c r="H24" i="13"/>
  <c r="H58" i="13"/>
  <c r="H50" i="13"/>
  <c r="H49" i="13"/>
  <c r="H41" i="13"/>
  <c r="H34" i="13"/>
  <c r="H26" i="13"/>
  <c r="H25" i="13"/>
  <c r="H17" i="13"/>
  <c r="H10" i="13"/>
  <c r="H54" i="13"/>
  <c r="H45" i="13"/>
  <c r="H30" i="13"/>
  <c r="H21" i="13"/>
  <c r="H59" i="13"/>
  <c r="H56" i="13"/>
  <c r="H43" i="13"/>
  <c r="H40" i="13"/>
  <c r="H35" i="13"/>
  <c r="H32" i="13"/>
  <c r="H19" i="13"/>
  <c r="H16" i="13"/>
  <c r="H11" i="13"/>
  <c r="H8" i="13"/>
  <c r="S33" i="1"/>
  <c r="C2" i="4"/>
  <c r="G14" i="16"/>
  <c r="E14" i="15"/>
  <c r="D14" i="15"/>
  <c r="A5" i="6"/>
  <c r="G59" i="13"/>
  <c r="G56" i="13"/>
  <c r="G43" i="13"/>
  <c r="G40" i="13"/>
  <c r="G35" i="13"/>
  <c r="G32" i="13"/>
  <c r="G19" i="13"/>
  <c r="G16" i="13"/>
  <c r="G11" i="13"/>
  <c r="G8" i="13"/>
  <c r="G60" i="13"/>
  <c r="G39" i="13"/>
  <c r="G36" i="13"/>
  <c r="G15" i="13"/>
  <c r="G12" i="13"/>
  <c r="G62" i="13"/>
  <c r="G61" i="13"/>
  <c r="G53" i="13"/>
  <c r="G46" i="13"/>
  <c r="G38" i="13"/>
  <c r="G37" i="13"/>
  <c r="G29" i="13"/>
  <c r="G22" i="13"/>
  <c r="G14" i="13"/>
  <c r="G13" i="13"/>
  <c r="G57" i="13"/>
  <c r="G42" i="13"/>
  <c r="G33" i="13"/>
  <c r="G18" i="13"/>
  <c r="G9" i="13"/>
  <c r="G55" i="13"/>
  <c r="G52" i="13"/>
  <c r="G47" i="13"/>
  <c r="G44" i="13"/>
  <c r="G31" i="13"/>
  <c r="G28" i="13"/>
  <c r="G23" i="13"/>
  <c r="G20" i="13"/>
  <c r="G7" i="13"/>
  <c r="G51" i="13"/>
  <c r="G48" i="13"/>
  <c r="G27" i="13"/>
  <c r="G24" i="13"/>
  <c r="G58" i="13"/>
  <c r="G50" i="13"/>
  <c r="G49" i="13"/>
  <c r="G41" i="13"/>
  <c r="G34" i="13"/>
  <c r="G26" i="13"/>
  <c r="G25" i="13"/>
  <c r="G17" i="13"/>
  <c r="G10" i="13"/>
  <c r="B5" i="4"/>
  <c r="G54" i="13"/>
  <c r="G45" i="13"/>
  <c r="G30" i="13"/>
  <c r="G21" i="13"/>
  <c r="G6" i="13"/>
  <c r="P42" i="20"/>
  <c r="P34" i="20"/>
  <c r="P62" i="20"/>
  <c r="A3" i="6"/>
  <c r="E54" i="13"/>
  <c r="E45" i="13"/>
  <c r="E30" i="13"/>
  <c r="E21" i="13"/>
  <c r="E6" i="13"/>
  <c r="E59" i="13"/>
  <c r="E56" i="13"/>
  <c r="E43" i="13"/>
  <c r="E40" i="13"/>
  <c r="E35" i="13"/>
  <c r="E32" i="13"/>
  <c r="E19" i="13"/>
  <c r="E16" i="13"/>
  <c r="E11" i="13"/>
  <c r="E8" i="13"/>
  <c r="B3" i="4"/>
  <c r="E60" i="13"/>
  <c r="E39" i="13"/>
  <c r="E36" i="13"/>
  <c r="E15" i="13"/>
  <c r="E12" i="13"/>
  <c r="E62" i="13"/>
  <c r="E61" i="13"/>
  <c r="E53" i="13"/>
  <c r="E46" i="13"/>
  <c r="E38" i="13"/>
  <c r="E37" i="13"/>
  <c r="E29" i="13"/>
  <c r="E22" i="13"/>
  <c r="E14" i="13"/>
  <c r="E13" i="13"/>
  <c r="E5" i="13"/>
  <c r="E57" i="13"/>
  <c r="E42" i="13"/>
  <c r="E33" i="13"/>
  <c r="E18" i="13"/>
  <c r="E9" i="13"/>
  <c r="E55" i="13"/>
  <c r="E52" i="13"/>
  <c r="E47" i="13"/>
  <c r="E44" i="13"/>
  <c r="E31" i="13"/>
  <c r="E28" i="13"/>
  <c r="E23" i="13"/>
  <c r="E20" i="13"/>
  <c r="E7" i="13"/>
  <c r="E4" i="13"/>
  <c r="E51" i="13"/>
  <c r="E48" i="13"/>
  <c r="E27" i="13"/>
  <c r="E24" i="13"/>
  <c r="E58" i="13"/>
  <c r="E50" i="13"/>
  <c r="E49" i="13"/>
  <c r="E41" i="13"/>
  <c r="E34" i="13"/>
  <c r="E26" i="13"/>
  <c r="E25" i="13"/>
  <c r="E17" i="13"/>
  <c r="E10" i="13"/>
  <c r="A7" i="6"/>
  <c r="I60" i="13"/>
  <c r="I39" i="13"/>
  <c r="I36" i="13"/>
  <c r="I15" i="13"/>
  <c r="I12" i="13"/>
  <c r="I62" i="13"/>
  <c r="I61" i="13"/>
  <c r="I53" i="13"/>
  <c r="I46" i="13"/>
  <c r="I38" i="13"/>
  <c r="I37" i="13"/>
  <c r="I29" i="13"/>
  <c r="I22" i="13"/>
  <c r="I14" i="13"/>
  <c r="I13" i="13"/>
  <c r="I57" i="13"/>
  <c r="I42" i="13"/>
  <c r="I33" i="13"/>
  <c r="I18" i="13"/>
  <c r="I9" i="13"/>
  <c r="B7" i="4"/>
  <c r="I55" i="13"/>
  <c r="I52" i="13"/>
  <c r="I47" i="13"/>
  <c r="I44" i="13"/>
  <c r="I31" i="13"/>
  <c r="I28" i="13"/>
  <c r="I23" i="13"/>
  <c r="I20" i="13"/>
  <c r="I51" i="13"/>
  <c r="I48" i="13"/>
  <c r="I27" i="13"/>
  <c r="I24" i="13"/>
  <c r="I58" i="13"/>
  <c r="I50" i="13"/>
  <c r="I49" i="13"/>
  <c r="I41" i="13"/>
  <c r="I34" i="13"/>
  <c r="I26" i="13"/>
  <c r="I25" i="13"/>
  <c r="I17" i="13"/>
  <c r="I10" i="13"/>
  <c r="I54" i="13"/>
  <c r="I45" i="13"/>
  <c r="I30" i="13"/>
  <c r="I21" i="13"/>
  <c r="I59" i="13"/>
  <c r="I56" i="13"/>
  <c r="I43" i="13"/>
  <c r="I40" i="13"/>
  <c r="I35" i="13"/>
  <c r="I32" i="13"/>
  <c r="I19" i="13"/>
  <c r="I16" i="13"/>
  <c r="I11" i="13"/>
  <c r="I8" i="13"/>
  <c r="G7" i="16"/>
  <c r="E7" i="15"/>
  <c r="D7" i="15"/>
  <c r="P45" i="20"/>
  <c r="P47" i="20"/>
  <c r="P46" i="20"/>
  <c r="P63" i="20"/>
  <c r="F12" i="15"/>
  <c r="H12" i="15" s="1"/>
  <c r="G5" i="16"/>
  <c r="E5" i="15"/>
  <c r="D5" i="15"/>
  <c r="F13" i="15"/>
  <c r="H13" i="15" s="1"/>
  <c r="P33" i="20"/>
  <c r="P50" i="20"/>
  <c r="P49" i="20"/>
  <c r="P59" i="20"/>
  <c r="L6" i="17" l="1"/>
  <c r="L6" i="14"/>
  <c r="X10" i="14"/>
  <c r="O39" i="1"/>
  <c r="C18" i="18"/>
  <c r="C18" i="13"/>
  <c r="C19" i="19"/>
  <c r="C19" i="14"/>
  <c r="B31" i="5"/>
  <c r="C19" i="17"/>
  <c r="I40" i="1"/>
  <c r="X10" i="17"/>
  <c r="L10" i="15"/>
  <c r="N10" i="15" s="1"/>
  <c r="B18" i="16"/>
  <c r="B18" i="15"/>
  <c r="B18" i="20"/>
  <c r="J61" i="16"/>
  <c r="P61" i="15"/>
  <c r="J53" i="16"/>
  <c r="P53" i="15"/>
  <c r="J9" i="16"/>
  <c r="P9" i="15"/>
  <c r="J59" i="16"/>
  <c r="P59" i="15"/>
  <c r="D9" i="16"/>
  <c r="L9" i="15"/>
  <c r="U9" i="17"/>
  <c r="U9" i="14"/>
  <c r="J21" i="16"/>
  <c r="P21" i="15"/>
  <c r="J58" i="16"/>
  <c r="P58" i="15"/>
  <c r="J63" i="16"/>
  <c r="P63" i="15"/>
  <c r="J41" i="16"/>
  <c r="P41" i="15"/>
  <c r="J26" i="16"/>
  <c r="P26" i="15"/>
  <c r="F9" i="15"/>
  <c r="H9" i="15" s="1"/>
  <c r="G9" i="15"/>
  <c r="J51" i="16"/>
  <c r="P51" i="15"/>
  <c r="J22" i="16"/>
  <c r="P22" i="15"/>
  <c r="D4" i="16"/>
  <c r="L4" i="15"/>
  <c r="F4" i="17"/>
  <c r="F4" i="14"/>
  <c r="F5" i="15"/>
  <c r="H5" i="15" s="1"/>
  <c r="G5" i="15"/>
  <c r="J29" i="16"/>
  <c r="P29" i="15"/>
  <c r="J6" i="16"/>
  <c r="P6" i="15"/>
  <c r="J16" i="16"/>
  <c r="P16" i="15"/>
  <c r="J57" i="16"/>
  <c r="P57" i="15"/>
  <c r="J35" i="16"/>
  <c r="P35" i="15"/>
  <c r="E10" i="16"/>
  <c r="F10" i="16"/>
  <c r="J23" i="16"/>
  <c r="P23" i="15"/>
  <c r="J24" i="16"/>
  <c r="P24" i="15"/>
  <c r="J44" i="16"/>
  <c r="P44" i="15"/>
  <c r="J27" i="16"/>
  <c r="P27" i="15"/>
  <c r="G4" i="16"/>
  <c r="E4" i="15"/>
  <c r="D4" i="15"/>
  <c r="J32" i="16"/>
  <c r="P32" i="15"/>
  <c r="J14" i="16"/>
  <c r="P14" i="15"/>
  <c r="J37" i="16"/>
  <c r="P37" i="15"/>
  <c r="J60" i="16"/>
  <c r="P60" i="15"/>
  <c r="J42" i="16"/>
  <c r="P42" i="15"/>
  <c r="D11" i="16"/>
  <c r="L11" i="15"/>
  <c r="AA11" i="14"/>
  <c r="AA11" i="17"/>
  <c r="J30" i="16"/>
  <c r="P30" i="15"/>
  <c r="J13" i="16"/>
  <c r="P13" i="15"/>
  <c r="J45" i="16"/>
  <c r="P45" i="15"/>
  <c r="J15" i="16"/>
  <c r="P15" i="15"/>
  <c r="J40" i="16"/>
  <c r="P40" i="15"/>
  <c r="J50" i="16"/>
  <c r="P50" i="15"/>
  <c r="J48" i="16"/>
  <c r="P48" i="15"/>
  <c r="J7" i="16"/>
  <c r="P7" i="15"/>
  <c r="D14" i="16"/>
  <c r="L14" i="15"/>
  <c r="AJ14" i="17"/>
  <c r="AJ14" i="14"/>
  <c r="F10" i="15"/>
  <c r="H10" i="15" s="1"/>
  <c r="G10" i="15"/>
  <c r="B6" i="20"/>
  <c r="B6" i="16"/>
  <c r="B6" i="15"/>
  <c r="J12" i="16"/>
  <c r="P12" i="15"/>
  <c r="F8" i="15"/>
  <c r="H8" i="15" s="1"/>
  <c r="G8" i="15"/>
  <c r="C7" i="19"/>
  <c r="C6" i="18"/>
  <c r="B17" i="5"/>
  <c r="C7" i="17"/>
  <c r="C7" i="14"/>
  <c r="C6" i="13"/>
  <c r="I26" i="1"/>
  <c r="O25" i="1"/>
  <c r="J4" i="16"/>
  <c r="P4" i="15"/>
  <c r="J25" i="16"/>
  <c r="P25" i="15"/>
  <c r="J28" i="16"/>
  <c r="P28" i="15"/>
  <c r="J56" i="16"/>
  <c r="P56" i="15"/>
  <c r="J38" i="16"/>
  <c r="P38" i="15"/>
  <c r="J31" i="16"/>
  <c r="P31" i="15"/>
  <c r="D5" i="16"/>
  <c r="L5" i="15"/>
  <c r="I5" i="17"/>
  <c r="I5" i="14"/>
  <c r="F6" i="15"/>
  <c r="H6" i="15" s="1"/>
  <c r="G6" i="15"/>
  <c r="J52" i="16"/>
  <c r="P52" i="15"/>
  <c r="J19" i="16"/>
  <c r="P19" i="15"/>
  <c r="J47" i="16"/>
  <c r="P47" i="15"/>
  <c r="J20" i="16"/>
  <c r="P20" i="15"/>
  <c r="J55" i="16"/>
  <c r="P55" i="15"/>
  <c r="N6" i="15"/>
  <c r="M6" i="15"/>
  <c r="J49" i="16"/>
  <c r="P49" i="15"/>
  <c r="J39" i="16"/>
  <c r="P39" i="15"/>
  <c r="J46" i="16"/>
  <c r="P46" i="15"/>
  <c r="F14" i="15"/>
  <c r="H14" i="15" s="1"/>
  <c r="G14" i="15"/>
  <c r="D8" i="16"/>
  <c r="L8" i="15"/>
  <c r="R8" i="14"/>
  <c r="R8" i="17"/>
  <c r="J5" i="16"/>
  <c r="P5" i="15"/>
  <c r="J34" i="16"/>
  <c r="P34" i="15"/>
  <c r="J54" i="16"/>
  <c r="P54" i="15"/>
  <c r="J33" i="16"/>
  <c r="P33" i="15"/>
  <c r="J11" i="16"/>
  <c r="P11" i="15"/>
  <c r="F6" i="16"/>
  <c r="E6" i="16"/>
  <c r="D15" i="16"/>
  <c r="L15" i="15"/>
  <c r="AM15" i="17"/>
  <c r="AM15" i="14"/>
  <c r="D12" i="16"/>
  <c r="L12" i="15"/>
  <c r="AD12" i="14"/>
  <c r="AD12" i="17"/>
  <c r="J10" i="16"/>
  <c r="P10" i="15"/>
  <c r="J17" i="16"/>
  <c r="P17" i="15"/>
  <c r="D13" i="16"/>
  <c r="L13" i="15"/>
  <c r="AG13" i="14"/>
  <c r="AG13" i="17"/>
  <c r="F7" i="15"/>
  <c r="H7" i="15" s="1"/>
  <c r="G7" i="15"/>
  <c r="D7" i="16"/>
  <c r="L7" i="15"/>
  <c r="O7" i="17"/>
  <c r="O7" i="14"/>
  <c r="J8" i="16"/>
  <c r="P8" i="15"/>
  <c r="J43" i="16"/>
  <c r="P43" i="15"/>
  <c r="J62" i="16"/>
  <c r="P62" i="15"/>
  <c r="J36" i="16"/>
  <c r="P36" i="15"/>
  <c r="J18" i="16"/>
  <c r="P18" i="15"/>
  <c r="F11" i="15"/>
  <c r="H11" i="15" s="1"/>
  <c r="G11" i="15"/>
  <c r="C19" i="13" l="1"/>
  <c r="I41" i="1"/>
  <c r="O40" i="1"/>
  <c r="C20" i="17"/>
  <c r="C19" i="18"/>
  <c r="C20" i="19"/>
  <c r="B32" i="5"/>
  <c r="C20" i="14"/>
  <c r="M10" i="15"/>
  <c r="B19" i="20"/>
  <c r="B19" i="16"/>
  <c r="B19" i="15"/>
  <c r="N13" i="15"/>
  <c r="M13" i="15"/>
  <c r="E7" i="16"/>
  <c r="F7" i="16"/>
  <c r="N15" i="15"/>
  <c r="M15" i="15"/>
  <c r="M8" i="15"/>
  <c r="N8" i="15"/>
  <c r="F13" i="16"/>
  <c r="E13" i="16"/>
  <c r="N7" i="15"/>
  <c r="M7" i="15"/>
  <c r="M11" i="15"/>
  <c r="N11" i="15"/>
  <c r="D64" i="15"/>
  <c r="F4" i="15"/>
  <c r="J4" i="15"/>
  <c r="Q4" i="15" s="1"/>
  <c r="G4" i="15"/>
  <c r="F5" i="16"/>
  <c r="E5" i="16"/>
  <c r="E12" i="16"/>
  <c r="F12" i="16"/>
  <c r="F8" i="16"/>
  <c r="E8" i="16"/>
  <c r="C8" i="19"/>
  <c r="C7" i="18"/>
  <c r="B18" i="5"/>
  <c r="C8" i="17"/>
  <c r="I27" i="1"/>
  <c r="C8" i="14"/>
  <c r="O26" i="1"/>
  <c r="C7" i="13"/>
  <c r="G64" i="16"/>
  <c r="K4" i="16"/>
  <c r="H4" i="16"/>
  <c r="N5" i="15"/>
  <c r="M5" i="15"/>
  <c r="B7" i="20"/>
  <c r="B7" i="16"/>
  <c r="B7" i="15"/>
  <c r="E14" i="16"/>
  <c r="F14" i="16"/>
  <c r="P4" i="16"/>
  <c r="E4" i="16"/>
  <c r="F4" i="16"/>
  <c r="M12" i="15"/>
  <c r="N12" i="15"/>
  <c r="F9" i="16"/>
  <c r="E9" i="16"/>
  <c r="F15" i="16"/>
  <c r="E15" i="16"/>
  <c r="F11" i="16"/>
  <c r="E11" i="16"/>
  <c r="E64" i="15"/>
  <c r="K4" i="15"/>
  <c r="R4" i="15" s="1"/>
  <c r="N14" i="15"/>
  <c r="M14" i="15"/>
  <c r="V4" i="15"/>
  <c r="N4" i="15"/>
  <c r="M4" i="15"/>
  <c r="M9" i="15"/>
  <c r="N9" i="15"/>
  <c r="B20" i="15" l="1"/>
  <c r="B20" i="20"/>
  <c r="B20" i="16"/>
  <c r="C20" i="13"/>
  <c r="C21" i="19"/>
  <c r="O41" i="1"/>
  <c r="C20" i="18"/>
  <c r="B33" i="5"/>
  <c r="C21" i="17"/>
  <c r="C21" i="14"/>
  <c r="I42" i="1"/>
  <c r="W4" i="16"/>
  <c r="X4" i="16"/>
  <c r="F64" i="15"/>
  <c r="H4" i="15"/>
  <c r="I4" i="15"/>
  <c r="S4" i="15"/>
  <c r="T4" i="15"/>
  <c r="C9" i="19"/>
  <c r="C8" i="18"/>
  <c r="B19" i="5"/>
  <c r="C9" i="17"/>
  <c r="O27" i="1"/>
  <c r="C9" i="14"/>
  <c r="C8" i="13"/>
  <c r="I28" i="1"/>
  <c r="AC4" i="15"/>
  <c r="L4" i="16"/>
  <c r="M4" i="16" s="1"/>
  <c r="N4" i="16"/>
  <c r="AD4" i="15"/>
  <c r="B8" i="20"/>
  <c r="B8" i="16"/>
  <c r="B8" i="15"/>
  <c r="G64" i="15"/>
  <c r="C21" i="18" l="1"/>
  <c r="B34" i="5"/>
  <c r="C22" i="17"/>
  <c r="I43" i="1"/>
  <c r="O42" i="1"/>
  <c r="C22" i="14"/>
  <c r="C22" i="19"/>
  <c r="C21" i="13"/>
  <c r="B21" i="20"/>
  <c r="B21" i="16"/>
  <c r="B21" i="15"/>
  <c r="B9" i="20"/>
  <c r="B9" i="16"/>
  <c r="B9" i="15"/>
  <c r="H64" i="15"/>
  <c r="O4" i="16"/>
  <c r="I4" i="16"/>
  <c r="AE4" i="15"/>
  <c r="AD4" i="16"/>
  <c r="U4" i="15"/>
  <c r="AF4" i="15" s="1"/>
  <c r="O4" i="15"/>
  <c r="D4" i="20"/>
  <c r="AC4" i="16"/>
  <c r="Y4" i="16"/>
  <c r="Z4" i="16"/>
  <c r="AG4" i="15"/>
  <c r="C9" i="18"/>
  <c r="C10" i="19"/>
  <c r="B20" i="5"/>
  <c r="C10" i="17"/>
  <c r="I29" i="1"/>
  <c r="O28" i="1"/>
  <c r="C10" i="14"/>
  <c r="C9" i="13"/>
  <c r="I5" i="15"/>
  <c r="J5" i="15"/>
  <c r="D5" i="14" s="1"/>
  <c r="K5" i="15"/>
  <c r="E5" i="14" s="1"/>
  <c r="X5" i="15" s="1"/>
  <c r="B22" i="20" l="1"/>
  <c r="B22" i="16"/>
  <c r="B22" i="15"/>
  <c r="I44" i="1"/>
  <c r="C23" i="19"/>
  <c r="C22" i="18"/>
  <c r="B35" i="5"/>
  <c r="C23" i="17"/>
  <c r="C23" i="14"/>
  <c r="O43" i="1"/>
  <c r="C22" i="13"/>
  <c r="AG4" i="16"/>
  <c r="R5" i="15"/>
  <c r="Q5" i="15"/>
  <c r="AE4" i="16"/>
  <c r="AA4" i="16"/>
  <c r="V4" i="16"/>
  <c r="C11" i="19"/>
  <c r="C10" i="18"/>
  <c r="B21" i="5"/>
  <c r="C11" i="17"/>
  <c r="C11" i="14"/>
  <c r="C10" i="13"/>
  <c r="O29" i="1"/>
  <c r="I30" i="1"/>
  <c r="E4" i="20"/>
  <c r="F4" i="20" s="1"/>
  <c r="J4" i="20"/>
  <c r="Q4" i="20" s="1"/>
  <c r="AC4" i="20" s="1"/>
  <c r="G4" i="20"/>
  <c r="W5" i="15"/>
  <c r="F5" i="14"/>
  <c r="I6" i="15"/>
  <c r="K6" i="15"/>
  <c r="H6" i="14" s="1"/>
  <c r="J6" i="15"/>
  <c r="G6" i="14" s="1"/>
  <c r="H5" i="16"/>
  <c r="L5" i="16" s="1"/>
  <c r="B10" i="20"/>
  <c r="B10" i="16"/>
  <c r="B10" i="15"/>
  <c r="B23" i="20" l="1"/>
  <c r="B23" i="16"/>
  <c r="B23" i="15"/>
  <c r="C24" i="19"/>
  <c r="B36" i="5"/>
  <c r="C23" i="18"/>
  <c r="C24" i="17"/>
  <c r="C24" i="14"/>
  <c r="O44" i="1"/>
  <c r="I45" i="1"/>
  <c r="C23" i="13"/>
  <c r="I6" i="14"/>
  <c r="H7" i="14" s="1"/>
  <c r="AF4" i="16"/>
  <c r="C12" i="19"/>
  <c r="C11" i="18"/>
  <c r="B22" i="5"/>
  <c r="C12" i="17"/>
  <c r="C12" i="14"/>
  <c r="I31" i="1"/>
  <c r="C11" i="13"/>
  <c r="O30" i="1"/>
  <c r="V5" i="15"/>
  <c r="E6" i="14"/>
  <c r="X6" i="15" s="1"/>
  <c r="D6" i="14"/>
  <c r="W6" i="15" s="1"/>
  <c r="Y5" i="15"/>
  <c r="Z5" i="15"/>
  <c r="AD5" i="15"/>
  <c r="X5" i="16"/>
  <c r="W5" i="16"/>
  <c r="E5" i="17"/>
  <c r="R5" i="16" s="1"/>
  <c r="D5" i="17"/>
  <c r="T4" i="20"/>
  <c r="AE4" i="20" s="1"/>
  <c r="H4" i="20"/>
  <c r="I4" i="20"/>
  <c r="S5" i="15"/>
  <c r="T5" i="15"/>
  <c r="AC5" i="15"/>
  <c r="K4" i="20"/>
  <c r="R4" i="20" s="1"/>
  <c r="AD4" i="20" s="1"/>
  <c r="I7" i="15"/>
  <c r="J7" i="15"/>
  <c r="J7" i="14" s="1"/>
  <c r="K7" i="15"/>
  <c r="K7" i="14" s="1"/>
  <c r="B11" i="20"/>
  <c r="B11" i="16"/>
  <c r="B11" i="15"/>
  <c r="C25" i="19" l="1"/>
  <c r="C24" i="18"/>
  <c r="B37" i="5"/>
  <c r="C25" i="17"/>
  <c r="C24" i="13"/>
  <c r="I46" i="1"/>
  <c r="O45" i="1"/>
  <c r="C25" i="14"/>
  <c r="B24" i="20"/>
  <c r="B24" i="16"/>
  <c r="B24" i="15"/>
  <c r="L7" i="14"/>
  <c r="K8" i="14" s="1"/>
  <c r="AG4" i="20"/>
  <c r="U5" i="15"/>
  <c r="O5" i="15"/>
  <c r="Y6" i="15"/>
  <c r="AA6" i="15" s="1"/>
  <c r="Z6" i="15"/>
  <c r="G7" i="14"/>
  <c r="I7" i="14" s="1"/>
  <c r="AD5" i="16"/>
  <c r="B12" i="20"/>
  <c r="B12" i="16"/>
  <c r="B12" i="15"/>
  <c r="Q5" i="16"/>
  <c r="F5" i="17"/>
  <c r="F6" i="14"/>
  <c r="C13" i="19"/>
  <c r="C12" i="18"/>
  <c r="B23" i="5"/>
  <c r="C13" i="17"/>
  <c r="C13" i="14"/>
  <c r="O31" i="1"/>
  <c r="C12" i="13"/>
  <c r="I32" i="1"/>
  <c r="I8" i="15"/>
  <c r="K8" i="15"/>
  <c r="N8" i="14" s="1"/>
  <c r="J8" i="15"/>
  <c r="M8" i="14" s="1"/>
  <c r="D5" i="20"/>
  <c r="Y5" i="16"/>
  <c r="Z5" i="16"/>
  <c r="AG5" i="15"/>
  <c r="AE5" i="15"/>
  <c r="S4" i="20"/>
  <c r="AA5" i="15"/>
  <c r="C26" i="19" l="1"/>
  <c r="C25" i="18"/>
  <c r="B38" i="5"/>
  <c r="C26" i="17"/>
  <c r="C25" i="13"/>
  <c r="C26" i="14"/>
  <c r="I47" i="1"/>
  <c r="O46" i="1"/>
  <c r="B25" i="16"/>
  <c r="B25" i="15"/>
  <c r="B25" i="20"/>
  <c r="O8" i="14"/>
  <c r="U4" i="20"/>
  <c r="O4" i="20"/>
  <c r="B13" i="20"/>
  <c r="B13" i="16"/>
  <c r="B13" i="15"/>
  <c r="C14" i="19"/>
  <c r="B24" i="5"/>
  <c r="C13" i="18"/>
  <c r="C14" i="17"/>
  <c r="I33" i="1"/>
  <c r="C14" i="14"/>
  <c r="C13" i="13"/>
  <c r="O32" i="1"/>
  <c r="R6" i="15"/>
  <c r="Q6" i="15"/>
  <c r="P5" i="16"/>
  <c r="AA5" i="16"/>
  <c r="V5" i="16"/>
  <c r="I9" i="15"/>
  <c r="J9" i="15"/>
  <c r="P9" i="14" s="1"/>
  <c r="K9" i="15"/>
  <c r="Q9" i="14" s="1"/>
  <c r="S5" i="16"/>
  <c r="T5" i="16"/>
  <c r="K5" i="16"/>
  <c r="G8" i="14"/>
  <c r="H8" i="14"/>
  <c r="AF5" i="15"/>
  <c r="V6" i="15"/>
  <c r="E7" i="14"/>
  <c r="X7" i="15" s="1"/>
  <c r="D7" i="14"/>
  <c r="W7" i="15" s="1"/>
  <c r="J5" i="20"/>
  <c r="D5" i="19" s="1"/>
  <c r="E5" i="20"/>
  <c r="F5" i="20" s="1"/>
  <c r="G5" i="20"/>
  <c r="J8" i="14"/>
  <c r="L8" i="14" s="1"/>
  <c r="C27" i="19" l="1"/>
  <c r="C26" i="18"/>
  <c r="B39" i="5"/>
  <c r="I48" i="1"/>
  <c r="C27" i="17"/>
  <c r="C27" i="14"/>
  <c r="O47" i="1"/>
  <c r="C26" i="13"/>
  <c r="B26" i="15"/>
  <c r="B26" i="20"/>
  <c r="B26" i="16"/>
  <c r="I8" i="14"/>
  <c r="H9" i="14" s="1"/>
  <c r="R9" i="14"/>
  <c r="H5" i="20"/>
  <c r="I5" i="20"/>
  <c r="M5" i="16"/>
  <c r="N5" i="16"/>
  <c r="AC5" i="16"/>
  <c r="AD6" i="15"/>
  <c r="Y7" i="15"/>
  <c r="Z7" i="15"/>
  <c r="M9" i="14"/>
  <c r="C15" i="19"/>
  <c r="B25" i="5"/>
  <c r="C14" i="18"/>
  <c r="C15" i="17"/>
  <c r="O33" i="1"/>
  <c r="C14" i="13"/>
  <c r="C15" i="14"/>
  <c r="AF4" i="20"/>
  <c r="K5" i="20"/>
  <c r="E5" i="19" s="1"/>
  <c r="X5" i="20" s="1"/>
  <c r="Q5" i="20"/>
  <c r="S6" i="15"/>
  <c r="T6" i="15"/>
  <c r="AC6" i="15"/>
  <c r="W5" i="20"/>
  <c r="B14" i="20"/>
  <c r="B14" i="16"/>
  <c r="B14" i="15"/>
  <c r="U5" i="16"/>
  <c r="N9" i="14"/>
  <c r="K9" i="14"/>
  <c r="J9" i="14"/>
  <c r="F7" i="14"/>
  <c r="I10" i="15"/>
  <c r="J10" i="15"/>
  <c r="S10" i="14" s="1"/>
  <c r="K10" i="15"/>
  <c r="T10" i="14" s="1"/>
  <c r="B27" i="20" l="1"/>
  <c r="B27" i="16"/>
  <c r="B27" i="15"/>
  <c r="G9" i="14"/>
  <c r="I9" i="14" s="1"/>
  <c r="C28" i="19"/>
  <c r="C27" i="18"/>
  <c r="B42" i="5"/>
  <c r="C28" i="14"/>
  <c r="I49" i="1"/>
  <c r="O48" i="1"/>
  <c r="C28" i="17"/>
  <c r="C27" i="13"/>
  <c r="L9" i="14"/>
  <c r="J10" i="14" s="1"/>
  <c r="R5" i="20"/>
  <c r="AD5" i="20" s="1"/>
  <c r="F5" i="19"/>
  <c r="V5" i="20" s="1"/>
  <c r="O9" i="14"/>
  <c r="N10" i="14" s="1"/>
  <c r="I11" i="15"/>
  <c r="K11" i="15"/>
  <c r="W11" i="14" s="1"/>
  <c r="J11" i="15"/>
  <c r="V11" i="14" s="1"/>
  <c r="AE5" i="16"/>
  <c r="Q10" i="14"/>
  <c r="AA7" i="15"/>
  <c r="O5" i="16"/>
  <c r="I5" i="16"/>
  <c r="V7" i="15"/>
  <c r="E8" i="14"/>
  <c r="X8" i="15" s="1"/>
  <c r="D8" i="14"/>
  <c r="W8" i="15" s="1"/>
  <c r="T5" i="20"/>
  <c r="AC5" i="20"/>
  <c r="AG5" i="16"/>
  <c r="U6" i="15"/>
  <c r="O6" i="15"/>
  <c r="U10" i="14"/>
  <c r="AE6" i="15"/>
  <c r="B15" i="20"/>
  <c r="B15" i="16"/>
  <c r="B15" i="15"/>
  <c r="Y5" i="20"/>
  <c r="Z5" i="20"/>
  <c r="AG6" i="15"/>
  <c r="P10" i="14"/>
  <c r="S5" i="20" l="1"/>
  <c r="U5" i="20" s="1"/>
  <c r="H10" i="14"/>
  <c r="G10" i="14"/>
  <c r="B28" i="20"/>
  <c r="B28" i="16"/>
  <c r="B28" i="15"/>
  <c r="I50" i="1"/>
  <c r="C29" i="17"/>
  <c r="C28" i="13"/>
  <c r="C29" i="19"/>
  <c r="C28" i="18"/>
  <c r="B43" i="5"/>
  <c r="C29" i="14"/>
  <c r="O49" i="1"/>
  <c r="X11" i="14"/>
  <c r="M10" i="14"/>
  <c r="O10" i="14" s="1"/>
  <c r="K10" i="14"/>
  <c r="L10" i="14" s="1"/>
  <c r="R10" i="14"/>
  <c r="P11" i="14" s="1"/>
  <c r="AF5" i="16"/>
  <c r="AG5" i="20"/>
  <c r="AE5" i="20"/>
  <c r="T11" i="14"/>
  <c r="S11" i="14"/>
  <c r="AA5" i="20"/>
  <c r="R7" i="15"/>
  <c r="Q7" i="15"/>
  <c r="Y8" i="15"/>
  <c r="Z8" i="15"/>
  <c r="AF6" i="15"/>
  <c r="F8" i="14"/>
  <c r="I12" i="15"/>
  <c r="K12" i="15"/>
  <c r="Z12" i="14" s="1"/>
  <c r="J12" i="15"/>
  <c r="Y12" i="14" s="1"/>
  <c r="H6" i="16"/>
  <c r="O5" i="20" l="1"/>
  <c r="Q11" i="14"/>
  <c r="R11" i="14" s="1"/>
  <c r="P12" i="14" s="1"/>
  <c r="I10" i="14"/>
  <c r="H11" i="14" s="1"/>
  <c r="B29" i="16"/>
  <c r="B29" i="15"/>
  <c r="B29" i="20"/>
  <c r="C30" i="19"/>
  <c r="C29" i="18"/>
  <c r="B44" i="5"/>
  <c r="C30" i="17"/>
  <c r="C30" i="14"/>
  <c r="O50" i="1"/>
  <c r="C29" i="13"/>
  <c r="I51" i="1"/>
  <c r="W12" i="14"/>
  <c r="U11" i="14"/>
  <c r="T12" i="14" s="1"/>
  <c r="M11" i="14"/>
  <c r="N11" i="14"/>
  <c r="K11" i="14"/>
  <c r="J11" i="14"/>
  <c r="AA12" i="14"/>
  <c r="I13" i="15"/>
  <c r="K13" i="15"/>
  <c r="AC13" i="14" s="1"/>
  <c r="J13" i="15"/>
  <c r="AB13" i="14" s="1"/>
  <c r="S7" i="15"/>
  <c r="T7" i="15"/>
  <c r="AC7" i="15"/>
  <c r="AF5" i="20"/>
  <c r="AD7" i="15"/>
  <c r="V8" i="15"/>
  <c r="E9" i="14"/>
  <c r="X9" i="15" s="1"/>
  <c r="D9" i="14"/>
  <c r="W9" i="15" s="1"/>
  <c r="X6" i="16"/>
  <c r="W6" i="16"/>
  <c r="H6" i="17"/>
  <c r="G6" i="17"/>
  <c r="D6" i="17"/>
  <c r="E6" i="17"/>
  <c r="AA8" i="15"/>
  <c r="L6" i="16"/>
  <c r="V12" i="14"/>
  <c r="O11" i="14" l="1"/>
  <c r="M12" i="14" s="1"/>
  <c r="G11" i="14"/>
  <c r="I11" i="14" s="1"/>
  <c r="G12" i="14" s="1"/>
  <c r="Y13" i="14"/>
  <c r="C31" i="17"/>
  <c r="C31" i="14"/>
  <c r="I52" i="1"/>
  <c r="C30" i="13"/>
  <c r="O51" i="1"/>
  <c r="C31" i="19"/>
  <c r="C30" i="18"/>
  <c r="B45" i="5"/>
  <c r="X12" i="14"/>
  <c r="W13" i="14" s="1"/>
  <c r="B30" i="16"/>
  <c r="B30" i="20"/>
  <c r="B30" i="15"/>
  <c r="Q12" i="14"/>
  <c r="R12" i="14" s="1"/>
  <c r="Q13" i="14" s="1"/>
  <c r="L11" i="14"/>
  <c r="K12" i="14" s="1"/>
  <c r="S12" i="14"/>
  <c r="U12" i="14" s="1"/>
  <c r="S13" i="14" s="1"/>
  <c r="R6" i="16"/>
  <c r="AD6" i="16" s="1"/>
  <c r="F9" i="14"/>
  <c r="D10" i="14" s="1"/>
  <c r="W10" i="15" s="1"/>
  <c r="Y9" i="15"/>
  <c r="AA9" i="15" s="1"/>
  <c r="Z9" i="15"/>
  <c r="I6" i="17"/>
  <c r="AG7" i="15"/>
  <c r="AE7" i="15"/>
  <c r="I14" i="15"/>
  <c r="J14" i="15"/>
  <c r="AE14" i="14" s="1"/>
  <c r="K14" i="15"/>
  <c r="AF14" i="14" s="1"/>
  <c r="Z13" i="14"/>
  <c r="D6" i="20"/>
  <c r="Y6" i="16"/>
  <c r="Z6" i="16"/>
  <c r="U7" i="15"/>
  <c r="O7" i="15"/>
  <c r="Q6" i="16"/>
  <c r="F6" i="17"/>
  <c r="AD13" i="14"/>
  <c r="N12" i="14" l="1"/>
  <c r="O12" i="14" s="1"/>
  <c r="N13" i="14" s="1"/>
  <c r="AA13" i="14"/>
  <c r="Y14" i="14" s="1"/>
  <c r="H12" i="14"/>
  <c r="I12" i="14" s="1"/>
  <c r="H13" i="14" s="1"/>
  <c r="J12" i="14"/>
  <c r="L12" i="14" s="1"/>
  <c r="J13" i="14" s="1"/>
  <c r="B31" i="20"/>
  <c r="B31" i="16"/>
  <c r="B31" i="15"/>
  <c r="O52" i="1"/>
  <c r="C31" i="13"/>
  <c r="C32" i="19"/>
  <c r="B46" i="5"/>
  <c r="C32" i="17"/>
  <c r="C31" i="18"/>
  <c r="C32" i="14"/>
  <c r="I53" i="1"/>
  <c r="V13" i="14"/>
  <c r="X13" i="14" s="1"/>
  <c r="V14" i="14" s="1"/>
  <c r="V9" i="15"/>
  <c r="E10" i="14"/>
  <c r="X10" i="15" s="1"/>
  <c r="Y10" i="15" s="1"/>
  <c r="AA10" i="15" s="1"/>
  <c r="T13" i="14"/>
  <c r="U13" i="14" s="1"/>
  <c r="P13" i="14"/>
  <c r="R13" i="14" s="1"/>
  <c r="Q14" i="14" s="1"/>
  <c r="J6" i="20"/>
  <c r="E6" i="20"/>
  <c r="F6" i="20" s="1"/>
  <c r="G6" i="20"/>
  <c r="S6" i="16"/>
  <c r="T6" i="16"/>
  <c r="K6" i="16"/>
  <c r="Z10" i="15"/>
  <c r="P6" i="16"/>
  <c r="R8" i="15"/>
  <c r="AD8" i="15" s="1"/>
  <c r="Q8" i="15"/>
  <c r="AF7" i="15"/>
  <c r="AA6" i="16"/>
  <c r="V6" i="16"/>
  <c r="AG14" i="14"/>
  <c r="AC14" i="14"/>
  <c r="AB14" i="14"/>
  <c r="I15" i="15"/>
  <c r="J15" i="15"/>
  <c r="AH15" i="14" s="1"/>
  <c r="K15" i="15"/>
  <c r="AI15" i="14" s="1"/>
  <c r="M13" i="14" l="1"/>
  <c r="O13" i="14" s="1"/>
  <c r="M14" i="14" s="1"/>
  <c r="Z14" i="14"/>
  <c r="AA14" i="14" s="1"/>
  <c r="Z15" i="14" s="1"/>
  <c r="G13" i="14"/>
  <c r="I13" i="14" s="1"/>
  <c r="H14" i="14" s="1"/>
  <c r="K13" i="14"/>
  <c r="L13" i="14" s="1"/>
  <c r="K14" i="14" s="1"/>
  <c r="B32" i="16"/>
  <c r="B32" i="20"/>
  <c r="B32" i="15"/>
  <c r="C32" i="13"/>
  <c r="I54" i="1"/>
  <c r="C32" i="18"/>
  <c r="C33" i="14"/>
  <c r="C33" i="19"/>
  <c r="B47" i="5"/>
  <c r="C33" i="17"/>
  <c r="O53" i="1"/>
  <c r="W14" i="14"/>
  <c r="X14" i="14" s="1"/>
  <c r="V15" i="14" s="1"/>
  <c r="F10" i="14"/>
  <c r="T14" i="14"/>
  <c r="S14" i="14"/>
  <c r="P14" i="14"/>
  <c r="R14" i="14" s="1"/>
  <c r="AD14" i="14"/>
  <c r="AC15" i="14" s="1"/>
  <c r="AJ15" i="14"/>
  <c r="H6" i="20"/>
  <c r="I6" i="20"/>
  <c r="K6" i="20"/>
  <c r="S8" i="15"/>
  <c r="T8" i="15"/>
  <c r="AE8" i="15" s="1"/>
  <c r="AC8" i="15"/>
  <c r="AF15" i="14"/>
  <c r="AE15" i="14"/>
  <c r="V10" i="15"/>
  <c r="D11" i="14"/>
  <c r="W11" i="15" s="1"/>
  <c r="E11" i="14"/>
  <c r="X11" i="15" s="1"/>
  <c r="I16" i="15"/>
  <c r="K16" i="15"/>
  <c r="AL16" i="14" s="1"/>
  <c r="J16" i="15"/>
  <c r="AK16" i="14" s="1"/>
  <c r="G6" i="19"/>
  <c r="D6" i="19"/>
  <c r="Q6" i="20"/>
  <c r="M6" i="16"/>
  <c r="N6" i="16"/>
  <c r="AC6" i="16"/>
  <c r="U6" i="16"/>
  <c r="N14" i="14" l="1"/>
  <c r="O14" i="14" s="1"/>
  <c r="N15" i="14" s="1"/>
  <c r="G14" i="14"/>
  <c r="I14" i="14" s="1"/>
  <c r="H15" i="14" s="1"/>
  <c r="U14" i="14"/>
  <c r="T15" i="14" s="1"/>
  <c r="J14" i="14"/>
  <c r="L14" i="14" s="1"/>
  <c r="K15" i="14" s="1"/>
  <c r="AI16" i="14"/>
  <c r="B33" i="15"/>
  <c r="B33" i="16"/>
  <c r="B33" i="20"/>
  <c r="C34" i="14"/>
  <c r="O54" i="1"/>
  <c r="C33" i="13"/>
  <c r="I55" i="1"/>
  <c r="C34" i="19"/>
  <c r="B48" i="5"/>
  <c r="C34" i="17"/>
  <c r="C33" i="18"/>
  <c r="AG15" i="14"/>
  <c r="AF16" i="14" s="1"/>
  <c r="AB15" i="14"/>
  <c r="AD15" i="14" s="1"/>
  <c r="AB16" i="14" s="1"/>
  <c r="Q15" i="14"/>
  <c r="P15" i="14"/>
  <c r="AH16" i="14"/>
  <c r="W15" i="14"/>
  <c r="X15" i="14" s="1"/>
  <c r="F11" i="14"/>
  <c r="V11" i="15" s="1"/>
  <c r="Y15" i="14"/>
  <c r="AA15" i="14" s="1"/>
  <c r="Y16" i="14" s="1"/>
  <c r="AM16" i="14"/>
  <c r="AG6" i="16"/>
  <c r="AE6" i="16"/>
  <c r="T6" i="20"/>
  <c r="O6" i="16"/>
  <c r="I6" i="16"/>
  <c r="W6" i="20"/>
  <c r="Y11" i="15"/>
  <c r="AA11" i="15" s="1"/>
  <c r="Z11" i="15"/>
  <c r="U8" i="15"/>
  <c r="AF8" i="15" s="1"/>
  <c r="O8" i="15"/>
  <c r="H6" i="19"/>
  <c r="I6" i="19" s="1"/>
  <c r="E6" i="19"/>
  <c r="R6" i="20"/>
  <c r="I17" i="15"/>
  <c r="J17" i="15"/>
  <c r="AN17" i="14" s="1"/>
  <c r="K17" i="15"/>
  <c r="AO17" i="14" s="1"/>
  <c r="AG8" i="15"/>
  <c r="M15" i="14" l="1"/>
  <c r="O15" i="14" s="1"/>
  <c r="N16" i="14" s="1"/>
  <c r="AJ16" i="14"/>
  <c r="AI17" i="14" s="1"/>
  <c r="S15" i="14"/>
  <c r="U15" i="14" s="1"/>
  <c r="T16" i="14" s="1"/>
  <c r="AE16" i="14"/>
  <c r="AG16" i="14" s="1"/>
  <c r="AF17" i="14" s="1"/>
  <c r="G15" i="14"/>
  <c r="I15" i="14" s="1"/>
  <c r="G16" i="14" s="1"/>
  <c r="J15" i="14"/>
  <c r="L15" i="14" s="1"/>
  <c r="J16" i="14" s="1"/>
  <c r="B34" i="20"/>
  <c r="B34" i="16"/>
  <c r="B34" i="15"/>
  <c r="C35" i="19"/>
  <c r="C34" i="18"/>
  <c r="B49" i="5"/>
  <c r="C35" i="17"/>
  <c r="O55" i="1"/>
  <c r="C34" i="13"/>
  <c r="I56" i="1"/>
  <c r="C35" i="14"/>
  <c r="AK17" i="14"/>
  <c r="Z16" i="14"/>
  <c r="AA16" i="14" s="1"/>
  <c r="Y17" i="14" s="1"/>
  <c r="AC16" i="14"/>
  <c r="AD16" i="14" s="1"/>
  <c r="R15" i="14"/>
  <c r="W16" i="14"/>
  <c r="V16" i="14"/>
  <c r="E12" i="14"/>
  <c r="X12" i="15" s="1"/>
  <c r="AL17" i="14"/>
  <c r="D12" i="14"/>
  <c r="W12" i="15" s="1"/>
  <c r="X6" i="20"/>
  <c r="AD6" i="20" s="1"/>
  <c r="F6" i="19"/>
  <c r="V6" i="20" s="1"/>
  <c r="AF6" i="16"/>
  <c r="Z6" i="20"/>
  <c r="H7" i="16"/>
  <c r="L7" i="16" s="1"/>
  <c r="AC6" i="20"/>
  <c r="R9" i="15"/>
  <c r="AD9" i="15" s="1"/>
  <c r="Q9" i="15"/>
  <c r="S6" i="20"/>
  <c r="AP17" i="14"/>
  <c r="I18" i="15"/>
  <c r="J18" i="15"/>
  <c r="AQ18" i="14" s="1"/>
  <c r="K18" i="15"/>
  <c r="AR18" i="14" s="1"/>
  <c r="AH17" i="14" l="1"/>
  <c r="AJ17" i="14" s="1"/>
  <c r="AI18" i="14" s="1"/>
  <c r="M16" i="14"/>
  <c r="O16" i="14" s="1"/>
  <c r="M17" i="14" s="1"/>
  <c r="K16" i="14"/>
  <c r="L16" i="14" s="1"/>
  <c r="K17" i="14" s="1"/>
  <c r="H16" i="14"/>
  <c r="I16" i="14" s="1"/>
  <c r="H17" i="14" s="1"/>
  <c r="S16" i="14"/>
  <c r="U16" i="14" s="1"/>
  <c r="T17" i="14" s="1"/>
  <c r="C35" i="18"/>
  <c r="C35" i="13"/>
  <c r="I57" i="1"/>
  <c r="B50" i="5"/>
  <c r="C36" i="17"/>
  <c r="C36" i="14"/>
  <c r="O56" i="1"/>
  <c r="C36" i="19"/>
  <c r="B35" i="20"/>
  <c r="B35" i="16"/>
  <c r="B35" i="15"/>
  <c r="AM17" i="14"/>
  <c r="AL18" i="14" s="1"/>
  <c r="AB17" i="14"/>
  <c r="AC17" i="14"/>
  <c r="Q16" i="14"/>
  <c r="P16" i="14"/>
  <c r="Z17" i="14"/>
  <c r="AA17" i="14" s="1"/>
  <c r="Z18" i="14" s="1"/>
  <c r="Y12" i="15"/>
  <c r="AA12" i="15" s="1"/>
  <c r="Z12" i="15"/>
  <c r="Y6" i="20"/>
  <c r="AA6" i="20" s="1"/>
  <c r="F12" i="14"/>
  <c r="V12" i="15" s="1"/>
  <c r="X16" i="14"/>
  <c r="AE17" i="14"/>
  <c r="AG17" i="14" s="1"/>
  <c r="AF18" i="14" s="1"/>
  <c r="S9" i="15"/>
  <c r="T9" i="15"/>
  <c r="AE9" i="15" s="1"/>
  <c r="AC9" i="15"/>
  <c r="AG9" i="15" s="1"/>
  <c r="U6" i="20"/>
  <c r="O6" i="20"/>
  <c r="AS18" i="14"/>
  <c r="I19" i="15"/>
  <c r="K19" i="15"/>
  <c r="AU19" i="14" s="1"/>
  <c r="J19" i="15"/>
  <c r="AT19" i="14" s="1"/>
  <c r="AG6" i="20"/>
  <c r="AE6" i="20"/>
  <c r="AO18" i="14"/>
  <c r="AN18" i="14"/>
  <c r="W7" i="16"/>
  <c r="X7" i="16"/>
  <c r="K7" i="17"/>
  <c r="J7" i="17"/>
  <c r="E7" i="17"/>
  <c r="H7" i="17"/>
  <c r="D7" i="17"/>
  <c r="G7" i="17"/>
  <c r="J17" i="14" l="1"/>
  <c r="L17" i="14" s="1"/>
  <c r="G17" i="14"/>
  <c r="I17" i="14" s="1"/>
  <c r="G18" i="14" s="1"/>
  <c r="N17" i="14"/>
  <c r="O17" i="14" s="1"/>
  <c r="M18" i="14" s="1"/>
  <c r="S17" i="14"/>
  <c r="U17" i="14" s="1"/>
  <c r="S18" i="14" s="1"/>
  <c r="AK18" i="14"/>
  <c r="AM18" i="14" s="1"/>
  <c r="C37" i="19"/>
  <c r="C36" i="18"/>
  <c r="B51" i="5"/>
  <c r="C37" i="17"/>
  <c r="C37" i="14"/>
  <c r="O57" i="1"/>
  <c r="C36" i="13"/>
  <c r="I58" i="1"/>
  <c r="B36" i="20"/>
  <c r="B36" i="16"/>
  <c r="B36" i="15"/>
  <c r="AP18" i="14"/>
  <c r="AN19" i="14" s="1"/>
  <c r="AV19" i="14"/>
  <c r="AH18" i="14"/>
  <c r="AJ18" i="14" s="1"/>
  <c r="AI19" i="14" s="1"/>
  <c r="AD17" i="14"/>
  <c r="AC18" i="14" s="1"/>
  <c r="R16" i="14"/>
  <c r="P17" i="14" s="1"/>
  <c r="K18" i="14"/>
  <c r="J18" i="14"/>
  <c r="Y18" i="14"/>
  <c r="AA18" i="14" s="1"/>
  <c r="D13" i="14"/>
  <c r="W13" i="15" s="1"/>
  <c r="E13" i="14"/>
  <c r="X13" i="15" s="1"/>
  <c r="W17" i="14"/>
  <c r="V17" i="14"/>
  <c r="AE18" i="14"/>
  <c r="AG18" i="14" s="1"/>
  <c r="AF19" i="14" s="1"/>
  <c r="I7" i="17"/>
  <c r="Q7" i="16"/>
  <c r="F7" i="17"/>
  <c r="U9" i="15"/>
  <c r="AF9" i="15" s="1"/>
  <c r="O9" i="15"/>
  <c r="R7" i="16"/>
  <c r="AD7" i="16" s="1"/>
  <c r="L7" i="17"/>
  <c r="AR19" i="14"/>
  <c r="AQ19" i="14"/>
  <c r="AF6" i="20"/>
  <c r="D7" i="20"/>
  <c r="Y7" i="16"/>
  <c r="Z7" i="16"/>
  <c r="I20" i="15"/>
  <c r="K20" i="15"/>
  <c r="AX20" i="14" s="1"/>
  <c r="J20" i="15"/>
  <c r="AW20" i="14" s="1"/>
  <c r="AY20" i="14" s="1"/>
  <c r="H18" i="14" l="1"/>
  <c r="I18" i="14" s="1"/>
  <c r="H19" i="14" s="1"/>
  <c r="N18" i="14"/>
  <c r="O18" i="14" s="1"/>
  <c r="M19" i="14" s="1"/>
  <c r="T18" i="14"/>
  <c r="U18" i="14" s="1"/>
  <c r="S19" i="14" s="1"/>
  <c r="B37" i="20"/>
  <c r="B37" i="16"/>
  <c r="B37" i="15"/>
  <c r="C38" i="19"/>
  <c r="C37" i="18"/>
  <c r="B52" i="5"/>
  <c r="C38" i="17"/>
  <c r="O58" i="1"/>
  <c r="C37" i="13"/>
  <c r="C38" i="14"/>
  <c r="I59" i="1"/>
  <c r="AS19" i="14"/>
  <c r="AR20" i="14" s="1"/>
  <c r="AO19" i="14"/>
  <c r="AP19" i="14"/>
  <c r="AO20" i="14" s="1"/>
  <c r="Q17" i="14"/>
  <c r="R17" i="14" s="1"/>
  <c r="Q18" i="14" s="1"/>
  <c r="AB18" i="14"/>
  <c r="AD18" i="14" s="1"/>
  <c r="AB19" i="14" s="1"/>
  <c r="X17" i="14"/>
  <c r="V18" i="14" s="1"/>
  <c r="AH19" i="14"/>
  <c r="AJ19" i="14" s="1"/>
  <c r="AI20" i="14" s="1"/>
  <c r="L18" i="14"/>
  <c r="K19" i="14" s="1"/>
  <c r="Y13" i="15"/>
  <c r="AA13" i="15" s="1"/>
  <c r="Z13" i="15"/>
  <c r="Y19" i="14"/>
  <c r="Z19" i="14"/>
  <c r="F13" i="14"/>
  <c r="D14" i="14" s="1"/>
  <c r="W14" i="15" s="1"/>
  <c r="G19" i="14"/>
  <c r="I19" i="14" s="1"/>
  <c r="G20" i="14" s="1"/>
  <c r="AE19" i="14"/>
  <c r="AG19" i="14" s="1"/>
  <c r="AE20" i="14" s="1"/>
  <c r="I21" i="15"/>
  <c r="K21" i="15"/>
  <c r="BA21" i="14" s="1"/>
  <c r="J21" i="15"/>
  <c r="AZ21" i="14" s="1"/>
  <c r="AX21" i="14"/>
  <c r="AA7" i="16"/>
  <c r="V7" i="16"/>
  <c r="R10" i="15"/>
  <c r="AD10" i="15" s="1"/>
  <c r="Q10" i="15"/>
  <c r="AL19" i="14"/>
  <c r="AK19" i="14"/>
  <c r="J7" i="20"/>
  <c r="E7" i="20"/>
  <c r="G7" i="20"/>
  <c r="P7" i="16"/>
  <c r="S7" i="16"/>
  <c r="T7" i="16"/>
  <c r="K7" i="16"/>
  <c r="AT20" i="14"/>
  <c r="AU20" i="14"/>
  <c r="AN20" i="14" l="1"/>
  <c r="N19" i="14"/>
  <c r="T19" i="14"/>
  <c r="U19" i="14" s="1"/>
  <c r="S20" i="14" s="1"/>
  <c r="AC19" i="14"/>
  <c r="AD19" i="14" s="1"/>
  <c r="AC20" i="14" s="1"/>
  <c r="W18" i="14"/>
  <c r="X18" i="14" s="1"/>
  <c r="V19" i="14" s="1"/>
  <c r="AH20" i="14"/>
  <c r="AJ20" i="14" s="1"/>
  <c r="C38" i="13"/>
  <c r="I60" i="1"/>
  <c r="C39" i="19"/>
  <c r="C39" i="17"/>
  <c r="C39" i="14"/>
  <c r="B53" i="5"/>
  <c r="C38" i="18"/>
  <c r="O59" i="1"/>
  <c r="AQ20" i="14"/>
  <c r="AS20" i="14" s="1"/>
  <c r="AR21" i="14" s="1"/>
  <c r="B38" i="16"/>
  <c r="B38" i="15"/>
  <c r="B38" i="20"/>
  <c r="AW21" i="14"/>
  <c r="AY21" i="14" s="1"/>
  <c r="AP20" i="14"/>
  <c r="AO21" i="14" s="1"/>
  <c r="P18" i="14"/>
  <c r="R18" i="14" s="1"/>
  <c r="Q19" i="14" s="1"/>
  <c r="O19" i="14"/>
  <c r="N20" i="14" s="1"/>
  <c r="J19" i="14"/>
  <c r="L19" i="14" s="1"/>
  <c r="K20" i="14" s="1"/>
  <c r="V13" i="15"/>
  <c r="E14" i="14"/>
  <c r="X14" i="15" s="1"/>
  <c r="Y14" i="15" s="1"/>
  <c r="AA14" i="15" s="1"/>
  <c r="AM19" i="14"/>
  <c r="AL20" i="14" s="1"/>
  <c r="T20" i="14"/>
  <c r="AF20" i="14"/>
  <c r="AG20" i="14" s="1"/>
  <c r="H20" i="14"/>
  <c r="I20" i="14" s="1"/>
  <c r="H21" i="14" s="1"/>
  <c r="AA19" i="14"/>
  <c r="BB21" i="14"/>
  <c r="AV20" i="14"/>
  <c r="AT21" i="14" s="1"/>
  <c r="Z14" i="15"/>
  <c r="K7" i="20"/>
  <c r="I22" i="15"/>
  <c r="J22" i="15"/>
  <c r="BC22" i="14" s="1"/>
  <c r="K22" i="15"/>
  <c r="BD22" i="14" s="1"/>
  <c r="J7" i="19"/>
  <c r="D7" i="19"/>
  <c r="G7" i="19"/>
  <c r="Q7" i="20"/>
  <c r="F7" i="20"/>
  <c r="U7" i="16"/>
  <c r="M7" i="16"/>
  <c r="N7" i="16"/>
  <c r="AC7" i="16"/>
  <c r="S10" i="15"/>
  <c r="T10" i="15"/>
  <c r="AE10" i="15" s="1"/>
  <c r="AC10" i="15"/>
  <c r="AG10" i="15" s="1"/>
  <c r="AX22" i="14" l="1"/>
  <c r="AN21" i="14"/>
  <c r="AP21" i="14" s="1"/>
  <c r="AB20" i="14"/>
  <c r="AD20" i="14" s="1"/>
  <c r="AC21" i="14" s="1"/>
  <c r="B39" i="20"/>
  <c r="B39" i="16"/>
  <c r="B39" i="15"/>
  <c r="C40" i="17"/>
  <c r="C40" i="14"/>
  <c r="C40" i="19"/>
  <c r="B56" i="5"/>
  <c r="O60" i="1"/>
  <c r="I61" i="1"/>
  <c r="C39" i="18"/>
  <c r="C39" i="13"/>
  <c r="AW22" i="14"/>
  <c r="AY22" i="14" s="1"/>
  <c r="AU21" i="14"/>
  <c r="AV21" i="14" s="1"/>
  <c r="AT22" i="14" s="1"/>
  <c r="M20" i="14"/>
  <c r="O20" i="14" s="1"/>
  <c r="N21" i="14" s="1"/>
  <c r="P19" i="14"/>
  <c r="R19" i="14" s="1"/>
  <c r="Q20" i="14" s="1"/>
  <c r="AK20" i="14"/>
  <c r="AM20" i="14" s="1"/>
  <c r="AL21" i="14" s="1"/>
  <c r="J20" i="14"/>
  <c r="L20" i="14" s="1"/>
  <c r="K21" i="14" s="1"/>
  <c r="U20" i="14"/>
  <c r="S21" i="14" s="1"/>
  <c r="F14" i="14"/>
  <c r="E15" i="14" s="1"/>
  <c r="X15" i="15" s="1"/>
  <c r="W19" i="14"/>
  <c r="X19" i="14" s="1"/>
  <c r="G21" i="14"/>
  <c r="I21" i="14" s="1"/>
  <c r="H22" i="14" s="1"/>
  <c r="AE21" i="14"/>
  <c r="AF21" i="14"/>
  <c r="Z20" i="14"/>
  <c r="Y20" i="14"/>
  <c r="AQ21" i="14"/>
  <c r="AS21" i="14" s="1"/>
  <c r="AQ22" i="14" s="1"/>
  <c r="I23" i="15"/>
  <c r="K23" i="15"/>
  <c r="BG23" i="14" s="1"/>
  <c r="J23" i="15"/>
  <c r="BF23" i="14" s="1"/>
  <c r="K7" i="19"/>
  <c r="L7" i="19" s="1"/>
  <c r="E7" i="19"/>
  <c r="H7" i="19"/>
  <c r="I7" i="19" s="1"/>
  <c r="R7" i="20"/>
  <c r="S7" i="20" s="1"/>
  <c r="T7" i="20"/>
  <c r="AE7" i="16"/>
  <c r="O7" i="16"/>
  <c r="I7" i="16"/>
  <c r="U10" i="15"/>
  <c r="AF10" i="15" s="1"/>
  <c r="O10" i="15"/>
  <c r="AG7" i="16"/>
  <c r="W7" i="20"/>
  <c r="AC7" i="20" s="1"/>
  <c r="BA22" i="14"/>
  <c r="BE22" i="14"/>
  <c r="AI21" i="14"/>
  <c r="AH21" i="14"/>
  <c r="H7" i="20"/>
  <c r="I7" i="20"/>
  <c r="AZ22" i="14"/>
  <c r="AN22" i="14" l="1"/>
  <c r="AO22" i="14"/>
  <c r="AB21" i="14"/>
  <c r="AD21" i="14" s="1"/>
  <c r="AC22" i="14" s="1"/>
  <c r="P20" i="14"/>
  <c r="R20" i="14" s="1"/>
  <c r="P21" i="14" s="1"/>
  <c r="M21" i="14"/>
  <c r="O21" i="14" s="1"/>
  <c r="M22" i="14" s="1"/>
  <c r="B40" i="20"/>
  <c r="B40" i="16"/>
  <c r="B40" i="15"/>
  <c r="C41" i="19"/>
  <c r="B57" i="5"/>
  <c r="C40" i="18"/>
  <c r="C41" i="14"/>
  <c r="O61" i="1"/>
  <c r="C40" i="13"/>
  <c r="C41" i="17"/>
  <c r="I62" i="1"/>
  <c r="AU22" i="14"/>
  <c r="AV22" i="14" s="1"/>
  <c r="AT23" i="14" s="1"/>
  <c r="BH23" i="14"/>
  <c r="V14" i="15"/>
  <c r="T21" i="14"/>
  <c r="U21" i="14" s="1"/>
  <c r="T22" i="14" s="1"/>
  <c r="D15" i="14"/>
  <c r="W15" i="15" s="1"/>
  <c r="Z15" i="15" s="1"/>
  <c r="J21" i="14"/>
  <c r="L21" i="14" s="1"/>
  <c r="J22" i="14" s="1"/>
  <c r="Q21" i="14"/>
  <c r="R21" i="14" s="1"/>
  <c r="P22" i="14" s="1"/>
  <c r="AG21" i="14"/>
  <c r="AE22" i="14" s="1"/>
  <c r="AA20" i="14"/>
  <c r="Z21" i="14" s="1"/>
  <c r="W20" i="14"/>
  <c r="V20" i="14"/>
  <c r="AJ21" i="14"/>
  <c r="AH22" i="14" s="1"/>
  <c r="AK21" i="14"/>
  <c r="AM21" i="14" s="1"/>
  <c r="AL22" i="14" s="1"/>
  <c r="X7" i="20"/>
  <c r="Y7" i="20" s="1"/>
  <c r="G22" i="14"/>
  <c r="I22" i="14" s="1"/>
  <c r="H23" i="14" s="1"/>
  <c r="BB22" i="14"/>
  <c r="BA23" i="14" s="1"/>
  <c r="AR22" i="14"/>
  <c r="AS22" i="14" s="1"/>
  <c r="I24" i="15"/>
  <c r="J24" i="15"/>
  <c r="BI24" i="14" s="1"/>
  <c r="K24" i="15"/>
  <c r="BJ24" i="14" s="1"/>
  <c r="BC23" i="14"/>
  <c r="BD23" i="14"/>
  <c r="U7" i="20"/>
  <c r="O7" i="20"/>
  <c r="R11" i="15"/>
  <c r="AD11" i="15" s="1"/>
  <c r="Q11" i="15"/>
  <c r="AW23" i="14"/>
  <c r="H8" i="16"/>
  <c r="L8" i="16" s="1"/>
  <c r="AX23" i="14"/>
  <c r="F7" i="19"/>
  <c r="AF7" i="16"/>
  <c r="Z7" i="20"/>
  <c r="AE7" i="20" s="1"/>
  <c r="AB22" i="14" l="1"/>
  <c r="AD22" i="14" s="1"/>
  <c r="AC23" i="14" s="1"/>
  <c r="AP22" i="14"/>
  <c r="AN23" i="14" s="1"/>
  <c r="N22" i="14"/>
  <c r="O22" i="14" s="1"/>
  <c r="N23" i="14" s="1"/>
  <c r="S22" i="14"/>
  <c r="U22" i="14" s="1"/>
  <c r="T23" i="14" s="1"/>
  <c r="C42" i="17"/>
  <c r="C42" i="19"/>
  <c r="C42" i="14"/>
  <c r="I63" i="1"/>
  <c r="C41" i="13"/>
  <c r="C41" i="18"/>
  <c r="O62" i="1"/>
  <c r="B58" i="5"/>
  <c r="B41" i="20"/>
  <c r="B41" i="16"/>
  <c r="B41" i="15"/>
  <c r="AU23" i="14"/>
  <c r="AV23" i="14" s="1"/>
  <c r="BK24" i="14"/>
  <c r="K22" i="14"/>
  <c r="L22" i="14" s="1"/>
  <c r="K23" i="14" s="1"/>
  <c r="Y15" i="15"/>
  <c r="AA15" i="15" s="1"/>
  <c r="F15" i="14"/>
  <c r="E16" i="14" s="1"/>
  <c r="X16" i="15" s="1"/>
  <c r="AF22" i="14"/>
  <c r="AG22" i="14" s="1"/>
  <c r="Q22" i="14"/>
  <c r="R22" i="14" s="1"/>
  <c r="Y21" i="14"/>
  <c r="AA21" i="14" s="1"/>
  <c r="Z22" i="14" s="1"/>
  <c r="X20" i="14"/>
  <c r="V21" i="14" s="1"/>
  <c r="AI22" i="14"/>
  <c r="AJ22" i="14" s="1"/>
  <c r="AH23" i="14" s="1"/>
  <c r="AD7" i="20"/>
  <c r="AG7" i="20" s="1"/>
  <c r="G23" i="14"/>
  <c r="I23" i="14" s="1"/>
  <c r="H24" i="14" s="1"/>
  <c r="BE23" i="14"/>
  <c r="BD24" i="14" s="1"/>
  <c r="AR23" i="14"/>
  <c r="AQ23" i="14"/>
  <c r="AK22" i="14"/>
  <c r="AM22" i="14" s="1"/>
  <c r="AK23" i="14" s="1"/>
  <c r="AZ23" i="14"/>
  <c r="BB23" i="14" s="1"/>
  <c r="AA7" i="20"/>
  <c r="AF7" i="20" s="1"/>
  <c r="I25" i="15"/>
  <c r="J25" i="15"/>
  <c r="BL25" i="14" s="1"/>
  <c r="K25" i="15"/>
  <c r="BM25" i="14" s="1"/>
  <c r="V7" i="20"/>
  <c r="AY23" i="14"/>
  <c r="BF24" i="14"/>
  <c r="S11" i="15"/>
  <c r="T11" i="15"/>
  <c r="AE11" i="15" s="1"/>
  <c r="AC11" i="15"/>
  <c r="AG11" i="15" s="1"/>
  <c r="W8" i="16"/>
  <c r="X8" i="16"/>
  <c r="M8" i="17"/>
  <c r="N8" i="17"/>
  <c r="G8" i="17"/>
  <c r="H8" i="17"/>
  <c r="K8" i="17"/>
  <c r="E8" i="17"/>
  <c r="D8" i="17"/>
  <c r="J8" i="17"/>
  <c r="BG24" i="14"/>
  <c r="AB23" i="14" l="1"/>
  <c r="AD23" i="14" s="1"/>
  <c r="AB24" i="14" s="1"/>
  <c r="AO23" i="14"/>
  <c r="AP23" i="14" s="1"/>
  <c r="AO24" i="14" s="1"/>
  <c r="M23" i="14"/>
  <c r="O23" i="14" s="1"/>
  <c r="M24" i="14" s="1"/>
  <c r="W21" i="14"/>
  <c r="B42" i="16"/>
  <c r="B42" i="15"/>
  <c r="B42" i="20"/>
  <c r="D16" i="14"/>
  <c r="W16" i="15" s="1"/>
  <c r="Y16" i="15" s="1"/>
  <c r="AA16" i="15" s="1"/>
  <c r="C43" i="14"/>
  <c r="C42" i="13"/>
  <c r="C43" i="19"/>
  <c r="B59" i="5"/>
  <c r="O63" i="1"/>
  <c r="I64" i="1"/>
  <c r="C42" i="18"/>
  <c r="C43" i="17"/>
  <c r="J23" i="14"/>
  <c r="L23" i="14" s="1"/>
  <c r="K24" i="14" s="1"/>
  <c r="BJ25" i="14"/>
  <c r="AT24" i="14"/>
  <c r="AU24" i="14"/>
  <c r="BN25" i="14"/>
  <c r="BC24" i="14"/>
  <c r="BE24" i="14" s="1"/>
  <c r="BD25" i="14" s="1"/>
  <c r="AS23" i="14"/>
  <c r="X21" i="14"/>
  <c r="V22" i="14" s="1"/>
  <c r="V15" i="15"/>
  <c r="AE23" i="14"/>
  <c r="AF23" i="14"/>
  <c r="Y22" i="14"/>
  <c r="AA22" i="14" s="1"/>
  <c r="Y23" i="14" s="1"/>
  <c r="S23" i="14"/>
  <c r="U23" i="14" s="1"/>
  <c r="T24" i="14" s="1"/>
  <c r="L8" i="17"/>
  <c r="P23" i="14"/>
  <c r="Q23" i="14"/>
  <c r="G24" i="14"/>
  <c r="I24" i="14" s="1"/>
  <c r="G25" i="14" s="1"/>
  <c r="AC24" i="14"/>
  <c r="AD24" i="14" s="1"/>
  <c r="AC25" i="14" s="1"/>
  <c r="AI23" i="14"/>
  <c r="AJ23" i="14" s="1"/>
  <c r="AI24" i="14" s="1"/>
  <c r="BA24" i="14"/>
  <c r="AZ24" i="14"/>
  <c r="AL23" i="14"/>
  <c r="AM23" i="14" s="1"/>
  <c r="I26" i="15"/>
  <c r="K26" i="15"/>
  <c r="BP26" i="14" s="1"/>
  <c r="J26" i="15"/>
  <c r="BO26" i="14" s="1"/>
  <c r="AX24" i="14"/>
  <c r="AW24" i="14"/>
  <c r="D8" i="20"/>
  <c r="Y8" i="16"/>
  <c r="Z8" i="16"/>
  <c r="BI25" i="14"/>
  <c r="I8" i="17"/>
  <c r="O8" i="17"/>
  <c r="Q8" i="16"/>
  <c r="F8" i="17"/>
  <c r="R8" i="16"/>
  <c r="AD8" i="16" s="1"/>
  <c r="U11" i="15"/>
  <c r="AF11" i="15" s="1"/>
  <c r="O11" i="15"/>
  <c r="BH24" i="14"/>
  <c r="AV24" i="14" l="1"/>
  <c r="AT25" i="14" s="1"/>
  <c r="BQ26" i="14"/>
  <c r="AN24" i="14"/>
  <c r="AP24" i="14" s="1"/>
  <c r="BK25" i="14"/>
  <c r="BJ26" i="14" s="1"/>
  <c r="J24" i="14"/>
  <c r="L24" i="14" s="1"/>
  <c r="J25" i="14" s="1"/>
  <c r="Z16" i="15"/>
  <c r="AG23" i="14"/>
  <c r="AE24" i="14" s="1"/>
  <c r="C44" i="14"/>
  <c r="C43" i="13"/>
  <c r="O64" i="1"/>
  <c r="I65" i="1"/>
  <c r="C44" i="19"/>
  <c r="C43" i="18"/>
  <c r="B60" i="5"/>
  <c r="C44" i="17"/>
  <c r="B43" i="20"/>
  <c r="B43" i="16"/>
  <c r="B43" i="15"/>
  <c r="W22" i="14"/>
  <c r="X22" i="14" s="1"/>
  <c r="V23" i="14" s="1"/>
  <c r="F16" i="14"/>
  <c r="E17" i="14" s="1"/>
  <c r="X17" i="15" s="1"/>
  <c r="BC25" i="14"/>
  <c r="BE25" i="14" s="1"/>
  <c r="AR24" i="14"/>
  <c r="AQ24" i="14"/>
  <c r="S24" i="14"/>
  <c r="U24" i="14" s="1"/>
  <c r="T25" i="14" s="1"/>
  <c r="Z23" i="14"/>
  <c r="AA23" i="14" s="1"/>
  <c r="Z24" i="14" s="1"/>
  <c r="N24" i="14"/>
  <c r="O24" i="14" s="1"/>
  <c r="N25" i="14" s="1"/>
  <c r="R23" i="14"/>
  <c r="Q24" i="14" s="1"/>
  <c r="AB25" i="14"/>
  <c r="AD25" i="14" s="1"/>
  <c r="AC26" i="14" s="1"/>
  <c r="H25" i="14"/>
  <c r="I25" i="14" s="1"/>
  <c r="H26" i="14" s="1"/>
  <c r="AH24" i="14"/>
  <c r="AJ24" i="14" s="1"/>
  <c r="AI25" i="14" s="1"/>
  <c r="AL24" i="14"/>
  <c r="AK24" i="14"/>
  <c r="AY24" i="14"/>
  <c r="AW25" i="14" s="1"/>
  <c r="BB24" i="14"/>
  <c r="I27" i="15"/>
  <c r="K27" i="15"/>
  <c r="BS27" i="14" s="1"/>
  <c r="J27" i="15"/>
  <c r="BR27" i="14" s="1"/>
  <c r="AA8" i="16"/>
  <c r="V8" i="16"/>
  <c r="J8" i="20"/>
  <c r="E8" i="20"/>
  <c r="G8" i="20"/>
  <c r="R12" i="15"/>
  <c r="AD12" i="15" s="1"/>
  <c r="Q12" i="15"/>
  <c r="BG25" i="14"/>
  <c r="BF25" i="14"/>
  <c r="BM26" i="14"/>
  <c r="BL26" i="14"/>
  <c r="P8" i="16"/>
  <c r="S8" i="16"/>
  <c r="T8" i="16"/>
  <c r="K8" i="16"/>
  <c r="AU25" i="14" l="1"/>
  <c r="AV25" i="14" s="1"/>
  <c r="BI26" i="14"/>
  <c r="BK26" i="14" s="1"/>
  <c r="BJ27" i="14" s="1"/>
  <c r="AF24" i="14"/>
  <c r="K25" i="14"/>
  <c r="L25" i="14" s="1"/>
  <c r="K26" i="14" s="1"/>
  <c r="V16" i="15"/>
  <c r="AO25" i="14"/>
  <c r="AN25" i="14"/>
  <c r="Y24" i="14"/>
  <c r="AA24" i="14" s="1"/>
  <c r="Y25" i="14" s="1"/>
  <c r="D17" i="14"/>
  <c r="W17" i="15" s="1"/>
  <c r="Z17" i="15" s="1"/>
  <c r="S25" i="14"/>
  <c r="U25" i="14" s="1"/>
  <c r="T26" i="14" s="1"/>
  <c r="M25" i="14"/>
  <c r="O25" i="14" s="1"/>
  <c r="M26" i="14" s="1"/>
  <c r="W23" i="14"/>
  <c r="X23" i="14" s="1"/>
  <c r="W24" i="14" s="1"/>
  <c r="C45" i="14"/>
  <c r="O65" i="1"/>
  <c r="C44" i="13"/>
  <c r="I66" i="1"/>
  <c r="B61" i="5"/>
  <c r="C45" i="19"/>
  <c r="C44" i="18"/>
  <c r="C45" i="17"/>
  <c r="B44" i="20"/>
  <c r="B44" i="16"/>
  <c r="B44" i="15"/>
  <c r="BD26" i="14"/>
  <c r="BC26" i="14"/>
  <c r="BH25" i="14"/>
  <c r="BF26" i="14" s="1"/>
  <c r="AS24" i="14"/>
  <c r="AR25" i="14" s="1"/>
  <c r="BT27" i="14"/>
  <c r="AU26" i="14"/>
  <c r="AT26" i="14"/>
  <c r="AB26" i="14"/>
  <c r="AD26" i="14" s="1"/>
  <c r="AB27" i="14" s="1"/>
  <c r="P24" i="14"/>
  <c r="R24" i="14" s="1"/>
  <c r="Q25" i="14" s="1"/>
  <c r="AH25" i="14"/>
  <c r="AJ25" i="14" s="1"/>
  <c r="AI26" i="14" s="1"/>
  <c r="AM24" i="14"/>
  <c r="AL25" i="14" s="1"/>
  <c r="G26" i="14"/>
  <c r="I26" i="14" s="1"/>
  <c r="H27" i="14" s="1"/>
  <c r="AG24" i="14"/>
  <c r="AE25" i="14" s="1"/>
  <c r="J26" i="14"/>
  <c r="L26" i="14" s="1"/>
  <c r="J27" i="14" s="1"/>
  <c r="AZ25" i="14"/>
  <c r="BA25" i="14"/>
  <c r="AX25" i="14"/>
  <c r="AY25" i="14" s="1"/>
  <c r="AX26" i="14" s="1"/>
  <c r="K8" i="20"/>
  <c r="I28" i="15"/>
  <c r="K28" i="15"/>
  <c r="BV28" i="14" s="1"/>
  <c r="J28" i="15"/>
  <c r="BU28" i="14" s="1"/>
  <c r="F8" i="20"/>
  <c r="M8" i="16"/>
  <c r="N8" i="16"/>
  <c r="AE8" i="16" s="1"/>
  <c r="AC8" i="16"/>
  <c r="M8" i="19"/>
  <c r="J8" i="19"/>
  <c r="G8" i="19"/>
  <c r="Q8" i="20"/>
  <c r="D8" i="19"/>
  <c r="BP27" i="14"/>
  <c r="BO27" i="14"/>
  <c r="S12" i="15"/>
  <c r="T12" i="15"/>
  <c r="AE12" i="15" s="1"/>
  <c r="AC12" i="15"/>
  <c r="AG12" i="15" s="1"/>
  <c r="U8" i="16"/>
  <c r="BN26" i="14"/>
  <c r="AP25" i="14" l="1"/>
  <c r="AQ25" i="14"/>
  <c r="AS25" i="14" s="1"/>
  <c r="AR26" i="14" s="1"/>
  <c r="BG26" i="14"/>
  <c r="BH26" i="14" s="1"/>
  <c r="BF27" i="14" s="1"/>
  <c r="F17" i="14"/>
  <c r="N26" i="14"/>
  <c r="Z25" i="14"/>
  <c r="AA25" i="14" s="1"/>
  <c r="Y17" i="15"/>
  <c r="AA17" i="15" s="1"/>
  <c r="S26" i="14"/>
  <c r="U26" i="14" s="1"/>
  <c r="S27" i="14" s="1"/>
  <c r="V24" i="14"/>
  <c r="X24" i="14" s="1"/>
  <c r="V25" i="14" s="1"/>
  <c r="C46" i="14"/>
  <c r="C45" i="13"/>
  <c r="I67" i="1"/>
  <c r="C45" i="18"/>
  <c r="B62" i="5"/>
  <c r="O66" i="1"/>
  <c r="C46" i="19"/>
  <c r="C46" i="17"/>
  <c r="BS28" i="14"/>
  <c r="B45" i="20"/>
  <c r="B45" i="16"/>
  <c r="B45" i="15"/>
  <c r="BE26" i="14"/>
  <c r="AV26" i="14"/>
  <c r="BQ27" i="14"/>
  <c r="BP28" i="14" s="1"/>
  <c r="BI27" i="14"/>
  <c r="BK27" i="14" s="1"/>
  <c r="BI28" i="14" s="1"/>
  <c r="BB25" i="14"/>
  <c r="AZ26" i="14" s="1"/>
  <c r="BW28" i="14"/>
  <c r="K27" i="14"/>
  <c r="L27" i="14" s="1"/>
  <c r="K28" i="14" s="1"/>
  <c r="P25" i="14"/>
  <c r="R25" i="14" s="1"/>
  <c r="AF25" i="14"/>
  <c r="AG25" i="14" s="1"/>
  <c r="AF26" i="14" s="1"/>
  <c r="O26" i="14"/>
  <c r="M27" i="14" s="1"/>
  <c r="AK25" i="14"/>
  <c r="AM25" i="14" s="1"/>
  <c r="AK26" i="14" s="1"/>
  <c r="G27" i="14"/>
  <c r="I27" i="14" s="1"/>
  <c r="G28" i="14" s="1"/>
  <c r="AC27" i="14"/>
  <c r="AD27" i="14" s="1"/>
  <c r="AW26" i="14"/>
  <c r="AY26" i="14" s="1"/>
  <c r="AH26" i="14"/>
  <c r="AJ26" i="14" s="1"/>
  <c r="AI27" i="14" s="1"/>
  <c r="BR28" i="14"/>
  <c r="O8" i="16"/>
  <c r="AF8" i="16" s="1"/>
  <c r="I8" i="16"/>
  <c r="I29" i="15"/>
  <c r="K29" i="15"/>
  <c r="BY29" i="14" s="1"/>
  <c r="J29" i="15"/>
  <c r="BX29" i="14" s="1"/>
  <c r="N8" i="19"/>
  <c r="O8" i="19" s="1"/>
  <c r="K8" i="19"/>
  <c r="L8" i="19" s="1"/>
  <c r="H8" i="19"/>
  <c r="I8" i="19" s="1"/>
  <c r="R8" i="20"/>
  <c r="S8" i="20" s="1"/>
  <c r="E8" i="19"/>
  <c r="F8" i="19" s="1"/>
  <c r="BM27" i="14"/>
  <c r="BL27" i="14"/>
  <c r="H8" i="20"/>
  <c r="I8" i="20"/>
  <c r="V17" i="15"/>
  <c r="E18" i="14"/>
  <c r="X18" i="15" s="1"/>
  <c r="D18" i="14"/>
  <c r="W18" i="15" s="1"/>
  <c r="T8" i="20"/>
  <c r="AG8" i="16"/>
  <c r="W8" i="20"/>
  <c r="U12" i="15"/>
  <c r="AF12" i="15" s="1"/>
  <c r="O12" i="15"/>
  <c r="AQ26" i="14" l="1"/>
  <c r="AS26" i="14" s="1"/>
  <c r="AR27" i="14" s="1"/>
  <c r="BV29" i="14"/>
  <c r="AN26" i="14"/>
  <c r="AO26" i="14"/>
  <c r="BO28" i="14"/>
  <c r="BQ28" i="14" s="1"/>
  <c r="BA26" i="14"/>
  <c r="BB26" i="14" s="1"/>
  <c r="AZ27" i="14" s="1"/>
  <c r="Y26" i="14"/>
  <c r="Z26" i="14"/>
  <c r="T27" i="14"/>
  <c r="U27" i="14" s="1"/>
  <c r="T28" i="14" s="1"/>
  <c r="W25" i="14"/>
  <c r="X25" i="14" s="1"/>
  <c r="W26" i="14" s="1"/>
  <c r="P26" i="14"/>
  <c r="Q26" i="14"/>
  <c r="C46" i="13"/>
  <c r="I68" i="1"/>
  <c r="C46" i="18"/>
  <c r="C47" i="14"/>
  <c r="O67" i="1"/>
  <c r="C47" i="19"/>
  <c r="C47" i="17"/>
  <c r="B63" i="5"/>
  <c r="BT28" i="14"/>
  <c r="BS29" i="14" s="1"/>
  <c r="B46" i="20"/>
  <c r="B46" i="16"/>
  <c r="B46" i="15"/>
  <c r="BC27" i="14"/>
  <c r="BD27" i="14"/>
  <c r="BU29" i="14"/>
  <c r="BJ28" i="14"/>
  <c r="BK28" i="14" s="1"/>
  <c r="BJ29" i="14" s="1"/>
  <c r="BN27" i="14"/>
  <c r="BM28" i="14" s="1"/>
  <c r="AQ27" i="14"/>
  <c r="AS27" i="14" s="1"/>
  <c r="AQ28" i="14" s="1"/>
  <c r="AT27" i="14"/>
  <c r="AU27" i="14"/>
  <c r="BG27" i="14"/>
  <c r="BH27" i="14" s="1"/>
  <c r="AX27" i="14"/>
  <c r="AW27" i="14"/>
  <c r="AE26" i="14"/>
  <c r="AG26" i="14" s="1"/>
  <c r="N27" i="14"/>
  <c r="O27" i="14" s="1"/>
  <c r="AL26" i="14"/>
  <c r="AM26" i="14" s="1"/>
  <c r="H28" i="14"/>
  <c r="I28" i="14" s="1"/>
  <c r="G29" i="14" s="1"/>
  <c r="AH27" i="14"/>
  <c r="AJ27" i="14" s="1"/>
  <c r="AB28" i="14"/>
  <c r="AC28" i="14"/>
  <c r="J28" i="14"/>
  <c r="L28" i="14" s="1"/>
  <c r="K29" i="14" s="1"/>
  <c r="X8" i="20"/>
  <c r="AD8" i="20" s="1"/>
  <c r="I30" i="15"/>
  <c r="K30" i="15"/>
  <c r="CB30" i="14" s="1"/>
  <c r="J30" i="15"/>
  <c r="CA30" i="14" s="1"/>
  <c r="F18" i="14"/>
  <c r="Z8" i="20"/>
  <c r="AE8" i="20" s="1"/>
  <c r="H9" i="16"/>
  <c r="L9" i="16" s="1"/>
  <c r="U8" i="20"/>
  <c r="O8" i="20"/>
  <c r="V8" i="20"/>
  <c r="BZ29" i="14"/>
  <c r="R13" i="15"/>
  <c r="AD13" i="15" s="1"/>
  <c r="Q13" i="15"/>
  <c r="AC8" i="20"/>
  <c r="Y18" i="15"/>
  <c r="AA18" i="15" s="1"/>
  <c r="Z18" i="15"/>
  <c r="S28" i="14" l="1"/>
  <c r="U28" i="14" s="1"/>
  <c r="S29" i="14" s="1"/>
  <c r="AP26" i="14"/>
  <c r="AO27" i="14" s="1"/>
  <c r="BW29" i="14"/>
  <c r="BV30" i="14" s="1"/>
  <c r="CC30" i="14"/>
  <c r="BO29" i="14"/>
  <c r="BP29" i="14"/>
  <c r="V26" i="14"/>
  <c r="X26" i="14" s="1"/>
  <c r="V27" i="14" s="1"/>
  <c r="AA26" i="14"/>
  <c r="R26" i="14"/>
  <c r="P27" i="14" s="1"/>
  <c r="BR29" i="14"/>
  <c r="BT29" i="14" s="1"/>
  <c r="BS30" i="14" s="1"/>
  <c r="B47" i="20"/>
  <c r="B47" i="15"/>
  <c r="B47" i="16"/>
  <c r="C47" i="13"/>
  <c r="I69" i="1"/>
  <c r="C48" i="19"/>
  <c r="B64" i="5"/>
  <c r="C48" i="17"/>
  <c r="O68" i="1"/>
  <c r="C48" i="14"/>
  <c r="C47" i="18"/>
  <c r="BA27" i="14"/>
  <c r="BB27" i="14" s="1"/>
  <c r="BA28" i="14" s="1"/>
  <c r="BE27" i="14"/>
  <c r="AR28" i="14"/>
  <c r="AS28" i="14" s="1"/>
  <c r="AV27" i="14"/>
  <c r="BI29" i="14"/>
  <c r="BK29" i="14" s="1"/>
  <c r="BI30" i="14" s="1"/>
  <c r="BL28" i="14"/>
  <c r="BN28" i="14" s="1"/>
  <c r="BL29" i="14" s="1"/>
  <c r="BG28" i="14"/>
  <c r="BF28" i="14"/>
  <c r="AY27" i="14"/>
  <c r="AX28" i="14" s="1"/>
  <c r="AD28" i="14"/>
  <c r="AB29" i="14" s="1"/>
  <c r="AE27" i="14"/>
  <c r="AF27" i="14"/>
  <c r="AI28" i="14"/>
  <c r="AH28" i="14"/>
  <c r="M28" i="14"/>
  <c r="N28" i="14"/>
  <c r="AL27" i="14"/>
  <c r="AK27" i="14"/>
  <c r="H29" i="14"/>
  <c r="I29" i="14" s="1"/>
  <c r="H30" i="14" s="1"/>
  <c r="Y8" i="20"/>
  <c r="AA8" i="20" s="1"/>
  <c r="AF8" i="20" s="1"/>
  <c r="J29" i="14"/>
  <c r="L29" i="14" s="1"/>
  <c r="K30" i="14" s="1"/>
  <c r="BX30" i="14"/>
  <c r="BY30" i="14"/>
  <c r="V18" i="15"/>
  <c r="D19" i="14"/>
  <c r="W19" i="15" s="1"/>
  <c r="E19" i="14"/>
  <c r="X19" i="15" s="1"/>
  <c r="S13" i="15"/>
  <c r="T13" i="15"/>
  <c r="AE13" i="15" s="1"/>
  <c r="AC13" i="15"/>
  <c r="AG13" i="15" s="1"/>
  <c r="I31" i="15"/>
  <c r="K31" i="15"/>
  <c r="CE31" i="14" s="1"/>
  <c r="J31" i="15"/>
  <c r="CD31" i="14" s="1"/>
  <c r="AG8" i="20"/>
  <c r="X9" i="16"/>
  <c r="W9" i="16"/>
  <c r="P9" i="17"/>
  <c r="Q9" i="17"/>
  <c r="K9" i="17"/>
  <c r="J9" i="17"/>
  <c r="N9" i="17"/>
  <c r="D9" i="17"/>
  <c r="E9" i="17"/>
  <c r="G9" i="17"/>
  <c r="M9" i="17"/>
  <c r="H9" i="17"/>
  <c r="AN27" i="14" l="1"/>
  <c r="AP27" i="14" s="1"/>
  <c r="AO28" i="14" s="1"/>
  <c r="BU30" i="14"/>
  <c r="BW30" i="14" s="1"/>
  <c r="T29" i="14"/>
  <c r="U29" i="14" s="1"/>
  <c r="S30" i="14" s="1"/>
  <c r="BQ29" i="14"/>
  <c r="BO30" i="14" s="1"/>
  <c r="Y27" i="14"/>
  <c r="Z27" i="14"/>
  <c r="Q27" i="14"/>
  <c r="R27" i="14" s="1"/>
  <c r="P28" i="14" s="1"/>
  <c r="B48" i="20"/>
  <c r="B48" i="16"/>
  <c r="B48" i="15"/>
  <c r="AC29" i="14"/>
  <c r="AD29" i="14" s="1"/>
  <c r="AC30" i="14" s="1"/>
  <c r="C49" i="17"/>
  <c r="C49" i="14"/>
  <c r="C48" i="13"/>
  <c r="O69" i="1"/>
  <c r="I70" i="1"/>
  <c r="C49" i="19"/>
  <c r="C48" i="18"/>
  <c r="B65" i="5"/>
  <c r="BU31" i="14"/>
  <c r="BZ30" i="14"/>
  <c r="BY31" i="14" s="1"/>
  <c r="BJ30" i="14"/>
  <c r="BK30" i="14" s="1"/>
  <c r="BJ31" i="14" s="1"/>
  <c r="BD28" i="14"/>
  <c r="BC28" i="14"/>
  <c r="AR29" i="14"/>
  <c r="AQ29" i="14"/>
  <c r="BH28" i="14"/>
  <c r="BG29" i="14" s="1"/>
  <c r="AW28" i="14"/>
  <c r="AY28" i="14" s="1"/>
  <c r="BM29" i="14"/>
  <c r="BN29" i="14" s="1"/>
  <c r="BM30" i="14" s="1"/>
  <c r="AT28" i="14"/>
  <c r="AU28" i="14"/>
  <c r="BP30" i="14"/>
  <c r="BQ30" i="14" s="1"/>
  <c r="BR30" i="14"/>
  <c r="BT30" i="14" s="1"/>
  <c r="AZ28" i="14"/>
  <c r="BB28" i="14" s="1"/>
  <c r="BV31" i="14"/>
  <c r="AG27" i="14"/>
  <c r="AE28" i="14" s="1"/>
  <c r="AJ28" i="14"/>
  <c r="AI29" i="14" s="1"/>
  <c r="O9" i="17"/>
  <c r="J30" i="14"/>
  <c r="L30" i="14" s="1"/>
  <c r="J31" i="14" s="1"/>
  <c r="W27" i="14"/>
  <c r="X27" i="14" s="1"/>
  <c r="G30" i="14"/>
  <c r="I30" i="14" s="1"/>
  <c r="H31" i="14" s="1"/>
  <c r="O28" i="14"/>
  <c r="T30" i="14"/>
  <c r="AM27" i="14"/>
  <c r="L9" i="17"/>
  <c r="F19" i="14"/>
  <c r="Y19" i="15"/>
  <c r="AA19" i="15" s="1"/>
  <c r="Z19" i="15"/>
  <c r="R9" i="17"/>
  <c r="I32" i="15"/>
  <c r="K32" i="15"/>
  <c r="CH32" i="14" s="1"/>
  <c r="J32" i="15"/>
  <c r="CG32" i="14" s="1"/>
  <c r="CI32" i="14" s="1"/>
  <c r="U13" i="15"/>
  <c r="AF13" i="15" s="1"/>
  <c r="O13" i="15"/>
  <c r="D9" i="20"/>
  <c r="Y9" i="16"/>
  <c r="Z9" i="16"/>
  <c r="R9" i="16"/>
  <c r="AD9" i="16" s="1"/>
  <c r="CA31" i="14"/>
  <c r="CF31" i="14"/>
  <c r="CB31" i="14"/>
  <c r="I9" i="17"/>
  <c r="Q9" i="16"/>
  <c r="F9" i="17"/>
  <c r="BW31" i="14" l="1"/>
  <c r="BV32" i="14" s="1"/>
  <c r="U30" i="14"/>
  <c r="S31" i="14" s="1"/>
  <c r="BE28" i="14"/>
  <c r="BD29" i="14" s="1"/>
  <c r="AN28" i="14"/>
  <c r="AP28" i="14" s="1"/>
  <c r="AO29" i="14" s="1"/>
  <c r="AS29" i="14"/>
  <c r="AR30" i="14" s="1"/>
  <c r="Q28" i="14"/>
  <c r="R28" i="14" s="1"/>
  <c r="Q29" i="14" s="1"/>
  <c r="AA27" i="14"/>
  <c r="C50" i="19"/>
  <c r="B66" i="5"/>
  <c r="C50" i="17"/>
  <c r="C50" i="14"/>
  <c r="C49" i="13"/>
  <c r="C49" i="18"/>
  <c r="I71" i="1"/>
  <c r="O70" i="1"/>
  <c r="B49" i="20"/>
  <c r="B49" i="16"/>
  <c r="B49" i="15"/>
  <c r="AB30" i="14"/>
  <c r="AD30" i="14" s="1"/>
  <c r="AB31" i="14" s="1"/>
  <c r="BX31" i="14"/>
  <c r="BZ31" i="14" s="1"/>
  <c r="BY32" i="14" s="1"/>
  <c r="CC31" i="14"/>
  <c r="CB32" i="14" s="1"/>
  <c r="BF29" i="14"/>
  <c r="BH29" i="14" s="1"/>
  <c r="BG30" i="14" s="1"/>
  <c r="AV28" i="14"/>
  <c r="AU29" i="14" s="1"/>
  <c r="BI31" i="14"/>
  <c r="BK31" i="14" s="1"/>
  <c r="BJ32" i="14" s="1"/>
  <c r="BO31" i="14"/>
  <c r="BP31" i="14"/>
  <c r="BR31" i="14"/>
  <c r="BS31" i="14"/>
  <c r="BL30" i="14"/>
  <c r="BN30" i="14" s="1"/>
  <c r="BM31" i="14" s="1"/>
  <c r="AX29" i="14"/>
  <c r="AW29" i="14"/>
  <c r="AF28" i="14"/>
  <c r="AG28" i="14" s="1"/>
  <c r="AE29" i="14" s="1"/>
  <c r="AH29" i="14"/>
  <c r="AJ29" i="14" s="1"/>
  <c r="AH30" i="14" s="1"/>
  <c r="K31" i="14"/>
  <c r="L31" i="14" s="1"/>
  <c r="K32" i="14" s="1"/>
  <c r="N29" i="14"/>
  <c r="M29" i="14"/>
  <c r="AL28" i="14"/>
  <c r="AK28" i="14"/>
  <c r="W28" i="14"/>
  <c r="V28" i="14"/>
  <c r="G31" i="14"/>
  <c r="I31" i="14" s="1"/>
  <c r="H32" i="14" s="1"/>
  <c r="BA29" i="14"/>
  <c r="AZ29" i="14"/>
  <c r="I33" i="15"/>
  <c r="J33" i="15"/>
  <c r="CJ33" i="14" s="1"/>
  <c r="K33" i="15"/>
  <c r="CK33" i="14" s="1"/>
  <c r="V19" i="15"/>
  <c r="E20" i="14"/>
  <c r="X20" i="15" s="1"/>
  <c r="D20" i="14"/>
  <c r="W20" i="15" s="1"/>
  <c r="S9" i="16"/>
  <c r="U9" i="16" s="1"/>
  <c r="T9" i="16"/>
  <c r="K9" i="16"/>
  <c r="R14" i="15"/>
  <c r="AD14" i="15" s="1"/>
  <c r="Q14" i="15"/>
  <c r="P9" i="16"/>
  <c r="CE32" i="14"/>
  <c r="CD32" i="14"/>
  <c r="AA9" i="16"/>
  <c r="V9" i="16"/>
  <c r="J9" i="20"/>
  <c r="E9" i="20"/>
  <c r="F9" i="20" s="1"/>
  <c r="G9" i="20"/>
  <c r="CA32" i="14" l="1"/>
  <c r="CC32" i="14" s="1"/>
  <c r="CB33" i="14" s="1"/>
  <c r="BU32" i="14"/>
  <c r="AN29" i="14"/>
  <c r="AQ30" i="14"/>
  <c r="AS30" i="14" s="1"/>
  <c r="AQ31" i="14" s="1"/>
  <c r="BC29" i="14"/>
  <c r="BE29" i="14" s="1"/>
  <c r="BD30" i="14" s="1"/>
  <c r="AP29" i="14"/>
  <c r="AO30" i="14" s="1"/>
  <c r="T31" i="14"/>
  <c r="U31" i="14" s="1"/>
  <c r="S32" i="14" s="1"/>
  <c r="BX32" i="14"/>
  <c r="BZ32" i="14" s="1"/>
  <c r="BY33" i="14" s="1"/>
  <c r="BW32" i="14"/>
  <c r="BU33" i="14" s="1"/>
  <c r="Z28" i="14"/>
  <c r="Y28" i="14"/>
  <c r="AF29" i="14"/>
  <c r="AG29" i="14" s="1"/>
  <c r="AE30" i="14" s="1"/>
  <c r="BB29" i="14"/>
  <c r="AZ30" i="14" s="1"/>
  <c r="C50" i="18"/>
  <c r="B67" i="5"/>
  <c r="C51" i="17"/>
  <c r="O71" i="1"/>
  <c r="C51" i="14"/>
  <c r="C50" i="13"/>
  <c r="I72" i="1"/>
  <c r="C51" i="19"/>
  <c r="B50" i="16"/>
  <c r="B50" i="20"/>
  <c r="B50" i="15"/>
  <c r="AI30" i="14"/>
  <c r="AJ30" i="14" s="1"/>
  <c r="AH31" i="14" s="1"/>
  <c r="CF32" i="14"/>
  <c r="CD33" i="14" s="1"/>
  <c r="BF30" i="14"/>
  <c r="BH30" i="14" s="1"/>
  <c r="BG31" i="14" s="1"/>
  <c r="BQ31" i="14"/>
  <c r="BO32" i="14" s="1"/>
  <c r="BT31" i="14"/>
  <c r="BR32" i="14" s="1"/>
  <c r="AT29" i="14"/>
  <c r="AV29" i="14" s="1"/>
  <c r="AU30" i="14" s="1"/>
  <c r="AR31" i="14"/>
  <c r="AS31" i="14" s="1"/>
  <c r="AR32" i="14" s="1"/>
  <c r="BI32" i="14"/>
  <c r="BK32" i="14" s="1"/>
  <c r="BJ33" i="14" s="1"/>
  <c r="BL31" i="14"/>
  <c r="BN31" i="14" s="1"/>
  <c r="BM32" i="14" s="1"/>
  <c r="AY29" i="14"/>
  <c r="O29" i="14"/>
  <c r="N30" i="14" s="1"/>
  <c r="AM28" i="14"/>
  <c r="AC31" i="14"/>
  <c r="AD31" i="14" s="1"/>
  <c r="AC32" i="14" s="1"/>
  <c r="P29" i="14"/>
  <c r="R29" i="14" s="1"/>
  <c r="P30" i="14" s="1"/>
  <c r="J32" i="14"/>
  <c r="L32" i="14" s="1"/>
  <c r="J33" i="14" s="1"/>
  <c r="X28" i="14"/>
  <c r="G32" i="14"/>
  <c r="I32" i="14" s="1"/>
  <c r="H33" i="14" s="1"/>
  <c r="P9" i="19"/>
  <c r="D9" i="19"/>
  <c r="J9" i="19"/>
  <c r="M9" i="19"/>
  <c r="G9" i="19"/>
  <c r="Q9" i="20"/>
  <c r="CG33" i="14"/>
  <c r="CH33" i="14"/>
  <c r="M9" i="16"/>
  <c r="N9" i="16"/>
  <c r="AE9" i="16" s="1"/>
  <c r="AC9" i="16"/>
  <c r="AG9" i="16" s="1"/>
  <c r="H9" i="20"/>
  <c r="I9" i="20"/>
  <c r="S14" i="15"/>
  <c r="T14" i="15"/>
  <c r="AE14" i="15" s="1"/>
  <c r="AC14" i="15"/>
  <c r="AG14" i="15" s="1"/>
  <c r="CL33" i="14"/>
  <c r="Y20" i="15"/>
  <c r="AA20" i="15" s="1"/>
  <c r="Z20" i="15"/>
  <c r="I34" i="15"/>
  <c r="K34" i="15"/>
  <c r="CN34" i="14" s="1"/>
  <c r="J34" i="15"/>
  <c r="CM34" i="14" s="1"/>
  <c r="K9" i="20"/>
  <c r="F20" i="14"/>
  <c r="AN30" i="14" l="1"/>
  <c r="AP30" i="14" s="1"/>
  <c r="AO31" i="14" s="1"/>
  <c r="BV33" i="14"/>
  <c r="T32" i="14"/>
  <c r="U32" i="14" s="1"/>
  <c r="S33" i="14" s="1"/>
  <c r="CE33" i="14"/>
  <c r="BX33" i="14"/>
  <c r="BZ33" i="14" s="1"/>
  <c r="BX34" i="14" s="1"/>
  <c r="BA30" i="14"/>
  <c r="BB30" i="14" s="1"/>
  <c r="BA31" i="14" s="1"/>
  <c r="BC30" i="14"/>
  <c r="BE30" i="14" s="1"/>
  <c r="BC31" i="14" s="1"/>
  <c r="AA28" i="14"/>
  <c r="Y29" i="14" s="1"/>
  <c r="M30" i="14"/>
  <c r="O30" i="14" s="1"/>
  <c r="M31" i="14" s="1"/>
  <c r="BF31" i="14"/>
  <c r="BH31" i="14" s="1"/>
  <c r="BF32" i="14" s="1"/>
  <c r="C51" i="13"/>
  <c r="C52" i="19"/>
  <c r="C52" i="14"/>
  <c r="O72" i="1"/>
  <c r="C51" i="18"/>
  <c r="C52" i="17"/>
  <c r="I73" i="1"/>
  <c r="B51" i="20"/>
  <c r="B51" i="16"/>
  <c r="B51" i="15"/>
  <c r="AI31" i="14"/>
  <c r="AJ31" i="14" s="1"/>
  <c r="AH32" i="14" s="1"/>
  <c r="CA33" i="14"/>
  <c r="CC33" i="14" s="1"/>
  <c r="CB34" i="14" s="1"/>
  <c r="CF33" i="14"/>
  <c r="CD34" i="14" s="1"/>
  <c r="BP32" i="14"/>
  <c r="BQ32" i="14" s="1"/>
  <c r="BO33" i="14" s="1"/>
  <c r="BS32" i="14"/>
  <c r="BT32" i="14" s="1"/>
  <c r="BR33" i="14" s="1"/>
  <c r="AQ32" i="14"/>
  <c r="AS32" i="14" s="1"/>
  <c r="AQ33" i="14" s="1"/>
  <c r="BI33" i="14"/>
  <c r="BK33" i="14" s="1"/>
  <c r="BJ34" i="14" s="1"/>
  <c r="BW33" i="14"/>
  <c r="BU34" i="14" s="1"/>
  <c r="AT30" i="14"/>
  <c r="AV30" i="14" s="1"/>
  <c r="AT31" i="14" s="1"/>
  <c r="BL32" i="14"/>
  <c r="BN32" i="14" s="1"/>
  <c r="BM33" i="14" s="1"/>
  <c r="AX30" i="14"/>
  <c r="AW30" i="14"/>
  <c r="AF30" i="14"/>
  <c r="AG30" i="14" s="1"/>
  <c r="AF31" i="14" s="1"/>
  <c r="AB32" i="14"/>
  <c r="AD32" i="14" s="1"/>
  <c r="AB33" i="14" s="1"/>
  <c r="AL29" i="14"/>
  <c r="AK29" i="14"/>
  <c r="Q30" i="14"/>
  <c r="R30" i="14" s="1"/>
  <c r="Q31" i="14" s="1"/>
  <c r="CO34" i="14"/>
  <c r="T33" i="14"/>
  <c r="CI33" i="14"/>
  <c r="CG34" i="14" s="1"/>
  <c r="W29" i="14"/>
  <c r="V29" i="14"/>
  <c r="K33" i="14"/>
  <c r="L33" i="14" s="1"/>
  <c r="G33" i="14"/>
  <c r="I33" i="14" s="1"/>
  <c r="G34" i="14" s="1"/>
  <c r="V20" i="15"/>
  <c r="E21" i="14"/>
  <c r="X21" i="15" s="1"/>
  <c r="D21" i="14"/>
  <c r="W21" i="15" s="1"/>
  <c r="T9" i="20"/>
  <c r="Q9" i="19"/>
  <c r="R9" i="19" s="1"/>
  <c r="H9" i="19"/>
  <c r="I9" i="19" s="1"/>
  <c r="N9" i="19"/>
  <c r="O9" i="19" s="1"/>
  <c r="K9" i="19"/>
  <c r="L9" i="19" s="1"/>
  <c r="E9" i="19"/>
  <c r="R9" i="20"/>
  <c r="S9" i="20" s="1"/>
  <c r="U14" i="15"/>
  <c r="AF14" i="15" s="1"/>
  <c r="O14" i="15"/>
  <c r="CJ34" i="14"/>
  <c r="CK34" i="14"/>
  <c r="O9" i="16"/>
  <c r="AF9" i="16" s="1"/>
  <c r="I9" i="16"/>
  <c r="I35" i="15"/>
  <c r="J35" i="15"/>
  <c r="CP35" i="14" s="1"/>
  <c r="K35" i="15"/>
  <c r="CQ35" i="14" s="1"/>
  <c r="W9" i="20"/>
  <c r="AN31" i="14" l="1"/>
  <c r="AP31" i="14"/>
  <c r="AN32" i="14" s="1"/>
  <c r="Z29" i="14"/>
  <c r="AA29" i="14" s="1"/>
  <c r="BY34" i="14"/>
  <c r="BZ34" i="14" s="1"/>
  <c r="BY35" i="14" s="1"/>
  <c r="AO32" i="14"/>
  <c r="BP33" i="14"/>
  <c r="BQ33" i="14" s="1"/>
  <c r="BP34" i="14" s="1"/>
  <c r="BG32" i="14"/>
  <c r="BH32" i="14" s="1"/>
  <c r="BF33" i="14" s="1"/>
  <c r="BD31" i="14"/>
  <c r="BE31" i="14" s="1"/>
  <c r="I74" i="1"/>
  <c r="C52" i="13"/>
  <c r="C53" i="19"/>
  <c r="O73" i="1"/>
  <c r="C53" i="14"/>
  <c r="C53" i="17"/>
  <c r="C52" i="18"/>
  <c r="CN35" i="14"/>
  <c r="AC33" i="14"/>
  <c r="AD33" i="14" s="1"/>
  <c r="AB34" i="14" s="1"/>
  <c r="B52" i="15"/>
  <c r="B52" i="20"/>
  <c r="B52" i="16"/>
  <c r="CE34" i="14"/>
  <c r="CF34" i="14" s="1"/>
  <c r="CA34" i="14"/>
  <c r="CC34" i="14" s="1"/>
  <c r="CB35" i="14" s="1"/>
  <c r="CM35" i="14"/>
  <c r="CL34" i="14"/>
  <c r="CK35" i="14" s="1"/>
  <c r="CH34" i="14"/>
  <c r="CI34" i="14" s="1"/>
  <c r="CH35" i="14" s="1"/>
  <c r="AZ31" i="14"/>
  <c r="BB31" i="14" s="1"/>
  <c r="BV34" i="14"/>
  <c r="BW34" i="14" s="1"/>
  <c r="BU35" i="14" s="1"/>
  <c r="BS33" i="14"/>
  <c r="BT33" i="14" s="1"/>
  <c r="BS34" i="14" s="1"/>
  <c r="AU31" i="14"/>
  <c r="AV31" i="14" s="1"/>
  <c r="AT32" i="14" s="1"/>
  <c r="AY30" i="14"/>
  <c r="AX31" i="14" s="1"/>
  <c r="AR33" i="14"/>
  <c r="AS33" i="14" s="1"/>
  <c r="AQ34" i="14" s="1"/>
  <c r="BI34" i="14"/>
  <c r="BK34" i="14" s="1"/>
  <c r="BI35" i="14" s="1"/>
  <c r="BL33" i="14"/>
  <c r="BN33" i="14" s="1"/>
  <c r="BL34" i="14" s="1"/>
  <c r="N31" i="14"/>
  <c r="O31" i="14" s="1"/>
  <c r="M32" i="14" s="1"/>
  <c r="AM29" i="14"/>
  <c r="AK30" i="14" s="1"/>
  <c r="AI32" i="14"/>
  <c r="AJ32" i="14" s="1"/>
  <c r="AE31" i="14"/>
  <c r="AG31" i="14" s="1"/>
  <c r="AF32" i="14" s="1"/>
  <c r="U33" i="14"/>
  <c r="T34" i="14" s="1"/>
  <c r="H34" i="14"/>
  <c r="I34" i="14" s="1"/>
  <c r="P31" i="14"/>
  <c r="R31" i="14" s="1"/>
  <c r="X29" i="14"/>
  <c r="W30" i="14" s="1"/>
  <c r="J34" i="14"/>
  <c r="K34" i="14"/>
  <c r="Z9" i="20"/>
  <c r="AE9" i="20" s="1"/>
  <c r="CR35" i="14"/>
  <c r="AC9" i="20"/>
  <c r="U9" i="20"/>
  <c r="O9" i="20"/>
  <c r="X9" i="20"/>
  <c r="AD9" i="20" s="1"/>
  <c r="Y21" i="15"/>
  <c r="AA21" i="15" s="1"/>
  <c r="Z21" i="15"/>
  <c r="H10" i="16"/>
  <c r="R15" i="15"/>
  <c r="AD15" i="15" s="1"/>
  <c r="Q15" i="15"/>
  <c r="I36" i="15"/>
  <c r="J36" i="15"/>
  <c r="CS36" i="14" s="1"/>
  <c r="K36" i="15"/>
  <c r="CT36" i="14" s="1"/>
  <c r="F21" i="14"/>
  <c r="F9" i="19"/>
  <c r="AP32" i="14" l="1"/>
  <c r="AO33" i="14" s="1"/>
  <c r="BG33" i="14"/>
  <c r="BH33" i="14" s="1"/>
  <c r="BG34" i="14" s="1"/>
  <c r="Z30" i="14"/>
  <c r="Y30" i="14"/>
  <c r="AL30" i="14"/>
  <c r="AM30" i="14" s="1"/>
  <c r="AK31" i="14" s="1"/>
  <c r="CO35" i="14"/>
  <c r="CM36" i="14" s="1"/>
  <c r="B53" i="20"/>
  <c r="B53" i="16"/>
  <c r="B53" i="15"/>
  <c r="BR34" i="14"/>
  <c r="BT34" i="14" s="1"/>
  <c r="BS35" i="14" s="1"/>
  <c r="C53" i="18"/>
  <c r="O74" i="1"/>
  <c r="C54" i="19"/>
  <c r="C54" i="17"/>
  <c r="C53" i="13"/>
  <c r="I75" i="1"/>
  <c r="C54" i="14"/>
  <c r="CA35" i="14"/>
  <c r="CE35" i="14"/>
  <c r="CD35" i="14"/>
  <c r="CC35" i="14"/>
  <c r="CA36" i="14" s="1"/>
  <c r="CJ35" i="14"/>
  <c r="CL35" i="14" s="1"/>
  <c r="BX35" i="14"/>
  <c r="BZ35" i="14" s="1"/>
  <c r="BX36" i="14" s="1"/>
  <c r="CG35" i="14"/>
  <c r="CI35" i="14" s="1"/>
  <c r="CH36" i="14" s="1"/>
  <c r="AU32" i="14"/>
  <c r="AV32" i="14" s="1"/>
  <c r="AT33" i="14" s="1"/>
  <c r="AW31" i="14"/>
  <c r="AY31" i="14" s="1"/>
  <c r="AX32" i="14" s="1"/>
  <c r="BV35" i="14"/>
  <c r="BW35" i="14" s="1"/>
  <c r="BU36" i="14" s="1"/>
  <c r="BO34" i="14"/>
  <c r="BQ34" i="14" s="1"/>
  <c r="BO35" i="14" s="1"/>
  <c r="BD32" i="14"/>
  <c r="BC32" i="14"/>
  <c r="AR34" i="14"/>
  <c r="AS34" i="14" s="1"/>
  <c r="BJ35" i="14"/>
  <c r="BK35" i="14" s="1"/>
  <c r="BM34" i="14"/>
  <c r="BN34" i="14" s="1"/>
  <c r="BM35" i="14" s="1"/>
  <c r="AI33" i="14"/>
  <c r="AH33" i="14"/>
  <c r="N32" i="14"/>
  <c r="O32" i="14" s="1"/>
  <c r="M33" i="14" s="1"/>
  <c r="S34" i="14"/>
  <c r="U34" i="14" s="1"/>
  <c r="S35" i="14" s="1"/>
  <c r="AC34" i="14"/>
  <c r="AD34" i="14" s="1"/>
  <c r="AB35" i="14" s="1"/>
  <c r="H35" i="14"/>
  <c r="G35" i="14"/>
  <c r="AE32" i="14"/>
  <c r="AG32" i="14" s="1"/>
  <c r="AE33" i="14" s="1"/>
  <c r="L34" i="14"/>
  <c r="K35" i="14" s="1"/>
  <c r="P32" i="14"/>
  <c r="Q32" i="14"/>
  <c r="V30" i="14"/>
  <c r="X30" i="14" s="1"/>
  <c r="Y9" i="20"/>
  <c r="AA9" i="20" s="1"/>
  <c r="AF9" i="20" s="1"/>
  <c r="AG9" i="20"/>
  <c r="BA32" i="14"/>
  <c r="AZ32" i="14"/>
  <c r="S15" i="15"/>
  <c r="T15" i="15"/>
  <c r="AE15" i="15" s="1"/>
  <c r="AC15" i="15"/>
  <c r="CP36" i="14"/>
  <c r="CQ36" i="14"/>
  <c r="AI15" i="15"/>
  <c r="AN15" i="15"/>
  <c r="CN36" i="14"/>
  <c r="CO36" i="14" s="1"/>
  <c r="V9" i="20"/>
  <c r="V21" i="15"/>
  <c r="D22" i="14"/>
  <c r="W22" i="15" s="1"/>
  <c r="E22" i="14"/>
  <c r="X22" i="15" s="1"/>
  <c r="W10" i="16"/>
  <c r="X10" i="16"/>
  <c r="T10" i="17"/>
  <c r="S10" i="17"/>
  <c r="N10" i="17"/>
  <c r="K10" i="17"/>
  <c r="M10" i="17"/>
  <c r="J10" i="17"/>
  <c r="G10" i="17"/>
  <c r="Q10" i="17"/>
  <c r="H10" i="17"/>
  <c r="E10" i="17"/>
  <c r="D10" i="17"/>
  <c r="P10" i="17"/>
  <c r="CU36" i="14"/>
  <c r="L10" i="16"/>
  <c r="I37" i="15"/>
  <c r="J37" i="15"/>
  <c r="CV37" i="14" s="1"/>
  <c r="K37" i="15"/>
  <c r="CW37" i="14" s="1"/>
  <c r="CR36" i="14" l="1"/>
  <c r="CP37" i="14" s="1"/>
  <c r="CF35" i="14"/>
  <c r="CE36" i="14" s="1"/>
  <c r="AN33" i="14"/>
  <c r="AP33" i="14" s="1"/>
  <c r="BF34" i="14"/>
  <c r="BH34" i="14" s="1"/>
  <c r="BF35" i="14" s="1"/>
  <c r="BE32" i="14"/>
  <c r="BD33" i="14" s="1"/>
  <c r="AA30" i="14"/>
  <c r="Y31" i="14" s="1"/>
  <c r="B54" i="20"/>
  <c r="B54" i="16"/>
  <c r="B54" i="15"/>
  <c r="C54" i="18"/>
  <c r="C55" i="17"/>
  <c r="C55" i="14"/>
  <c r="C54" i="13"/>
  <c r="I76" i="1"/>
  <c r="O75" i="1"/>
  <c r="C55" i="19"/>
  <c r="AL31" i="14"/>
  <c r="AM31" i="14" s="1"/>
  <c r="CB36" i="14"/>
  <c r="CC36" i="14" s="1"/>
  <c r="CG36" i="14"/>
  <c r="CI36" i="14" s="1"/>
  <c r="CH37" i="14" s="1"/>
  <c r="CK36" i="14"/>
  <c r="CJ36" i="14"/>
  <c r="BY36" i="14"/>
  <c r="BZ36" i="14" s="1"/>
  <c r="BY37" i="14" s="1"/>
  <c r="AU33" i="14"/>
  <c r="AV33" i="14" s="1"/>
  <c r="AU34" i="14" s="1"/>
  <c r="BP35" i="14"/>
  <c r="BQ35" i="14" s="1"/>
  <c r="BO36" i="14" s="1"/>
  <c r="BL35" i="14"/>
  <c r="BN35" i="14" s="1"/>
  <c r="BM36" i="14" s="1"/>
  <c r="BR35" i="14"/>
  <c r="BT35" i="14" s="1"/>
  <c r="BR36" i="14" s="1"/>
  <c r="AW32" i="14"/>
  <c r="AY32" i="14" s="1"/>
  <c r="AR35" i="14"/>
  <c r="AQ35" i="14"/>
  <c r="BJ36" i="14"/>
  <c r="BI36" i="14"/>
  <c r="BG35" i="14"/>
  <c r="BH35" i="14" s="1"/>
  <c r="BV36" i="14"/>
  <c r="BW36" i="14" s="1"/>
  <c r="N33" i="14"/>
  <c r="O33" i="14" s="1"/>
  <c r="N34" i="14" s="1"/>
  <c r="T35" i="14"/>
  <c r="U35" i="14" s="1"/>
  <c r="S36" i="14" s="1"/>
  <c r="AJ33" i="14"/>
  <c r="I35" i="14"/>
  <c r="H36" i="14" s="1"/>
  <c r="L10" i="17"/>
  <c r="AC35" i="14"/>
  <c r="AD35" i="14" s="1"/>
  <c r="R32" i="14"/>
  <c r="P33" i="14" s="1"/>
  <c r="AF33" i="14"/>
  <c r="AG33" i="14" s="1"/>
  <c r="AF34" i="14" s="1"/>
  <c r="J35" i="14"/>
  <c r="L35" i="14" s="1"/>
  <c r="U10" i="17"/>
  <c r="W31" i="14"/>
  <c r="V31" i="14"/>
  <c r="BB32" i="14"/>
  <c r="R10" i="16"/>
  <c r="AD10" i="16" s="1"/>
  <c r="CQ37" i="14"/>
  <c r="Y22" i="15"/>
  <c r="AA22" i="15" s="1"/>
  <c r="Z22" i="15"/>
  <c r="F22" i="14"/>
  <c r="I10" i="17"/>
  <c r="CM37" i="14"/>
  <c r="CN37" i="14"/>
  <c r="O10" i="17"/>
  <c r="D10" i="20"/>
  <c r="Y10" i="16"/>
  <c r="Z10" i="16"/>
  <c r="CT37" i="14"/>
  <c r="CS37" i="14"/>
  <c r="Q10" i="16"/>
  <c r="F10" i="17"/>
  <c r="AG15" i="15"/>
  <c r="AL15" i="15" s="1"/>
  <c r="AM15" i="15"/>
  <c r="AH15" i="15"/>
  <c r="AO15" i="15"/>
  <c r="AJ15" i="15"/>
  <c r="CX37" i="14"/>
  <c r="AQ15" i="15"/>
  <c r="U15" i="15"/>
  <c r="AF15" i="15" s="1"/>
  <c r="O15" i="15"/>
  <c r="I38" i="15"/>
  <c r="K38" i="15"/>
  <c r="CZ38" i="14" s="1"/>
  <c r="J38" i="15"/>
  <c r="CY38" i="14" s="1"/>
  <c r="R10" i="17"/>
  <c r="CL36" i="14" l="1"/>
  <c r="CK37" i="14" s="1"/>
  <c r="CD36" i="14"/>
  <c r="CF36" i="14" s="1"/>
  <c r="CE37" i="14" s="1"/>
  <c r="Z31" i="14"/>
  <c r="AA31" i="14" s="1"/>
  <c r="Y32" i="14" s="1"/>
  <c r="CO37" i="14"/>
  <c r="CM38" i="14" s="1"/>
  <c r="AN34" i="14"/>
  <c r="AO34" i="14"/>
  <c r="BS36" i="14"/>
  <c r="BT36" i="14" s="1"/>
  <c r="BS37" i="14" s="1"/>
  <c r="BC33" i="14"/>
  <c r="BE33" i="14" s="1"/>
  <c r="BC34" i="14" s="1"/>
  <c r="CA37" i="14"/>
  <c r="CB37" i="14"/>
  <c r="AK32" i="14"/>
  <c r="AL32" i="14"/>
  <c r="B55" i="20"/>
  <c r="B55" i="16"/>
  <c r="B55" i="15"/>
  <c r="C56" i="19"/>
  <c r="C55" i="18"/>
  <c r="C56" i="17"/>
  <c r="I77" i="1"/>
  <c r="C56" i="14"/>
  <c r="C55" i="13"/>
  <c r="O76" i="1"/>
  <c r="BP36" i="14"/>
  <c r="BQ36" i="14" s="1"/>
  <c r="CG37" i="14"/>
  <c r="CI37" i="14" s="1"/>
  <c r="CG38" i="14" s="1"/>
  <c r="CR37" i="14"/>
  <c r="CQ38" i="14" s="1"/>
  <c r="CJ37" i="14"/>
  <c r="CL37" i="14" s="1"/>
  <c r="CJ38" i="14" s="1"/>
  <c r="DA38" i="14"/>
  <c r="CU37" i="14"/>
  <c r="CS38" i="14" s="1"/>
  <c r="BX37" i="14"/>
  <c r="BZ37" i="14" s="1"/>
  <c r="BX38" i="14" s="1"/>
  <c r="AS35" i="14"/>
  <c r="AR36" i="14" s="1"/>
  <c r="AT34" i="14"/>
  <c r="AV34" i="14" s="1"/>
  <c r="BK36" i="14"/>
  <c r="BJ37" i="14" s="1"/>
  <c r="BL36" i="14"/>
  <c r="BN36" i="14" s="1"/>
  <c r="BL37" i="14" s="1"/>
  <c r="AQ36" i="14"/>
  <c r="AS36" i="14" s="1"/>
  <c r="AQ37" i="14" s="1"/>
  <c r="BG36" i="14"/>
  <c r="BF36" i="14"/>
  <c r="BV37" i="14"/>
  <c r="BU37" i="14"/>
  <c r="AW33" i="14"/>
  <c r="AX33" i="14"/>
  <c r="M34" i="14"/>
  <c r="O34" i="14" s="1"/>
  <c r="AI34" i="14"/>
  <c r="AH34" i="14"/>
  <c r="G36" i="14"/>
  <c r="I36" i="14" s="1"/>
  <c r="G37" i="14" s="1"/>
  <c r="AC36" i="14"/>
  <c r="AB36" i="14"/>
  <c r="Q33" i="14"/>
  <c r="R33" i="14" s="1"/>
  <c r="T36" i="14"/>
  <c r="U36" i="14" s="1"/>
  <c r="S37" i="14" s="1"/>
  <c r="X31" i="14"/>
  <c r="K36" i="14"/>
  <c r="J36" i="14"/>
  <c r="AE34" i="14"/>
  <c r="AG34" i="14" s="1"/>
  <c r="AE35" i="14" s="1"/>
  <c r="AZ33" i="14"/>
  <c r="BA33" i="14"/>
  <c r="AP15" i="15"/>
  <c r="AK15" i="15"/>
  <c r="AA10" i="16"/>
  <c r="V10" i="16"/>
  <c r="E10" i="20"/>
  <c r="J10" i="20"/>
  <c r="G10" i="20"/>
  <c r="CW38" i="14"/>
  <c r="CV38" i="14"/>
  <c r="Q16" i="15"/>
  <c r="R16" i="15"/>
  <c r="AD16" i="15" s="1"/>
  <c r="P10" i="16"/>
  <c r="I39" i="15"/>
  <c r="J39" i="15"/>
  <c r="DB39" i="14" s="1"/>
  <c r="K39" i="15"/>
  <c r="DC39" i="14" s="1"/>
  <c r="V22" i="15"/>
  <c r="E23" i="14"/>
  <c r="X23" i="15" s="1"/>
  <c r="D23" i="14"/>
  <c r="W23" i="15" s="1"/>
  <c r="S10" i="16"/>
  <c r="U10" i="16" s="1"/>
  <c r="T10" i="16"/>
  <c r="K10" i="16"/>
  <c r="CC37" i="14" l="1"/>
  <c r="CB38" i="14" s="1"/>
  <c r="CD37" i="14"/>
  <c r="CF37" i="14" s="1"/>
  <c r="CE38" i="14" s="1"/>
  <c r="Z32" i="14"/>
  <c r="AA32" i="14" s="1"/>
  <c r="Y33" i="14" s="1"/>
  <c r="CN38" i="14"/>
  <c r="CO38" i="14" s="1"/>
  <c r="CN39" i="14" s="1"/>
  <c r="AP34" i="14"/>
  <c r="BR37" i="14"/>
  <c r="BT37" i="14" s="1"/>
  <c r="AM32" i="14"/>
  <c r="AL33" i="14" s="1"/>
  <c r="CP38" i="14"/>
  <c r="CR38" i="14" s="1"/>
  <c r="CP39" i="14" s="1"/>
  <c r="C57" i="17"/>
  <c r="O77" i="1"/>
  <c r="C56" i="13"/>
  <c r="C57" i="14"/>
  <c r="C57" i="19"/>
  <c r="I78" i="1"/>
  <c r="C56" i="18"/>
  <c r="BD34" i="14"/>
  <c r="BE34" i="14" s="1"/>
  <c r="B56" i="20"/>
  <c r="B56" i="15"/>
  <c r="B56" i="16"/>
  <c r="CH38" i="14"/>
  <c r="CI38" i="14" s="1"/>
  <c r="CH39" i="14" s="1"/>
  <c r="CT38" i="14"/>
  <c r="CU38" i="14" s="1"/>
  <c r="CT39" i="14" s="1"/>
  <c r="BY38" i="14"/>
  <c r="BZ38" i="14" s="1"/>
  <c r="BY39" i="14" s="1"/>
  <c r="CK38" i="14"/>
  <c r="CL38" i="14" s="1"/>
  <c r="CX38" i="14"/>
  <c r="CV39" i="14" s="1"/>
  <c r="AT35" i="14"/>
  <c r="AU35" i="14"/>
  <c r="BI37" i="14"/>
  <c r="BK37" i="14" s="1"/>
  <c r="BI38" i="14" s="1"/>
  <c r="AR37" i="14"/>
  <c r="AS37" i="14" s="1"/>
  <c r="AR38" i="14" s="1"/>
  <c r="BH36" i="14"/>
  <c r="BG37" i="14" s="1"/>
  <c r="BO37" i="14"/>
  <c r="BP37" i="14"/>
  <c r="BW37" i="14"/>
  <c r="BB33" i="14"/>
  <c r="BA34" i="14" s="1"/>
  <c r="BM37" i="14"/>
  <c r="BN37" i="14" s="1"/>
  <c r="AY33" i="14"/>
  <c r="AJ34" i="14"/>
  <c r="AI35" i="14" s="1"/>
  <c r="H37" i="14"/>
  <c r="I37" i="14" s="1"/>
  <c r="G38" i="14" s="1"/>
  <c r="AD36" i="14"/>
  <c r="AC37" i="14" s="1"/>
  <c r="L36" i="14"/>
  <c r="J37" i="14" s="1"/>
  <c r="M35" i="14"/>
  <c r="N35" i="14"/>
  <c r="T37" i="14"/>
  <c r="U37" i="14" s="1"/>
  <c r="T38" i="14" s="1"/>
  <c r="V32" i="14"/>
  <c r="W32" i="14"/>
  <c r="AF35" i="14"/>
  <c r="AG35" i="14" s="1"/>
  <c r="AE36" i="14" s="1"/>
  <c r="Q34" i="14"/>
  <c r="P34" i="14"/>
  <c r="K10" i="20"/>
  <c r="DD39" i="14"/>
  <c r="I40" i="15"/>
  <c r="J40" i="15"/>
  <c r="DE40" i="14" s="1"/>
  <c r="K40" i="15"/>
  <c r="DF40" i="14" s="1"/>
  <c r="Y23" i="15"/>
  <c r="AA23" i="15" s="1"/>
  <c r="Z23" i="15"/>
  <c r="S16" i="15"/>
  <c r="T16" i="15"/>
  <c r="AE16" i="15" s="1"/>
  <c r="AC16" i="15"/>
  <c r="CY39" i="14"/>
  <c r="F23" i="14"/>
  <c r="F10" i="20"/>
  <c r="CZ39" i="14"/>
  <c r="M10" i="16"/>
  <c r="N10" i="16"/>
  <c r="AE10" i="16" s="1"/>
  <c r="AC10" i="16"/>
  <c r="AG10" i="16" s="1"/>
  <c r="S10" i="19"/>
  <c r="P10" i="19"/>
  <c r="G10" i="19"/>
  <c r="J10" i="19"/>
  <c r="M10" i="19"/>
  <c r="Q10" i="20"/>
  <c r="D10" i="19"/>
  <c r="CA38" i="14" l="1"/>
  <c r="CC38" i="14" s="1"/>
  <c r="CB39" i="14" s="1"/>
  <c r="CD38" i="14"/>
  <c r="CF38" i="14" s="1"/>
  <c r="CE39" i="14" s="1"/>
  <c r="Z33" i="14"/>
  <c r="AA33" i="14" s="1"/>
  <c r="Y34" i="14" s="1"/>
  <c r="AO35" i="14"/>
  <c r="AN35" i="14"/>
  <c r="BR38" i="14"/>
  <c r="BS38" i="14"/>
  <c r="AK33" i="14"/>
  <c r="AM33" i="14" s="1"/>
  <c r="BD35" i="14"/>
  <c r="BC35" i="14"/>
  <c r="C58" i="14"/>
  <c r="O78" i="1"/>
  <c r="I79" i="1"/>
  <c r="C58" i="19"/>
  <c r="C57" i="18"/>
  <c r="C57" i="13"/>
  <c r="C58" i="17"/>
  <c r="B57" i="20"/>
  <c r="B57" i="16"/>
  <c r="B57" i="15"/>
  <c r="CG39" i="14"/>
  <c r="CI39" i="14" s="1"/>
  <c r="CH40" i="14" s="1"/>
  <c r="CK39" i="14"/>
  <c r="CJ39" i="14"/>
  <c r="CQ39" i="14"/>
  <c r="CR39" i="14" s="1"/>
  <c r="CQ40" i="14" s="1"/>
  <c r="BX39" i="14"/>
  <c r="BZ39" i="14" s="1"/>
  <c r="CS39" i="14"/>
  <c r="CU39" i="14" s="1"/>
  <c r="CT40" i="14" s="1"/>
  <c r="CW39" i="14"/>
  <c r="CX39" i="14" s="1"/>
  <c r="CW40" i="14" s="1"/>
  <c r="DG40" i="14"/>
  <c r="CA39" i="14"/>
  <c r="CC39" i="14" s="1"/>
  <c r="CA40" i="14" s="1"/>
  <c r="BJ38" i="14"/>
  <c r="BK38" i="14" s="1"/>
  <c r="BI39" i="14" s="1"/>
  <c r="AV35" i="14"/>
  <c r="BF37" i="14"/>
  <c r="BH37" i="14" s="1"/>
  <c r="BG38" i="14" s="1"/>
  <c r="AQ38" i="14"/>
  <c r="AS38" i="14" s="1"/>
  <c r="AZ34" i="14"/>
  <c r="BB34" i="14" s="1"/>
  <c r="BA35" i="14" s="1"/>
  <c r="BQ37" i="14"/>
  <c r="BV38" i="14"/>
  <c r="BU38" i="14"/>
  <c r="BL38" i="14"/>
  <c r="BM38" i="14"/>
  <c r="AX34" i="14"/>
  <c r="AW34" i="14"/>
  <c r="AB37" i="14"/>
  <c r="AD37" i="14" s="1"/>
  <c r="AC38" i="14" s="1"/>
  <c r="AH35" i="14"/>
  <c r="AJ35" i="14" s="1"/>
  <c r="AH36" i="14" s="1"/>
  <c r="K37" i="14"/>
  <c r="L37" i="14" s="1"/>
  <c r="J38" i="14" s="1"/>
  <c r="R34" i="14"/>
  <c r="Q35" i="14" s="1"/>
  <c r="H38" i="14"/>
  <c r="I38" i="14" s="1"/>
  <c r="H39" i="14" s="1"/>
  <c r="O35" i="14"/>
  <c r="S38" i="14"/>
  <c r="U38" i="14" s="1"/>
  <c r="T39" i="14" s="1"/>
  <c r="AF36" i="14"/>
  <c r="AG36" i="14" s="1"/>
  <c r="AE37" i="14" s="1"/>
  <c r="X32" i="14"/>
  <c r="CM39" i="14"/>
  <c r="CO39" i="14" s="1"/>
  <c r="CM40" i="14" s="1"/>
  <c r="O10" i="16"/>
  <c r="AF10" i="16" s="1"/>
  <c r="I10" i="16"/>
  <c r="V23" i="15"/>
  <c r="E24" i="14"/>
  <c r="X24" i="15" s="1"/>
  <c r="D24" i="14"/>
  <c r="W24" i="15" s="1"/>
  <c r="H10" i="20"/>
  <c r="I10" i="20"/>
  <c r="U16" i="15"/>
  <c r="AF16" i="15" s="1"/>
  <c r="O16" i="15"/>
  <c r="AG16" i="15"/>
  <c r="T10" i="19"/>
  <c r="U10" i="19" s="1"/>
  <c r="N10" i="19"/>
  <c r="O10" i="19" s="1"/>
  <c r="K10" i="19"/>
  <c r="L10" i="19" s="1"/>
  <c r="Q10" i="19"/>
  <c r="R10" i="19" s="1"/>
  <c r="H10" i="19"/>
  <c r="I10" i="19" s="1"/>
  <c r="R10" i="20"/>
  <c r="E10" i="19"/>
  <c r="F10" i="19" s="1"/>
  <c r="T10" i="20"/>
  <c r="I41" i="15"/>
  <c r="J41" i="15"/>
  <c r="DH41" i="14" s="1"/>
  <c r="K41" i="15"/>
  <c r="DI41" i="14" s="1"/>
  <c r="W10" i="20"/>
  <c r="DA39" i="14"/>
  <c r="DC40" i="14"/>
  <c r="DB40" i="14"/>
  <c r="DF41" i="14" l="1"/>
  <c r="CD39" i="14"/>
  <c r="CF39" i="14" s="1"/>
  <c r="CE40" i="14" s="1"/>
  <c r="BE35" i="14"/>
  <c r="BC36" i="14" s="1"/>
  <c r="AP35" i="14"/>
  <c r="Z34" i="14"/>
  <c r="AA34" i="14" s="1"/>
  <c r="Z35" i="14" s="1"/>
  <c r="AO36" i="14"/>
  <c r="AN36" i="14"/>
  <c r="BT38" i="14"/>
  <c r="BS39" i="14" s="1"/>
  <c r="BD36" i="14"/>
  <c r="BE36" i="14" s="1"/>
  <c r="BD37" i="14" s="1"/>
  <c r="B58" i="15"/>
  <c r="B58" i="20"/>
  <c r="B58" i="16"/>
  <c r="C59" i="19"/>
  <c r="C58" i="18"/>
  <c r="C59" i="17"/>
  <c r="I80" i="1"/>
  <c r="C59" i="14"/>
  <c r="C58" i="13"/>
  <c r="O79" i="1"/>
  <c r="AB38" i="14"/>
  <c r="AD38" i="14" s="1"/>
  <c r="AC39" i="14" s="1"/>
  <c r="CG40" i="14"/>
  <c r="CI40" i="14" s="1"/>
  <c r="CG41" i="14" s="1"/>
  <c r="BJ39" i="14"/>
  <c r="BK39" i="14" s="1"/>
  <c r="BJ40" i="14" s="1"/>
  <c r="DJ41" i="14"/>
  <c r="CL39" i="14"/>
  <c r="CJ40" i="14" s="1"/>
  <c r="BX40" i="14"/>
  <c r="BY40" i="14"/>
  <c r="DE41" i="14"/>
  <c r="DG41" i="14" s="1"/>
  <c r="CS40" i="14"/>
  <c r="CU40" i="14" s="1"/>
  <c r="CT41" i="14" s="1"/>
  <c r="CB40" i="14"/>
  <c r="CC40" i="14" s="1"/>
  <c r="CB41" i="14" s="1"/>
  <c r="CP40" i="14"/>
  <c r="CR40" i="14" s="1"/>
  <c r="CP41" i="14" s="1"/>
  <c r="CV40" i="14"/>
  <c r="CX40" i="14" s="1"/>
  <c r="CW41" i="14" s="1"/>
  <c r="DD40" i="14"/>
  <c r="DB41" i="14" s="1"/>
  <c r="CN40" i="14"/>
  <c r="CO40" i="14" s="1"/>
  <c r="CM41" i="14" s="1"/>
  <c r="AU36" i="14"/>
  <c r="AT36" i="14"/>
  <c r="BF38" i="14"/>
  <c r="BH38" i="14" s="1"/>
  <c r="BF39" i="14" s="1"/>
  <c r="AZ35" i="14"/>
  <c r="BB35" i="14" s="1"/>
  <c r="BA36" i="14" s="1"/>
  <c r="BW38" i="14"/>
  <c r="BV39" i="14" s="1"/>
  <c r="BN38" i="14"/>
  <c r="BM39" i="14" s="1"/>
  <c r="AY34" i="14"/>
  <c r="AW35" i="14" s="1"/>
  <c r="BO38" i="14"/>
  <c r="BP38" i="14"/>
  <c r="AR39" i="14"/>
  <c r="AQ39" i="14"/>
  <c r="AI36" i="14"/>
  <c r="AJ36" i="14" s="1"/>
  <c r="AK34" i="14"/>
  <c r="AL34" i="14"/>
  <c r="G39" i="14"/>
  <c r="I39" i="14" s="1"/>
  <c r="G40" i="14" s="1"/>
  <c r="S39" i="14"/>
  <c r="U39" i="14" s="1"/>
  <c r="S40" i="14" s="1"/>
  <c r="P35" i="14"/>
  <c r="R35" i="14" s="1"/>
  <c r="K38" i="14"/>
  <c r="L38" i="14" s="1"/>
  <c r="N36" i="14"/>
  <c r="M36" i="14"/>
  <c r="W33" i="14"/>
  <c r="V33" i="14"/>
  <c r="AF37" i="14"/>
  <c r="AG37" i="14" s="1"/>
  <c r="Y24" i="15"/>
  <c r="AA24" i="15" s="1"/>
  <c r="Z24" i="15"/>
  <c r="Z10" i="20"/>
  <c r="AE10" i="20" s="1"/>
  <c r="X10" i="20"/>
  <c r="AD10" i="20" s="1"/>
  <c r="F24" i="14"/>
  <c r="H11" i="16"/>
  <c r="V10" i="20"/>
  <c r="R17" i="15"/>
  <c r="AD17" i="15" s="1"/>
  <c r="Q17" i="15"/>
  <c r="AC10" i="20"/>
  <c r="CY40" i="14"/>
  <c r="CZ40" i="14"/>
  <c r="I42" i="15"/>
  <c r="K42" i="15"/>
  <c r="DL42" i="14" s="1"/>
  <c r="J42" i="15"/>
  <c r="DK42" i="14" s="1"/>
  <c r="S10" i="20"/>
  <c r="CD40" i="14" l="1"/>
  <c r="CF40" i="14" s="1"/>
  <c r="CD41" i="14" s="1"/>
  <c r="AP36" i="14"/>
  <c r="AO37" i="14" s="1"/>
  <c r="Y35" i="14"/>
  <c r="BR39" i="14"/>
  <c r="BT39" i="14" s="1"/>
  <c r="BR40" i="14" s="1"/>
  <c r="BZ40" i="14"/>
  <c r="BX41" i="14" s="1"/>
  <c r="BC37" i="14"/>
  <c r="BE37" i="14" s="1"/>
  <c r="BC38" i="14" s="1"/>
  <c r="AV36" i="14"/>
  <c r="AU37" i="14" s="1"/>
  <c r="BI40" i="14"/>
  <c r="BK40" i="14" s="1"/>
  <c r="BJ41" i="14" s="1"/>
  <c r="AS39" i="14"/>
  <c r="AR40" i="14" s="1"/>
  <c r="AB39" i="14"/>
  <c r="AD39" i="14" s="1"/>
  <c r="C59" i="13"/>
  <c r="I81" i="1"/>
  <c r="C60" i="19"/>
  <c r="C59" i="18"/>
  <c r="C60" i="14"/>
  <c r="C60" i="17"/>
  <c r="O80" i="1"/>
  <c r="B59" i="16"/>
  <c r="B59" i="15"/>
  <c r="B59" i="20"/>
  <c r="DI42" i="14"/>
  <c r="DM42" i="14"/>
  <c r="CK40" i="14"/>
  <c r="CL40" i="14" s="1"/>
  <c r="CS41" i="14"/>
  <c r="CU41" i="14" s="1"/>
  <c r="CS42" i="14" s="1"/>
  <c r="DA40" i="14"/>
  <c r="CZ41" i="14" s="1"/>
  <c r="CE41" i="14"/>
  <c r="CF41" i="14" s="1"/>
  <c r="CA41" i="14"/>
  <c r="CC41" i="14" s="1"/>
  <c r="CH41" i="14"/>
  <c r="CI41" i="14" s="1"/>
  <c r="DC41" i="14"/>
  <c r="DD41" i="14" s="1"/>
  <c r="DC42" i="14" s="1"/>
  <c r="CQ41" i="14"/>
  <c r="CR41" i="14" s="1"/>
  <c r="CP42" i="14" s="1"/>
  <c r="CV41" i="14"/>
  <c r="CX41" i="14" s="1"/>
  <c r="CN41" i="14"/>
  <c r="CO41" i="14" s="1"/>
  <c r="BG39" i="14"/>
  <c r="BH39" i="14" s="1"/>
  <c r="BG40" i="14" s="1"/>
  <c r="BU39" i="14"/>
  <c r="BW39" i="14" s="1"/>
  <c r="BU40" i="14" s="1"/>
  <c r="BQ38" i="14"/>
  <c r="BP39" i="14" s="1"/>
  <c r="AZ36" i="14"/>
  <c r="BB36" i="14" s="1"/>
  <c r="BA37" i="14" s="1"/>
  <c r="AX35" i="14"/>
  <c r="AY35" i="14" s="1"/>
  <c r="BL39" i="14"/>
  <c r="BN39" i="14" s="1"/>
  <c r="AM34" i="14"/>
  <c r="AK35" i="14" s="1"/>
  <c r="T40" i="14"/>
  <c r="U40" i="14" s="1"/>
  <c r="T41" i="14" s="1"/>
  <c r="AH37" i="14"/>
  <c r="AI37" i="14"/>
  <c r="O36" i="14"/>
  <c r="N37" i="14" s="1"/>
  <c r="X33" i="14"/>
  <c r="V34" i="14" s="1"/>
  <c r="AA35" i="14"/>
  <c r="Y36" i="14" s="1"/>
  <c r="H40" i="14"/>
  <c r="I40" i="14" s="1"/>
  <c r="J39" i="14"/>
  <c r="K39" i="14"/>
  <c r="Q36" i="14"/>
  <c r="P36" i="14"/>
  <c r="AE38" i="14"/>
  <c r="AF38" i="14"/>
  <c r="AG10" i="20"/>
  <c r="X11" i="16"/>
  <c r="W11" i="16"/>
  <c r="V11" i="17"/>
  <c r="W11" i="17"/>
  <c r="J11" i="17"/>
  <c r="T11" i="17"/>
  <c r="S11" i="17"/>
  <c r="K11" i="17"/>
  <c r="G11" i="17"/>
  <c r="M11" i="17"/>
  <c r="E11" i="17"/>
  <c r="P11" i="17"/>
  <c r="H11" i="17"/>
  <c r="D11" i="17"/>
  <c r="N11" i="17"/>
  <c r="Q11" i="17"/>
  <c r="V24" i="15"/>
  <c r="E25" i="14"/>
  <c r="X25" i="15" s="1"/>
  <c r="D25" i="14"/>
  <c r="W25" i="15" s="1"/>
  <c r="L11" i="16"/>
  <c r="S17" i="15"/>
  <c r="T17" i="15"/>
  <c r="AE17" i="15" s="1"/>
  <c r="AC17" i="15"/>
  <c r="Y10" i="20"/>
  <c r="AA10" i="20" s="1"/>
  <c r="DE42" i="14"/>
  <c r="U10" i="20"/>
  <c r="O10" i="20"/>
  <c r="DF42" i="14"/>
  <c r="I43" i="15"/>
  <c r="K43" i="15"/>
  <c r="DO43" i="14" s="1"/>
  <c r="J43" i="15"/>
  <c r="DN43" i="14" s="1"/>
  <c r="DH42" i="14"/>
  <c r="BS40" i="14" l="1"/>
  <c r="BT40" i="14" s="1"/>
  <c r="BR41" i="14" s="1"/>
  <c r="AN37" i="14"/>
  <c r="AP37" i="14" s="1"/>
  <c r="DL43" i="14"/>
  <c r="BY41" i="14"/>
  <c r="BZ41" i="14" s="1"/>
  <c r="BX42" i="14" s="1"/>
  <c r="DJ42" i="14"/>
  <c r="DH43" i="14" s="1"/>
  <c r="BS41" i="14"/>
  <c r="BT41" i="14" s="1"/>
  <c r="BS42" i="14" s="1"/>
  <c r="AT37" i="14"/>
  <c r="AV37" i="14" s="1"/>
  <c r="AT38" i="14" s="1"/>
  <c r="AQ40" i="14"/>
  <c r="AS40" i="14" s="1"/>
  <c r="BI41" i="14"/>
  <c r="BK41" i="14" s="1"/>
  <c r="BJ42" i="14" s="1"/>
  <c r="BD38" i="14"/>
  <c r="BE38" i="14" s="1"/>
  <c r="BD39" i="14" s="1"/>
  <c r="BF40" i="14"/>
  <c r="BH40" i="14" s="1"/>
  <c r="BF41" i="14" s="1"/>
  <c r="AC40" i="14"/>
  <c r="AB40" i="14"/>
  <c r="DK43" i="14"/>
  <c r="C61" i="14"/>
  <c r="C61" i="19"/>
  <c r="C60" i="18"/>
  <c r="C61" i="17"/>
  <c r="O81" i="1"/>
  <c r="C60" i="13"/>
  <c r="I82" i="1"/>
  <c r="B60" i="15"/>
  <c r="B60" i="16"/>
  <c r="B60" i="20"/>
  <c r="CY41" i="14"/>
  <c r="DA41" i="14" s="1"/>
  <c r="CY42" i="14" s="1"/>
  <c r="CK41" i="14"/>
  <c r="CJ41" i="14"/>
  <c r="CA42" i="14"/>
  <c r="CB42" i="14"/>
  <c r="BY42" i="14"/>
  <c r="BZ42" i="14" s="1"/>
  <c r="BX43" i="14" s="1"/>
  <c r="CQ42" i="14"/>
  <c r="CR42" i="14" s="1"/>
  <c r="CQ43" i="14" s="1"/>
  <c r="CT42" i="14"/>
  <c r="CU42" i="14" s="1"/>
  <c r="CT43" i="14" s="1"/>
  <c r="CG42" i="14"/>
  <c r="CH42" i="14"/>
  <c r="CW42" i="14"/>
  <c r="CV42" i="14"/>
  <c r="CN42" i="14"/>
  <c r="CM42" i="14"/>
  <c r="DB42" i="14"/>
  <c r="DD42" i="14" s="1"/>
  <c r="DB43" i="14" s="1"/>
  <c r="DG42" i="14"/>
  <c r="DF43" i="14" s="1"/>
  <c r="CD42" i="14"/>
  <c r="CE42" i="14"/>
  <c r="BV40" i="14"/>
  <c r="BW40" i="14" s="1"/>
  <c r="BO39" i="14"/>
  <c r="BQ39" i="14" s="1"/>
  <c r="AX36" i="14"/>
  <c r="AW36" i="14"/>
  <c r="AZ37" i="14"/>
  <c r="BB37" i="14" s="1"/>
  <c r="BA38" i="14" s="1"/>
  <c r="BM40" i="14"/>
  <c r="BL40" i="14"/>
  <c r="AL35" i="14"/>
  <c r="AM35" i="14" s="1"/>
  <c r="AL36" i="14" s="1"/>
  <c r="M37" i="14"/>
  <c r="O37" i="14" s="1"/>
  <c r="N38" i="14" s="1"/>
  <c r="S41" i="14"/>
  <c r="U41" i="14" s="1"/>
  <c r="S42" i="14" s="1"/>
  <c r="AJ37" i="14"/>
  <c r="AH38" i="14" s="1"/>
  <c r="W34" i="14"/>
  <c r="X34" i="14" s="1"/>
  <c r="W35" i="14" s="1"/>
  <c r="Z36" i="14"/>
  <c r="AA36" i="14" s="1"/>
  <c r="L39" i="14"/>
  <c r="J40" i="14" s="1"/>
  <c r="AG38" i="14"/>
  <c r="AE39" i="14" s="1"/>
  <c r="R36" i="14"/>
  <c r="Q37" i="14" s="1"/>
  <c r="H41" i="14"/>
  <c r="G41" i="14"/>
  <c r="L11" i="17"/>
  <c r="X11" i="17"/>
  <c r="AF10" i="20"/>
  <c r="Q11" i="16"/>
  <c r="F11" i="17"/>
  <c r="D11" i="20"/>
  <c r="Y11" i="16"/>
  <c r="Z11" i="16"/>
  <c r="U17" i="15"/>
  <c r="AF17" i="15" s="1"/>
  <c r="O17" i="15"/>
  <c r="R11" i="17"/>
  <c r="R11" i="16"/>
  <c r="AD11" i="16" s="1"/>
  <c r="AG17" i="15"/>
  <c r="DP43" i="14"/>
  <c r="O11" i="17"/>
  <c r="I11" i="17"/>
  <c r="I44" i="15"/>
  <c r="K44" i="15"/>
  <c r="DR44" i="14" s="1"/>
  <c r="J44" i="15"/>
  <c r="DQ44" i="14" s="1"/>
  <c r="Y25" i="15"/>
  <c r="AA25" i="15" s="1"/>
  <c r="Z25" i="15"/>
  <c r="F25" i="14"/>
  <c r="U11" i="17"/>
  <c r="DM43" i="14" l="1"/>
  <c r="DK44" i="14" s="1"/>
  <c r="AO38" i="14"/>
  <c r="AN38" i="14"/>
  <c r="AD40" i="14"/>
  <c r="AC41" i="14" s="1"/>
  <c r="AU38" i="14"/>
  <c r="AV38" i="14" s="1"/>
  <c r="AT39" i="14" s="1"/>
  <c r="DI43" i="14"/>
  <c r="DJ43" i="14" s="1"/>
  <c r="DH44" i="14" s="1"/>
  <c r="CZ42" i="14"/>
  <c r="DA42" i="14" s="1"/>
  <c r="CZ43" i="14" s="1"/>
  <c r="CL41" i="14"/>
  <c r="BI42" i="14"/>
  <c r="BK42" i="14" s="1"/>
  <c r="BJ43" i="14" s="1"/>
  <c r="AP38" i="14"/>
  <c r="BR42" i="14"/>
  <c r="BT42" i="14" s="1"/>
  <c r="BS43" i="14" s="1"/>
  <c r="AK36" i="14"/>
  <c r="AM36" i="14" s="1"/>
  <c r="AK37" i="14" s="1"/>
  <c r="BC39" i="14"/>
  <c r="BE39" i="14" s="1"/>
  <c r="BD40" i="14" s="1"/>
  <c r="C62" i="19"/>
  <c r="C61" i="18"/>
  <c r="C62" i="14"/>
  <c r="C61" i="13"/>
  <c r="O82" i="1"/>
  <c r="C62" i="17"/>
  <c r="I83" i="1"/>
  <c r="B61" i="16"/>
  <c r="B61" i="15"/>
  <c r="B61" i="20"/>
  <c r="DS44" i="14"/>
  <c r="CC42" i="14"/>
  <c r="CS43" i="14"/>
  <c r="CU43" i="14" s="1"/>
  <c r="CI42" i="14"/>
  <c r="CH43" i="14" s="1"/>
  <c r="CO42" i="14"/>
  <c r="CN43" i="14" s="1"/>
  <c r="CX42" i="14"/>
  <c r="DC43" i="14"/>
  <c r="DD43" i="14" s="1"/>
  <c r="CF42" i="14"/>
  <c r="CE43" i="14" s="1"/>
  <c r="DE43" i="14"/>
  <c r="DG43" i="14" s="1"/>
  <c r="DF44" i="14" s="1"/>
  <c r="BY43" i="14"/>
  <c r="BZ43" i="14" s="1"/>
  <c r="BX44" i="14" s="1"/>
  <c r="CP43" i="14"/>
  <c r="CR43" i="14" s="1"/>
  <c r="CQ44" i="14" s="1"/>
  <c r="BG41" i="14"/>
  <c r="BH41" i="14" s="1"/>
  <c r="BF42" i="14" s="1"/>
  <c r="AY36" i="14"/>
  <c r="BN40" i="14"/>
  <c r="BP40" i="14"/>
  <c r="BO40" i="14"/>
  <c r="AZ38" i="14"/>
  <c r="BB38" i="14" s="1"/>
  <c r="BV41" i="14"/>
  <c r="BU41" i="14"/>
  <c r="AQ41" i="14"/>
  <c r="AR41" i="14"/>
  <c r="T42" i="14"/>
  <c r="U42" i="14" s="1"/>
  <c r="T43" i="14" s="1"/>
  <c r="AI38" i="14"/>
  <c r="AJ38" i="14" s="1"/>
  <c r="M38" i="14"/>
  <c r="O38" i="14" s="1"/>
  <c r="M39" i="14" s="1"/>
  <c r="V35" i="14"/>
  <c r="X35" i="14" s="1"/>
  <c r="V36" i="14" s="1"/>
  <c r="K40" i="14"/>
  <c r="L40" i="14" s="1"/>
  <c r="J41" i="14" s="1"/>
  <c r="AF39" i="14"/>
  <c r="AG39" i="14" s="1"/>
  <c r="I41" i="14"/>
  <c r="G42" i="14" s="1"/>
  <c r="P37" i="14"/>
  <c r="R37" i="14" s="1"/>
  <c r="Z37" i="14"/>
  <c r="Y37" i="14"/>
  <c r="I45" i="15"/>
  <c r="K45" i="15"/>
  <c r="DU45" i="14" s="1"/>
  <c r="J45" i="15"/>
  <c r="DT45" i="14" s="1"/>
  <c r="DO44" i="14"/>
  <c r="DN44" i="14"/>
  <c r="AA11" i="16"/>
  <c r="V11" i="16"/>
  <c r="E11" i="20"/>
  <c r="J11" i="20"/>
  <c r="G11" i="20"/>
  <c r="R18" i="15"/>
  <c r="AD18" i="15" s="1"/>
  <c r="Q18" i="15"/>
  <c r="S11" i="16"/>
  <c r="U11" i="16" s="1"/>
  <c r="T11" i="16"/>
  <c r="K11" i="16"/>
  <c r="P11" i="16"/>
  <c r="V25" i="15"/>
  <c r="E26" i="14"/>
  <c r="X26" i="15" s="1"/>
  <c r="D26" i="14"/>
  <c r="W26" i="15" s="1"/>
  <c r="DR45" i="14" l="1"/>
  <c r="AB41" i="14"/>
  <c r="DL44" i="14"/>
  <c r="DM44" i="14" s="1"/>
  <c r="DL45" i="14" s="1"/>
  <c r="AU39" i="14"/>
  <c r="AV39" i="14" s="1"/>
  <c r="AU40" i="14" s="1"/>
  <c r="BI43" i="14"/>
  <c r="BK43" i="14" s="1"/>
  <c r="BI44" i="14" s="1"/>
  <c r="DP44" i="14"/>
  <c r="DO45" i="14" s="1"/>
  <c r="DI44" i="14"/>
  <c r="DJ44" i="14" s="1"/>
  <c r="DI45" i="14" s="1"/>
  <c r="CK42" i="14"/>
  <c r="CJ42" i="14"/>
  <c r="AN39" i="14"/>
  <c r="AO39" i="14"/>
  <c r="BR43" i="14"/>
  <c r="BT43" i="14" s="1"/>
  <c r="BR44" i="14" s="1"/>
  <c r="BG42" i="14"/>
  <c r="BH42" i="14" s="1"/>
  <c r="BG43" i="14" s="1"/>
  <c r="BC40" i="14"/>
  <c r="BE40" i="14" s="1"/>
  <c r="BD41" i="14" s="1"/>
  <c r="AD41" i="14"/>
  <c r="AC42" i="14" s="1"/>
  <c r="S43" i="14"/>
  <c r="U43" i="14" s="1"/>
  <c r="T44" i="14" s="1"/>
  <c r="AL37" i="14"/>
  <c r="AM37" i="14" s="1"/>
  <c r="AL38" i="14" s="1"/>
  <c r="DQ45" i="14"/>
  <c r="C63" i="14"/>
  <c r="O83" i="1"/>
  <c r="C62" i="13"/>
  <c r="C63" i="19"/>
  <c r="C62" i="18"/>
  <c r="C63" i="17"/>
  <c r="B62" i="16"/>
  <c r="B62" i="20"/>
  <c r="B62" i="15"/>
  <c r="DV45" i="14"/>
  <c r="CG43" i="14"/>
  <c r="CI43" i="14" s="1"/>
  <c r="CG44" i="14" s="1"/>
  <c r="CA43" i="14"/>
  <c r="CB43" i="14"/>
  <c r="CY43" i="14"/>
  <c r="DA43" i="14" s="1"/>
  <c r="CY44" i="14" s="1"/>
  <c r="CM43" i="14"/>
  <c r="CO43" i="14" s="1"/>
  <c r="CN44" i="14" s="1"/>
  <c r="CT44" i="14"/>
  <c r="CS44" i="14"/>
  <c r="CD43" i="14"/>
  <c r="CF43" i="14" s="1"/>
  <c r="CE44" i="14" s="1"/>
  <c r="BY44" i="14"/>
  <c r="BZ44" i="14" s="1"/>
  <c r="CV43" i="14"/>
  <c r="CW43" i="14"/>
  <c r="DC44" i="14"/>
  <c r="DB44" i="14"/>
  <c r="DE44" i="14"/>
  <c r="DG44" i="14" s="1"/>
  <c r="DF45" i="14" s="1"/>
  <c r="CP44" i="14"/>
  <c r="CR44" i="14" s="1"/>
  <c r="CP45" i="14" s="1"/>
  <c r="BQ40" i="14"/>
  <c r="BP41" i="14" s="1"/>
  <c r="AX37" i="14"/>
  <c r="AW37" i="14"/>
  <c r="BW41" i="14"/>
  <c r="BU42" i="14" s="1"/>
  <c r="BM41" i="14"/>
  <c r="BL41" i="14"/>
  <c r="AZ39" i="14"/>
  <c r="BA39" i="14"/>
  <c r="AS41" i="14"/>
  <c r="W36" i="14"/>
  <c r="X36" i="14" s="1"/>
  <c r="W37" i="14" s="1"/>
  <c r="K41" i="14"/>
  <c r="L41" i="14" s="1"/>
  <c r="J42" i="14" s="1"/>
  <c r="AI39" i="14"/>
  <c r="AH39" i="14"/>
  <c r="N39" i="14"/>
  <c r="O39" i="14" s="1"/>
  <c r="H42" i="14"/>
  <c r="I42" i="14" s="1"/>
  <c r="AA37" i="14"/>
  <c r="AF40" i="14"/>
  <c r="AE40" i="14"/>
  <c r="Q38" i="14"/>
  <c r="P38" i="14"/>
  <c r="K11" i="20"/>
  <c r="M11" i="16"/>
  <c r="N11" i="16"/>
  <c r="AE11" i="16" s="1"/>
  <c r="AC11" i="16"/>
  <c r="AG11" i="16" s="1"/>
  <c r="F26" i="14"/>
  <c r="F11" i="20"/>
  <c r="Y26" i="15"/>
  <c r="AA26" i="15" s="1"/>
  <c r="Z26" i="15"/>
  <c r="S18" i="15"/>
  <c r="T18" i="15"/>
  <c r="AE18" i="15" s="1"/>
  <c r="AC18" i="15"/>
  <c r="I46" i="15"/>
  <c r="J46" i="15"/>
  <c r="DW46" i="14" s="1"/>
  <c r="K46" i="15"/>
  <c r="DX46" i="14" s="1"/>
  <c r="V11" i="19"/>
  <c r="S11" i="19"/>
  <c r="M11" i="19"/>
  <c r="G11" i="19"/>
  <c r="J11" i="19"/>
  <c r="D11" i="19"/>
  <c r="P11" i="19"/>
  <c r="Q11" i="20"/>
  <c r="DS45" i="14" l="1"/>
  <c r="CH44" i="14"/>
  <c r="DN45" i="14"/>
  <c r="AT40" i="14"/>
  <c r="BJ44" i="14"/>
  <c r="BK44" i="14" s="1"/>
  <c r="BJ45" i="14" s="1"/>
  <c r="DP45" i="14"/>
  <c r="DN46" i="14" s="1"/>
  <c r="CL42" i="14"/>
  <c r="CJ43" i="14" s="1"/>
  <c r="BS44" i="14"/>
  <c r="AB42" i="14"/>
  <c r="AD42" i="14" s="1"/>
  <c r="AB43" i="14" s="1"/>
  <c r="CU44" i="14"/>
  <c r="CT45" i="14" s="1"/>
  <c r="CK43" i="14"/>
  <c r="AP39" i="14"/>
  <c r="AO40" i="14" s="1"/>
  <c r="BF43" i="14"/>
  <c r="BH43" i="14" s="1"/>
  <c r="BF44" i="14" s="1"/>
  <c r="BC41" i="14"/>
  <c r="BE41" i="14" s="1"/>
  <c r="BC42" i="14" s="1"/>
  <c r="DQ46" i="14"/>
  <c r="DR46" i="14"/>
  <c r="B63" i="20"/>
  <c r="B63" i="16"/>
  <c r="B63" i="15"/>
  <c r="DK45" i="14"/>
  <c r="DM45" i="14" s="1"/>
  <c r="DL46" i="14" s="1"/>
  <c r="DH45" i="14"/>
  <c r="DJ45" i="14" s="1"/>
  <c r="DI46" i="14" s="1"/>
  <c r="CI44" i="14"/>
  <c r="CH45" i="14" s="1"/>
  <c r="CM44" i="14"/>
  <c r="CO44" i="14" s="1"/>
  <c r="CM45" i="14" s="1"/>
  <c r="CC43" i="14"/>
  <c r="DD44" i="14"/>
  <c r="DB45" i="14" s="1"/>
  <c r="CX43" i="14"/>
  <c r="CV44" i="14" s="1"/>
  <c r="CD44" i="14"/>
  <c r="CF44" i="14" s="1"/>
  <c r="BX45" i="14"/>
  <c r="BY45" i="14"/>
  <c r="CZ44" i="14"/>
  <c r="DA44" i="14" s="1"/>
  <c r="DE45" i="14"/>
  <c r="DG45" i="14" s="1"/>
  <c r="CQ45" i="14"/>
  <c r="CR45" i="14" s="1"/>
  <c r="AV40" i="14"/>
  <c r="AU41" i="14" s="1"/>
  <c r="BT44" i="14"/>
  <c r="BR45" i="14" s="1"/>
  <c r="BB39" i="14"/>
  <c r="BA40" i="14" s="1"/>
  <c r="BO41" i="14"/>
  <c r="BQ41" i="14" s="1"/>
  <c r="BP42" i="14" s="1"/>
  <c r="BN41" i="14"/>
  <c r="BL42" i="14" s="1"/>
  <c r="AY37" i="14"/>
  <c r="AX38" i="14" s="1"/>
  <c r="BV42" i="14"/>
  <c r="BW42" i="14" s="1"/>
  <c r="AQ42" i="14"/>
  <c r="AR42" i="14"/>
  <c r="AK38" i="14"/>
  <c r="AM38" i="14" s="1"/>
  <c r="V37" i="14"/>
  <c r="X37" i="14" s="1"/>
  <c r="V38" i="14" s="1"/>
  <c r="AJ39" i="14"/>
  <c r="S44" i="14"/>
  <c r="U44" i="14" s="1"/>
  <c r="N40" i="14"/>
  <c r="M40" i="14"/>
  <c r="K42" i="14"/>
  <c r="L42" i="14" s="1"/>
  <c r="J43" i="14" s="1"/>
  <c r="AG40" i="14"/>
  <c r="AE41" i="14" s="1"/>
  <c r="G43" i="14"/>
  <c r="H43" i="14"/>
  <c r="Z38" i="14"/>
  <c r="Y38" i="14"/>
  <c r="R38" i="14"/>
  <c r="DO46" i="14"/>
  <c r="U18" i="15"/>
  <c r="AF18" i="15" s="1"/>
  <c r="O18" i="15"/>
  <c r="V26" i="15"/>
  <c r="E27" i="14"/>
  <c r="X27" i="15" s="1"/>
  <c r="X64" i="15" s="1"/>
  <c r="D27" i="14"/>
  <c r="W27" i="15" s="1"/>
  <c r="O11" i="16"/>
  <c r="AF11" i="16" s="1"/>
  <c r="I11" i="16"/>
  <c r="DU46" i="14"/>
  <c r="H11" i="20"/>
  <c r="I11" i="20"/>
  <c r="DY46" i="14"/>
  <c r="I47" i="15"/>
  <c r="J47" i="15"/>
  <c r="DZ47" i="14" s="1"/>
  <c r="K47" i="15"/>
  <c r="EA47" i="14" s="1"/>
  <c r="T11" i="20"/>
  <c r="W11" i="19"/>
  <c r="X11" i="19" s="1"/>
  <c r="H11" i="19"/>
  <c r="I11" i="19" s="1"/>
  <c r="N11" i="19"/>
  <c r="O11" i="19" s="1"/>
  <c r="K11" i="19"/>
  <c r="L11" i="19" s="1"/>
  <c r="E11" i="19"/>
  <c r="F11" i="19" s="1"/>
  <c r="T11" i="19"/>
  <c r="U11" i="19" s="1"/>
  <c r="Q11" i="19"/>
  <c r="R11" i="19" s="1"/>
  <c r="R11" i="20"/>
  <c r="S11" i="20" s="1"/>
  <c r="W11" i="20"/>
  <c r="AC11" i="20" s="1"/>
  <c r="AG18" i="15"/>
  <c r="DT46" i="14"/>
  <c r="CS45" i="14" l="1"/>
  <c r="CU45" i="14" s="1"/>
  <c r="CT46" i="14" s="1"/>
  <c r="AN40" i="14"/>
  <c r="BI45" i="14"/>
  <c r="BK45" i="14" s="1"/>
  <c r="BI46" i="14" s="1"/>
  <c r="AC43" i="14"/>
  <c r="AD43" i="14" s="1"/>
  <c r="DS46" i="14"/>
  <c r="DQ47" i="14" s="1"/>
  <c r="BZ45" i="14"/>
  <c r="BX46" i="14" s="1"/>
  <c r="CL43" i="14"/>
  <c r="CJ44" i="14" s="1"/>
  <c r="CG45" i="14"/>
  <c r="CI45" i="14" s="1"/>
  <c r="CH46" i="14" s="1"/>
  <c r="DC45" i="14"/>
  <c r="DD45" i="14" s="1"/>
  <c r="DB46" i="14" s="1"/>
  <c r="CK44" i="14"/>
  <c r="AP40" i="14"/>
  <c r="AO41" i="14" s="1"/>
  <c r="BG44" i="14"/>
  <c r="BH44" i="14" s="1"/>
  <c r="BF45" i="14" s="1"/>
  <c r="BD42" i="14"/>
  <c r="BE42" i="14" s="1"/>
  <c r="BS45" i="14"/>
  <c r="BT45" i="14" s="1"/>
  <c r="BR46" i="14" s="1"/>
  <c r="DK46" i="14"/>
  <c r="DM46" i="14" s="1"/>
  <c r="DK47" i="14" s="1"/>
  <c r="CN45" i="14"/>
  <c r="CO45" i="14" s="1"/>
  <c r="AT41" i="14"/>
  <c r="AV41" i="14" s="1"/>
  <c r="AZ40" i="14"/>
  <c r="BB40" i="14" s="1"/>
  <c r="BA41" i="14" s="1"/>
  <c r="DH46" i="14"/>
  <c r="DJ46" i="14" s="1"/>
  <c r="DP46" i="14"/>
  <c r="DO47" i="14" s="1"/>
  <c r="BY46" i="14"/>
  <c r="CW44" i="14"/>
  <c r="CX44" i="14" s="1"/>
  <c r="CA44" i="14"/>
  <c r="CB44" i="14"/>
  <c r="CZ45" i="14"/>
  <c r="CY45" i="14"/>
  <c r="DF46" i="14"/>
  <c r="DE46" i="14"/>
  <c r="CQ46" i="14"/>
  <c r="CP46" i="14"/>
  <c r="CS46" i="14"/>
  <c r="CU46" i="14" s="1"/>
  <c r="CT47" i="14" s="1"/>
  <c r="CD45" i="14"/>
  <c r="CE45" i="14"/>
  <c r="AW38" i="14"/>
  <c r="AY38" i="14" s="1"/>
  <c r="BM42" i="14"/>
  <c r="BN42" i="14" s="1"/>
  <c r="BL43" i="14" s="1"/>
  <c r="BO42" i="14"/>
  <c r="BQ42" i="14" s="1"/>
  <c r="BP43" i="14" s="1"/>
  <c r="BV43" i="14"/>
  <c r="BU43" i="14"/>
  <c r="AS42" i="14"/>
  <c r="AK39" i="14"/>
  <c r="AL39" i="14"/>
  <c r="AH40" i="14"/>
  <c r="AI40" i="14"/>
  <c r="W38" i="14"/>
  <c r="X38" i="14" s="1"/>
  <c r="K43" i="14"/>
  <c r="L43" i="14" s="1"/>
  <c r="O40" i="14"/>
  <c r="AF41" i="14"/>
  <c r="AG41" i="14" s="1"/>
  <c r="I43" i="14"/>
  <c r="G44" i="14" s="1"/>
  <c r="T45" i="14"/>
  <c r="S45" i="14"/>
  <c r="AA38" i="14"/>
  <c r="X11" i="20"/>
  <c r="Y11" i="20" s="1"/>
  <c r="AA11" i="20" s="1"/>
  <c r="P39" i="14"/>
  <c r="Q39" i="14"/>
  <c r="DV46" i="14"/>
  <c r="R19" i="15"/>
  <c r="AD19" i="15" s="1"/>
  <c r="Q19" i="15"/>
  <c r="EB47" i="14"/>
  <c r="I48" i="15"/>
  <c r="K48" i="15"/>
  <c r="ED48" i="14" s="1"/>
  <c r="J48" i="15"/>
  <c r="EC48" i="14" s="1"/>
  <c r="V11" i="20"/>
  <c r="DX47" i="14"/>
  <c r="DW47" i="14"/>
  <c r="Z11" i="20"/>
  <c r="AE11" i="20" s="1"/>
  <c r="U11" i="20"/>
  <c r="O11" i="20"/>
  <c r="Y27" i="15"/>
  <c r="Z27" i="15"/>
  <c r="Z64" i="15" s="1"/>
  <c r="W64" i="15"/>
  <c r="F27" i="14"/>
  <c r="H12" i="16"/>
  <c r="BZ46" i="14" l="1"/>
  <c r="BY47" i="14" s="1"/>
  <c r="CG46" i="14"/>
  <c r="CI46" i="14" s="1"/>
  <c r="CH47" i="14" s="1"/>
  <c r="DC46" i="14"/>
  <c r="DD46" i="14" s="1"/>
  <c r="DB47" i="14" s="1"/>
  <c r="BJ46" i="14"/>
  <c r="BK46" i="14" s="1"/>
  <c r="BJ47" i="14" s="1"/>
  <c r="BS46" i="14"/>
  <c r="BT46" i="14" s="1"/>
  <c r="BS47" i="14" s="1"/>
  <c r="DR47" i="14"/>
  <c r="DS47" i="14" s="1"/>
  <c r="DR48" i="14" s="1"/>
  <c r="DL47" i="14"/>
  <c r="DM47" i="14" s="1"/>
  <c r="DK48" i="14" s="1"/>
  <c r="CF45" i="14"/>
  <c r="CD46" i="14" s="1"/>
  <c r="CL44" i="14"/>
  <c r="BG45" i="14"/>
  <c r="BH45" i="14" s="1"/>
  <c r="BF46" i="14" s="1"/>
  <c r="AN41" i="14"/>
  <c r="AP41" i="14" s="1"/>
  <c r="AT42" i="14"/>
  <c r="AU42" i="14"/>
  <c r="AZ41" i="14"/>
  <c r="BB41" i="14" s="1"/>
  <c r="AZ42" i="14" s="1"/>
  <c r="AM39" i="14"/>
  <c r="AL40" i="14" s="1"/>
  <c r="AC44" i="14"/>
  <c r="AB44" i="14"/>
  <c r="DI47" i="14"/>
  <c r="DH47" i="14"/>
  <c r="DN47" i="14"/>
  <c r="DP47" i="14" s="1"/>
  <c r="DO48" i="14" s="1"/>
  <c r="DY47" i="14"/>
  <c r="DW48" i="14" s="1"/>
  <c r="DA45" i="14"/>
  <c r="CZ46" i="14" s="1"/>
  <c r="DG46" i="14"/>
  <c r="DF47" i="14" s="1"/>
  <c r="CC44" i="14"/>
  <c r="CB45" i="14" s="1"/>
  <c r="CR46" i="14"/>
  <c r="CQ47" i="14" s="1"/>
  <c r="CN46" i="14"/>
  <c r="CM46" i="14"/>
  <c r="DC47" i="14"/>
  <c r="CW45" i="14"/>
  <c r="CV45" i="14"/>
  <c r="CS47" i="14"/>
  <c r="CU47" i="14" s="1"/>
  <c r="CG47" i="14"/>
  <c r="CI47" i="14" s="1"/>
  <c r="CH48" i="14" s="1"/>
  <c r="AX39" i="14"/>
  <c r="AW39" i="14"/>
  <c r="BM43" i="14"/>
  <c r="BN43" i="14" s="1"/>
  <c r="BL44" i="14" s="1"/>
  <c r="BD43" i="14"/>
  <c r="BC43" i="14"/>
  <c r="BO43" i="14"/>
  <c r="BQ43" i="14" s="1"/>
  <c r="BO44" i="14" s="1"/>
  <c r="BW43" i="14"/>
  <c r="BU44" i="14" s="1"/>
  <c r="AR43" i="14"/>
  <c r="AQ43" i="14"/>
  <c r="AJ40" i="14"/>
  <c r="AI41" i="14" s="1"/>
  <c r="K44" i="14"/>
  <c r="J44" i="14"/>
  <c r="N41" i="14"/>
  <c r="M41" i="14"/>
  <c r="H44" i="14"/>
  <c r="I44" i="14" s="1"/>
  <c r="R39" i="14"/>
  <c r="P40" i="14" s="1"/>
  <c r="V39" i="14"/>
  <c r="W39" i="14"/>
  <c r="U45" i="14"/>
  <c r="T46" i="14" s="1"/>
  <c r="AF11" i="20"/>
  <c r="AE42" i="14"/>
  <c r="AF42" i="14"/>
  <c r="AD11" i="20"/>
  <c r="AG11" i="20" s="1"/>
  <c r="Z39" i="14"/>
  <c r="Y39" i="14"/>
  <c r="S19" i="15"/>
  <c r="T19" i="15"/>
  <c r="AE19" i="15" s="1"/>
  <c r="AC19" i="15"/>
  <c r="X12" i="16"/>
  <c r="W12" i="16"/>
  <c r="Z12" i="17"/>
  <c r="Y12" i="17"/>
  <c r="J12" i="17"/>
  <c r="K12" i="17"/>
  <c r="E12" i="17"/>
  <c r="H12" i="17"/>
  <c r="D12" i="17"/>
  <c r="G12" i="17"/>
  <c r="V12" i="17"/>
  <c r="N12" i="17"/>
  <c r="W12" i="17"/>
  <c r="T12" i="17"/>
  <c r="P12" i="17"/>
  <c r="Q12" i="17"/>
  <c r="S12" i="17"/>
  <c r="M12" i="17"/>
  <c r="L12" i="16"/>
  <c r="V27" i="15"/>
  <c r="E28" i="14"/>
  <c r="X28" i="15" s="1"/>
  <c r="D28" i="14"/>
  <c r="W28" i="15" s="1"/>
  <c r="AA27" i="15"/>
  <c r="AA64" i="15" s="1"/>
  <c r="Y64" i="15"/>
  <c r="DU47" i="14"/>
  <c r="DT47" i="14"/>
  <c r="EE48" i="14"/>
  <c r="I49" i="15"/>
  <c r="K49" i="15"/>
  <c r="EG49" i="14" s="1"/>
  <c r="J49" i="15"/>
  <c r="EF49" i="14" s="1"/>
  <c r="EA48" i="14"/>
  <c r="DZ48" i="14"/>
  <c r="BX47" i="14" l="1"/>
  <c r="BZ47" i="14"/>
  <c r="CE46" i="14"/>
  <c r="BI47" i="14"/>
  <c r="BK47" i="14" s="1"/>
  <c r="AK40" i="14"/>
  <c r="AM40" i="14" s="1"/>
  <c r="AK41" i="14" s="1"/>
  <c r="BG46" i="14"/>
  <c r="BH46" i="14" s="1"/>
  <c r="BG47" i="14" s="1"/>
  <c r="DX48" i="14"/>
  <c r="DY48" i="14" s="1"/>
  <c r="DW49" i="14" s="1"/>
  <c r="DE47" i="14"/>
  <c r="DG47" i="14" s="1"/>
  <c r="DF48" i="14" s="1"/>
  <c r="CK45" i="14"/>
  <c r="CJ45" i="14"/>
  <c r="AN42" i="14"/>
  <c r="AO42" i="14"/>
  <c r="BA42" i="14"/>
  <c r="BB42" i="14" s="1"/>
  <c r="BA43" i="14" s="1"/>
  <c r="AY39" i="14"/>
  <c r="AW40" i="14" s="1"/>
  <c r="AV42" i="14"/>
  <c r="AT43" i="14" s="1"/>
  <c r="DL48" i="14"/>
  <c r="DM48" i="14" s="1"/>
  <c r="AD44" i="14"/>
  <c r="AB45" i="14" s="1"/>
  <c r="AH41" i="14"/>
  <c r="AJ41" i="14" s="1"/>
  <c r="AH42" i="14" s="1"/>
  <c r="CP47" i="14"/>
  <c r="CR47" i="14" s="1"/>
  <c r="CQ48" i="14" s="1"/>
  <c r="CY46" i="14"/>
  <c r="DA46" i="14" s="1"/>
  <c r="CZ47" i="14" s="1"/>
  <c r="DQ48" i="14"/>
  <c r="DS48" i="14" s="1"/>
  <c r="DQ49" i="14" s="1"/>
  <c r="DJ47" i="14"/>
  <c r="EB48" i="14"/>
  <c r="EA49" i="14" s="1"/>
  <c r="DV47" i="14"/>
  <c r="DU48" i="14" s="1"/>
  <c r="EH49" i="14"/>
  <c r="DN48" i="14"/>
  <c r="DP48" i="14" s="1"/>
  <c r="CO46" i="14"/>
  <c r="CN47" i="14" s="1"/>
  <c r="CA45" i="14"/>
  <c r="CC45" i="14" s="1"/>
  <c r="DD47" i="14"/>
  <c r="DB48" i="14" s="1"/>
  <c r="CS48" i="14"/>
  <c r="CT48" i="14"/>
  <c r="BY48" i="14"/>
  <c r="BX48" i="14"/>
  <c r="CX45" i="14"/>
  <c r="CG48" i="14"/>
  <c r="CI48" i="14" s="1"/>
  <c r="CH49" i="14" s="1"/>
  <c r="CF46" i="14"/>
  <c r="BV44" i="14"/>
  <c r="BW44" i="14" s="1"/>
  <c r="BU45" i="14" s="1"/>
  <c r="BE43" i="14"/>
  <c r="BC44" i="14" s="1"/>
  <c r="BM44" i="14"/>
  <c r="BN44" i="14" s="1"/>
  <c r="BR47" i="14"/>
  <c r="BT47" i="14" s="1"/>
  <c r="BP44" i="14"/>
  <c r="BQ44" i="14" s="1"/>
  <c r="BP45" i="14" s="1"/>
  <c r="AS43" i="14"/>
  <c r="AQ44" i="14" s="1"/>
  <c r="L44" i="14"/>
  <c r="J45" i="14" s="1"/>
  <c r="Q40" i="14"/>
  <c r="R40" i="14" s="1"/>
  <c r="P41" i="14" s="1"/>
  <c r="O41" i="14"/>
  <c r="X39" i="14"/>
  <c r="V40" i="14" s="1"/>
  <c r="F28" i="14"/>
  <c r="E29" i="14" s="1"/>
  <c r="X29" i="15" s="1"/>
  <c r="AA12" i="17"/>
  <c r="S46" i="14"/>
  <c r="U46" i="14" s="1"/>
  <c r="AA39" i="14"/>
  <c r="Z40" i="14" s="1"/>
  <c r="AG42" i="14"/>
  <c r="AF43" i="14" s="1"/>
  <c r="I12" i="17"/>
  <c r="G45" i="14"/>
  <c r="H45" i="14"/>
  <c r="U12" i="17"/>
  <c r="X12" i="17"/>
  <c r="I50" i="15"/>
  <c r="K50" i="15"/>
  <c r="EJ50" i="14" s="1"/>
  <c r="J50" i="15"/>
  <c r="EI50" i="14" s="1"/>
  <c r="O12" i="17"/>
  <c r="L12" i="17"/>
  <c r="R12" i="16"/>
  <c r="AD12" i="16" s="1"/>
  <c r="EC49" i="14"/>
  <c r="ED49" i="14"/>
  <c r="AG19" i="15"/>
  <c r="U19" i="15"/>
  <c r="AF19" i="15" s="1"/>
  <c r="O19" i="15"/>
  <c r="Q12" i="16"/>
  <c r="F12" i="17"/>
  <c r="Y28" i="15"/>
  <c r="AA28" i="15" s="1"/>
  <c r="Z28" i="15"/>
  <c r="R12" i="17"/>
  <c r="D12" i="20"/>
  <c r="Y12" i="16"/>
  <c r="Z12" i="16"/>
  <c r="EG50" i="14" l="1"/>
  <c r="AL41" i="14"/>
  <c r="AM41" i="14" s="1"/>
  <c r="AL42" i="14" s="1"/>
  <c r="DE48" i="14"/>
  <c r="DG48" i="14" s="1"/>
  <c r="DE49" i="14" s="1"/>
  <c r="AZ43" i="14"/>
  <c r="AX40" i="14"/>
  <c r="AY40" i="14" s="1"/>
  <c r="AW41" i="14" s="1"/>
  <c r="AU43" i="14"/>
  <c r="AV43" i="14" s="1"/>
  <c r="AU44" i="14" s="1"/>
  <c r="DK49" i="14"/>
  <c r="DL49" i="14"/>
  <c r="CL45" i="14"/>
  <c r="CJ46" i="14" s="1"/>
  <c r="CY47" i="14"/>
  <c r="DA47" i="14" s="1"/>
  <c r="CY48" i="14" s="1"/>
  <c r="CM47" i="14"/>
  <c r="CO47" i="14" s="1"/>
  <c r="CM48" i="14" s="1"/>
  <c r="CP48" i="14"/>
  <c r="CR48" i="14" s="1"/>
  <c r="CP49" i="14" s="1"/>
  <c r="AP42" i="14"/>
  <c r="BM45" i="14"/>
  <c r="BL45" i="14"/>
  <c r="AC45" i="14"/>
  <c r="AD45" i="14" s="1"/>
  <c r="CA46" i="14"/>
  <c r="CB46" i="14"/>
  <c r="AI42" i="14"/>
  <c r="AJ42" i="14" s="1"/>
  <c r="AH43" i="14" s="1"/>
  <c r="K45" i="14"/>
  <c r="L45" i="14" s="1"/>
  <c r="BD44" i="14"/>
  <c r="BE44" i="14" s="1"/>
  <c r="DX49" i="14"/>
  <c r="DY49" i="14" s="1"/>
  <c r="DX50" i="14" s="1"/>
  <c r="DR49" i="14"/>
  <c r="DS49" i="14" s="1"/>
  <c r="DR50" i="14" s="1"/>
  <c r="DT48" i="14"/>
  <c r="DV48" i="14" s="1"/>
  <c r="DU49" i="14" s="1"/>
  <c r="DZ49" i="14"/>
  <c r="EB49" i="14" s="1"/>
  <c r="DZ50" i="14" s="1"/>
  <c r="DH48" i="14"/>
  <c r="DI48" i="14"/>
  <c r="EK50" i="14"/>
  <c r="EE49" i="14"/>
  <c r="EC50" i="14" s="1"/>
  <c r="DN49" i="14"/>
  <c r="DO49" i="14"/>
  <c r="DC48" i="14"/>
  <c r="DD48" i="14" s="1"/>
  <c r="DC49" i="14" s="1"/>
  <c r="CG49" i="14"/>
  <c r="CI49" i="14" s="1"/>
  <c r="CH50" i="14" s="1"/>
  <c r="BZ48" i="14"/>
  <c r="BY49" i="14" s="1"/>
  <c r="CU48" i="14"/>
  <c r="CW46" i="14"/>
  <c r="CV46" i="14"/>
  <c r="CE47" i="14"/>
  <c r="CD47" i="14"/>
  <c r="BF47" i="14"/>
  <c r="BH47" i="14" s="1"/>
  <c r="AR44" i="14"/>
  <c r="AS44" i="14" s="1"/>
  <c r="BB43" i="14"/>
  <c r="BA44" i="14" s="1"/>
  <c r="BV45" i="14"/>
  <c r="BW45" i="14" s="1"/>
  <c r="BR48" i="14"/>
  <c r="BS48" i="14"/>
  <c r="BJ48" i="14"/>
  <c r="BI48" i="14"/>
  <c r="BO45" i="14"/>
  <c r="BQ45" i="14" s="1"/>
  <c r="BO46" i="14" s="1"/>
  <c r="V28" i="15"/>
  <c r="W40" i="14"/>
  <c r="X40" i="14" s="1"/>
  <c r="V41" i="14" s="1"/>
  <c r="M42" i="14"/>
  <c r="N42" i="14"/>
  <c r="D29" i="14"/>
  <c r="W29" i="15" s="1"/>
  <c r="Y29" i="15" s="1"/>
  <c r="AA29" i="15" s="1"/>
  <c r="AE43" i="14"/>
  <c r="AG43" i="14" s="1"/>
  <c r="Y40" i="14"/>
  <c r="AA40" i="14" s="1"/>
  <c r="Y41" i="14" s="1"/>
  <c r="Q41" i="14"/>
  <c r="R41" i="14" s="1"/>
  <c r="P42" i="14" s="1"/>
  <c r="T47" i="14"/>
  <c r="S47" i="14"/>
  <c r="I45" i="14"/>
  <c r="P12" i="16"/>
  <c r="E12" i="20"/>
  <c r="F12" i="20" s="1"/>
  <c r="J12" i="20"/>
  <c r="G12" i="20"/>
  <c r="EF50" i="14"/>
  <c r="EH50" i="14" s="1"/>
  <c r="I51" i="15"/>
  <c r="J51" i="15"/>
  <c r="EL51" i="14" s="1"/>
  <c r="K51" i="15"/>
  <c r="EM51" i="14" s="1"/>
  <c r="S12" i="16"/>
  <c r="U12" i="16" s="1"/>
  <c r="T12" i="16"/>
  <c r="K12" i="16"/>
  <c r="AA12" i="16"/>
  <c r="V12" i="16"/>
  <c r="Q20" i="15"/>
  <c r="R20" i="15"/>
  <c r="AD20" i="15" s="1"/>
  <c r="CK46" i="14" l="1"/>
  <c r="DF49" i="14"/>
  <c r="DG49" i="14" s="1"/>
  <c r="DF50" i="14" s="1"/>
  <c r="AX41" i="14"/>
  <c r="AY41" i="14" s="1"/>
  <c r="AX42" i="14" s="1"/>
  <c r="AT44" i="14"/>
  <c r="AV44" i="14" s="1"/>
  <c r="AU45" i="14" s="1"/>
  <c r="DM49" i="14"/>
  <c r="DL50" i="14" s="1"/>
  <c r="CL46" i="14"/>
  <c r="CK47" i="14" s="1"/>
  <c r="CC46" i="14"/>
  <c r="CB47" i="14" s="1"/>
  <c r="CZ48" i="14"/>
  <c r="DA48" i="14" s="1"/>
  <c r="CZ49" i="14" s="1"/>
  <c r="AN43" i="14"/>
  <c r="AO43" i="14"/>
  <c r="BN45" i="14"/>
  <c r="BL46" i="14" s="1"/>
  <c r="AK42" i="14"/>
  <c r="AM42" i="14" s="1"/>
  <c r="AK43" i="14" s="1"/>
  <c r="AC46" i="14"/>
  <c r="AB46" i="14"/>
  <c r="AI43" i="14"/>
  <c r="AJ43" i="14" s="1"/>
  <c r="AI44" i="14" s="1"/>
  <c r="CQ49" i="14"/>
  <c r="CR49" i="14" s="1"/>
  <c r="CN48" i="14"/>
  <c r="CO48" i="14" s="1"/>
  <c r="CN49" i="14" s="1"/>
  <c r="DB49" i="14"/>
  <c r="DD49" i="14" s="1"/>
  <c r="DC50" i="14" s="1"/>
  <c r="EA50" i="14"/>
  <c r="EB50" i="14" s="1"/>
  <c r="EA51" i="14" s="1"/>
  <c r="DQ50" i="14"/>
  <c r="DS50" i="14" s="1"/>
  <c r="DR51" i="14" s="1"/>
  <c r="DW50" i="14"/>
  <c r="DY50" i="14" s="1"/>
  <c r="DW51" i="14" s="1"/>
  <c r="DT49" i="14"/>
  <c r="DV49" i="14" s="1"/>
  <c r="DT50" i="14" s="1"/>
  <c r="ED50" i="14"/>
  <c r="EE50" i="14" s="1"/>
  <c r="DJ48" i="14"/>
  <c r="DP49" i="14"/>
  <c r="BX49" i="14"/>
  <c r="BZ49" i="14" s="1"/>
  <c r="BX50" i="14" s="1"/>
  <c r="CX46" i="14"/>
  <c r="CW47" i="14" s="1"/>
  <c r="CS49" i="14"/>
  <c r="CT49" i="14"/>
  <c r="CF47" i="14"/>
  <c r="CE48" i="14" s="1"/>
  <c r="CG50" i="14"/>
  <c r="CI50" i="14" s="1"/>
  <c r="CG51" i="14" s="1"/>
  <c r="BD45" i="14"/>
  <c r="BC45" i="14"/>
  <c r="BK48" i="14"/>
  <c r="BI49" i="14" s="1"/>
  <c r="AZ44" i="14"/>
  <c r="BB44" i="14" s="1"/>
  <c r="BA45" i="14" s="1"/>
  <c r="BG48" i="14"/>
  <c r="BF48" i="14"/>
  <c r="BT48" i="14"/>
  <c r="BR49" i="14" s="1"/>
  <c r="BP46" i="14"/>
  <c r="BQ46" i="14" s="1"/>
  <c r="BV46" i="14"/>
  <c r="BU46" i="14"/>
  <c r="AR45" i="14"/>
  <c r="AQ45" i="14"/>
  <c r="O42" i="14"/>
  <c r="U47" i="14"/>
  <c r="S48" i="14" s="1"/>
  <c r="Z29" i="15"/>
  <c r="F29" i="14"/>
  <c r="D30" i="14" s="1"/>
  <c r="W30" i="15" s="1"/>
  <c r="W41" i="14"/>
  <c r="X41" i="14" s="1"/>
  <c r="V42" i="14" s="1"/>
  <c r="K46" i="14"/>
  <c r="J46" i="14"/>
  <c r="Q42" i="14"/>
  <c r="R42" i="14" s="1"/>
  <c r="AF44" i="14"/>
  <c r="AE44" i="14"/>
  <c r="Z41" i="14"/>
  <c r="AA41" i="14" s="1"/>
  <c r="Z42" i="14" s="1"/>
  <c r="H46" i="14"/>
  <c r="G46" i="14"/>
  <c r="S20" i="15"/>
  <c r="T20" i="15"/>
  <c r="AE20" i="15" s="1"/>
  <c r="AC20" i="15"/>
  <c r="EI51" i="14"/>
  <c r="EN51" i="14"/>
  <c r="EG51" i="14"/>
  <c r="EF51" i="14"/>
  <c r="H12" i="20"/>
  <c r="I12" i="20"/>
  <c r="EJ51" i="14"/>
  <c r="I52" i="15"/>
  <c r="J52" i="15"/>
  <c r="EO52" i="14" s="1"/>
  <c r="K52" i="15"/>
  <c r="EP52" i="14" s="1"/>
  <c r="K12" i="20"/>
  <c r="M12" i="16"/>
  <c r="N12" i="16"/>
  <c r="AE12" i="16" s="1"/>
  <c r="AC12" i="16"/>
  <c r="AG12" i="16" s="1"/>
  <c r="Y12" i="19"/>
  <c r="J12" i="19"/>
  <c r="G12" i="19"/>
  <c r="M12" i="19"/>
  <c r="S12" i="19"/>
  <c r="V12" i="19"/>
  <c r="P12" i="19"/>
  <c r="D12" i="19"/>
  <c r="Q12" i="20"/>
  <c r="DE50" i="14" l="1"/>
  <c r="DG50" i="14" s="1"/>
  <c r="DF51" i="14" s="1"/>
  <c r="AW42" i="14"/>
  <c r="AY42" i="14" s="1"/>
  <c r="AX43" i="14" s="1"/>
  <c r="DK50" i="14"/>
  <c r="DM50" i="14" s="1"/>
  <c r="DK51" i="14" s="1"/>
  <c r="AT45" i="14"/>
  <c r="AV45" i="14" s="1"/>
  <c r="AT46" i="14" s="1"/>
  <c r="CJ47" i="14"/>
  <c r="CL47" i="14" s="1"/>
  <c r="CA47" i="14"/>
  <c r="CC47" i="14" s="1"/>
  <c r="CA48" i="14" s="1"/>
  <c r="AP43" i="14"/>
  <c r="BM46" i="14"/>
  <c r="BN46" i="14" s="1"/>
  <c r="BL47" i="14" s="1"/>
  <c r="AD46" i="14"/>
  <c r="AB47" i="14" s="1"/>
  <c r="AH44" i="14"/>
  <c r="AJ44" i="14" s="1"/>
  <c r="AI45" i="14" s="1"/>
  <c r="AL43" i="14"/>
  <c r="AM43" i="14" s="1"/>
  <c r="AK44" i="14" s="1"/>
  <c r="DB50" i="14"/>
  <c r="DD50" i="14" s="1"/>
  <c r="DB51" i="14" s="1"/>
  <c r="AZ45" i="14"/>
  <c r="BB45" i="14" s="1"/>
  <c r="BA46" i="14" s="1"/>
  <c r="BJ49" i="14"/>
  <c r="BK49" i="14" s="1"/>
  <c r="BJ50" i="14" s="1"/>
  <c r="DX51" i="14"/>
  <c r="DY51" i="14" s="1"/>
  <c r="DX52" i="14" s="1"/>
  <c r="DZ51" i="14"/>
  <c r="EB51" i="14" s="1"/>
  <c r="DZ52" i="14" s="1"/>
  <c r="EC51" i="14"/>
  <c r="ED51" i="14"/>
  <c r="DQ51" i="14"/>
  <c r="DS51" i="14" s="1"/>
  <c r="DQ52" i="14" s="1"/>
  <c r="DI49" i="14"/>
  <c r="DH49" i="14"/>
  <c r="EH51" i="14"/>
  <c r="EF52" i="14" s="1"/>
  <c r="DU50" i="14"/>
  <c r="DV50" i="14" s="1"/>
  <c r="DU51" i="14" s="1"/>
  <c r="DO50" i="14"/>
  <c r="DN50" i="14"/>
  <c r="CM49" i="14"/>
  <c r="CO49" i="14" s="1"/>
  <c r="CM50" i="14" s="1"/>
  <c r="CY49" i="14"/>
  <c r="DA49" i="14" s="1"/>
  <c r="BY50" i="14"/>
  <c r="BZ50" i="14" s="1"/>
  <c r="BX51" i="14" s="1"/>
  <c r="CU49" i="14"/>
  <c r="CT50" i="14" s="1"/>
  <c r="CV47" i="14"/>
  <c r="CX47" i="14" s="1"/>
  <c r="CV48" i="14" s="1"/>
  <c r="CQ50" i="14"/>
  <c r="CP50" i="14"/>
  <c r="CD48" i="14"/>
  <c r="CF48" i="14" s="1"/>
  <c r="CH51" i="14"/>
  <c r="CI51" i="14" s="1"/>
  <c r="DE51" i="14"/>
  <c r="DG51" i="14" s="1"/>
  <c r="DF52" i="14" s="1"/>
  <c r="AS45" i="14"/>
  <c r="AR46" i="14" s="1"/>
  <c r="BE45" i="14"/>
  <c r="BC46" i="14" s="1"/>
  <c r="AW43" i="14"/>
  <c r="AY43" i="14" s="1"/>
  <c r="AW44" i="14" s="1"/>
  <c r="BS49" i="14"/>
  <c r="BT49" i="14" s="1"/>
  <c r="BH48" i="14"/>
  <c r="BO47" i="14"/>
  <c r="BP47" i="14"/>
  <c r="BW46" i="14"/>
  <c r="BV47" i="14" s="1"/>
  <c r="T48" i="14"/>
  <c r="U48" i="14" s="1"/>
  <c r="M43" i="14"/>
  <c r="N43" i="14"/>
  <c r="L46" i="14"/>
  <c r="K47" i="14" s="1"/>
  <c r="E30" i="14"/>
  <c r="X30" i="15" s="1"/>
  <c r="Y30" i="15" s="1"/>
  <c r="AA30" i="15" s="1"/>
  <c r="V29" i="15"/>
  <c r="Y42" i="14"/>
  <c r="AA42" i="14" s="1"/>
  <c r="Z43" i="14" s="1"/>
  <c r="W42" i="14"/>
  <c r="X42" i="14" s="1"/>
  <c r="V43" i="14" s="1"/>
  <c r="I46" i="14"/>
  <c r="H47" i="14" s="1"/>
  <c r="P43" i="14"/>
  <c r="Q43" i="14"/>
  <c r="AG44" i="14"/>
  <c r="AF45" i="14" s="1"/>
  <c r="O12" i="16"/>
  <c r="AF12" i="16" s="1"/>
  <c r="I12" i="16"/>
  <c r="U20" i="15"/>
  <c r="AF20" i="15" s="1"/>
  <c r="O20" i="15"/>
  <c r="AG20" i="15"/>
  <c r="T12" i="20"/>
  <c r="W12" i="20"/>
  <c r="AC12" i="20" s="1"/>
  <c r="Z30" i="15"/>
  <c r="Z12" i="19"/>
  <c r="AA12" i="19" s="1"/>
  <c r="W12" i="19"/>
  <c r="X12" i="19" s="1"/>
  <c r="Q12" i="19"/>
  <c r="R12" i="19" s="1"/>
  <c r="T12" i="19"/>
  <c r="U12" i="19" s="1"/>
  <c r="N12" i="19"/>
  <c r="O12" i="19" s="1"/>
  <c r="K12" i="19"/>
  <c r="L12" i="19" s="1"/>
  <c r="H12" i="19"/>
  <c r="I12" i="19" s="1"/>
  <c r="E12" i="19"/>
  <c r="R12" i="20"/>
  <c r="EM52" i="14"/>
  <c r="EL52" i="14"/>
  <c r="EQ52" i="14"/>
  <c r="I53" i="15"/>
  <c r="K53" i="15"/>
  <c r="ES53" i="14" s="1"/>
  <c r="J53" i="15"/>
  <c r="ER53" i="14" s="1"/>
  <c r="EK51" i="14"/>
  <c r="DL51" i="14" l="1"/>
  <c r="DM51" i="14" s="1"/>
  <c r="CB48" i="14"/>
  <c r="CC48" i="14" s="1"/>
  <c r="CA49" i="14" s="1"/>
  <c r="AU46" i="14"/>
  <c r="EN52" i="14"/>
  <c r="EM53" i="14" s="1"/>
  <c r="DC51" i="14"/>
  <c r="DD51" i="14" s="1"/>
  <c r="DB52" i="14" s="1"/>
  <c r="BY51" i="14"/>
  <c r="BZ51" i="14" s="1"/>
  <c r="BX52" i="14" s="1"/>
  <c r="CK48" i="14"/>
  <c r="CJ48" i="14"/>
  <c r="AN44" i="14"/>
  <c r="AO44" i="14"/>
  <c r="AX44" i="14"/>
  <c r="AY44" i="14" s="1"/>
  <c r="BM47" i="14"/>
  <c r="BN47" i="14" s="1"/>
  <c r="BL48" i="14" s="1"/>
  <c r="AC47" i="14"/>
  <c r="AD47" i="14" s="1"/>
  <c r="AB48" i="14" s="1"/>
  <c r="AH45" i="14"/>
  <c r="AJ45" i="14" s="1"/>
  <c r="AH46" i="14" s="1"/>
  <c r="DP50" i="14"/>
  <c r="DO51" i="14" s="1"/>
  <c r="DJ49" i="14"/>
  <c r="DI50" i="14" s="1"/>
  <c r="AQ46" i="14"/>
  <c r="AS46" i="14" s="1"/>
  <c r="AR47" i="14" s="1"/>
  <c r="AZ46" i="14"/>
  <c r="BB46" i="14" s="1"/>
  <c r="BA47" i="14" s="1"/>
  <c r="ET53" i="14"/>
  <c r="EA52" i="14"/>
  <c r="EB52" i="14" s="1"/>
  <c r="DZ53" i="14" s="1"/>
  <c r="EE51" i="14"/>
  <c r="ED52" i="14" s="1"/>
  <c r="DH50" i="14"/>
  <c r="DK52" i="14"/>
  <c r="DL52" i="14"/>
  <c r="EG52" i="14"/>
  <c r="EH52" i="14" s="1"/>
  <c r="EG53" i="14" s="1"/>
  <c r="DR52" i="14"/>
  <c r="DS52" i="14" s="1"/>
  <c r="DR53" i="14" s="1"/>
  <c r="DT51" i="14"/>
  <c r="DV51" i="14" s="1"/>
  <c r="DU52" i="14" s="1"/>
  <c r="DW52" i="14"/>
  <c r="DY52" i="14" s="1"/>
  <c r="CS50" i="14"/>
  <c r="CU50" i="14" s="1"/>
  <c r="CT51" i="14" s="1"/>
  <c r="CN50" i="14"/>
  <c r="CO50" i="14" s="1"/>
  <c r="CW48" i="14"/>
  <c r="CX48" i="14" s="1"/>
  <c r="CR50" i="14"/>
  <c r="CP51" i="14" s="1"/>
  <c r="CD49" i="14"/>
  <c r="CE49" i="14"/>
  <c r="CG52" i="14"/>
  <c r="CH52" i="14"/>
  <c r="DE52" i="14"/>
  <c r="DG52" i="14" s="1"/>
  <c r="DE53" i="14" s="1"/>
  <c r="CZ50" i="14"/>
  <c r="CY50" i="14"/>
  <c r="BD46" i="14"/>
  <c r="BE46" i="14" s="1"/>
  <c r="BD47" i="14" s="1"/>
  <c r="BI50" i="14"/>
  <c r="BK50" i="14" s="1"/>
  <c r="BJ51" i="14" s="1"/>
  <c r="BG49" i="14"/>
  <c r="BF49" i="14"/>
  <c r="BU47" i="14"/>
  <c r="BW47" i="14" s="1"/>
  <c r="BU48" i="14" s="1"/>
  <c r="BR50" i="14"/>
  <c r="BS50" i="14"/>
  <c r="BQ47" i="14"/>
  <c r="AV46" i="14"/>
  <c r="AU47" i="14" s="1"/>
  <c r="AL44" i="14"/>
  <c r="AM44" i="14" s="1"/>
  <c r="O43" i="14"/>
  <c r="N44" i="14" s="1"/>
  <c r="F30" i="14"/>
  <c r="V30" i="15" s="1"/>
  <c r="J47" i="14"/>
  <c r="L47" i="14" s="1"/>
  <c r="J48" i="14" s="1"/>
  <c r="G47" i="14"/>
  <c r="I47" i="14" s="1"/>
  <c r="H48" i="14" s="1"/>
  <c r="Y43" i="14"/>
  <c r="AA43" i="14" s="1"/>
  <c r="Z44" i="14" s="1"/>
  <c r="W43" i="14"/>
  <c r="X43" i="14" s="1"/>
  <c r="V44" i="14" s="1"/>
  <c r="R43" i="14"/>
  <c r="Q44" i="14" s="1"/>
  <c r="AE45" i="14"/>
  <c r="AG45" i="14" s="1"/>
  <c r="AF46" i="14" s="1"/>
  <c r="X12" i="20"/>
  <c r="Y12" i="20" s="1"/>
  <c r="AA12" i="20" s="1"/>
  <c r="T49" i="14"/>
  <c r="S49" i="14"/>
  <c r="I54" i="15"/>
  <c r="K54" i="15"/>
  <c r="EV54" i="14" s="1"/>
  <c r="J54" i="15"/>
  <c r="EU54" i="14" s="1"/>
  <c r="F12" i="19"/>
  <c r="S12" i="20"/>
  <c r="Z12" i="20"/>
  <c r="AE12" i="20" s="1"/>
  <c r="R21" i="15"/>
  <c r="AD21" i="15" s="1"/>
  <c r="Q21" i="15"/>
  <c r="EP53" i="14"/>
  <c r="EO53" i="14"/>
  <c r="EJ52" i="14"/>
  <c r="EI52" i="14"/>
  <c r="H13" i="16"/>
  <c r="BY52" i="14" l="1"/>
  <c r="BZ52" i="14" s="1"/>
  <c r="BY53" i="14" s="1"/>
  <c r="CL48" i="14"/>
  <c r="CB49" i="14"/>
  <c r="AP44" i="14"/>
  <c r="AN45" i="14" s="1"/>
  <c r="AI46" i="14"/>
  <c r="AJ46" i="14" s="1"/>
  <c r="AI47" i="14" s="1"/>
  <c r="ES54" i="14"/>
  <c r="EL53" i="14"/>
  <c r="EN53" i="14" s="1"/>
  <c r="EL54" i="14" s="1"/>
  <c r="DC52" i="14"/>
  <c r="DD52" i="14" s="1"/>
  <c r="DB53" i="14" s="1"/>
  <c r="CK49" i="14"/>
  <c r="CJ49" i="14"/>
  <c r="AO45" i="14"/>
  <c r="BI51" i="14"/>
  <c r="BK51" i="14" s="1"/>
  <c r="AC48" i="14"/>
  <c r="AD48" i="14" s="1"/>
  <c r="AC49" i="14" s="1"/>
  <c r="DN51" i="14"/>
  <c r="DP51" i="14" s="1"/>
  <c r="DN52" i="14" s="1"/>
  <c r="AL45" i="14"/>
  <c r="AK45" i="14"/>
  <c r="D31" i="14"/>
  <c r="W31" i="15" s="1"/>
  <c r="E31" i="14"/>
  <c r="X31" i="15" s="1"/>
  <c r="CQ51" i="14"/>
  <c r="CR51" i="14" s="1"/>
  <c r="CQ52" i="14" s="1"/>
  <c r="AZ47" i="14"/>
  <c r="BB47" i="14" s="1"/>
  <c r="BA48" i="14" s="1"/>
  <c r="CS51" i="14"/>
  <c r="CU51" i="14" s="1"/>
  <c r="CT52" i="14" s="1"/>
  <c r="ER54" i="14"/>
  <c r="DM52" i="14"/>
  <c r="DL53" i="14" s="1"/>
  <c r="EC52" i="14"/>
  <c r="EE52" i="14" s="1"/>
  <c r="DJ50" i="14"/>
  <c r="DH51" i="14" s="1"/>
  <c r="EA53" i="14"/>
  <c r="EB53" i="14" s="1"/>
  <c r="EA54" i="14" s="1"/>
  <c r="EF53" i="14"/>
  <c r="EH53" i="14" s="1"/>
  <c r="EF54" i="14" s="1"/>
  <c r="DQ53" i="14"/>
  <c r="DS53" i="14" s="1"/>
  <c r="DR54" i="14" s="1"/>
  <c r="EQ53" i="14"/>
  <c r="EP54" i="14" s="1"/>
  <c r="EK52" i="14"/>
  <c r="EJ53" i="14" s="1"/>
  <c r="DT52" i="14"/>
  <c r="DV52" i="14" s="1"/>
  <c r="DT53" i="14" s="1"/>
  <c r="DW53" i="14"/>
  <c r="DX53" i="14"/>
  <c r="CC49" i="14"/>
  <c r="CB50" i="14" s="1"/>
  <c r="CW49" i="14"/>
  <c r="CV49" i="14"/>
  <c r="CM51" i="14"/>
  <c r="CN51" i="14"/>
  <c r="CF49" i="14"/>
  <c r="CD50" i="14" s="1"/>
  <c r="CI52" i="14"/>
  <c r="CG53" i="14" s="1"/>
  <c r="DF53" i="14"/>
  <c r="DG53" i="14" s="1"/>
  <c r="DE54" i="14" s="1"/>
  <c r="BX53" i="14"/>
  <c r="BZ53" i="14" s="1"/>
  <c r="BY54" i="14" s="1"/>
  <c r="DA50" i="14"/>
  <c r="BC47" i="14"/>
  <c r="BE47" i="14" s="1"/>
  <c r="AQ47" i="14"/>
  <c r="AS47" i="14" s="1"/>
  <c r="AR48" i="14" s="1"/>
  <c r="BM48" i="14"/>
  <c r="BN48" i="14" s="1"/>
  <c r="BH49" i="14"/>
  <c r="BG50" i="14" s="1"/>
  <c r="AX45" i="14"/>
  <c r="AW45" i="14"/>
  <c r="BT50" i="14"/>
  <c r="BS51" i="14" s="1"/>
  <c r="BV48" i="14"/>
  <c r="BW48" i="14" s="1"/>
  <c r="BP48" i="14"/>
  <c r="BO48" i="14"/>
  <c r="AT47" i="14"/>
  <c r="AV47" i="14" s="1"/>
  <c r="M44" i="14"/>
  <c r="O44" i="14" s="1"/>
  <c r="K48" i="14"/>
  <c r="L48" i="14" s="1"/>
  <c r="W44" i="14"/>
  <c r="X44" i="14" s="1"/>
  <c r="W45" i="14" s="1"/>
  <c r="P44" i="14"/>
  <c r="R44" i="14" s="1"/>
  <c r="Q45" i="14" s="1"/>
  <c r="AE46" i="14"/>
  <c r="AG46" i="14" s="1"/>
  <c r="U49" i="14"/>
  <c r="T50" i="14" s="1"/>
  <c r="AD12" i="20"/>
  <c r="AG12" i="20" s="1"/>
  <c r="Y44" i="14"/>
  <c r="AA44" i="14" s="1"/>
  <c r="G48" i="14"/>
  <c r="I48" i="14" s="1"/>
  <c r="U12" i="20"/>
  <c r="AF12" i="20" s="1"/>
  <c r="O12" i="20"/>
  <c r="W13" i="16"/>
  <c r="X13" i="16"/>
  <c r="AB13" i="17"/>
  <c r="AC13" i="17"/>
  <c r="T13" i="17"/>
  <c r="S13" i="17"/>
  <c r="Z13" i="17"/>
  <c r="Y13" i="17"/>
  <c r="G13" i="17"/>
  <c r="H13" i="17"/>
  <c r="J13" i="17"/>
  <c r="P13" i="17"/>
  <c r="N13" i="17"/>
  <c r="K13" i="17"/>
  <c r="V13" i="17"/>
  <c r="E13" i="17"/>
  <c r="M13" i="17"/>
  <c r="D13" i="17"/>
  <c r="Q13" i="17"/>
  <c r="W13" i="17"/>
  <c r="V12" i="20"/>
  <c r="EW54" i="14"/>
  <c r="I55" i="15"/>
  <c r="J55" i="15"/>
  <c r="EX55" i="14" s="1"/>
  <c r="K55" i="15"/>
  <c r="EY55" i="14" s="1"/>
  <c r="L13" i="16"/>
  <c r="S21" i="15"/>
  <c r="T21" i="15"/>
  <c r="AE21" i="15" s="1"/>
  <c r="AC21" i="15"/>
  <c r="AG21" i="15" s="1"/>
  <c r="ET54" i="14" l="1"/>
  <c r="DC53" i="14"/>
  <c r="DD53" i="14" s="1"/>
  <c r="DC54" i="14" s="1"/>
  <c r="AP45" i="14"/>
  <c r="AN46" i="14" s="1"/>
  <c r="AH47" i="14"/>
  <c r="AJ47" i="14" s="1"/>
  <c r="AH48" i="14" s="1"/>
  <c r="DI51" i="14"/>
  <c r="DJ51" i="14" s="1"/>
  <c r="CL49" i="14"/>
  <c r="CJ50" i="14" s="1"/>
  <c r="CX49" i="14"/>
  <c r="CV50" i="14" s="1"/>
  <c r="CP52" i="14"/>
  <c r="CR52" i="14" s="1"/>
  <c r="CQ53" i="14" s="1"/>
  <c r="CS52" i="14"/>
  <c r="CU52" i="14" s="1"/>
  <c r="CS53" i="14" s="1"/>
  <c r="BF50" i="14"/>
  <c r="BH50" i="14" s="1"/>
  <c r="BD48" i="14"/>
  <c r="BC48" i="14"/>
  <c r="AZ48" i="14"/>
  <c r="BB48" i="14" s="1"/>
  <c r="BA49" i="14" s="1"/>
  <c r="AB49" i="14"/>
  <c r="AD49" i="14" s="1"/>
  <c r="Y31" i="15"/>
  <c r="AA31" i="15" s="1"/>
  <c r="AM45" i="14"/>
  <c r="DK53" i="14"/>
  <c r="DM53" i="14" s="1"/>
  <c r="DK54" i="14" s="1"/>
  <c r="F31" i="14"/>
  <c r="E32" i="14" s="1"/>
  <c r="X32" i="15" s="1"/>
  <c r="Z31" i="15"/>
  <c r="CA50" i="14"/>
  <c r="CC50" i="14" s="1"/>
  <c r="EG54" i="14"/>
  <c r="EH54" i="14" s="1"/>
  <c r="EF55" i="14" s="1"/>
  <c r="EC53" i="14"/>
  <c r="ED53" i="14"/>
  <c r="EI53" i="14"/>
  <c r="EK53" i="14" s="1"/>
  <c r="EJ54" i="14" s="1"/>
  <c r="DZ54" i="14"/>
  <c r="EB54" i="14" s="1"/>
  <c r="EA55" i="14" s="1"/>
  <c r="EO54" i="14"/>
  <c r="EQ54" i="14" s="1"/>
  <c r="DY53" i="14"/>
  <c r="DX54" i="14" s="1"/>
  <c r="DO52" i="14"/>
  <c r="DP52" i="14" s="1"/>
  <c r="DN53" i="14" s="1"/>
  <c r="EM54" i="14"/>
  <c r="EN54" i="14" s="1"/>
  <c r="EL55" i="14" s="1"/>
  <c r="DU53" i="14"/>
  <c r="DV53" i="14" s="1"/>
  <c r="DU54" i="14" s="1"/>
  <c r="DQ54" i="14"/>
  <c r="DS54" i="14" s="1"/>
  <c r="DQ55" i="14" s="1"/>
  <c r="CO51" i="14"/>
  <c r="CM52" i="14" s="1"/>
  <c r="CE50" i="14"/>
  <c r="CF50" i="14" s="1"/>
  <c r="CH53" i="14"/>
  <c r="CI53" i="14" s="1"/>
  <c r="CH54" i="14" s="1"/>
  <c r="BX54" i="14"/>
  <c r="BZ54" i="14" s="1"/>
  <c r="BX55" i="14" s="1"/>
  <c r="DF54" i="14"/>
  <c r="DG54" i="14" s="1"/>
  <c r="CZ51" i="14"/>
  <c r="CY51" i="14"/>
  <c r="DB54" i="14"/>
  <c r="DD54" i="14" s="1"/>
  <c r="DC55" i="14" s="1"/>
  <c r="BM49" i="14"/>
  <c r="BL49" i="14"/>
  <c r="AY45" i="14"/>
  <c r="AW46" i="14" s="1"/>
  <c r="BR51" i="14"/>
  <c r="BT51" i="14" s="1"/>
  <c r="BR52" i="14" s="1"/>
  <c r="BQ48" i="14"/>
  <c r="BP49" i="14" s="1"/>
  <c r="BU49" i="14"/>
  <c r="BV49" i="14"/>
  <c r="BI52" i="14"/>
  <c r="BJ52" i="14"/>
  <c r="AQ48" i="14"/>
  <c r="AS48" i="14" s="1"/>
  <c r="K49" i="14"/>
  <c r="J49" i="14"/>
  <c r="N45" i="14"/>
  <c r="M45" i="14"/>
  <c r="P45" i="14"/>
  <c r="R45" i="14" s="1"/>
  <c r="P46" i="14" s="1"/>
  <c r="V45" i="14"/>
  <c r="X45" i="14" s="1"/>
  <c r="S50" i="14"/>
  <c r="U50" i="14" s="1"/>
  <c r="AF47" i="14"/>
  <c r="AE47" i="14"/>
  <c r="AA13" i="17"/>
  <c r="EZ55" i="14"/>
  <c r="G49" i="14"/>
  <c r="H49" i="14"/>
  <c r="I13" i="17"/>
  <c r="O13" i="17"/>
  <c r="R13" i="16"/>
  <c r="AD13" i="16" s="1"/>
  <c r="X13" i="17"/>
  <c r="Z45" i="14"/>
  <c r="Y45" i="14"/>
  <c r="AU48" i="14"/>
  <c r="AT48" i="14"/>
  <c r="R13" i="17"/>
  <c r="D13" i="20"/>
  <c r="Y13" i="16"/>
  <c r="Z13" i="16"/>
  <c r="AD13" i="17"/>
  <c r="EV55" i="14"/>
  <c r="EU55" i="14"/>
  <c r="L13" i="17"/>
  <c r="U21" i="15"/>
  <c r="AF21" i="15" s="1"/>
  <c r="O21" i="15"/>
  <c r="I56" i="15"/>
  <c r="J56" i="15"/>
  <c r="FA56" i="14" s="1"/>
  <c r="K56" i="15"/>
  <c r="FB56" i="14" s="1"/>
  <c r="ES55" i="14"/>
  <c r="Q13" i="16"/>
  <c r="F13" i="17"/>
  <c r="U13" i="17"/>
  <c r="ER55" i="14"/>
  <c r="CW50" i="14" l="1"/>
  <c r="CX50" i="14" s="1"/>
  <c r="CV51" i="14" s="1"/>
  <c r="AO46" i="14"/>
  <c r="BE48" i="14"/>
  <c r="BC49" i="14" s="1"/>
  <c r="AP46" i="14"/>
  <c r="DL54" i="14"/>
  <c r="DM54" i="14" s="1"/>
  <c r="DL55" i="14" s="1"/>
  <c r="DH52" i="14"/>
  <c r="DI52" i="14"/>
  <c r="CP53" i="14"/>
  <c r="CR53" i="14" s="1"/>
  <c r="CP54" i="14" s="1"/>
  <c r="CK50" i="14"/>
  <c r="CL50" i="14" s="1"/>
  <c r="CK51" i="14" s="1"/>
  <c r="CT53" i="14"/>
  <c r="CU53" i="14" s="1"/>
  <c r="CT54" i="14" s="1"/>
  <c r="AN47" i="14"/>
  <c r="AO47" i="14"/>
  <c r="AZ49" i="14"/>
  <c r="BB49" i="14" s="1"/>
  <c r="AZ50" i="14" s="1"/>
  <c r="BN49" i="14"/>
  <c r="BL50" i="14" s="1"/>
  <c r="AB50" i="14"/>
  <c r="AC50" i="14"/>
  <c r="AI48" i="14"/>
  <c r="AJ48" i="14" s="1"/>
  <c r="V31" i="15"/>
  <c r="D32" i="14"/>
  <c r="W32" i="15" s="1"/>
  <c r="Z32" i="15" s="1"/>
  <c r="AK46" i="14"/>
  <c r="AL46" i="14"/>
  <c r="CN52" i="14"/>
  <c r="CO52" i="14" s="1"/>
  <c r="CM53" i="14" s="1"/>
  <c r="EX56" i="14"/>
  <c r="EW55" i="14"/>
  <c r="EU56" i="14" s="1"/>
  <c r="EI54" i="14"/>
  <c r="EK54" i="14" s="1"/>
  <c r="EI55" i="14" s="1"/>
  <c r="EE53" i="14"/>
  <c r="DW54" i="14"/>
  <c r="DY54" i="14" s="1"/>
  <c r="DX55" i="14" s="1"/>
  <c r="DZ55" i="14"/>
  <c r="EB55" i="14" s="1"/>
  <c r="DZ56" i="14" s="1"/>
  <c r="EO55" i="14"/>
  <c r="EP55" i="14"/>
  <c r="DO53" i="14"/>
  <c r="DP53" i="14" s="1"/>
  <c r="DO54" i="14" s="1"/>
  <c r="EG55" i="14"/>
  <c r="EH55" i="14" s="1"/>
  <c r="DR55" i="14"/>
  <c r="DS55" i="14" s="1"/>
  <c r="DR56" i="14" s="1"/>
  <c r="DT54" i="14"/>
  <c r="DV54" i="14" s="1"/>
  <c r="EM55" i="14"/>
  <c r="EN55" i="14" s="1"/>
  <c r="CA51" i="14"/>
  <c r="CB51" i="14"/>
  <c r="CG54" i="14"/>
  <c r="CI54" i="14" s="1"/>
  <c r="CG55" i="14" s="1"/>
  <c r="BY55" i="14"/>
  <c r="BZ55" i="14" s="1"/>
  <c r="BY56" i="14" s="1"/>
  <c r="DA51" i="14"/>
  <c r="CZ52" i="14" s="1"/>
  <c r="DE55" i="14"/>
  <c r="DF55" i="14"/>
  <c r="DB55" i="14"/>
  <c r="DD55" i="14" s="1"/>
  <c r="DC56" i="14" s="1"/>
  <c r="CE51" i="14"/>
  <c r="CD51" i="14"/>
  <c r="BG51" i="14"/>
  <c r="BF51" i="14"/>
  <c r="AX46" i="14"/>
  <c r="AY46" i="14" s="1"/>
  <c r="BS52" i="14"/>
  <c r="BT52" i="14" s="1"/>
  <c r="BO49" i="14"/>
  <c r="BQ49" i="14" s="1"/>
  <c r="BO50" i="14" s="1"/>
  <c r="BW49" i="14"/>
  <c r="BV50" i="14" s="1"/>
  <c r="BK52" i="14"/>
  <c r="BI53" i="14" s="1"/>
  <c r="AV48" i="14"/>
  <c r="AU49" i="14" s="1"/>
  <c r="AQ49" i="14"/>
  <c r="AR49" i="14"/>
  <c r="O45" i="14"/>
  <c r="N46" i="14" s="1"/>
  <c r="L49" i="14"/>
  <c r="W46" i="14"/>
  <c r="V46" i="14"/>
  <c r="AG47" i="14"/>
  <c r="AE48" i="14" s="1"/>
  <c r="Q46" i="14"/>
  <c r="R46" i="14" s="1"/>
  <c r="I49" i="14"/>
  <c r="AA45" i="14"/>
  <c r="Y46" i="14" s="1"/>
  <c r="S51" i="14"/>
  <c r="T51" i="14"/>
  <c r="I57" i="15"/>
  <c r="K57" i="15"/>
  <c r="FE57" i="14" s="1"/>
  <c r="J57" i="15"/>
  <c r="FD57" i="14" s="1"/>
  <c r="AA13" i="16"/>
  <c r="V13" i="16"/>
  <c r="FC56" i="14"/>
  <c r="ET55" i="14"/>
  <c r="E13" i="20"/>
  <c r="F13" i="20" s="1"/>
  <c r="J13" i="20"/>
  <c r="G13" i="20"/>
  <c r="P13" i="16"/>
  <c r="EY56" i="14"/>
  <c r="S13" i="16"/>
  <c r="U13" i="16" s="1"/>
  <c r="T13" i="16"/>
  <c r="K13" i="16"/>
  <c r="R22" i="15"/>
  <c r="AD22" i="15" s="1"/>
  <c r="Q22" i="15"/>
  <c r="BD49" i="14" l="1"/>
  <c r="BE49" i="14" s="1"/>
  <c r="BC50" i="14" s="1"/>
  <c r="CQ54" i="14"/>
  <c r="DJ52" i="14"/>
  <c r="DI53" i="14" s="1"/>
  <c r="DK55" i="14"/>
  <c r="DM55" i="14" s="1"/>
  <c r="DL56" i="14" s="1"/>
  <c r="CJ51" i="14"/>
  <c r="CR54" i="14"/>
  <c r="CP55" i="14" s="1"/>
  <c r="CS54" i="14"/>
  <c r="CU54" i="14" s="1"/>
  <c r="CT55" i="14" s="1"/>
  <c r="CN53" i="14"/>
  <c r="CO53" i="14" s="1"/>
  <c r="CN54" i="14" s="1"/>
  <c r="CL51" i="14"/>
  <c r="AP47" i="14"/>
  <c r="AO48" i="14" s="1"/>
  <c r="BA50" i="14"/>
  <c r="BB50" i="14" s="1"/>
  <c r="BA51" i="14" s="1"/>
  <c r="BM50" i="14"/>
  <c r="BN50" i="14" s="1"/>
  <c r="BM51" i="14" s="1"/>
  <c r="AD50" i="14"/>
  <c r="Y32" i="15"/>
  <c r="AA32" i="15" s="1"/>
  <c r="F32" i="14"/>
  <c r="D33" i="14" s="1"/>
  <c r="W33" i="15" s="1"/>
  <c r="EZ56" i="14"/>
  <c r="EX57" i="14" s="1"/>
  <c r="AM46" i="14"/>
  <c r="M46" i="14"/>
  <c r="O46" i="14" s="1"/>
  <c r="CW51" i="14"/>
  <c r="CX51" i="14" s="1"/>
  <c r="CW52" i="14" s="1"/>
  <c r="FF57" i="14"/>
  <c r="EV56" i="14"/>
  <c r="EW56" i="14" s="1"/>
  <c r="EJ55" i="14"/>
  <c r="EK55" i="14" s="1"/>
  <c r="EJ56" i="14" s="1"/>
  <c r="ED54" i="14"/>
  <c r="EC54" i="14"/>
  <c r="DW55" i="14"/>
  <c r="DY55" i="14" s="1"/>
  <c r="DW56" i="14" s="1"/>
  <c r="EQ55" i="14"/>
  <c r="EP56" i="14" s="1"/>
  <c r="EA56" i="14"/>
  <c r="EB56" i="14" s="1"/>
  <c r="EA57" i="14" s="1"/>
  <c r="DN54" i="14"/>
  <c r="DP54" i="14" s="1"/>
  <c r="EG56" i="14"/>
  <c r="EF56" i="14"/>
  <c r="DQ56" i="14"/>
  <c r="DS56" i="14" s="1"/>
  <c r="DR57" i="14" s="1"/>
  <c r="EM56" i="14"/>
  <c r="EL56" i="14"/>
  <c r="DU55" i="14"/>
  <c r="DT55" i="14"/>
  <c r="CC51" i="14"/>
  <c r="CA52" i="14" s="1"/>
  <c r="CH55" i="14"/>
  <c r="CI55" i="14" s="1"/>
  <c r="CG56" i="14" s="1"/>
  <c r="CY52" i="14"/>
  <c r="DA52" i="14" s="1"/>
  <c r="CF51" i="14"/>
  <c r="CE52" i="14" s="1"/>
  <c r="DG55" i="14"/>
  <c r="DF56" i="14" s="1"/>
  <c r="BX56" i="14"/>
  <c r="BZ56" i="14" s="1"/>
  <c r="BX57" i="14" s="1"/>
  <c r="DB56" i="14"/>
  <c r="DD56" i="14" s="1"/>
  <c r="BD50" i="14"/>
  <c r="BE50" i="14" s="1"/>
  <c r="BC51" i="14" s="1"/>
  <c r="BH51" i="14"/>
  <c r="BG52" i="14" s="1"/>
  <c r="BJ53" i="14"/>
  <c r="BK53" i="14" s="1"/>
  <c r="BJ54" i="14" s="1"/>
  <c r="BU50" i="14"/>
  <c r="BW50" i="14" s="1"/>
  <c r="BP50" i="14"/>
  <c r="BQ50" i="14" s="1"/>
  <c r="AW47" i="14"/>
  <c r="AX47" i="14"/>
  <c r="BS53" i="14"/>
  <c r="BR53" i="14"/>
  <c r="AT49" i="14"/>
  <c r="AV49" i="14" s="1"/>
  <c r="AS49" i="14"/>
  <c r="X46" i="14"/>
  <c r="V47" i="14" s="1"/>
  <c r="J50" i="14"/>
  <c r="K50" i="14"/>
  <c r="AF48" i="14"/>
  <c r="AG48" i="14" s="1"/>
  <c r="Q47" i="14"/>
  <c r="P47" i="14"/>
  <c r="Z46" i="14"/>
  <c r="AA46" i="14" s="1"/>
  <c r="G50" i="14"/>
  <c r="H50" i="14"/>
  <c r="U51" i="14"/>
  <c r="AI49" i="14"/>
  <c r="AH49" i="14"/>
  <c r="H13" i="20"/>
  <c r="I13" i="20"/>
  <c r="FB57" i="14"/>
  <c r="FA57" i="14"/>
  <c r="M13" i="16"/>
  <c r="N13" i="16"/>
  <c r="AE13" i="16" s="1"/>
  <c r="AC13" i="16"/>
  <c r="AG13" i="16" s="1"/>
  <c r="ES56" i="14"/>
  <c r="ER56" i="14"/>
  <c r="I58" i="15"/>
  <c r="J58" i="15"/>
  <c r="FG58" i="14" s="1"/>
  <c r="K58" i="15"/>
  <c r="FH58" i="14" s="1"/>
  <c r="AB13" i="19"/>
  <c r="P13" i="19"/>
  <c r="M13" i="19"/>
  <c r="Y13" i="19"/>
  <c r="S13" i="19"/>
  <c r="V13" i="19"/>
  <c r="G13" i="19"/>
  <c r="J13" i="19"/>
  <c r="D13" i="19"/>
  <c r="Q13" i="20"/>
  <c r="S22" i="15"/>
  <c r="T22" i="15"/>
  <c r="AE22" i="15" s="1"/>
  <c r="AC22" i="15"/>
  <c r="AG22" i="15" s="1"/>
  <c r="K13" i="20"/>
  <c r="CS55" i="14" l="1"/>
  <c r="CU55" i="14" s="1"/>
  <c r="CT56" i="14" s="1"/>
  <c r="AN48" i="14"/>
  <c r="AP48" i="14" s="1"/>
  <c r="CQ55" i="14"/>
  <c r="CR55" i="14" s="1"/>
  <c r="CQ56" i="14" s="1"/>
  <c r="E33" i="14"/>
  <c r="X33" i="15" s="1"/>
  <c r="Y33" i="15" s="1"/>
  <c r="AA33" i="15" s="1"/>
  <c r="V32" i="15"/>
  <c r="EY57" i="14"/>
  <c r="EZ57" i="14" s="1"/>
  <c r="EY58" i="14" s="1"/>
  <c r="DH53" i="14"/>
  <c r="DJ53" i="14" s="1"/>
  <c r="DH54" i="14" s="1"/>
  <c r="DK56" i="14"/>
  <c r="DM56" i="14" s="1"/>
  <c r="DL57" i="14" s="1"/>
  <c r="EE54" i="14"/>
  <c r="ED55" i="14" s="1"/>
  <c r="CM54" i="14"/>
  <c r="CO54" i="14" s="1"/>
  <c r="CH56" i="14"/>
  <c r="CI56" i="14" s="1"/>
  <c r="CG57" i="14" s="1"/>
  <c r="CV52" i="14"/>
  <c r="CX52" i="14" s="1"/>
  <c r="CV53" i="14" s="1"/>
  <c r="CJ52" i="14"/>
  <c r="CK52" i="14"/>
  <c r="BL51" i="14"/>
  <c r="BN51" i="14" s="1"/>
  <c r="BM52" i="14" s="1"/>
  <c r="BF52" i="14"/>
  <c r="BH52" i="14" s="1"/>
  <c r="BF53" i="14" s="1"/>
  <c r="AC51" i="14"/>
  <c r="AB51" i="14"/>
  <c r="M47" i="14"/>
  <c r="N47" i="14"/>
  <c r="FC57" i="14"/>
  <c r="FB58" i="14" s="1"/>
  <c r="AL47" i="14"/>
  <c r="AK47" i="14"/>
  <c r="CB52" i="14"/>
  <c r="CC52" i="14" s="1"/>
  <c r="DX56" i="14"/>
  <c r="DY56" i="14" s="1"/>
  <c r="DW57" i="14" s="1"/>
  <c r="EV57" i="14"/>
  <c r="EU57" i="14"/>
  <c r="ET56" i="14"/>
  <c r="ER57" i="14" s="1"/>
  <c r="FI58" i="14"/>
  <c r="EO56" i="14"/>
  <c r="EQ56" i="14" s="1"/>
  <c r="EP57" i="14" s="1"/>
  <c r="DZ57" i="14"/>
  <c r="EB57" i="14" s="1"/>
  <c r="DZ58" i="14" s="1"/>
  <c r="EH56" i="14"/>
  <c r="DO55" i="14"/>
  <c r="DN55" i="14"/>
  <c r="DV55" i="14"/>
  <c r="DU56" i="14" s="1"/>
  <c r="EN56" i="14"/>
  <c r="DQ57" i="14"/>
  <c r="DS57" i="14" s="1"/>
  <c r="DR58" i="14" s="1"/>
  <c r="EI56" i="14"/>
  <c r="EK56" i="14" s="1"/>
  <c r="EJ57" i="14" s="1"/>
  <c r="CS56" i="14"/>
  <c r="CU56" i="14" s="1"/>
  <c r="CT57" i="14" s="1"/>
  <c r="CP56" i="14"/>
  <c r="CR56" i="14" s="1"/>
  <c r="CD52" i="14"/>
  <c r="CF52" i="14" s="1"/>
  <c r="CE53" i="14" s="1"/>
  <c r="DE56" i="14"/>
  <c r="DG56" i="14" s="1"/>
  <c r="DF57" i="14" s="1"/>
  <c r="CZ53" i="14"/>
  <c r="CY53" i="14"/>
  <c r="BY57" i="14"/>
  <c r="BZ57" i="14" s="1"/>
  <c r="BX58" i="14" s="1"/>
  <c r="DC57" i="14"/>
  <c r="DB57" i="14"/>
  <c r="BD51" i="14"/>
  <c r="BE51" i="14" s="1"/>
  <c r="BI54" i="14"/>
  <c r="BK54" i="14" s="1"/>
  <c r="BI55" i="14" s="1"/>
  <c r="BU51" i="14"/>
  <c r="BV51" i="14"/>
  <c r="BT53" i="14"/>
  <c r="BS54" i="14" s="1"/>
  <c r="AY47" i="14"/>
  <c r="BP51" i="14"/>
  <c r="BO51" i="14"/>
  <c r="AZ51" i="14"/>
  <c r="BB51" i="14" s="1"/>
  <c r="AZ52" i="14" s="1"/>
  <c r="AQ50" i="14"/>
  <c r="AR50" i="14"/>
  <c r="W47" i="14"/>
  <c r="X47" i="14" s="1"/>
  <c r="V48" i="14" s="1"/>
  <c r="R47" i="14"/>
  <c r="Q48" i="14" s="1"/>
  <c r="L50" i="14"/>
  <c r="K51" i="14" s="1"/>
  <c r="AF49" i="14"/>
  <c r="AE49" i="14"/>
  <c r="AJ49" i="14"/>
  <c r="AI50" i="14" s="1"/>
  <c r="I50" i="14"/>
  <c r="T52" i="14"/>
  <c r="S52" i="14"/>
  <c r="AU50" i="14"/>
  <c r="AT50" i="14"/>
  <c r="Y47" i="14"/>
  <c r="Z47" i="14"/>
  <c r="T13" i="20"/>
  <c r="W13" i="20"/>
  <c r="I59" i="15"/>
  <c r="K59" i="15"/>
  <c r="FK59" i="14" s="1"/>
  <c r="J59" i="15"/>
  <c r="FJ59" i="14" s="1"/>
  <c r="F33" i="14"/>
  <c r="FD58" i="14"/>
  <c r="O13" i="16"/>
  <c r="AF13" i="16" s="1"/>
  <c r="I13" i="16"/>
  <c r="FE58" i="14"/>
  <c r="Z33" i="15"/>
  <c r="AC13" i="19"/>
  <c r="AD13" i="19" s="1"/>
  <c r="Q13" i="19"/>
  <c r="R13" i="19" s="1"/>
  <c r="T13" i="19"/>
  <c r="U13" i="19" s="1"/>
  <c r="Z13" i="19"/>
  <c r="AA13" i="19" s="1"/>
  <c r="W13" i="19"/>
  <c r="X13" i="19" s="1"/>
  <c r="N13" i="19"/>
  <c r="O13" i="19" s="1"/>
  <c r="K13" i="19"/>
  <c r="L13" i="19" s="1"/>
  <c r="H13" i="19"/>
  <c r="I13" i="19" s="1"/>
  <c r="E13" i="19"/>
  <c r="F13" i="19" s="1"/>
  <c r="R13" i="20"/>
  <c r="U22" i="15"/>
  <c r="AF22" i="15" s="1"/>
  <c r="O22" i="15"/>
  <c r="DI54" i="14" l="1"/>
  <c r="AN49" i="14"/>
  <c r="AO49" i="14"/>
  <c r="FL59" i="14"/>
  <c r="AD51" i="14"/>
  <c r="EW57" i="14"/>
  <c r="EV58" i="14" s="1"/>
  <c r="ES57" i="14"/>
  <c r="ET57" i="14" s="1"/>
  <c r="ES58" i="14" s="1"/>
  <c r="FA58" i="14"/>
  <c r="FC58" i="14" s="1"/>
  <c r="FB59" i="14" s="1"/>
  <c r="DJ54" i="14"/>
  <c r="DI55" i="14" s="1"/>
  <c r="EC55" i="14"/>
  <c r="EE55" i="14" s="1"/>
  <c r="EC56" i="14" s="1"/>
  <c r="DK57" i="14"/>
  <c r="DM57" i="14" s="1"/>
  <c r="DK58" i="14" s="1"/>
  <c r="CN55" i="14"/>
  <c r="CM55" i="14"/>
  <c r="CW53" i="14"/>
  <c r="CX53" i="14" s="1"/>
  <c r="CW54" i="14" s="1"/>
  <c r="CL52" i="14"/>
  <c r="CK53" i="14" s="1"/>
  <c r="CS57" i="14"/>
  <c r="CU57" i="14" s="1"/>
  <c r="CT58" i="14" s="1"/>
  <c r="BL52" i="14"/>
  <c r="BN52" i="14" s="1"/>
  <c r="BL53" i="14" s="1"/>
  <c r="BG53" i="14"/>
  <c r="BH53" i="14" s="1"/>
  <c r="BG54" i="14" s="1"/>
  <c r="O47" i="14"/>
  <c r="N48" i="14" s="1"/>
  <c r="AM47" i="14"/>
  <c r="AL48" i="14" s="1"/>
  <c r="CB53" i="14"/>
  <c r="CA53" i="14"/>
  <c r="FH59" i="14"/>
  <c r="EO57" i="14"/>
  <c r="EQ57" i="14" s="1"/>
  <c r="EP58" i="14" s="1"/>
  <c r="EA58" i="14"/>
  <c r="EB58" i="14" s="1"/>
  <c r="DZ59" i="14" s="1"/>
  <c r="DX57" i="14"/>
  <c r="DY57" i="14" s="1"/>
  <c r="DX58" i="14" s="1"/>
  <c r="EX58" i="14"/>
  <c r="EZ58" i="14" s="1"/>
  <c r="EX59" i="14" s="1"/>
  <c r="DP55" i="14"/>
  <c r="DN56" i="14" s="1"/>
  <c r="EF57" i="14"/>
  <c r="EG57" i="14"/>
  <c r="DQ58" i="14"/>
  <c r="DS58" i="14" s="1"/>
  <c r="DQ59" i="14" s="1"/>
  <c r="DT56" i="14"/>
  <c r="DV56" i="14" s="1"/>
  <c r="EM57" i="14"/>
  <c r="EL57" i="14"/>
  <c r="EI57" i="14"/>
  <c r="EK57" i="14" s="1"/>
  <c r="EJ58" i="14" s="1"/>
  <c r="DA53" i="14"/>
  <c r="CZ54" i="14" s="1"/>
  <c r="DE57" i="14"/>
  <c r="DG57" i="14" s="1"/>
  <c r="DD57" i="14"/>
  <c r="DC58" i="14" s="1"/>
  <c r="BY58" i="14"/>
  <c r="BZ58" i="14" s="1"/>
  <c r="BY59" i="14" s="1"/>
  <c r="CH57" i="14"/>
  <c r="CI57" i="14" s="1"/>
  <c r="CH58" i="14" s="1"/>
  <c r="CD53" i="14"/>
  <c r="CF53" i="14" s="1"/>
  <c r="CE54" i="14" s="1"/>
  <c r="CP57" i="14"/>
  <c r="CQ57" i="14"/>
  <c r="BD52" i="14"/>
  <c r="BC52" i="14"/>
  <c r="BQ51" i="14"/>
  <c r="BO52" i="14" s="1"/>
  <c r="BJ55" i="14"/>
  <c r="BK55" i="14" s="1"/>
  <c r="BI56" i="14" s="1"/>
  <c r="BR54" i="14"/>
  <c r="BT54" i="14" s="1"/>
  <c r="BR55" i="14" s="1"/>
  <c r="BW51" i="14"/>
  <c r="AX48" i="14"/>
  <c r="AW48" i="14"/>
  <c r="AS50" i="14"/>
  <c r="AR51" i="14" s="1"/>
  <c r="BA52" i="14"/>
  <c r="BB52" i="14" s="1"/>
  <c r="AV50" i="14"/>
  <c r="AT51" i="14" s="1"/>
  <c r="AG49" i="14"/>
  <c r="AE50" i="14" s="1"/>
  <c r="P48" i="14"/>
  <c r="R48" i="14" s="1"/>
  <c r="P49" i="14" s="1"/>
  <c r="J51" i="14"/>
  <c r="L51" i="14" s="1"/>
  <c r="W48" i="14"/>
  <c r="X48" i="14" s="1"/>
  <c r="AH50" i="14"/>
  <c r="AJ50" i="14" s="1"/>
  <c r="AH51" i="14" s="1"/>
  <c r="G51" i="14"/>
  <c r="H51" i="14"/>
  <c r="U52" i="14"/>
  <c r="AA47" i="14"/>
  <c r="V13" i="20"/>
  <c r="I60" i="15"/>
  <c r="K60" i="15"/>
  <c r="FN60" i="14" s="1"/>
  <c r="J60" i="15"/>
  <c r="FM60" i="14" s="1"/>
  <c r="V33" i="15"/>
  <c r="D34" i="14"/>
  <c r="W34" i="15" s="1"/>
  <c r="E34" i="14"/>
  <c r="X34" i="15" s="1"/>
  <c r="Z13" i="20"/>
  <c r="AE13" i="20" s="1"/>
  <c r="H14" i="16"/>
  <c r="L14" i="16" s="1"/>
  <c r="Q23" i="15"/>
  <c r="R23" i="15"/>
  <c r="AD23" i="15" s="1"/>
  <c r="AC13" i="20"/>
  <c r="X13" i="20"/>
  <c r="Y13" i="20" s="1"/>
  <c r="AA13" i="20" s="1"/>
  <c r="S13" i="20"/>
  <c r="FG59" i="14"/>
  <c r="FF58" i="14"/>
  <c r="DH55" i="14" l="1"/>
  <c r="DJ55" i="14" s="1"/>
  <c r="DI56" i="14" s="1"/>
  <c r="CO55" i="14"/>
  <c r="CN56" i="14" s="1"/>
  <c r="AP49" i="14"/>
  <c r="M48" i="14"/>
  <c r="CJ53" i="14"/>
  <c r="CL53" i="14" s="1"/>
  <c r="CK54" i="14" s="1"/>
  <c r="CV54" i="14"/>
  <c r="CX54" i="14" s="1"/>
  <c r="CW55" i="14" s="1"/>
  <c r="CM56" i="14"/>
  <c r="AB52" i="14"/>
  <c r="AC52" i="14"/>
  <c r="EU58" i="14"/>
  <c r="EW58" i="14" s="1"/>
  <c r="EV59" i="14" s="1"/>
  <c r="ER58" i="14"/>
  <c r="ET58" i="14" s="1"/>
  <c r="EO58" i="14"/>
  <c r="EQ58" i="14" s="1"/>
  <c r="EO59" i="14" s="1"/>
  <c r="ED56" i="14"/>
  <c r="EE56" i="14" s="1"/>
  <c r="EC57" i="14" s="1"/>
  <c r="DL58" i="14"/>
  <c r="DM58" i="14" s="1"/>
  <c r="DL59" i="14" s="1"/>
  <c r="DW58" i="14"/>
  <c r="DY58" i="14" s="1"/>
  <c r="DX59" i="14" s="1"/>
  <c r="CC53" i="14"/>
  <c r="CB54" i="14" s="1"/>
  <c r="CS58" i="14"/>
  <c r="CU58" i="14" s="1"/>
  <c r="CS59" i="14" s="1"/>
  <c r="CY54" i="14"/>
  <c r="DA54" i="14" s="1"/>
  <c r="CY55" i="14" s="1"/>
  <c r="BM53" i="14"/>
  <c r="BN53" i="14" s="1"/>
  <c r="BL54" i="14" s="1"/>
  <c r="BE52" i="14"/>
  <c r="BD53" i="14" s="1"/>
  <c r="AK48" i="14"/>
  <c r="AM48" i="14" s="1"/>
  <c r="FI59" i="14"/>
  <c r="FH60" i="14" s="1"/>
  <c r="DO56" i="14"/>
  <c r="DP56" i="14" s="1"/>
  <c r="DN57" i="14" s="1"/>
  <c r="AF50" i="14"/>
  <c r="AG50" i="14" s="1"/>
  <c r="AF51" i="14" s="1"/>
  <c r="BF54" i="14"/>
  <c r="BH54" i="14" s="1"/>
  <c r="BF55" i="14" s="1"/>
  <c r="DH56" i="14"/>
  <c r="DJ56" i="14" s="1"/>
  <c r="FK60" i="14"/>
  <c r="FJ60" i="14"/>
  <c r="FO60" i="14"/>
  <c r="FA59" i="14"/>
  <c r="FC59" i="14" s="1"/>
  <c r="EY59" i="14"/>
  <c r="EZ59" i="14" s="1"/>
  <c r="EH57" i="14"/>
  <c r="EG58" i="14" s="1"/>
  <c r="DT57" i="14"/>
  <c r="DU57" i="14"/>
  <c r="EN57" i="14"/>
  <c r="EM58" i="14" s="1"/>
  <c r="DR59" i="14"/>
  <c r="DS59" i="14" s="1"/>
  <c r="DQ60" i="14" s="1"/>
  <c r="EA59" i="14"/>
  <c r="EB59" i="14" s="1"/>
  <c r="EI58" i="14"/>
  <c r="EK58" i="14" s="1"/>
  <c r="EI59" i="14" s="1"/>
  <c r="DB58" i="14"/>
  <c r="DD58" i="14" s="1"/>
  <c r="DC59" i="14" s="1"/>
  <c r="CG58" i="14"/>
  <c r="CI58" i="14" s="1"/>
  <c r="CH59" i="14" s="1"/>
  <c r="CD54" i="14"/>
  <c r="CF54" i="14" s="1"/>
  <c r="DF58" i="14"/>
  <c r="DE58" i="14"/>
  <c r="BX59" i="14"/>
  <c r="BZ59" i="14" s="1"/>
  <c r="BY60" i="14" s="1"/>
  <c r="CR57" i="14"/>
  <c r="BP52" i="14"/>
  <c r="BQ52" i="14" s="1"/>
  <c r="BP53" i="14" s="1"/>
  <c r="AY48" i="14"/>
  <c r="AX49" i="14" s="1"/>
  <c r="BJ56" i="14"/>
  <c r="BK56" i="14" s="1"/>
  <c r="BI57" i="14" s="1"/>
  <c r="BV52" i="14"/>
  <c r="BU52" i="14"/>
  <c r="AQ51" i="14"/>
  <c r="AS51" i="14" s="1"/>
  <c r="AQ52" i="14" s="1"/>
  <c r="BS55" i="14"/>
  <c r="BT55" i="14" s="1"/>
  <c r="BS56" i="14" s="1"/>
  <c r="AU51" i="14"/>
  <c r="AV51" i="14" s="1"/>
  <c r="AU52" i="14" s="1"/>
  <c r="Q49" i="14"/>
  <c r="R49" i="14" s="1"/>
  <c r="O48" i="14"/>
  <c r="N49" i="14" s="1"/>
  <c r="J52" i="14"/>
  <c r="K52" i="14"/>
  <c r="AI51" i="14"/>
  <c r="AJ51" i="14" s="1"/>
  <c r="V49" i="14"/>
  <c r="W49" i="14"/>
  <c r="I51" i="14"/>
  <c r="G52" i="14" s="1"/>
  <c r="T53" i="14"/>
  <c r="S53" i="14"/>
  <c r="AD13" i="20"/>
  <c r="AG13" i="20" s="1"/>
  <c r="Y48" i="14"/>
  <c r="Z48" i="14"/>
  <c r="AZ53" i="14"/>
  <c r="BA53" i="14"/>
  <c r="X14" i="16"/>
  <c r="W14" i="16"/>
  <c r="AE14" i="17"/>
  <c r="AF14" i="17"/>
  <c r="W14" i="17"/>
  <c r="V14" i="17"/>
  <c r="G14" i="17"/>
  <c r="Q14" i="17"/>
  <c r="H14" i="17"/>
  <c r="P14" i="17"/>
  <c r="M14" i="17"/>
  <c r="N14" i="17"/>
  <c r="Z14" i="17"/>
  <c r="Y14" i="17"/>
  <c r="S14" i="17"/>
  <c r="D14" i="17"/>
  <c r="AC14" i="17"/>
  <c r="AB14" i="17"/>
  <c r="J14" i="17"/>
  <c r="T14" i="17"/>
  <c r="E14" i="17"/>
  <c r="K14" i="17"/>
  <c r="Y34" i="15"/>
  <c r="AA34" i="15" s="1"/>
  <c r="Z34" i="15"/>
  <c r="S23" i="15"/>
  <c r="T23" i="15"/>
  <c r="AE23" i="15" s="1"/>
  <c r="AC23" i="15"/>
  <c r="AG23" i="15" s="1"/>
  <c r="U13" i="20"/>
  <c r="AF13" i="20" s="1"/>
  <c r="O13" i="20"/>
  <c r="FE59" i="14"/>
  <c r="FD59" i="14"/>
  <c r="I61" i="15"/>
  <c r="K61" i="15"/>
  <c r="FQ61" i="14" s="1"/>
  <c r="J61" i="15"/>
  <c r="FP61" i="14" s="1"/>
  <c r="F34" i="14"/>
  <c r="EP59" i="14" l="1"/>
  <c r="EQ59" i="14" s="1"/>
  <c r="EP60" i="14" s="1"/>
  <c r="CO56" i="14"/>
  <c r="CM57" i="14" s="1"/>
  <c r="CV55" i="14"/>
  <c r="AN50" i="14"/>
  <c r="AO50" i="14"/>
  <c r="AD52" i="14"/>
  <c r="AC53" i="14" s="1"/>
  <c r="BC53" i="14"/>
  <c r="BE53" i="14" s="1"/>
  <c r="BC54" i="14" s="1"/>
  <c r="FN61" i="14"/>
  <c r="CJ54" i="14"/>
  <c r="CL54" i="14" s="1"/>
  <c r="EU59" i="14"/>
  <c r="EW59" i="14" s="1"/>
  <c r="EV60" i="14" s="1"/>
  <c r="ER59" i="14"/>
  <c r="ES59" i="14"/>
  <c r="FG60" i="14"/>
  <c r="FI60" i="14" s="1"/>
  <c r="FG61" i="14" s="1"/>
  <c r="DK59" i="14"/>
  <c r="DM59" i="14" s="1"/>
  <c r="DK60" i="14" s="1"/>
  <c r="DW59" i="14"/>
  <c r="DY59" i="14" s="1"/>
  <c r="DX60" i="14" s="1"/>
  <c r="ED57" i="14"/>
  <c r="EE57" i="14" s="1"/>
  <c r="ED58" i="14" s="1"/>
  <c r="EF58" i="14"/>
  <c r="EH58" i="14" s="1"/>
  <c r="EF59" i="14" s="1"/>
  <c r="CA54" i="14"/>
  <c r="CC54" i="14" s="1"/>
  <c r="CA55" i="14" s="1"/>
  <c r="CT59" i="14"/>
  <c r="CU59" i="14" s="1"/>
  <c r="CT60" i="14" s="1"/>
  <c r="CZ55" i="14"/>
  <c r="DA55" i="14" s="1"/>
  <c r="BM54" i="14"/>
  <c r="BN54" i="14" s="1"/>
  <c r="BL55" i="14" s="1"/>
  <c r="AE51" i="14"/>
  <c r="AG51" i="14" s="1"/>
  <c r="AE52" i="14" s="1"/>
  <c r="AK49" i="14"/>
  <c r="AL49" i="14"/>
  <c r="M49" i="14"/>
  <c r="O49" i="14" s="1"/>
  <c r="M50" i="14" s="1"/>
  <c r="BG55" i="14"/>
  <c r="BH55" i="14" s="1"/>
  <c r="BG56" i="14" s="1"/>
  <c r="DO57" i="14"/>
  <c r="DP57" i="14" s="1"/>
  <c r="DO58" i="14" s="1"/>
  <c r="FL60" i="14"/>
  <c r="FA60" i="14"/>
  <c r="FB60" i="14"/>
  <c r="FR61" i="14"/>
  <c r="EY60" i="14"/>
  <c r="EX60" i="14"/>
  <c r="DI57" i="14"/>
  <c r="DH57" i="14"/>
  <c r="EL58" i="14"/>
  <c r="EN58" i="14" s="1"/>
  <c r="EM59" i="14" s="1"/>
  <c r="DV57" i="14"/>
  <c r="EA60" i="14"/>
  <c r="DZ60" i="14"/>
  <c r="DR60" i="14"/>
  <c r="DS60" i="14" s="1"/>
  <c r="EJ59" i="14"/>
  <c r="EK59" i="14" s="1"/>
  <c r="DB59" i="14"/>
  <c r="DD59" i="14" s="1"/>
  <c r="DB60" i="14" s="1"/>
  <c r="CG59" i="14"/>
  <c r="CI59" i="14" s="1"/>
  <c r="CH60" i="14" s="1"/>
  <c r="CX55" i="14"/>
  <c r="DG58" i="14"/>
  <c r="CQ58" i="14"/>
  <c r="CP58" i="14"/>
  <c r="BX60" i="14"/>
  <c r="BZ60" i="14" s="1"/>
  <c r="BY61" i="14" s="1"/>
  <c r="CE55" i="14"/>
  <c r="CD55" i="14"/>
  <c r="AW49" i="14"/>
  <c r="AY49" i="14" s="1"/>
  <c r="BJ57" i="14"/>
  <c r="BK57" i="14" s="1"/>
  <c r="BJ58" i="14" s="1"/>
  <c r="BW52" i="14"/>
  <c r="BU53" i="14" s="1"/>
  <c r="BO53" i="14"/>
  <c r="BQ53" i="14" s="1"/>
  <c r="AR52" i="14"/>
  <c r="AS52" i="14" s="1"/>
  <c r="BR56" i="14"/>
  <c r="BT56" i="14" s="1"/>
  <c r="BS57" i="14" s="1"/>
  <c r="AT52" i="14"/>
  <c r="AV52" i="14" s="1"/>
  <c r="L52" i="14"/>
  <c r="J53" i="14" s="1"/>
  <c r="R14" i="17"/>
  <c r="X49" i="14"/>
  <c r="V50" i="14" s="1"/>
  <c r="FF59" i="14"/>
  <c r="FD60" i="14" s="1"/>
  <c r="H52" i="14"/>
  <c r="I52" i="14" s="1"/>
  <c r="U53" i="14"/>
  <c r="AA14" i="17"/>
  <c r="P50" i="14"/>
  <c r="Q50" i="14"/>
  <c r="AH52" i="14"/>
  <c r="AI52" i="14"/>
  <c r="BB53" i="14"/>
  <c r="AA48" i="14"/>
  <c r="L14" i="17"/>
  <c r="I14" i="17"/>
  <c r="V34" i="15"/>
  <c r="E35" i="14"/>
  <c r="X35" i="15" s="1"/>
  <c r="D35" i="14"/>
  <c r="W35" i="15" s="1"/>
  <c r="AD14" i="17"/>
  <c r="X14" i="17"/>
  <c r="O14" i="17"/>
  <c r="I62" i="15"/>
  <c r="K62" i="15"/>
  <c r="FT62" i="14" s="1"/>
  <c r="J62" i="15"/>
  <c r="FS62" i="14" s="1"/>
  <c r="Q14" i="16"/>
  <c r="F14" i="17"/>
  <c r="U14" i="17"/>
  <c r="AG14" i="17"/>
  <c r="FM61" i="14"/>
  <c r="D14" i="20"/>
  <c r="Y14" i="16"/>
  <c r="Z14" i="16"/>
  <c r="R14" i="16"/>
  <c r="AD14" i="16" s="1"/>
  <c r="U23" i="15"/>
  <c r="AF23" i="15" s="1"/>
  <c r="O23" i="15"/>
  <c r="FO61" i="14" l="1"/>
  <c r="EO60" i="14"/>
  <c r="EQ60" i="14" s="1"/>
  <c r="CN57" i="14"/>
  <c r="CO57" i="14" s="1"/>
  <c r="CN58" i="14" s="1"/>
  <c r="AP50" i="14"/>
  <c r="AB53" i="14"/>
  <c r="AD53" i="14" s="1"/>
  <c r="AC54" i="14" s="1"/>
  <c r="AF52" i="14"/>
  <c r="AG52" i="14" s="1"/>
  <c r="AF53" i="14" s="1"/>
  <c r="EU60" i="14"/>
  <c r="EW60" i="14" s="1"/>
  <c r="EV61" i="14" s="1"/>
  <c r="ET59" i="14"/>
  <c r="ES60" i="14" s="1"/>
  <c r="DL60" i="14"/>
  <c r="DM60" i="14" s="1"/>
  <c r="DL61" i="14" s="1"/>
  <c r="EC58" i="14"/>
  <c r="EE58" i="14" s="1"/>
  <c r="EC59" i="14" s="1"/>
  <c r="DJ57" i="14"/>
  <c r="DH58" i="14" s="1"/>
  <c r="CS60" i="14"/>
  <c r="CU60" i="14" s="1"/>
  <c r="CS61" i="14" s="1"/>
  <c r="CB55" i="14"/>
  <c r="CC55" i="14" s="1"/>
  <c r="CA56" i="14" s="1"/>
  <c r="CK55" i="14"/>
  <c r="CJ55" i="14"/>
  <c r="BV53" i="14"/>
  <c r="BW53" i="14" s="1"/>
  <c r="BV54" i="14" s="1"/>
  <c r="BD54" i="14"/>
  <c r="AM49" i="14"/>
  <c r="AK50" i="14" s="1"/>
  <c r="N50" i="14"/>
  <c r="O50" i="14" s="1"/>
  <c r="M51" i="14" s="1"/>
  <c r="DW60" i="14"/>
  <c r="DY60" i="14" s="1"/>
  <c r="DX61" i="14" s="1"/>
  <c r="K53" i="14"/>
  <c r="L53" i="14" s="1"/>
  <c r="CM58" i="14"/>
  <c r="CO58" i="14" s="1"/>
  <c r="DC60" i="14"/>
  <c r="DD60" i="14" s="1"/>
  <c r="DB61" i="14" s="1"/>
  <c r="BF56" i="14"/>
  <c r="BH56" i="14" s="1"/>
  <c r="FJ61" i="14"/>
  <c r="FK61" i="14"/>
  <c r="FC60" i="14"/>
  <c r="FA61" i="14" s="1"/>
  <c r="FH61" i="14"/>
  <c r="FI61" i="14" s="1"/>
  <c r="FG62" i="14" s="1"/>
  <c r="FE60" i="14"/>
  <c r="FF60" i="14" s="1"/>
  <c r="FD61" i="14" s="1"/>
  <c r="EZ60" i="14"/>
  <c r="EG59" i="14"/>
  <c r="EH59" i="14" s="1"/>
  <c r="EL59" i="14"/>
  <c r="EN59" i="14" s="1"/>
  <c r="EM60" i="14" s="1"/>
  <c r="DU58" i="14"/>
  <c r="DT58" i="14"/>
  <c r="DQ61" i="14"/>
  <c r="DR61" i="14"/>
  <c r="DN58" i="14"/>
  <c r="DP58" i="14" s="1"/>
  <c r="DO59" i="14" s="1"/>
  <c r="EB60" i="14"/>
  <c r="EI60" i="14"/>
  <c r="EJ60" i="14"/>
  <c r="CG60" i="14"/>
  <c r="CI60" i="14" s="1"/>
  <c r="CH61" i="14" s="1"/>
  <c r="BX61" i="14"/>
  <c r="BZ61" i="14" s="1"/>
  <c r="BY62" i="14" s="1"/>
  <c r="CW56" i="14"/>
  <c r="CV56" i="14"/>
  <c r="CF55" i="14"/>
  <c r="CD56" i="14" s="1"/>
  <c r="DF59" i="14"/>
  <c r="DE59" i="14"/>
  <c r="CR58" i="14"/>
  <c r="CZ56" i="14"/>
  <c r="CY56" i="14"/>
  <c r="AX50" i="14"/>
  <c r="AW50" i="14"/>
  <c r="BE54" i="14"/>
  <c r="BC55" i="14" s="1"/>
  <c r="BI58" i="14"/>
  <c r="BK58" i="14" s="1"/>
  <c r="BJ59" i="14" s="1"/>
  <c r="BR57" i="14"/>
  <c r="BT57" i="14" s="1"/>
  <c r="BS58" i="14" s="1"/>
  <c r="BO54" i="14"/>
  <c r="BP54" i="14"/>
  <c r="BM55" i="14"/>
  <c r="BN55" i="14" s="1"/>
  <c r="BL56" i="14" s="1"/>
  <c r="AU53" i="14"/>
  <c r="AT53" i="14"/>
  <c r="AQ53" i="14"/>
  <c r="AR53" i="14"/>
  <c r="W50" i="14"/>
  <c r="X50" i="14" s="1"/>
  <c r="W51" i="14" s="1"/>
  <c r="R50" i="14"/>
  <c r="Q51" i="14" s="1"/>
  <c r="G53" i="14"/>
  <c r="H53" i="14"/>
  <c r="AJ52" i="14"/>
  <c r="AH53" i="14" s="1"/>
  <c r="T54" i="14"/>
  <c r="S54" i="14"/>
  <c r="Y49" i="14"/>
  <c r="Z49" i="14"/>
  <c r="F35" i="14"/>
  <c r="E36" i="14" s="1"/>
  <c r="X36" i="15" s="1"/>
  <c r="BA54" i="14"/>
  <c r="AZ54" i="14"/>
  <c r="S14" i="16"/>
  <c r="U14" i="16" s="1"/>
  <c r="T14" i="16"/>
  <c r="K14" i="16"/>
  <c r="Y35" i="15"/>
  <c r="AA35" i="15" s="1"/>
  <c r="Z35" i="15"/>
  <c r="P14" i="16"/>
  <c r="AA14" i="16"/>
  <c r="V14" i="16"/>
  <c r="E14" i="20"/>
  <c r="F14" i="20" s="1"/>
  <c r="J14" i="20"/>
  <c r="G14" i="20"/>
  <c r="R24" i="15"/>
  <c r="AD24" i="15" s="1"/>
  <c r="Q24" i="15"/>
  <c r="FN62" i="14"/>
  <c r="FM62" i="14"/>
  <c r="FP62" i="14"/>
  <c r="FU62" i="14"/>
  <c r="I63" i="15"/>
  <c r="K63" i="15"/>
  <c r="FW63" i="14" s="1"/>
  <c r="J63" i="15"/>
  <c r="FV63" i="14" s="1"/>
  <c r="FQ62" i="14"/>
  <c r="AE53" i="14" l="1"/>
  <c r="EO61" i="14"/>
  <c r="EP61" i="14"/>
  <c r="DK61" i="14"/>
  <c r="DM61" i="14" s="1"/>
  <c r="DL62" i="14" s="1"/>
  <c r="AO51" i="14"/>
  <c r="AN51" i="14"/>
  <c r="AB54" i="14"/>
  <c r="AD54" i="14"/>
  <c r="AB55" i="14" s="1"/>
  <c r="CT61" i="14"/>
  <c r="CU61" i="14" s="1"/>
  <c r="CT62" i="14" s="1"/>
  <c r="CB56" i="14"/>
  <c r="CC56" i="14" s="1"/>
  <c r="CA57" i="14" s="1"/>
  <c r="DI58" i="14"/>
  <c r="DJ58" i="14" s="1"/>
  <c r="DH59" i="14" s="1"/>
  <c r="ER60" i="14"/>
  <c r="ET60" i="14" s="1"/>
  <c r="ES61" i="14" s="1"/>
  <c r="FL61" i="14"/>
  <c r="FK62" i="14" s="1"/>
  <c r="DC61" i="14"/>
  <c r="DD61" i="14" s="1"/>
  <c r="DC62" i="14" s="1"/>
  <c r="CL55" i="14"/>
  <c r="CJ56" i="14" s="1"/>
  <c r="BU54" i="14"/>
  <c r="BW54" i="14" s="1"/>
  <c r="BV55" i="14" s="1"/>
  <c r="AY50" i="14"/>
  <c r="AW51" i="14" s="1"/>
  <c r="AL50" i="14"/>
  <c r="AM50" i="14" s="1"/>
  <c r="AL51" i="14" s="1"/>
  <c r="FH62" i="14"/>
  <c r="FI62" i="14" s="1"/>
  <c r="FG63" i="14" s="1"/>
  <c r="K54" i="14"/>
  <c r="J54" i="14"/>
  <c r="BG57" i="14"/>
  <c r="BF57" i="14"/>
  <c r="CG61" i="14"/>
  <c r="CI61" i="14" s="1"/>
  <c r="CH62" i="14" s="1"/>
  <c r="N51" i="14"/>
  <c r="O51" i="14" s="1"/>
  <c r="N52" i="14" s="1"/>
  <c r="EU61" i="14"/>
  <c r="EW61" i="14" s="1"/>
  <c r="EV62" i="14" s="1"/>
  <c r="FB61" i="14"/>
  <c r="FC61" i="14" s="1"/>
  <c r="FE61" i="14"/>
  <c r="FF61" i="14" s="1"/>
  <c r="FD62" i="14" s="1"/>
  <c r="FO62" i="14"/>
  <c r="FM63" i="14" s="1"/>
  <c r="FX63" i="14"/>
  <c r="EX61" i="14"/>
  <c r="EY61" i="14"/>
  <c r="EG60" i="14"/>
  <c r="EF60" i="14"/>
  <c r="ED59" i="14"/>
  <c r="EE59" i="14" s="1"/>
  <c r="EC60" i="14" s="1"/>
  <c r="DW61" i="14"/>
  <c r="DY61" i="14" s="1"/>
  <c r="DX62" i="14" s="1"/>
  <c r="DS61" i="14"/>
  <c r="DR62" i="14" s="1"/>
  <c r="DV58" i="14"/>
  <c r="DT59" i="14" s="1"/>
  <c r="DN59" i="14"/>
  <c r="DP59" i="14" s="1"/>
  <c r="DO60" i="14" s="1"/>
  <c r="EL60" i="14"/>
  <c r="EN60" i="14" s="1"/>
  <c r="DZ61" i="14"/>
  <c r="EA61" i="14"/>
  <c r="EK60" i="14"/>
  <c r="DG59" i="14"/>
  <c r="DF60" i="14" s="1"/>
  <c r="CE56" i="14"/>
  <c r="CF56" i="14" s="1"/>
  <c r="CX56" i="14"/>
  <c r="CN59" i="14"/>
  <c r="CM59" i="14"/>
  <c r="BX62" i="14"/>
  <c r="BZ62" i="14" s="1"/>
  <c r="DA56" i="14"/>
  <c r="CZ57" i="14" s="1"/>
  <c r="CP59" i="14"/>
  <c r="CQ59" i="14"/>
  <c r="BD55" i="14"/>
  <c r="BE55" i="14" s="1"/>
  <c r="BC56" i="14" s="1"/>
  <c r="BI59" i="14"/>
  <c r="BK59" i="14" s="1"/>
  <c r="BJ60" i="14" s="1"/>
  <c r="BR58" i="14"/>
  <c r="BT58" i="14" s="1"/>
  <c r="BS59" i="14" s="1"/>
  <c r="BQ54" i="14"/>
  <c r="BO55" i="14" s="1"/>
  <c r="AS53" i="14"/>
  <c r="AQ54" i="14" s="1"/>
  <c r="AV53" i="14"/>
  <c r="AT54" i="14" s="1"/>
  <c r="BB54" i="14"/>
  <c r="BA55" i="14" s="1"/>
  <c r="BM56" i="14"/>
  <c r="BN56" i="14" s="1"/>
  <c r="AA49" i="14"/>
  <c r="Z50" i="14" s="1"/>
  <c r="V51" i="14"/>
  <c r="X51" i="14" s="1"/>
  <c r="I53" i="14"/>
  <c r="G54" i="14" s="1"/>
  <c r="P51" i="14"/>
  <c r="R51" i="14" s="1"/>
  <c r="P52" i="14" s="1"/>
  <c r="U54" i="14"/>
  <c r="S55" i="14" s="1"/>
  <c r="V35" i="15"/>
  <c r="AI53" i="14"/>
  <c r="AJ53" i="14" s="1"/>
  <c r="AG53" i="14"/>
  <c r="AE54" i="14" s="1"/>
  <c r="D36" i="14"/>
  <c r="W36" i="15" s="1"/>
  <c r="Y36" i="15" s="1"/>
  <c r="AA36" i="15" s="1"/>
  <c r="H14" i="20"/>
  <c r="I14" i="20"/>
  <c r="K14" i="20"/>
  <c r="AE14" i="19"/>
  <c r="V14" i="19"/>
  <c r="G14" i="19"/>
  <c r="J14" i="19"/>
  <c r="P14" i="19"/>
  <c r="S14" i="19"/>
  <c r="AB14" i="19"/>
  <c r="M14" i="19"/>
  <c r="Y14" i="19"/>
  <c r="D14" i="19"/>
  <c r="Q14" i="20"/>
  <c r="S24" i="15"/>
  <c r="T24" i="15"/>
  <c r="AE24" i="15" s="1"/>
  <c r="AC24" i="15"/>
  <c r="AG24" i="15" s="1"/>
  <c r="M14" i="16"/>
  <c r="N14" i="16"/>
  <c r="AE14" i="16" s="1"/>
  <c r="AC14" i="16"/>
  <c r="AG14" i="16" s="1"/>
  <c r="FS63" i="14"/>
  <c r="FT63" i="14"/>
  <c r="FR62" i="14"/>
  <c r="CB57" i="14" l="1"/>
  <c r="CC57" i="14" s="1"/>
  <c r="EQ61" i="14"/>
  <c r="CS62" i="14"/>
  <c r="CU62" i="14" s="1"/>
  <c r="CT63" i="14" s="1"/>
  <c r="AP51" i="14"/>
  <c r="AO52" i="14" s="1"/>
  <c r="AN52" i="14"/>
  <c r="AX51" i="14"/>
  <c r="AY51" i="14" s="1"/>
  <c r="AX52" i="14" s="1"/>
  <c r="AC55" i="14"/>
  <c r="AD55" i="14" s="1"/>
  <c r="DB62" i="14"/>
  <c r="DD62" i="14" s="1"/>
  <c r="DC63" i="14" s="1"/>
  <c r="ED60" i="14"/>
  <c r="EE60" i="14" s="1"/>
  <c r="ED61" i="14" s="1"/>
  <c r="ER61" i="14"/>
  <c r="ET61" i="14" s="1"/>
  <c r="ER62" i="14" s="1"/>
  <c r="FJ62" i="14"/>
  <c r="FL62" i="14" s="1"/>
  <c r="FJ63" i="14" s="1"/>
  <c r="FN63" i="14"/>
  <c r="FO63" i="14" s="1"/>
  <c r="EH60" i="14"/>
  <c r="DQ62" i="14"/>
  <c r="DS62" i="14" s="1"/>
  <c r="DQ63" i="14" s="1"/>
  <c r="DK62" i="14"/>
  <c r="DM62" i="14" s="1"/>
  <c r="DK63" i="14" s="1"/>
  <c r="DW62" i="14"/>
  <c r="DY62" i="14" s="1"/>
  <c r="DW63" i="14" s="1"/>
  <c r="CK56" i="14"/>
  <c r="CL56" i="14" s="1"/>
  <c r="CJ57" i="14" s="1"/>
  <c r="BH57" i="14"/>
  <c r="BG58" i="14" s="1"/>
  <c r="BD56" i="14"/>
  <c r="BE56" i="14" s="1"/>
  <c r="AK51" i="14"/>
  <c r="AM51" i="14" s="1"/>
  <c r="L54" i="14"/>
  <c r="J55" i="14" s="1"/>
  <c r="EU62" i="14"/>
  <c r="EW62" i="14" s="1"/>
  <c r="EU63" i="14" s="1"/>
  <c r="FH63" i="14"/>
  <c r="FI63" i="14" s="1"/>
  <c r="DI59" i="14"/>
  <c r="DJ59" i="14" s="1"/>
  <c r="FB62" i="14"/>
  <c r="FA62" i="14"/>
  <c r="FE62" i="14"/>
  <c r="FF62" i="14" s="1"/>
  <c r="FE63" i="14" s="1"/>
  <c r="FU63" i="14"/>
  <c r="EZ61" i="14"/>
  <c r="EX62" i="14" s="1"/>
  <c r="DU59" i="14"/>
  <c r="DV59" i="14" s="1"/>
  <c r="DN60" i="14"/>
  <c r="DP60" i="14" s="1"/>
  <c r="EL61" i="14"/>
  <c r="EM61" i="14"/>
  <c r="EB61" i="14"/>
  <c r="EJ61" i="14"/>
  <c r="EI61" i="14"/>
  <c r="CG62" i="14"/>
  <c r="CI62" i="14" s="1"/>
  <c r="CH63" i="14" s="1"/>
  <c r="DE60" i="14"/>
  <c r="DG60" i="14" s="1"/>
  <c r="DE61" i="14" s="1"/>
  <c r="CO59" i="14"/>
  <c r="CV57" i="14"/>
  <c r="CW57" i="14"/>
  <c r="CB58" i="14"/>
  <c r="CA58" i="14"/>
  <c r="BY63" i="14"/>
  <c r="BX63" i="14"/>
  <c r="CY57" i="14"/>
  <c r="DA57" i="14" s="1"/>
  <c r="CR59" i="14"/>
  <c r="CD57" i="14"/>
  <c r="CE57" i="14"/>
  <c r="BU55" i="14"/>
  <c r="BW55" i="14" s="1"/>
  <c r="BV56" i="14" s="1"/>
  <c r="BI60" i="14"/>
  <c r="BK60" i="14" s="1"/>
  <c r="BI61" i="14" s="1"/>
  <c r="AR54" i="14"/>
  <c r="AS54" i="14" s="1"/>
  <c r="BP55" i="14"/>
  <c r="BQ55" i="14" s="1"/>
  <c r="BP56" i="14" s="1"/>
  <c r="AU54" i="14"/>
  <c r="AV54" i="14" s="1"/>
  <c r="AT55" i="14" s="1"/>
  <c r="BR59" i="14"/>
  <c r="BT59" i="14" s="1"/>
  <c r="AZ55" i="14"/>
  <c r="BB55" i="14" s="1"/>
  <c r="BM57" i="14"/>
  <c r="BL57" i="14"/>
  <c r="M52" i="14"/>
  <c r="O52" i="14" s="1"/>
  <c r="Y50" i="14"/>
  <c r="AA50" i="14" s="1"/>
  <c r="Y51" i="14" s="1"/>
  <c r="W52" i="14"/>
  <c r="V52" i="14"/>
  <c r="H54" i="14"/>
  <c r="I54" i="14" s="1"/>
  <c r="H55" i="14" s="1"/>
  <c r="Q52" i="14"/>
  <c r="R52" i="14" s="1"/>
  <c r="T55" i="14"/>
  <c r="U55" i="14" s="1"/>
  <c r="T56" i="14" s="1"/>
  <c r="AF54" i="14"/>
  <c r="AG54" i="14" s="1"/>
  <c r="AF55" i="14" s="1"/>
  <c r="Z36" i="15"/>
  <c r="AI54" i="14"/>
  <c r="AH54" i="14"/>
  <c r="F36" i="14"/>
  <c r="V36" i="15" s="1"/>
  <c r="O14" i="16"/>
  <c r="AF14" i="16" s="1"/>
  <c r="I14" i="16"/>
  <c r="W14" i="20"/>
  <c r="AC14" i="20" s="1"/>
  <c r="U24" i="15"/>
  <c r="AF24" i="15" s="1"/>
  <c r="O24" i="15"/>
  <c r="AF14" i="19"/>
  <c r="AG14" i="19" s="1"/>
  <c r="AC14" i="19"/>
  <c r="AD14" i="19" s="1"/>
  <c r="W14" i="19"/>
  <c r="X14" i="19" s="1"/>
  <c r="Z14" i="19"/>
  <c r="AA14" i="19" s="1"/>
  <c r="Q14" i="19"/>
  <c r="R14" i="19" s="1"/>
  <c r="N14" i="19"/>
  <c r="O14" i="19" s="1"/>
  <c r="T14" i="19"/>
  <c r="U14" i="19" s="1"/>
  <c r="K14" i="19"/>
  <c r="L14" i="19" s="1"/>
  <c r="E14" i="19"/>
  <c r="F14" i="19" s="1"/>
  <c r="H14" i="19"/>
  <c r="I14" i="19" s="1"/>
  <c r="R14" i="20"/>
  <c r="S14" i="20" s="1"/>
  <c r="FQ63" i="14"/>
  <c r="FP63" i="14"/>
  <c r="T14" i="20"/>
  <c r="CS63" i="14" l="1"/>
  <c r="CU63" i="14" s="1"/>
  <c r="EO62" i="14"/>
  <c r="EP62" i="14"/>
  <c r="DB63" i="14"/>
  <c r="DD63" i="14" s="1"/>
  <c r="BF58" i="14"/>
  <c r="AP52" i="14"/>
  <c r="AN53" i="14" s="1"/>
  <c r="AB56" i="14"/>
  <c r="AC56" i="14"/>
  <c r="AW52" i="14"/>
  <c r="AY52" i="14" s="1"/>
  <c r="AW53" i="14" s="1"/>
  <c r="EC61" i="14"/>
  <c r="EE61" i="14" s="1"/>
  <c r="ED62" i="14" s="1"/>
  <c r="EV63" i="14"/>
  <c r="EW63" i="14" s="1"/>
  <c r="CK57" i="14"/>
  <c r="CL57" i="14" s="1"/>
  <c r="CK58" i="14" s="1"/>
  <c r="ES62" i="14"/>
  <c r="ET62" i="14" s="1"/>
  <c r="ES63" i="14" s="1"/>
  <c r="FK63" i="14"/>
  <c r="FL63" i="14" s="1"/>
  <c r="FC62" i="14"/>
  <c r="FA63" i="14" s="1"/>
  <c r="DT60" i="14"/>
  <c r="DU60" i="14"/>
  <c r="EG61" i="14"/>
  <c r="EF61" i="14"/>
  <c r="DL63" i="14"/>
  <c r="DM63" i="14" s="1"/>
  <c r="DR63" i="14"/>
  <c r="DS63" i="14" s="1"/>
  <c r="DI60" i="14"/>
  <c r="DH60" i="14"/>
  <c r="DX63" i="14"/>
  <c r="DY63" i="14" s="1"/>
  <c r="CX57" i="14"/>
  <c r="CW58" i="14" s="1"/>
  <c r="AL52" i="14"/>
  <c r="AK52" i="14"/>
  <c r="K55" i="14"/>
  <c r="L55" i="14" s="1"/>
  <c r="K56" i="14" s="1"/>
  <c r="FD63" i="14"/>
  <c r="FF63" i="14" s="1"/>
  <c r="CC58" i="14"/>
  <c r="CA59" i="14" s="1"/>
  <c r="CG63" i="14"/>
  <c r="CI63" i="14" s="1"/>
  <c r="EY62" i="14"/>
  <c r="EZ62" i="14" s="1"/>
  <c r="FR63" i="14"/>
  <c r="EA62" i="14"/>
  <c r="DZ62" i="14"/>
  <c r="EN61" i="14"/>
  <c r="EK61" i="14"/>
  <c r="DO61" i="14"/>
  <c r="DN61" i="14"/>
  <c r="DF61" i="14"/>
  <c r="DG61" i="14" s="1"/>
  <c r="DE62" i="14" s="1"/>
  <c r="CN60" i="14"/>
  <c r="CM60" i="14"/>
  <c r="BZ63" i="14"/>
  <c r="CP60" i="14"/>
  <c r="CQ60" i="14"/>
  <c r="CF57" i="14"/>
  <c r="CZ58" i="14"/>
  <c r="CY58" i="14"/>
  <c r="BJ61" i="14"/>
  <c r="BK61" i="14" s="1"/>
  <c r="BI62" i="14" s="1"/>
  <c r="BU56" i="14"/>
  <c r="BW56" i="14" s="1"/>
  <c r="BC57" i="14"/>
  <c r="BD57" i="14"/>
  <c r="BH58" i="14"/>
  <c r="BG59" i="14" s="1"/>
  <c r="AU55" i="14"/>
  <c r="AV55" i="14" s="1"/>
  <c r="AU56" i="14" s="1"/>
  <c r="AQ55" i="14"/>
  <c r="AR55" i="14"/>
  <c r="BO56" i="14"/>
  <c r="BQ56" i="14" s="1"/>
  <c r="BA56" i="14"/>
  <c r="AZ56" i="14"/>
  <c r="BR60" i="14"/>
  <c r="BS60" i="14"/>
  <c r="BN57" i="14"/>
  <c r="N53" i="14"/>
  <c r="M53" i="14"/>
  <c r="X52" i="14"/>
  <c r="V53" i="14" s="1"/>
  <c r="G55" i="14"/>
  <c r="I55" i="14" s="1"/>
  <c r="H56" i="14" s="1"/>
  <c r="Z51" i="14"/>
  <c r="AA51" i="14" s="1"/>
  <c r="S56" i="14"/>
  <c r="U56" i="14" s="1"/>
  <c r="T57" i="14" s="1"/>
  <c r="AE55" i="14"/>
  <c r="AG55" i="14" s="1"/>
  <c r="D37" i="14"/>
  <c r="W37" i="15" s="1"/>
  <c r="Z37" i="15" s="1"/>
  <c r="E37" i="14"/>
  <c r="X37" i="15" s="1"/>
  <c r="Q53" i="14"/>
  <c r="P53" i="14"/>
  <c r="AJ54" i="14"/>
  <c r="U14" i="20"/>
  <c r="O14" i="20"/>
  <c r="V14" i="20"/>
  <c r="H15" i="16"/>
  <c r="X14" i="20"/>
  <c r="AD14" i="20" s="1"/>
  <c r="AG14" i="20" s="1"/>
  <c r="R25" i="15"/>
  <c r="AD25" i="15" s="1"/>
  <c r="Q25" i="15"/>
  <c r="Z14" i="20"/>
  <c r="AE14" i="20" s="1"/>
  <c r="ER63" i="14" l="1"/>
  <c r="ET63" i="14" s="1"/>
  <c r="EQ62" i="14"/>
  <c r="DV60" i="14"/>
  <c r="DT61" i="14" s="1"/>
  <c r="AO53" i="14"/>
  <c r="AP53" i="14" s="1"/>
  <c r="AX53" i="14"/>
  <c r="AD56" i="14"/>
  <c r="AC57" i="14" s="1"/>
  <c r="AM52" i="14"/>
  <c r="AL53" i="14" s="1"/>
  <c r="CV58" i="14"/>
  <c r="CX58" i="14" s="1"/>
  <c r="CW59" i="14" s="1"/>
  <c r="J56" i="14"/>
  <c r="L56" i="14" s="1"/>
  <c r="J57" i="14" s="1"/>
  <c r="FB63" i="14"/>
  <c r="FC63" i="14" s="1"/>
  <c r="EH61" i="14"/>
  <c r="EG62" i="14" s="1"/>
  <c r="DJ60" i="14"/>
  <c r="DI61" i="14" s="1"/>
  <c r="EC62" i="14"/>
  <c r="EE62" i="14" s="1"/>
  <c r="EC63" i="14" s="1"/>
  <c r="EB62" i="14"/>
  <c r="EA63" i="14" s="1"/>
  <c r="CJ58" i="14"/>
  <c r="CL58" i="14" s="1"/>
  <c r="CB59" i="14"/>
  <c r="CC59" i="14" s="1"/>
  <c r="CB60" i="14" s="1"/>
  <c r="DA58" i="14"/>
  <c r="CZ59" i="14" s="1"/>
  <c r="O53" i="14"/>
  <c r="N54" i="14" s="1"/>
  <c r="BF59" i="14"/>
  <c r="BH59" i="14" s="1"/>
  <c r="BG60" i="14" s="1"/>
  <c r="EX63" i="14"/>
  <c r="EY63" i="14"/>
  <c r="DP61" i="14"/>
  <c r="DN62" i="14" s="1"/>
  <c r="EM62" i="14"/>
  <c r="EL62" i="14"/>
  <c r="EI62" i="14"/>
  <c r="EJ62" i="14"/>
  <c r="CO60" i="14"/>
  <c r="CM61" i="14" s="1"/>
  <c r="DF62" i="14"/>
  <c r="DG62" i="14" s="1"/>
  <c r="CR60" i="14"/>
  <c r="CP61" i="14" s="1"/>
  <c r="CY59" i="14"/>
  <c r="CD58" i="14"/>
  <c r="CE58" i="14"/>
  <c r="BE57" i="14"/>
  <c r="BC58" i="14" s="1"/>
  <c r="AS55" i="14"/>
  <c r="AR56" i="14" s="1"/>
  <c r="BB56" i="14"/>
  <c r="AZ57" i="14" s="1"/>
  <c r="BV57" i="14"/>
  <c r="BU57" i="14"/>
  <c r="AT56" i="14"/>
  <c r="AV56" i="14" s="1"/>
  <c r="AU57" i="14" s="1"/>
  <c r="BT60" i="14"/>
  <c r="BS61" i="14" s="1"/>
  <c r="BJ62" i="14"/>
  <c r="BK62" i="14" s="1"/>
  <c r="AY53" i="14"/>
  <c r="BP57" i="14"/>
  <c r="BO57" i="14"/>
  <c r="BL58" i="14"/>
  <c r="BM58" i="14"/>
  <c r="W53" i="14"/>
  <c r="X53" i="14" s="1"/>
  <c r="V54" i="14" s="1"/>
  <c r="G56" i="14"/>
  <c r="I56" i="14" s="1"/>
  <c r="G57" i="14" s="1"/>
  <c r="R53" i="14"/>
  <c r="P54" i="14" s="1"/>
  <c r="AF56" i="14"/>
  <c r="AE56" i="14"/>
  <c r="F37" i="14"/>
  <c r="V37" i="15" s="1"/>
  <c r="S57" i="14"/>
  <c r="U57" i="14" s="1"/>
  <c r="T58" i="14" s="1"/>
  <c r="Y37" i="15"/>
  <c r="AA37" i="15" s="1"/>
  <c r="AI55" i="14"/>
  <c r="AH55" i="14"/>
  <c r="Y14" i="20"/>
  <c r="AA14" i="20" s="1"/>
  <c r="AF14" i="20" s="1"/>
  <c r="Z52" i="14"/>
  <c r="Y52" i="14"/>
  <c r="S25" i="15"/>
  <c r="T25" i="15"/>
  <c r="AE25" i="15" s="1"/>
  <c r="AC25" i="15"/>
  <c r="AG25" i="15" s="1"/>
  <c r="X15" i="16"/>
  <c r="W15" i="16"/>
  <c r="AH15" i="17"/>
  <c r="AI15" i="17"/>
  <c r="Y15" i="17"/>
  <c r="Q15" i="17"/>
  <c r="Z15" i="17"/>
  <c r="P15" i="17"/>
  <c r="V15" i="17"/>
  <c r="N15" i="17"/>
  <c r="T15" i="17"/>
  <c r="AE15" i="17"/>
  <c r="AB15" i="17"/>
  <c r="W15" i="17"/>
  <c r="M15" i="17"/>
  <c r="S15" i="17"/>
  <c r="G15" i="17"/>
  <c r="AC15" i="17"/>
  <c r="K15" i="17"/>
  <c r="J15" i="17"/>
  <c r="AF15" i="17"/>
  <c r="H15" i="17"/>
  <c r="E15" i="17"/>
  <c r="D15" i="17"/>
  <c r="L15" i="16"/>
  <c r="EF62" i="14" l="1"/>
  <c r="DU61" i="14"/>
  <c r="DV61" i="14" s="1"/>
  <c r="EO63" i="14"/>
  <c r="EP63" i="14"/>
  <c r="AN54" i="14"/>
  <c r="AO54" i="14"/>
  <c r="AP54" i="14" s="1"/>
  <c r="AN55" i="14" s="1"/>
  <c r="AK53" i="14"/>
  <c r="AM53" i="14" s="1"/>
  <c r="AK54" i="14" s="1"/>
  <c r="AB57" i="14"/>
  <c r="AD57" i="14" s="1"/>
  <c r="K57" i="14"/>
  <c r="L57" i="14" s="1"/>
  <c r="K58" i="14" s="1"/>
  <c r="EH62" i="14"/>
  <c r="DT62" i="14"/>
  <c r="DU62" i="14"/>
  <c r="DH61" i="14"/>
  <c r="DJ61" i="14" s="1"/>
  <c r="DZ63" i="14"/>
  <c r="EB63" i="14" s="1"/>
  <c r="ED63" i="14"/>
  <c r="EE63" i="14" s="1"/>
  <c r="CJ59" i="14"/>
  <c r="CK59" i="14"/>
  <c r="CN61" i="14"/>
  <c r="CO61" i="14" s="1"/>
  <c r="CN62" i="14" s="1"/>
  <c r="M54" i="14"/>
  <c r="O54" i="14" s="1"/>
  <c r="N55" i="14" s="1"/>
  <c r="BF60" i="14"/>
  <c r="BH60" i="14" s="1"/>
  <c r="BF61" i="14" s="1"/>
  <c r="W54" i="14"/>
  <c r="X54" i="14" s="1"/>
  <c r="V55" i="14" s="1"/>
  <c r="CA60" i="14"/>
  <c r="CC60" i="14" s="1"/>
  <c r="CB61" i="14" s="1"/>
  <c r="CV59" i="14"/>
  <c r="CX59" i="14" s="1"/>
  <c r="CV60" i="14" s="1"/>
  <c r="BD58" i="14"/>
  <c r="BE58" i="14" s="1"/>
  <c r="BD59" i="14" s="1"/>
  <c r="EZ63" i="14"/>
  <c r="DO62" i="14"/>
  <c r="DP62" i="14" s="1"/>
  <c r="EK62" i="14"/>
  <c r="EI63" i="14" s="1"/>
  <c r="EN62" i="14"/>
  <c r="DE63" i="14"/>
  <c r="DF63" i="14"/>
  <c r="CQ61" i="14"/>
  <c r="CR61" i="14" s="1"/>
  <c r="DA59" i="14"/>
  <c r="CY60" i="14" s="1"/>
  <c r="CF58" i="14"/>
  <c r="BW57" i="14"/>
  <c r="BV58" i="14" s="1"/>
  <c r="BA57" i="14"/>
  <c r="BB57" i="14" s="1"/>
  <c r="AZ58" i="14" s="1"/>
  <c r="AQ56" i="14"/>
  <c r="AS56" i="14" s="1"/>
  <c r="AR57" i="14" s="1"/>
  <c r="AT57" i="14"/>
  <c r="AV57" i="14" s="1"/>
  <c r="AU58" i="14" s="1"/>
  <c r="BN58" i="14"/>
  <c r="BM59" i="14" s="1"/>
  <c r="BR61" i="14"/>
  <c r="BT61" i="14" s="1"/>
  <c r="BS62" i="14" s="1"/>
  <c r="BJ63" i="14"/>
  <c r="BI63" i="14"/>
  <c r="AW54" i="14"/>
  <c r="AX54" i="14"/>
  <c r="BQ57" i="14"/>
  <c r="Q54" i="14"/>
  <c r="R54" i="14" s="1"/>
  <c r="P55" i="14" s="1"/>
  <c r="AG15" i="17"/>
  <c r="AA52" i="14"/>
  <c r="Z53" i="14" s="1"/>
  <c r="H57" i="14"/>
  <c r="I57" i="14" s="1"/>
  <c r="AG56" i="14"/>
  <c r="AF57" i="14" s="1"/>
  <c r="E38" i="14"/>
  <c r="X38" i="15" s="1"/>
  <c r="D38" i="14"/>
  <c r="W38" i="15" s="1"/>
  <c r="S58" i="14"/>
  <c r="U58" i="14" s="1"/>
  <c r="AD15" i="17"/>
  <c r="AJ55" i="14"/>
  <c r="AH56" i="14" s="1"/>
  <c r="I15" i="17"/>
  <c r="AA15" i="17"/>
  <c r="U15" i="17"/>
  <c r="O15" i="17"/>
  <c r="D15" i="20"/>
  <c r="Y15" i="16"/>
  <c r="Z15" i="16"/>
  <c r="AJ15" i="17"/>
  <c r="R15" i="16"/>
  <c r="AD15" i="16" s="1"/>
  <c r="X15" i="17"/>
  <c r="L15" i="17"/>
  <c r="R15" i="17"/>
  <c r="Q15" i="16"/>
  <c r="F15" i="17"/>
  <c r="U25" i="15"/>
  <c r="AF25" i="15" s="1"/>
  <c r="O25" i="15"/>
  <c r="EQ63" i="14" l="1"/>
  <c r="CL59" i="14"/>
  <c r="CK60" i="14" s="1"/>
  <c r="AO55" i="14"/>
  <c r="AP55" i="14"/>
  <c r="J58" i="14"/>
  <c r="L58" i="14" s="1"/>
  <c r="J59" i="14" s="1"/>
  <c r="AC58" i="14"/>
  <c r="AB58" i="14"/>
  <c r="AL54" i="14"/>
  <c r="AM54" i="14" s="1"/>
  <c r="EF63" i="14"/>
  <c r="EG63" i="14"/>
  <c r="DV62" i="14"/>
  <c r="DU63" i="14" s="1"/>
  <c r="DI62" i="14"/>
  <c r="DH62" i="14"/>
  <c r="CJ60" i="14"/>
  <c r="CL60" i="14" s="1"/>
  <c r="CJ61" i="14" s="1"/>
  <c r="CA61" i="14"/>
  <c r="CC61" i="14" s="1"/>
  <c r="CM62" i="14"/>
  <c r="CO62" i="14" s="1"/>
  <c r="CN63" i="14" s="1"/>
  <c r="BG61" i="14"/>
  <c r="BH61" i="14" s="1"/>
  <c r="M55" i="14"/>
  <c r="O55" i="14" s="1"/>
  <c r="N56" i="14" s="1"/>
  <c r="DN63" i="14"/>
  <c r="DO63" i="14"/>
  <c r="EJ63" i="14"/>
  <c r="EK63" i="14" s="1"/>
  <c r="BU58" i="14"/>
  <c r="BW58" i="14" s="1"/>
  <c r="BC59" i="14"/>
  <c r="BE59" i="14" s="1"/>
  <c r="CW60" i="14"/>
  <c r="CX60" i="14" s="1"/>
  <c r="EM63" i="14"/>
  <c r="EL63" i="14"/>
  <c r="DG63" i="14"/>
  <c r="CQ62" i="14"/>
  <c r="CP62" i="14"/>
  <c r="CZ60" i="14"/>
  <c r="DA60" i="14" s="1"/>
  <c r="CD59" i="14"/>
  <c r="CE59" i="14"/>
  <c r="AQ57" i="14"/>
  <c r="AS57" i="14" s="1"/>
  <c r="BK63" i="14"/>
  <c r="BL59" i="14"/>
  <c r="BN59" i="14" s="1"/>
  <c r="BM60" i="14" s="1"/>
  <c r="AT58" i="14"/>
  <c r="AV58" i="14" s="1"/>
  <c r="AT59" i="14" s="1"/>
  <c r="BR62" i="14"/>
  <c r="BT62" i="14" s="1"/>
  <c r="AY54" i="14"/>
  <c r="BO58" i="14"/>
  <c r="BP58" i="14"/>
  <c r="BA58" i="14"/>
  <c r="BB58" i="14" s="1"/>
  <c r="AZ59" i="14" s="1"/>
  <c r="W55" i="14"/>
  <c r="X55" i="14" s="1"/>
  <c r="V56" i="14" s="1"/>
  <c r="K59" i="14"/>
  <c r="L59" i="14" s="1"/>
  <c r="Y53" i="14"/>
  <c r="AA53" i="14" s="1"/>
  <c r="AE57" i="14"/>
  <c r="AG57" i="14" s="1"/>
  <c r="AE58" i="14" s="1"/>
  <c r="Y38" i="15"/>
  <c r="AA38" i="15" s="1"/>
  <c r="F38" i="14"/>
  <c r="V38" i="15" s="1"/>
  <c r="Z38" i="15"/>
  <c r="H58" i="14"/>
  <c r="G58" i="14"/>
  <c r="AI56" i="14"/>
  <c r="AJ56" i="14" s="1"/>
  <c r="AI57" i="14" s="1"/>
  <c r="T59" i="14"/>
  <c r="S59" i="14"/>
  <c r="Q55" i="14"/>
  <c r="R55" i="14" s="1"/>
  <c r="AN15" i="16"/>
  <c r="AI15" i="16"/>
  <c r="P15" i="16"/>
  <c r="Q26" i="15"/>
  <c r="R26" i="15"/>
  <c r="AD26" i="15" s="1"/>
  <c r="E15" i="20"/>
  <c r="F15" i="20" s="1"/>
  <c r="J15" i="20"/>
  <c r="G15" i="20"/>
  <c r="AA15" i="16"/>
  <c r="V15" i="16"/>
  <c r="S15" i="16"/>
  <c r="U15" i="16" s="1"/>
  <c r="T15" i="16"/>
  <c r="K15" i="16"/>
  <c r="EH63" i="14" l="1"/>
  <c r="AN56" i="14"/>
  <c r="AO56" i="14"/>
  <c r="AP56" i="14" s="1"/>
  <c r="AD58" i="14"/>
  <c r="AC59" i="14" s="1"/>
  <c r="CR62" i="14"/>
  <c r="CQ63" i="14" s="1"/>
  <c r="M56" i="14"/>
  <c r="O56" i="14" s="1"/>
  <c r="M57" i="14" s="1"/>
  <c r="DT63" i="14"/>
  <c r="DV63" i="14" s="1"/>
  <c r="DJ62" i="14"/>
  <c r="DI63" i="14" s="1"/>
  <c r="DP63" i="14"/>
  <c r="CK61" i="14"/>
  <c r="CL61" i="14" s="1"/>
  <c r="CM63" i="14"/>
  <c r="CO63" i="14" s="1"/>
  <c r="CV61" i="14"/>
  <c r="CW61" i="14"/>
  <c r="CA62" i="14"/>
  <c r="CB62" i="14"/>
  <c r="AL55" i="14"/>
  <c r="AK55" i="14"/>
  <c r="BV59" i="14"/>
  <c r="BU59" i="14"/>
  <c r="AU59" i="14"/>
  <c r="AV59" i="14" s="1"/>
  <c r="AU60" i="14" s="1"/>
  <c r="EN63" i="14"/>
  <c r="CF59" i="14"/>
  <c r="CE60" i="14" s="1"/>
  <c r="CY61" i="14"/>
  <c r="CZ61" i="14"/>
  <c r="AR58" i="14"/>
  <c r="AQ58" i="14"/>
  <c r="BC60" i="14"/>
  <c r="BD60" i="14"/>
  <c r="BR63" i="14"/>
  <c r="BS63" i="14"/>
  <c r="BF62" i="14"/>
  <c r="BG62" i="14"/>
  <c r="BL60" i="14"/>
  <c r="BN60" i="14" s="1"/>
  <c r="BL61" i="14" s="1"/>
  <c r="AW55" i="14"/>
  <c r="AX55" i="14"/>
  <c r="BQ58" i="14"/>
  <c r="BA59" i="14"/>
  <c r="BB59" i="14" s="1"/>
  <c r="W56" i="14"/>
  <c r="X56" i="14" s="1"/>
  <c r="V57" i="14" s="1"/>
  <c r="D39" i="14"/>
  <c r="W39" i="15" s="1"/>
  <c r="Z39" i="15" s="1"/>
  <c r="K60" i="14"/>
  <c r="J60" i="14"/>
  <c r="AF58" i="14"/>
  <c r="AG58" i="14" s="1"/>
  <c r="E39" i="14"/>
  <c r="X39" i="15" s="1"/>
  <c r="I58" i="14"/>
  <c r="G59" i="14" s="1"/>
  <c r="U59" i="14"/>
  <c r="T60" i="14" s="1"/>
  <c r="AH57" i="14"/>
  <c r="AJ57" i="14" s="1"/>
  <c r="AI58" i="14" s="1"/>
  <c r="Q56" i="14"/>
  <c r="P56" i="14"/>
  <c r="Z54" i="14"/>
  <c r="Y54" i="14"/>
  <c r="M15" i="16"/>
  <c r="N15" i="16"/>
  <c r="AE15" i="16" s="1"/>
  <c r="AC15" i="16"/>
  <c r="AH15" i="19"/>
  <c r="AB15" i="19"/>
  <c r="Y15" i="19"/>
  <c r="M15" i="19"/>
  <c r="J15" i="19"/>
  <c r="P15" i="19"/>
  <c r="G15" i="19"/>
  <c r="AE15" i="19"/>
  <c r="S15" i="19"/>
  <c r="D15" i="19"/>
  <c r="V15" i="19"/>
  <c r="Q15" i="20"/>
  <c r="S26" i="15"/>
  <c r="T26" i="15"/>
  <c r="AE26" i="15" s="1"/>
  <c r="AC26" i="15"/>
  <c r="AG26" i="15" s="1"/>
  <c r="H15" i="20"/>
  <c r="I15" i="20"/>
  <c r="K15" i="20"/>
  <c r="CP63" i="14" l="1"/>
  <c r="CR63" i="14" s="1"/>
  <c r="AO57" i="14"/>
  <c r="AN57" i="14"/>
  <c r="AB59" i="14"/>
  <c r="AD59" i="14" s="1"/>
  <c r="AB60" i="14" s="1"/>
  <c r="N57" i="14"/>
  <c r="DH63" i="14"/>
  <c r="DJ63" i="14" s="1"/>
  <c r="CK62" i="14"/>
  <c r="CJ62" i="14"/>
  <c r="CX61" i="14"/>
  <c r="CV62" i="14" s="1"/>
  <c r="CC62" i="14"/>
  <c r="CA63" i="14" s="1"/>
  <c r="BW59" i="14"/>
  <c r="BV60" i="14" s="1"/>
  <c r="AM55" i="14"/>
  <c r="AL56" i="14" s="1"/>
  <c r="AS58" i="14"/>
  <c r="AR59" i="14" s="1"/>
  <c r="CD60" i="14"/>
  <c r="CF60" i="14" s="1"/>
  <c r="DA61" i="14"/>
  <c r="CZ62" i="14" s="1"/>
  <c r="BT63" i="14"/>
  <c r="BE60" i="14"/>
  <c r="BD61" i="14" s="1"/>
  <c r="BH62" i="14"/>
  <c r="BF63" i="14" s="1"/>
  <c r="AT60" i="14"/>
  <c r="AV60" i="14" s="1"/>
  <c r="AY55" i="14"/>
  <c r="AX56" i="14" s="1"/>
  <c r="BM61" i="14"/>
  <c r="BN61" i="14" s="1"/>
  <c r="BM62" i="14" s="1"/>
  <c r="BO59" i="14"/>
  <c r="BP59" i="14"/>
  <c r="BA60" i="14"/>
  <c r="AZ60" i="14"/>
  <c r="Y39" i="15"/>
  <c r="AA39" i="15" s="1"/>
  <c r="L60" i="14"/>
  <c r="K61" i="14" s="1"/>
  <c r="F39" i="14"/>
  <c r="E40" i="14" s="1"/>
  <c r="X40" i="15" s="1"/>
  <c r="R56" i="14"/>
  <c r="Q57" i="14" s="1"/>
  <c r="O57" i="14"/>
  <c r="M58" i="14" s="1"/>
  <c r="H59" i="14"/>
  <c r="I59" i="14" s="1"/>
  <c r="H60" i="14" s="1"/>
  <c r="W57" i="14"/>
  <c r="X57" i="14" s="1"/>
  <c r="W58" i="14" s="1"/>
  <c r="AH58" i="14"/>
  <c r="AJ58" i="14" s="1"/>
  <c r="AH59" i="14" s="1"/>
  <c r="S60" i="14"/>
  <c r="U60" i="14" s="1"/>
  <c r="T61" i="14" s="1"/>
  <c r="AA54" i="14"/>
  <c r="Z55" i="14" s="1"/>
  <c r="AE59" i="14"/>
  <c r="AF59" i="14"/>
  <c r="U26" i="15"/>
  <c r="AF26" i="15" s="1"/>
  <c r="O26" i="15"/>
  <c r="AG15" i="16"/>
  <c r="AM15" i="16"/>
  <c r="AH15" i="16"/>
  <c r="AO15" i="16"/>
  <c r="AJ15" i="16"/>
  <c r="W15" i="20"/>
  <c r="AC15" i="20" s="1"/>
  <c r="AI15" i="19"/>
  <c r="AJ15" i="19" s="1"/>
  <c r="Q15" i="19"/>
  <c r="R15" i="19" s="1"/>
  <c r="Z15" i="19"/>
  <c r="AA15" i="19" s="1"/>
  <c r="AC15" i="19"/>
  <c r="AD15" i="19" s="1"/>
  <c r="T15" i="19"/>
  <c r="U15" i="19" s="1"/>
  <c r="H15" i="19"/>
  <c r="I15" i="19" s="1"/>
  <c r="N15" i="19"/>
  <c r="O15" i="19" s="1"/>
  <c r="K15" i="19"/>
  <c r="L15" i="19" s="1"/>
  <c r="AF15" i="19"/>
  <c r="AG15" i="19" s="1"/>
  <c r="W15" i="19"/>
  <c r="X15" i="19" s="1"/>
  <c r="E15" i="19"/>
  <c r="R15" i="20"/>
  <c r="S15" i="20" s="1"/>
  <c r="O15" i="16"/>
  <c r="AF15" i="16" s="1"/>
  <c r="I15" i="16"/>
  <c r="T15" i="20"/>
  <c r="CW62" i="14" l="1"/>
  <c r="CX62" i="14" s="1"/>
  <c r="AP57" i="14"/>
  <c r="AC60" i="14"/>
  <c r="AD60" i="14" s="1"/>
  <c r="AB61" i="14" s="1"/>
  <c r="CB63" i="14"/>
  <c r="CC63" i="14" s="1"/>
  <c r="CL62" i="14"/>
  <c r="CY62" i="14"/>
  <c r="DA62" i="14" s="1"/>
  <c r="BU60" i="14"/>
  <c r="BW60" i="14" s="1"/>
  <c r="AQ59" i="14"/>
  <c r="AS59" i="14" s="1"/>
  <c r="AK56" i="14"/>
  <c r="AM56" i="14" s="1"/>
  <c r="BC61" i="14"/>
  <c r="BE61" i="14" s="1"/>
  <c r="BD62" i="14" s="1"/>
  <c r="CW63" i="14"/>
  <c r="CV63" i="14"/>
  <c r="CE61" i="14"/>
  <c r="CD61" i="14"/>
  <c r="BG63" i="14"/>
  <c r="BH63" i="14" s="1"/>
  <c r="AW56" i="14"/>
  <c r="AY56" i="14" s="1"/>
  <c r="AX57" i="14" s="1"/>
  <c r="BL62" i="14"/>
  <c r="BN62" i="14" s="1"/>
  <c r="BQ59" i="14"/>
  <c r="BO60" i="14" s="1"/>
  <c r="BB60" i="14"/>
  <c r="BA61" i="14" s="1"/>
  <c r="V39" i="15"/>
  <c r="J61" i="14"/>
  <c r="L61" i="14" s="1"/>
  <c r="P57" i="14"/>
  <c r="R57" i="14" s="1"/>
  <c r="Q58" i="14" s="1"/>
  <c r="N58" i="14"/>
  <c r="O58" i="14" s="1"/>
  <c r="M59" i="14" s="1"/>
  <c r="D40" i="14"/>
  <c r="W40" i="15" s="1"/>
  <c r="Z40" i="15" s="1"/>
  <c r="G60" i="14"/>
  <c r="I60" i="14" s="1"/>
  <c r="V58" i="14"/>
  <c r="X58" i="14" s="1"/>
  <c r="AI59" i="14"/>
  <c r="AJ59" i="14" s="1"/>
  <c r="S61" i="14"/>
  <c r="U61" i="14" s="1"/>
  <c r="Y55" i="14"/>
  <c r="AA55" i="14" s="1"/>
  <c r="Z56" i="14" s="1"/>
  <c r="AG59" i="14"/>
  <c r="AE60" i="14" s="1"/>
  <c r="AU61" i="14"/>
  <c r="AT61" i="14"/>
  <c r="AR15" i="20"/>
  <c r="AH15" i="20"/>
  <c r="AM15" i="20"/>
  <c r="H16" i="16"/>
  <c r="AP15" i="16"/>
  <c r="AK15" i="16"/>
  <c r="AQ15" i="16"/>
  <c r="AL15" i="16"/>
  <c r="X15" i="20"/>
  <c r="AD15" i="20" s="1"/>
  <c r="F15" i="19"/>
  <c r="Q27" i="15"/>
  <c r="R27" i="15"/>
  <c r="U15" i="20"/>
  <c r="O15" i="20"/>
  <c r="Z15" i="20"/>
  <c r="AE15" i="20" s="1"/>
  <c r="AN58" i="14" l="1"/>
  <c r="AO58" i="14"/>
  <c r="AC61" i="14"/>
  <c r="AD61" i="14" s="1"/>
  <c r="AC62" i="14" s="1"/>
  <c r="CJ63" i="14"/>
  <c r="CK63" i="14"/>
  <c r="CX63" i="14"/>
  <c r="CF61" i="14"/>
  <c r="CE62" i="14" s="1"/>
  <c r="BU61" i="14"/>
  <c r="BV61" i="14"/>
  <c r="AQ60" i="14"/>
  <c r="AR60" i="14"/>
  <c r="BC62" i="14"/>
  <c r="BE62" i="14" s="1"/>
  <c r="BD63" i="14" s="1"/>
  <c r="AK57" i="14"/>
  <c r="AL57" i="14"/>
  <c r="J62" i="14"/>
  <c r="K62" i="14"/>
  <c r="CZ63" i="14"/>
  <c r="CY63" i="14"/>
  <c r="AW57" i="14"/>
  <c r="AY57" i="14" s="1"/>
  <c r="AW58" i="14" s="1"/>
  <c r="BM63" i="14"/>
  <c r="BL63" i="14"/>
  <c r="BP60" i="14"/>
  <c r="BQ60" i="14" s="1"/>
  <c r="BO61" i="14" s="1"/>
  <c r="AZ61" i="14"/>
  <c r="BB61" i="14" s="1"/>
  <c r="BA62" i="14" s="1"/>
  <c r="AV61" i="14"/>
  <c r="AU62" i="14" s="1"/>
  <c r="N59" i="14"/>
  <c r="O59" i="14" s="1"/>
  <c r="F40" i="14"/>
  <c r="V40" i="15" s="1"/>
  <c r="Y40" i="15"/>
  <c r="AA40" i="15" s="1"/>
  <c r="T62" i="14"/>
  <c r="S62" i="14"/>
  <c r="W59" i="14"/>
  <c r="V59" i="14"/>
  <c r="H61" i="14"/>
  <c r="G61" i="14"/>
  <c r="P58" i="14"/>
  <c r="R58" i="14" s="1"/>
  <c r="Q59" i="14" s="1"/>
  <c r="AF60" i="14"/>
  <c r="AG60" i="14" s="1"/>
  <c r="Y56" i="14"/>
  <c r="AA56" i="14" s="1"/>
  <c r="Z57" i="14" s="1"/>
  <c r="AH60" i="14"/>
  <c r="AI60" i="14"/>
  <c r="AV15" i="20"/>
  <c r="AS15" i="20"/>
  <c r="AN15" i="20"/>
  <c r="AI15" i="20"/>
  <c r="AG15" i="20"/>
  <c r="AT15" i="20"/>
  <c r="AO15" i="20"/>
  <c r="AJ15" i="20"/>
  <c r="S27" i="15"/>
  <c r="T27" i="15"/>
  <c r="AC27" i="15"/>
  <c r="Q64" i="15"/>
  <c r="Y15" i="20"/>
  <c r="AA15" i="20" s="1"/>
  <c r="AF15" i="20" s="1"/>
  <c r="X16" i="16"/>
  <c r="W16" i="16"/>
  <c r="AL16" i="17"/>
  <c r="AK16" i="17"/>
  <c r="AE16" i="17"/>
  <c r="Z16" i="17"/>
  <c r="H16" i="17"/>
  <c r="Y16" i="17"/>
  <c r="N16" i="17"/>
  <c r="M16" i="17"/>
  <c r="G16" i="17"/>
  <c r="T16" i="17"/>
  <c r="S16" i="17"/>
  <c r="AC16" i="17"/>
  <c r="AB16" i="17"/>
  <c r="AF16" i="17"/>
  <c r="P16" i="17"/>
  <c r="W16" i="17"/>
  <c r="AH16" i="17"/>
  <c r="K16" i="17"/>
  <c r="J16" i="17"/>
  <c r="Q16" i="17"/>
  <c r="V16" i="17"/>
  <c r="E16" i="17"/>
  <c r="D16" i="17"/>
  <c r="AI16" i="17"/>
  <c r="L16" i="16"/>
  <c r="V15" i="20"/>
  <c r="AD27" i="15"/>
  <c r="R64" i="15"/>
  <c r="AP58" i="14" l="1"/>
  <c r="AO59" i="14"/>
  <c r="AN59" i="14"/>
  <c r="AM57" i="14"/>
  <c r="AB62" i="14"/>
  <c r="AD62" i="14" s="1"/>
  <c r="CD62" i="14"/>
  <c r="CF62" i="14" s="1"/>
  <c r="CD63" i="14" s="1"/>
  <c r="CL63" i="14"/>
  <c r="BW61" i="14"/>
  <c r="BV62" i="14" s="1"/>
  <c r="AS60" i="14"/>
  <c r="AL58" i="14"/>
  <c r="AK58" i="14"/>
  <c r="L62" i="14"/>
  <c r="J63" i="14" s="1"/>
  <c r="BC63" i="14"/>
  <c r="BE63" i="14" s="1"/>
  <c r="DA63" i="14"/>
  <c r="BN63" i="14"/>
  <c r="BP61" i="14"/>
  <c r="BQ61" i="14" s="1"/>
  <c r="BP62" i="14" s="1"/>
  <c r="AX58" i="14"/>
  <c r="AY58" i="14" s="1"/>
  <c r="AT62" i="14"/>
  <c r="AV62" i="14" s="1"/>
  <c r="AZ62" i="14"/>
  <c r="BB62" i="14" s="1"/>
  <c r="M60" i="14"/>
  <c r="N60" i="14"/>
  <c r="E41" i="14"/>
  <c r="X41" i="15" s="1"/>
  <c r="U62" i="14"/>
  <c r="T63" i="14" s="1"/>
  <c r="D41" i="14"/>
  <c r="I61" i="14"/>
  <c r="H62" i="14" s="1"/>
  <c r="L16" i="17"/>
  <c r="X59" i="14"/>
  <c r="W60" i="14" s="1"/>
  <c r="Y57" i="14"/>
  <c r="AA57" i="14" s="1"/>
  <c r="P59" i="14"/>
  <c r="R59" i="14" s="1"/>
  <c r="Q60" i="14" s="1"/>
  <c r="AM16" i="17"/>
  <c r="AD16" i="17"/>
  <c r="R16" i="17"/>
  <c r="AG16" i="17"/>
  <c r="AF61" i="14"/>
  <c r="AE61" i="14"/>
  <c r="AA16" i="17"/>
  <c r="AJ16" i="17"/>
  <c r="AJ60" i="14"/>
  <c r="AE27" i="15"/>
  <c r="T64" i="15"/>
  <c r="D16" i="20"/>
  <c r="Y16" i="16"/>
  <c r="Z16" i="16"/>
  <c r="AL15" i="20"/>
  <c r="AQ15" i="20"/>
  <c r="AN27" i="15"/>
  <c r="AQ27" i="15"/>
  <c r="AI27" i="15"/>
  <c r="Q16" i="16"/>
  <c r="F16" i="17"/>
  <c r="U16" i="17"/>
  <c r="R16" i="16"/>
  <c r="AD16" i="16" s="1"/>
  <c r="AU15" i="20"/>
  <c r="AK15" i="20"/>
  <c r="AP15" i="20"/>
  <c r="I16" i="17"/>
  <c r="U27" i="15"/>
  <c r="S64" i="15"/>
  <c r="O27" i="15"/>
  <c r="X16" i="17"/>
  <c r="O16" i="17"/>
  <c r="AG27" i="15"/>
  <c r="AL27" i="15" s="1"/>
  <c r="AM27" i="15"/>
  <c r="AH27" i="15"/>
  <c r="AP59" i="14" l="1"/>
  <c r="AN60" i="14" s="1"/>
  <c r="BU62" i="14"/>
  <c r="BW62" i="14" s="1"/>
  <c r="BU63" i="14" s="1"/>
  <c r="AM58" i="14"/>
  <c r="AK59" i="14" s="1"/>
  <c r="K63" i="14"/>
  <c r="L63" i="14" s="1"/>
  <c r="AB63" i="14"/>
  <c r="AC63" i="14"/>
  <c r="AQ61" i="14"/>
  <c r="AR61" i="14"/>
  <c r="AL59" i="14"/>
  <c r="CE63" i="14"/>
  <c r="CF63" i="14" s="1"/>
  <c r="AW59" i="14"/>
  <c r="AX59" i="14"/>
  <c r="BO62" i="14"/>
  <c r="BQ62" i="14" s="1"/>
  <c r="BO63" i="14" s="1"/>
  <c r="AT63" i="14"/>
  <c r="AU63" i="14"/>
  <c r="O60" i="14"/>
  <c r="N61" i="14" s="1"/>
  <c r="S63" i="14"/>
  <c r="U63" i="14" s="1"/>
  <c r="W41" i="15"/>
  <c r="F41" i="14"/>
  <c r="G62" i="14"/>
  <c r="I62" i="14" s="1"/>
  <c r="H63" i="14" s="1"/>
  <c r="V60" i="14"/>
  <c r="X60" i="14" s="1"/>
  <c r="W61" i="14" s="1"/>
  <c r="AG61" i="14"/>
  <c r="AF62" i="14" s="1"/>
  <c r="P60" i="14"/>
  <c r="R60" i="14" s="1"/>
  <c r="P61" i="14" s="1"/>
  <c r="AH61" i="14"/>
  <c r="AI61" i="14"/>
  <c r="Y58" i="14"/>
  <c r="Z58" i="14"/>
  <c r="BA63" i="14"/>
  <c r="AZ63" i="14"/>
  <c r="S16" i="16"/>
  <c r="U16" i="16" s="1"/>
  <c r="T16" i="16"/>
  <c r="K16" i="16"/>
  <c r="Q28" i="15"/>
  <c r="R28" i="15"/>
  <c r="AD28" i="15" s="1"/>
  <c r="AA16" i="16"/>
  <c r="V16" i="16"/>
  <c r="J16" i="20"/>
  <c r="E16" i="20"/>
  <c r="G16" i="20"/>
  <c r="AO27" i="15"/>
  <c r="AJ27" i="15"/>
  <c r="AF27" i="15"/>
  <c r="U64" i="15"/>
  <c r="P16" i="16"/>
  <c r="AO60" i="14" l="1"/>
  <c r="AP60" i="14" s="1"/>
  <c r="BV63" i="14"/>
  <c r="BW63" i="14" s="1"/>
  <c r="AD63" i="14"/>
  <c r="AM59" i="14"/>
  <c r="AL60" i="14" s="1"/>
  <c r="AS61" i="14"/>
  <c r="AY59" i="14"/>
  <c r="AX60" i="14" s="1"/>
  <c r="M61" i="14"/>
  <c r="O61" i="14" s="1"/>
  <c r="BP63" i="14"/>
  <c r="BQ63" i="14" s="1"/>
  <c r="AV63" i="14"/>
  <c r="BB63" i="14"/>
  <c r="V61" i="14"/>
  <c r="X61" i="14" s="1"/>
  <c r="V62" i="14" s="1"/>
  <c r="E42" i="14"/>
  <c r="X42" i="15" s="1"/>
  <c r="D42" i="14"/>
  <c r="V41" i="15"/>
  <c r="Y41" i="15"/>
  <c r="AA41" i="15" s="1"/>
  <c r="Z41" i="15"/>
  <c r="G63" i="14"/>
  <c r="I63" i="14" s="1"/>
  <c r="AE62" i="14"/>
  <c r="AG62" i="14" s="1"/>
  <c r="AF63" i="14" s="1"/>
  <c r="Q61" i="14"/>
  <c r="R61" i="14" s="1"/>
  <c r="P62" i="14" s="1"/>
  <c r="AA58" i="14"/>
  <c r="AJ61" i="14"/>
  <c r="M16" i="16"/>
  <c r="N16" i="16"/>
  <c r="AC16" i="16"/>
  <c r="AK16" i="19"/>
  <c r="J16" i="19"/>
  <c r="S16" i="19"/>
  <c r="AB16" i="19"/>
  <c r="Y16" i="19"/>
  <c r="P16" i="19"/>
  <c r="AE16" i="19"/>
  <c r="M16" i="19"/>
  <c r="V16" i="19"/>
  <c r="G16" i="19"/>
  <c r="AH16" i="19"/>
  <c r="D16" i="19"/>
  <c r="Q16" i="20"/>
  <c r="K16" i="20"/>
  <c r="AP27" i="15"/>
  <c r="AK27" i="15"/>
  <c r="F16" i="20"/>
  <c r="S28" i="15"/>
  <c r="T28" i="15"/>
  <c r="AE28" i="15" s="1"/>
  <c r="AC28" i="15"/>
  <c r="AO61" i="14" l="1"/>
  <c r="AN61" i="14"/>
  <c r="AP61" i="14" s="1"/>
  <c r="AW60" i="14"/>
  <c r="AY60" i="14" s="1"/>
  <c r="AW61" i="14" s="1"/>
  <c r="AK60" i="14"/>
  <c r="AM60" i="14" s="1"/>
  <c r="AK61" i="14" s="1"/>
  <c r="AQ62" i="14"/>
  <c r="AR62" i="14"/>
  <c r="N62" i="14"/>
  <c r="M62" i="14"/>
  <c r="W62" i="14"/>
  <c r="X62" i="14" s="1"/>
  <c r="V63" i="14" s="1"/>
  <c r="W42" i="15"/>
  <c r="F42" i="14"/>
  <c r="AE63" i="14"/>
  <c r="AG63" i="14" s="1"/>
  <c r="Q62" i="14"/>
  <c r="R62" i="14" s="1"/>
  <c r="Z59" i="14"/>
  <c r="Y59" i="14"/>
  <c r="AI62" i="14"/>
  <c r="AH62" i="14"/>
  <c r="H16" i="20"/>
  <c r="I16" i="20"/>
  <c r="AG16" i="16"/>
  <c r="AG28" i="15"/>
  <c r="AE16" i="16"/>
  <c r="U28" i="15"/>
  <c r="AF28" i="15" s="1"/>
  <c r="O28" i="15"/>
  <c r="W16" i="20"/>
  <c r="AC16" i="20" s="1"/>
  <c r="AL16" i="19"/>
  <c r="AM16" i="19" s="1"/>
  <c r="H16" i="19"/>
  <c r="I16" i="19" s="1"/>
  <c r="K16" i="19"/>
  <c r="L16" i="19" s="1"/>
  <c r="T16" i="19"/>
  <c r="U16" i="19" s="1"/>
  <c r="AC16" i="19"/>
  <c r="AD16" i="19" s="1"/>
  <c r="AI16" i="19"/>
  <c r="AJ16" i="19" s="1"/>
  <c r="Q16" i="19"/>
  <c r="R16" i="19" s="1"/>
  <c r="AF16" i="19"/>
  <c r="AG16" i="19" s="1"/>
  <c r="Z16" i="19"/>
  <c r="AA16" i="19" s="1"/>
  <c r="W16" i="19"/>
  <c r="X16" i="19" s="1"/>
  <c r="N16" i="19"/>
  <c r="O16" i="19" s="1"/>
  <c r="E16" i="19"/>
  <c r="R16" i="20"/>
  <c r="S16" i="20" s="1"/>
  <c r="T16" i="20"/>
  <c r="O16" i="16"/>
  <c r="I16" i="16"/>
  <c r="AN62" i="14" l="1"/>
  <c r="AO62" i="14"/>
  <c r="AS62" i="14"/>
  <c r="AR63" i="14" s="1"/>
  <c r="O62" i="14"/>
  <c r="N63" i="14" s="1"/>
  <c r="M63" i="14"/>
  <c r="O63" i="14" s="1"/>
  <c r="AL61" i="14"/>
  <c r="AM61" i="14" s="1"/>
  <c r="W63" i="14"/>
  <c r="X63" i="14" s="1"/>
  <c r="AX61" i="14"/>
  <c r="AY61" i="14" s="1"/>
  <c r="Q63" i="14"/>
  <c r="P63" i="14"/>
  <c r="E43" i="14"/>
  <c r="X43" i="15" s="1"/>
  <c r="V42" i="15"/>
  <c r="D43" i="14"/>
  <c r="W43" i="15" s="1"/>
  <c r="Z42" i="15"/>
  <c r="Y42" i="15"/>
  <c r="AA42" i="15" s="1"/>
  <c r="AA59" i="14"/>
  <c r="Y60" i="14" s="1"/>
  <c r="AJ62" i="14"/>
  <c r="AH63" i="14" s="1"/>
  <c r="U16" i="20"/>
  <c r="O16" i="20"/>
  <c r="Z16" i="20"/>
  <c r="AE16" i="20" s="1"/>
  <c r="R29" i="15"/>
  <c r="AD29" i="15" s="1"/>
  <c r="Q29" i="15"/>
  <c r="AF16" i="16"/>
  <c r="X16" i="20"/>
  <c r="Y16" i="20" s="1"/>
  <c r="AA16" i="20" s="1"/>
  <c r="F16" i="19"/>
  <c r="H17" i="16"/>
  <c r="AQ63" i="14" l="1"/>
  <c r="AP62" i="14"/>
  <c r="AS63" i="14"/>
  <c r="AK62" i="14"/>
  <c r="AL62" i="14"/>
  <c r="R63" i="14"/>
  <c r="AX62" i="14"/>
  <c r="AW62" i="14"/>
  <c r="AI63" i="14"/>
  <c r="AJ63" i="14" s="1"/>
  <c r="Z60" i="14"/>
  <c r="AA60" i="14" s="1"/>
  <c r="Z61" i="14" s="1"/>
  <c r="Y43" i="15"/>
  <c r="AA43" i="15" s="1"/>
  <c r="Z43" i="15"/>
  <c r="F43" i="14"/>
  <c r="AF16" i="20"/>
  <c r="AD16" i="20"/>
  <c r="X17" i="16"/>
  <c r="W17" i="16"/>
  <c r="AN17" i="17"/>
  <c r="AO17" i="17"/>
  <c r="AE17" i="17"/>
  <c r="AC17" i="17"/>
  <c r="AK17" i="17"/>
  <c r="AH17" i="17"/>
  <c r="AI17" i="17"/>
  <c r="P17" i="17"/>
  <c r="J17" i="17"/>
  <c r="AB17" i="17"/>
  <c r="Q17" i="17"/>
  <c r="AL17" i="17"/>
  <c r="AF17" i="17"/>
  <c r="K17" i="17"/>
  <c r="Z17" i="17"/>
  <c r="Y17" i="17"/>
  <c r="S17" i="17"/>
  <c r="D17" i="17"/>
  <c r="N17" i="17"/>
  <c r="E17" i="17"/>
  <c r="M17" i="17"/>
  <c r="G17" i="17"/>
  <c r="W17" i="17"/>
  <c r="T17" i="17"/>
  <c r="V17" i="17"/>
  <c r="H17" i="17"/>
  <c r="S29" i="15"/>
  <c r="T29" i="15"/>
  <c r="AE29" i="15" s="1"/>
  <c r="AC29" i="15"/>
  <c r="V16" i="20"/>
  <c r="L17" i="16"/>
  <c r="AO63" i="14" l="1"/>
  <c r="AN63" i="14"/>
  <c r="AP63" i="14" s="1"/>
  <c r="AM62" i="14"/>
  <c r="AY62" i="14"/>
  <c r="AX63" i="14" s="1"/>
  <c r="Y61" i="14"/>
  <c r="AA61" i="14" s="1"/>
  <c r="AA17" i="17"/>
  <c r="E44" i="14"/>
  <c r="X44" i="15" s="1"/>
  <c r="V43" i="15"/>
  <c r="D44" i="14"/>
  <c r="W44" i="15" s="1"/>
  <c r="AM17" i="17"/>
  <c r="AG17" i="17"/>
  <c r="U17" i="17"/>
  <c r="X17" i="17"/>
  <c r="AP17" i="17"/>
  <c r="AJ17" i="17"/>
  <c r="O17" i="17"/>
  <c r="Q17" i="16"/>
  <c r="F17" i="17"/>
  <c r="D17" i="20"/>
  <c r="Y17" i="16"/>
  <c r="Z17" i="16"/>
  <c r="I17" i="17"/>
  <c r="AD17" i="17"/>
  <c r="AG16" i="20"/>
  <c r="L17" i="17"/>
  <c r="R17" i="16"/>
  <c r="AD17" i="16" s="1"/>
  <c r="R17" i="17"/>
  <c r="U29" i="15"/>
  <c r="AF29" i="15" s="1"/>
  <c r="O29" i="15"/>
  <c r="AG29" i="15"/>
  <c r="AK63" i="14" l="1"/>
  <c r="AL63" i="14"/>
  <c r="AW63" i="14"/>
  <c r="AY63" i="14" s="1"/>
  <c r="F44" i="14"/>
  <c r="Y44" i="15"/>
  <c r="AA44" i="15" s="1"/>
  <c r="Z44" i="15"/>
  <c r="Y62" i="14"/>
  <c r="Z62" i="14"/>
  <c r="R30" i="15"/>
  <c r="AD30" i="15" s="1"/>
  <c r="Q30" i="15"/>
  <c r="AA17" i="16"/>
  <c r="V17" i="16"/>
  <c r="S17" i="16"/>
  <c r="U17" i="16" s="1"/>
  <c r="T17" i="16"/>
  <c r="K17" i="16"/>
  <c r="J17" i="20"/>
  <c r="E17" i="20"/>
  <c r="F17" i="20" s="1"/>
  <c r="G17" i="20"/>
  <c r="P17" i="16"/>
  <c r="AM63" i="14" l="1"/>
  <c r="D45" i="14"/>
  <c r="W45" i="15" s="1"/>
  <c r="V44" i="15"/>
  <c r="E45" i="14"/>
  <c r="X45" i="15" s="1"/>
  <c r="AA62" i="14"/>
  <c r="S30" i="15"/>
  <c r="T30" i="15"/>
  <c r="AE30" i="15" s="1"/>
  <c r="AC30" i="15"/>
  <c r="AN17" i="19"/>
  <c r="S17" i="19"/>
  <c r="AH17" i="19"/>
  <c r="P17" i="19"/>
  <c r="M17" i="19"/>
  <c r="AK17" i="19"/>
  <c r="J17" i="19"/>
  <c r="Y17" i="19"/>
  <c r="AE17" i="19"/>
  <c r="G17" i="19"/>
  <c r="AB17" i="19"/>
  <c r="V17" i="19"/>
  <c r="Q17" i="20"/>
  <c r="D17" i="19"/>
  <c r="M17" i="16"/>
  <c r="N17" i="16"/>
  <c r="AC17" i="16"/>
  <c r="H17" i="20"/>
  <c r="I17" i="20"/>
  <c r="K17" i="20"/>
  <c r="F45" i="14" l="1"/>
  <c r="D46" i="14" s="1"/>
  <c r="W46" i="15" s="1"/>
  <c r="Y45" i="15"/>
  <c r="AA45" i="15" s="1"/>
  <c r="Z45" i="15"/>
  <c r="Z63" i="14"/>
  <c r="Y63" i="14"/>
  <c r="W17" i="20"/>
  <c r="AC17" i="20" s="1"/>
  <c r="T17" i="20"/>
  <c r="U30" i="15"/>
  <c r="AF30" i="15" s="1"/>
  <c r="O30" i="15"/>
  <c r="AO17" i="19"/>
  <c r="AP17" i="19" s="1"/>
  <c r="AI17" i="19"/>
  <c r="AJ17" i="19" s="1"/>
  <c r="AL17" i="19"/>
  <c r="AM17" i="19" s="1"/>
  <c r="Q17" i="19"/>
  <c r="R17" i="19" s="1"/>
  <c r="N17" i="19"/>
  <c r="O17" i="19" s="1"/>
  <c r="AC17" i="19"/>
  <c r="AD17" i="19" s="1"/>
  <c r="K17" i="19"/>
  <c r="L17" i="19" s="1"/>
  <c r="Z17" i="19"/>
  <c r="AA17" i="19" s="1"/>
  <c r="T17" i="19"/>
  <c r="U17" i="19" s="1"/>
  <c r="AF17" i="19"/>
  <c r="AG17" i="19" s="1"/>
  <c r="H17" i="19"/>
  <c r="I17" i="19" s="1"/>
  <c r="W17" i="19"/>
  <c r="X17" i="19" s="1"/>
  <c r="R17" i="20"/>
  <c r="S17" i="20" s="1"/>
  <c r="E17" i="19"/>
  <c r="AG17" i="16"/>
  <c r="O17" i="16"/>
  <c r="I17" i="16"/>
  <c r="AG30" i="15"/>
  <c r="AE17" i="16"/>
  <c r="V45" i="15" l="1"/>
  <c r="E46" i="14"/>
  <c r="X46" i="15" s="1"/>
  <c r="Y46" i="15" s="1"/>
  <c r="AA46" i="15" s="1"/>
  <c r="Z46" i="15"/>
  <c r="AA63" i="14"/>
  <c r="Q31" i="15"/>
  <c r="R31" i="15"/>
  <c r="AD31" i="15" s="1"/>
  <c r="U17" i="20"/>
  <c r="O17" i="20"/>
  <c r="X17" i="20"/>
  <c r="AD17" i="20" s="1"/>
  <c r="H18" i="16"/>
  <c r="F17" i="19"/>
  <c r="Z17" i="20"/>
  <c r="AE17" i="20" s="1"/>
  <c r="AF17" i="16"/>
  <c r="F46" i="14" l="1"/>
  <c r="E47" i="14" s="1"/>
  <c r="X47" i="15" s="1"/>
  <c r="Y17" i="20"/>
  <c r="AA17" i="20" s="1"/>
  <c r="AF17" i="20" s="1"/>
  <c r="AG17" i="20"/>
  <c r="S31" i="15"/>
  <c r="T31" i="15"/>
  <c r="AE31" i="15" s="1"/>
  <c r="AC31" i="15"/>
  <c r="V17" i="20"/>
  <c r="X18" i="16"/>
  <c r="W18" i="16"/>
  <c r="AQ18" i="17"/>
  <c r="AR18" i="17"/>
  <c r="W18" i="17"/>
  <c r="N18" i="17"/>
  <c r="V18" i="17"/>
  <c r="AF18" i="17"/>
  <c r="AH18" i="17"/>
  <c r="AE18" i="17"/>
  <c r="M18" i="17"/>
  <c r="Z18" i="17"/>
  <c r="AO18" i="17"/>
  <c r="T18" i="17"/>
  <c r="Y18" i="17"/>
  <c r="AN18" i="17"/>
  <c r="S18" i="17"/>
  <c r="AI18" i="17"/>
  <c r="AK18" i="17"/>
  <c r="AL18" i="17"/>
  <c r="H18" i="17"/>
  <c r="G18" i="17"/>
  <c r="K18" i="17"/>
  <c r="AB18" i="17"/>
  <c r="J18" i="17"/>
  <c r="E18" i="17"/>
  <c r="AC18" i="17"/>
  <c r="P18" i="17"/>
  <c r="D18" i="17"/>
  <c r="Q18" i="17"/>
  <c r="L18" i="16"/>
  <c r="V46" i="15" l="1"/>
  <c r="D47" i="14"/>
  <c r="W47" i="15" s="1"/>
  <c r="Z47" i="15" s="1"/>
  <c r="X18" i="17"/>
  <c r="L18" i="17"/>
  <c r="I18" i="17"/>
  <c r="U18" i="17"/>
  <c r="AP18" i="17"/>
  <c r="AA18" i="17"/>
  <c r="R18" i="17"/>
  <c r="AG31" i="15"/>
  <c r="AS18" i="17"/>
  <c r="U31" i="15"/>
  <c r="AF31" i="15" s="1"/>
  <c r="O31" i="15"/>
  <c r="D18" i="20"/>
  <c r="Y18" i="16"/>
  <c r="Z18" i="16"/>
  <c r="R18" i="16"/>
  <c r="AD18" i="16" s="1"/>
  <c r="Q18" i="16"/>
  <c r="F18" i="17"/>
  <c r="O18" i="17"/>
  <c r="AM18" i="17"/>
  <c r="AD18" i="17"/>
  <c r="AG18" i="17"/>
  <c r="AJ18" i="17"/>
  <c r="F47" i="14" l="1"/>
  <c r="V47" i="15" s="1"/>
  <c r="Y47" i="15"/>
  <c r="AA47" i="15" s="1"/>
  <c r="R32" i="15"/>
  <c r="AD32" i="15" s="1"/>
  <c r="Q32" i="15"/>
  <c r="J18" i="20"/>
  <c r="E18" i="20"/>
  <c r="F18" i="20" s="1"/>
  <c r="G18" i="20"/>
  <c r="P18" i="16"/>
  <c r="S18" i="16"/>
  <c r="U18" i="16" s="1"/>
  <c r="T18" i="16"/>
  <c r="K18" i="16"/>
  <c r="AA18" i="16"/>
  <c r="V18" i="16"/>
  <c r="D48" i="14" l="1"/>
  <c r="W48" i="15" s="1"/>
  <c r="Z48" i="15" s="1"/>
  <c r="E48" i="14"/>
  <c r="X48" i="15" s="1"/>
  <c r="S32" i="15"/>
  <c r="T32" i="15"/>
  <c r="AE32" i="15" s="1"/>
  <c r="AC32" i="15"/>
  <c r="M18" i="16"/>
  <c r="N18" i="16"/>
  <c r="AC18" i="16"/>
  <c r="K18" i="20"/>
  <c r="AQ18" i="19"/>
  <c r="AK18" i="19"/>
  <c r="Y18" i="19"/>
  <c r="J18" i="19"/>
  <c r="M18" i="19"/>
  <c r="AE18" i="19"/>
  <c r="V18" i="19"/>
  <c r="G18" i="19"/>
  <c r="AH18" i="19"/>
  <c r="AB18" i="19"/>
  <c r="AN18" i="19"/>
  <c r="S18" i="19"/>
  <c r="P18" i="19"/>
  <c r="Q18" i="20"/>
  <c r="D18" i="19"/>
  <c r="H18" i="20"/>
  <c r="I18" i="20"/>
  <c r="Y48" i="15" l="1"/>
  <c r="AA48" i="15" s="1"/>
  <c r="F48" i="14"/>
  <c r="E49" i="14" s="1"/>
  <c r="X49" i="15" s="1"/>
  <c r="V48" i="15"/>
  <c r="AE18" i="16"/>
  <c r="U32" i="15"/>
  <c r="AF32" i="15" s="1"/>
  <c r="O32" i="15"/>
  <c r="T18" i="20"/>
  <c r="O18" i="16"/>
  <c r="I18" i="16"/>
  <c r="AG32" i="15"/>
  <c r="W18" i="20"/>
  <c r="AC18" i="20" s="1"/>
  <c r="AR18" i="19"/>
  <c r="AS18" i="19" s="1"/>
  <c r="AL18" i="19"/>
  <c r="AM18" i="19" s="1"/>
  <c r="Z18" i="19"/>
  <c r="AA18" i="19" s="1"/>
  <c r="T18" i="19"/>
  <c r="U18" i="19" s="1"/>
  <c r="H18" i="19"/>
  <c r="I18" i="19" s="1"/>
  <c r="AO18" i="19"/>
  <c r="AP18" i="19" s="1"/>
  <c r="N18" i="19"/>
  <c r="O18" i="19" s="1"/>
  <c r="W18" i="19"/>
  <c r="X18" i="19" s="1"/>
  <c r="AI18" i="19"/>
  <c r="AJ18" i="19" s="1"/>
  <c r="AF18" i="19"/>
  <c r="AG18" i="19" s="1"/>
  <c r="K18" i="19"/>
  <c r="L18" i="19" s="1"/>
  <c r="Q18" i="19"/>
  <c r="R18" i="19" s="1"/>
  <c r="AC18" i="19"/>
  <c r="AD18" i="19" s="1"/>
  <c r="E18" i="19"/>
  <c r="R18" i="20"/>
  <c r="S18" i="20" s="1"/>
  <c r="AG18" i="16"/>
  <c r="D49" i="14" l="1"/>
  <c r="W49" i="15" s="1"/>
  <c r="F49" i="14"/>
  <c r="Y49" i="15"/>
  <c r="AA49" i="15" s="1"/>
  <c r="Z49" i="15"/>
  <c r="U18" i="20"/>
  <c r="O18" i="20"/>
  <c r="R33" i="15"/>
  <c r="AD33" i="15" s="1"/>
  <c r="Q33" i="15"/>
  <c r="AF18" i="16"/>
  <c r="H19" i="16"/>
  <c r="L19" i="16" s="1"/>
  <c r="X18" i="20"/>
  <c r="AD18" i="20" s="1"/>
  <c r="Z18" i="20"/>
  <c r="AE18" i="20" s="1"/>
  <c r="F18" i="19"/>
  <c r="D50" i="14" l="1"/>
  <c r="W50" i="15" s="1"/>
  <c r="E50" i="14"/>
  <c r="X50" i="15" s="1"/>
  <c r="V49" i="15"/>
  <c r="AG18" i="20"/>
  <c r="V18" i="20"/>
  <c r="S33" i="15"/>
  <c r="T33" i="15"/>
  <c r="AE33" i="15" s="1"/>
  <c r="AC33" i="15"/>
  <c r="AG33" i="15" s="1"/>
  <c r="X19" i="16"/>
  <c r="W19" i="16"/>
  <c r="AU19" i="17"/>
  <c r="AT19" i="17"/>
  <c r="AO19" i="17"/>
  <c r="K19" i="17"/>
  <c r="J19" i="17"/>
  <c r="AN19" i="17"/>
  <c r="H19" i="17"/>
  <c r="G19" i="17"/>
  <c r="Z19" i="17"/>
  <c r="W19" i="17"/>
  <c r="V19" i="17"/>
  <c r="T19" i="17"/>
  <c r="Y19" i="17"/>
  <c r="S19" i="17"/>
  <c r="AQ19" i="17"/>
  <c r="AF19" i="17"/>
  <c r="D19" i="17"/>
  <c r="AE19" i="17"/>
  <c r="AL19" i="17"/>
  <c r="AK19" i="17"/>
  <c r="P19" i="17"/>
  <c r="AB19" i="17"/>
  <c r="AI19" i="17"/>
  <c r="AH19" i="17"/>
  <c r="AC19" i="17"/>
  <c r="M19" i="17"/>
  <c r="N19" i="17"/>
  <c r="E19" i="17"/>
  <c r="AR19" i="17"/>
  <c r="Q19" i="17"/>
  <c r="Y18" i="20"/>
  <c r="AA18" i="20" s="1"/>
  <c r="AF18" i="20" s="1"/>
  <c r="AA19" i="17" l="1"/>
  <c r="F50" i="14"/>
  <c r="V50" i="15" s="1"/>
  <c r="Y50" i="15"/>
  <c r="AA50" i="15" s="1"/>
  <c r="Z50" i="15"/>
  <c r="R19" i="17"/>
  <c r="L19" i="17"/>
  <c r="X19" i="17"/>
  <c r="AM19" i="17"/>
  <c r="I19" i="17"/>
  <c r="U19" i="17"/>
  <c r="AV19" i="17"/>
  <c r="O19" i="17"/>
  <c r="R19" i="16"/>
  <c r="AD19" i="16" s="1"/>
  <c r="D19" i="20"/>
  <c r="Y19" i="16"/>
  <c r="Z19" i="16"/>
  <c r="U33" i="15"/>
  <c r="AF33" i="15" s="1"/>
  <c r="O33" i="15"/>
  <c r="Q19" i="16"/>
  <c r="F19" i="17"/>
  <c r="AS19" i="17"/>
  <c r="AJ19" i="17"/>
  <c r="AD19" i="17"/>
  <c r="AG19" i="17"/>
  <c r="AP19" i="17"/>
  <c r="E51" i="14" l="1"/>
  <c r="X51" i="15" s="1"/>
  <c r="D51" i="14"/>
  <c r="W51" i="15" s="1"/>
  <c r="AA19" i="16"/>
  <c r="V19" i="16"/>
  <c r="S19" i="16"/>
  <c r="U19" i="16" s="1"/>
  <c r="T19" i="16"/>
  <c r="K19" i="16"/>
  <c r="E19" i="20"/>
  <c r="F19" i="20" s="1"/>
  <c r="J19" i="20"/>
  <c r="G19" i="20"/>
  <c r="P19" i="16"/>
  <c r="Q34" i="15"/>
  <c r="R34" i="15"/>
  <c r="AD34" i="15" s="1"/>
  <c r="Y51" i="15" l="1"/>
  <c r="AA51" i="15" s="1"/>
  <c r="F51" i="14"/>
  <c r="V51" i="15" s="1"/>
  <c r="Z51" i="15"/>
  <c r="AT19" i="19"/>
  <c r="Y19" i="19"/>
  <c r="M19" i="19"/>
  <c r="AN19" i="19"/>
  <c r="AE19" i="19"/>
  <c r="J19" i="19"/>
  <c r="AQ19" i="19"/>
  <c r="G19" i="19"/>
  <c r="P19" i="19"/>
  <c r="AB19" i="19"/>
  <c r="S19" i="19"/>
  <c r="AH19" i="19"/>
  <c r="AK19" i="19"/>
  <c r="V19" i="19"/>
  <c r="D19" i="19"/>
  <c r="Q19" i="20"/>
  <c r="K19" i="20"/>
  <c r="M19" i="16"/>
  <c r="N19" i="16"/>
  <c r="AC19" i="16"/>
  <c r="S34" i="15"/>
  <c r="T34" i="15"/>
  <c r="AE34" i="15" s="1"/>
  <c r="AC34" i="15"/>
  <c r="AG34" i="15" s="1"/>
  <c r="H19" i="20"/>
  <c r="I19" i="20"/>
  <c r="E52" i="14" l="1"/>
  <c r="X52" i="15" s="1"/>
  <c r="D52" i="14"/>
  <c r="W52" i="15" s="1"/>
  <c r="AU19" i="19"/>
  <c r="AV19" i="19" s="1"/>
  <c r="N19" i="19"/>
  <c r="O19" i="19" s="1"/>
  <c r="AO19" i="19"/>
  <c r="AP19" i="19" s="1"/>
  <c r="AR19" i="19"/>
  <c r="AS19" i="19" s="1"/>
  <c r="T19" i="19"/>
  <c r="U19" i="19" s="1"/>
  <c r="H19" i="19"/>
  <c r="I19" i="19" s="1"/>
  <c r="K19" i="19"/>
  <c r="L19" i="19" s="1"/>
  <c r="Q19" i="19"/>
  <c r="R19" i="19" s="1"/>
  <c r="AF19" i="19"/>
  <c r="AG19" i="19" s="1"/>
  <c r="Z19" i="19"/>
  <c r="AA19" i="19" s="1"/>
  <c r="AL19" i="19"/>
  <c r="AM19" i="19" s="1"/>
  <c r="AC19" i="19"/>
  <c r="AD19" i="19" s="1"/>
  <c r="AI19" i="19"/>
  <c r="AJ19" i="19" s="1"/>
  <c r="W19" i="19"/>
  <c r="X19" i="19" s="1"/>
  <c r="E19" i="19"/>
  <c r="F19" i="19" s="1"/>
  <c r="R19" i="20"/>
  <c r="S19" i="20" s="1"/>
  <c r="W19" i="20"/>
  <c r="U34" i="15"/>
  <c r="AF34" i="15" s="1"/>
  <c r="O34" i="15"/>
  <c r="AG19" i="16"/>
  <c r="T19" i="20"/>
  <c r="AE19" i="16"/>
  <c r="O19" i="16"/>
  <c r="I19" i="16"/>
  <c r="Y52" i="15" l="1"/>
  <c r="AA52" i="15" s="1"/>
  <c r="Z52" i="15"/>
  <c r="F52" i="14"/>
  <c r="D53" i="14" s="1"/>
  <c r="W53" i="15" s="1"/>
  <c r="Z19" i="20"/>
  <c r="AE19" i="20" s="1"/>
  <c r="X19" i="20"/>
  <c r="AD19" i="20" s="1"/>
  <c r="V19" i="20"/>
  <c r="H20" i="16"/>
  <c r="AF19" i="16"/>
  <c r="R35" i="15"/>
  <c r="AD35" i="15" s="1"/>
  <c r="Q35" i="15"/>
  <c r="U19" i="20"/>
  <c r="O19" i="20"/>
  <c r="AC19" i="20"/>
  <c r="E53" i="14" l="1"/>
  <c r="X53" i="15" s="1"/>
  <c r="Y53" i="15" s="1"/>
  <c r="AA53" i="15" s="1"/>
  <c r="V52" i="15"/>
  <c r="Z53" i="15"/>
  <c r="X20" i="16"/>
  <c r="W20" i="16"/>
  <c r="AX20" i="17"/>
  <c r="AW20" i="17"/>
  <c r="V20" i="17"/>
  <c r="G20" i="17"/>
  <c r="Z20" i="17"/>
  <c r="K20" i="17"/>
  <c r="P20" i="17"/>
  <c r="Y20" i="17"/>
  <c r="T20" i="17"/>
  <c r="Q20" i="17"/>
  <c r="W20" i="17"/>
  <c r="J20" i="17"/>
  <c r="AU20" i="17"/>
  <c r="AK20" i="17"/>
  <c r="AT20" i="17"/>
  <c r="S20" i="17"/>
  <c r="H20" i="17"/>
  <c r="AL20" i="17"/>
  <c r="AQ20" i="17"/>
  <c r="AO20" i="17"/>
  <c r="AC20" i="17"/>
  <c r="AB20" i="17"/>
  <c r="AN20" i="17"/>
  <c r="D20" i="17"/>
  <c r="E20" i="17"/>
  <c r="AE20" i="17"/>
  <c r="M20" i="17"/>
  <c r="AH20" i="17"/>
  <c r="N20" i="17"/>
  <c r="AF20" i="17"/>
  <c r="AR20" i="17"/>
  <c r="AI20" i="17"/>
  <c r="L20" i="16"/>
  <c r="Y19" i="20"/>
  <c r="AA19" i="20" s="1"/>
  <c r="AF19" i="20" s="1"/>
  <c r="AG19" i="20"/>
  <c r="S35" i="15"/>
  <c r="T35" i="15"/>
  <c r="AE35" i="15" s="1"/>
  <c r="AC35" i="15"/>
  <c r="AG35" i="15" s="1"/>
  <c r="F53" i="14" l="1"/>
  <c r="D54" i="14" s="1"/>
  <c r="W54" i="15" s="1"/>
  <c r="AD20" i="17"/>
  <c r="U20" i="17"/>
  <c r="AV20" i="17"/>
  <c r="AY20" i="17"/>
  <c r="X20" i="17"/>
  <c r="AJ20" i="17"/>
  <c r="AP20" i="17"/>
  <c r="AM20" i="17"/>
  <c r="L20" i="17"/>
  <c r="AG20" i="17"/>
  <c r="I20" i="17"/>
  <c r="D20" i="20"/>
  <c r="Y20" i="16"/>
  <c r="Z20" i="16"/>
  <c r="Q20" i="16"/>
  <c r="F20" i="17"/>
  <c r="AA20" i="17"/>
  <c r="R20" i="16"/>
  <c r="AD20" i="16" s="1"/>
  <c r="AS20" i="17"/>
  <c r="R20" i="17"/>
  <c r="U35" i="15"/>
  <c r="AF35" i="15" s="1"/>
  <c r="O35" i="15"/>
  <c r="O20" i="17"/>
  <c r="V53" i="15" l="1"/>
  <c r="E54" i="14"/>
  <c r="X54" i="15" s="1"/>
  <c r="Y54" i="15" s="1"/>
  <c r="AA54" i="15" s="1"/>
  <c r="Z54" i="15"/>
  <c r="J20" i="20"/>
  <c r="E20" i="20"/>
  <c r="G20" i="20"/>
  <c r="S20" i="16"/>
  <c r="U20" i="16" s="1"/>
  <c r="T20" i="16"/>
  <c r="K20" i="16"/>
  <c r="P20" i="16"/>
  <c r="AA20" i="16"/>
  <c r="V20" i="16"/>
  <c r="R36" i="15"/>
  <c r="AD36" i="15" s="1"/>
  <c r="Q36" i="15"/>
  <c r="F54" i="14" l="1"/>
  <c r="V54" i="15" s="1"/>
  <c r="K20" i="20"/>
  <c r="AW20" i="19"/>
  <c r="AH20" i="19"/>
  <c r="G20" i="19"/>
  <c r="Y20" i="19"/>
  <c r="AQ20" i="19"/>
  <c r="AN20" i="19"/>
  <c r="J20" i="19"/>
  <c r="AB20" i="19"/>
  <c r="V20" i="19"/>
  <c r="AT20" i="19"/>
  <c r="D20" i="19"/>
  <c r="P20" i="19"/>
  <c r="AK20" i="19"/>
  <c r="AE20" i="19"/>
  <c r="S20" i="19"/>
  <c r="M20" i="19"/>
  <c r="Q20" i="20"/>
  <c r="F20" i="20"/>
  <c r="S36" i="15"/>
  <c r="T36" i="15"/>
  <c r="AE36" i="15" s="1"/>
  <c r="AC36" i="15"/>
  <c r="AG36" i="15" s="1"/>
  <c r="M20" i="16"/>
  <c r="N20" i="16"/>
  <c r="AC20" i="16"/>
  <c r="D55" i="14" l="1"/>
  <c r="W55" i="15" s="1"/>
  <c r="Z55" i="15" s="1"/>
  <c r="E55" i="14"/>
  <c r="X55" i="15" s="1"/>
  <c r="H20" i="20"/>
  <c r="I20" i="20"/>
  <c r="AE20" i="16"/>
  <c r="T20" i="20"/>
  <c r="O20" i="16"/>
  <c r="I20" i="16"/>
  <c r="U36" i="15"/>
  <c r="AF36" i="15" s="1"/>
  <c r="O36" i="15"/>
  <c r="AG20" i="16"/>
  <c r="W20" i="20"/>
  <c r="AC20" i="20" s="1"/>
  <c r="AX20" i="19"/>
  <c r="AY20" i="19" s="1"/>
  <c r="Z20" i="19"/>
  <c r="AA20" i="19" s="1"/>
  <c r="AR20" i="19"/>
  <c r="AS20" i="19" s="1"/>
  <c r="N20" i="19"/>
  <c r="O20" i="19" s="1"/>
  <c r="H20" i="19"/>
  <c r="I20" i="19" s="1"/>
  <c r="AI20" i="19"/>
  <c r="AJ20" i="19" s="1"/>
  <c r="W20" i="19"/>
  <c r="X20" i="19" s="1"/>
  <c r="K20" i="19"/>
  <c r="L20" i="19" s="1"/>
  <c r="AU20" i="19"/>
  <c r="AV20" i="19" s="1"/>
  <c r="E20" i="19"/>
  <c r="F20" i="19" s="1"/>
  <c r="AF20" i="19"/>
  <c r="AG20" i="19" s="1"/>
  <c r="AO20" i="19"/>
  <c r="AP20" i="19" s="1"/>
  <c r="AL20" i="19"/>
  <c r="AM20" i="19" s="1"/>
  <c r="AC20" i="19"/>
  <c r="AD20" i="19" s="1"/>
  <c r="T20" i="19"/>
  <c r="U20" i="19" s="1"/>
  <c r="Q20" i="19"/>
  <c r="R20" i="19" s="1"/>
  <c r="R20" i="20"/>
  <c r="S20" i="20" s="1"/>
  <c r="F55" i="14" l="1"/>
  <c r="D56" i="14" s="1"/>
  <c r="W56" i="15" s="1"/>
  <c r="Y55" i="15"/>
  <c r="AA55" i="15" s="1"/>
  <c r="X20" i="20"/>
  <c r="AD20" i="20" s="1"/>
  <c r="U20" i="20"/>
  <c r="O20" i="20"/>
  <c r="H21" i="16"/>
  <c r="Z20" i="20"/>
  <c r="AE20" i="20" s="1"/>
  <c r="AF20" i="16"/>
  <c r="V20" i="20"/>
  <c r="Q37" i="15"/>
  <c r="R37" i="15"/>
  <c r="AD37" i="15" s="1"/>
  <c r="E56" i="14" l="1"/>
  <c r="X56" i="15" s="1"/>
  <c r="Y56" i="15" s="1"/>
  <c r="AA56" i="15" s="1"/>
  <c r="V55" i="15"/>
  <c r="Z56" i="15"/>
  <c r="Y20" i="20"/>
  <c r="AA20" i="20" s="1"/>
  <c r="AF20" i="20" s="1"/>
  <c r="W21" i="16"/>
  <c r="X21" i="16"/>
  <c r="BA21" i="17"/>
  <c r="AZ21" i="17"/>
  <c r="AU21" i="17"/>
  <c r="AN21" i="17"/>
  <c r="W21" i="17"/>
  <c r="AT21" i="17"/>
  <c r="AC21" i="17"/>
  <c r="V21" i="17"/>
  <c r="AO21" i="17"/>
  <c r="AF21" i="17"/>
  <c r="AL21" i="17"/>
  <c r="AB21" i="17"/>
  <c r="AX21" i="17"/>
  <c r="AW21" i="17"/>
  <c r="AE21" i="17"/>
  <c r="AI21" i="17"/>
  <c r="J21" i="17"/>
  <c r="AK21" i="17"/>
  <c r="AH21" i="17"/>
  <c r="T21" i="17"/>
  <c r="S21" i="17"/>
  <c r="K21" i="17"/>
  <c r="P21" i="17"/>
  <c r="AR21" i="17"/>
  <c r="H21" i="17"/>
  <c r="Q21" i="17"/>
  <c r="AQ21" i="17"/>
  <c r="Z21" i="17"/>
  <c r="D21" i="17"/>
  <c r="G21" i="17"/>
  <c r="Y21" i="17"/>
  <c r="E21" i="17"/>
  <c r="N21" i="17"/>
  <c r="M21" i="17"/>
  <c r="L21" i="16"/>
  <c r="AG20" i="20"/>
  <c r="S37" i="15"/>
  <c r="T37" i="15"/>
  <c r="AE37" i="15" s="1"/>
  <c r="AC37" i="15"/>
  <c r="AG37" i="15" s="1"/>
  <c r="F56" i="14" l="1"/>
  <c r="D57" i="14" s="1"/>
  <c r="W57" i="15" s="1"/>
  <c r="Z57" i="15" s="1"/>
  <c r="V56" i="15"/>
  <c r="AY21" i="17"/>
  <c r="O21" i="17"/>
  <c r="AV21" i="17"/>
  <c r="BB21" i="17"/>
  <c r="X21" i="17"/>
  <c r="AD21" i="17"/>
  <c r="U21" i="17"/>
  <c r="AA21" i="17"/>
  <c r="AJ21" i="17"/>
  <c r="R21" i="17"/>
  <c r="U37" i="15"/>
  <c r="AF37" i="15" s="1"/>
  <c r="O37" i="15"/>
  <c r="AM21" i="17"/>
  <c r="L21" i="17"/>
  <c r="R21" i="16"/>
  <c r="AD21" i="16" s="1"/>
  <c r="AP21" i="17"/>
  <c r="D21" i="20"/>
  <c r="Y21" i="16"/>
  <c r="Z21" i="16"/>
  <c r="I21" i="17"/>
  <c r="Q21" i="16"/>
  <c r="F21" i="17"/>
  <c r="AS21" i="17"/>
  <c r="AG21" i="17"/>
  <c r="E57" i="14" l="1"/>
  <c r="X57" i="15" s="1"/>
  <c r="Y57" i="15" s="1"/>
  <c r="AA57" i="15" s="1"/>
  <c r="S21" i="16"/>
  <c r="U21" i="16" s="1"/>
  <c r="T21" i="16"/>
  <c r="K21" i="16"/>
  <c r="P21" i="16"/>
  <c r="R38" i="15"/>
  <c r="AD38" i="15" s="1"/>
  <c r="Q38" i="15"/>
  <c r="AA21" i="16"/>
  <c r="V21" i="16"/>
  <c r="J21" i="20"/>
  <c r="E21" i="20"/>
  <c r="F21" i="20" s="1"/>
  <c r="G21" i="20"/>
  <c r="F57" i="14" l="1"/>
  <c r="E58" i="14" s="1"/>
  <c r="X58" i="15" s="1"/>
  <c r="S38" i="15"/>
  <c r="T38" i="15"/>
  <c r="AE38" i="15" s="1"/>
  <c r="AC38" i="15"/>
  <c r="AG38" i="15" s="1"/>
  <c r="H21" i="20"/>
  <c r="I21" i="20"/>
  <c r="K21" i="20"/>
  <c r="M21" i="16"/>
  <c r="N21" i="16"/>
  <c r="AE21" i="16" s="1"/>
  <c r="AC21" i="16"/>
  <c r="AG21" i="16" s="1"/>
  <c r="AZ21" i="19"/>
  <c r="AB21" i="19"/>
  <c r="AN21" i="19"/>
  <c r="V21" i="19"/>
  <c r="P21" i="19"/>
  <c r="S21" i="19"/>
  <c r="J21" i="19"/>
  <c r="AH21" i="19"/>
  <c r="Y21" i="19"/>
  <c r="AK21" i="19"/>
  <c r="M21" i="19"/>
  <c r="AW21" i="19"/>
  <c r="AT21" i="19"/>
  <c r="AQ21" i="19"/>
  <c r="AE21" i="19"/>
  <c r="G21" i="19"/>
  <c r="D21" i="19"/>
  <c r="Q21" i="20"/>
  <c r="D58" i="14" l="1"/>
  <c r="V57" i="15"/>
  <c r="T21" i="20"/>
  <c r="W21" i="20"/>
  <c r="BA21" i="19"/>
  <c r="BB21" i="19" s="1"/>
  <c r="AC21" i="19"/>
  <c r="AD21" i="19" s="1"/>
  <c r="AO21" i="19"/>
  <c r="AP21" i="19" s="1"/>
  <c r="W21" i="19"/>
  <c r="X21" i="19" s="1"/>
  <c r="Q21" i="19"/>
  <c r="R21" i="19" s="1"/>
  <c r="AF21" i="19"/>
  <c r="AG21" i="19" s="1"/>
  <c r="AU21" i="19"/>
  <c r="AV21" i="19" s="1"/>
  <c r="AI21" i="19"/>
  <c r="AJ21" i="19" s="1"/>
  <c r="T21" i="19"/>
  <c r="U21" i="19" s="1"/>
  <c r="K21" i="19"/>
  <c r="L21" i="19" s="1"/>
  <c r="E21" i="19"/>
  <c r="N21" i="19"/>
  <c r="O21" i="19" s="1"/>
  <c r="AX21" i="19"/>
  <c r="AY21" i="19" s="1"/>
  <c r="Z21" i="19"/>
  <c r="AA21" i="19" s="1"/>
  <c r="H21" i="19"/>
  <c r="I21" i="19" s="1"/>
  <c r="AL21" i="19"/>
  <c r="AM21" i="19" s="1"/>
  <c r="AR21" i="19"/>
  <c r="AS21" i="19" s="1"/>
  <c r="R21" i="20"/>
  <c r="S21" i="20" s="1"/>
  <c r="O21" i="16"/>
  <c r="AF21" i="16" s="1"/>
  <c r="I21" i="16"/>
  <c r="U38" i="15"/>
  <c r="AF38" i="15" s="1"/>
  <c r="O38" i="15"/>
  <c r="W58" i="15" l="1"/>
  <c r="F58" i="14"/>
  <c r="X21" i="20"/>
  <c r="Y21" i="20" s="1"/>
  <c r="AA21" i="20" s="1"/>
  <c r="R39" i="15"/>
  <c r="AD39" i="15" s="1"/>
  <c r="Q39" i="15"/>
  <c r="Z21" i="20"/>
  <c r="AE21" i="20" s="1"/>
  <c r="H22" i="16"/>
  <c r="L22" i="16" s="1"/>
  <c r="U21" i="20"/>
  <c r="O21" i="20"/>
  <c r="AC21" i="20"/>
  <c r="F21" i="19"/>
  <c r="V58" i="15" l="1"/>
  <c r="D59" i="14"/>
  <c r="E59" i="14"/>
  <c r="X59" i="15" s="1"/>
  <c r="Z58" i="15"/>
  <c r="Y58" i="15"/>
  <c r="AA58" i="15" s="1"/>
  <c r="AD21" i="20"/>
  <c r="AG21" i="20" s="1"/>
  <c r="S39" i="15"/>
  <c r="T39" i="15"/>
  <c r="AE39" i="15" s="1"/>
  <c r="AC39" i="15"/>
  <c r="AQ39" i="15" s="1"/>
  <c r="V21" i="20"/>
  <c r="AF21" i="20"/>
  <c r="AN39" i="15"/>
  <c r="AI39" i="15"/>
  <c r="X22" i="16"/>
  <c r="W22" i="16"/>
  <c r="BD22" i="17"/>
  <c r="BC22" i="17"/>
  <c r="S22" i="17"/>
  <c r="AX22" i="17"/>
  <c r="Z22" i="17"/>
  <c r="Y22" i="17"/>
  <c r="AC22" i="17"/>
  <c r="AB22" i="17"/>
  <c r="BA22" i="17"/>
  <c r="AZ22" i="17"/>
  <c r="AW22" i="17"/>
  <c r="W22" i="17"/>
  <c r="AI22" i="17"/>
  <c r="N22" i="17"/>
  <c r="M22" i="17"/>
  <c r="V22" i="17"/>
  <c r="AH22" i="17"/>
  <c r="AU22" i="17"/>
  <c r="T22" i="17"/>
  <c r="AT22" i="17"/>
  <c r="AL22" i="17"/>
  <c r="AF22" i="17"/>
  <c r="AQ22" i="17"/>
  <c r="AK22" i="17"/>
  <c r="AE22" i="17"/>
  <c r="E22" i="17"/>
  <c r="AR22" i="17"/>
  <c r="AO22" i="17"/>
  <c r="H22" i="17"/>
  <c r="G22" i="17"/>
  <c r="Q22" i="17"/>
  <c r="J22" i="17"/>
  <c r="D22" i="17"/>
  <c r="AN22" i="17"/>
  <c r="K22" i="17"/>
  <c r="P22" i="17"/>
  <c r="W59" i="15" l="1"/>
  <c r="F59" i="14"/>
  <c r="AJ22" i="17"/>
  <c r="AV22" i="17"/>
  <c r="O22" i="17"/>
  <c r="X22" i="17"/>
  <c r="BE22" i="17"/>
  <c r="AD22" i="17"/>
  <c r="U22" i="17"/>
  <c r="AG22" i="17"/>
  <c r="R22" i="17"/>
  <c r="AM22" i="17"/>
  <c r="D22" i="20"/>
  <c r="Y22" i="16"/>
  <c r="Z22" i="16"/>
  <c r="R22" i="16"/>
  <c r="AD22" i="16" s="1"/>
  <c r="AS22" i="17"/>
  <c r="AP22" i="17"/>
  <c r="BB22" i="17"/>
  <c r="AG39" i="15"/>
  <c r="AL39" i="15" s="1"/>
  <c r="AM39" i="15"/>
  <c r="AH39" i="15"/>
  <c r="L22" i="17"/>
  <c r="AY22" i="17"/>
  <c r="Q22" i="16"/>
  <c r="F22" i="17"/>
  <c r="AO39" i="15"/>
  <c r="AJ39" i="15"/>
  <c r="I22" i="17"/>
  <c r="AA22" i="17"/>
  <c r="U39" i="15"/>
  <c r="AF39" i="15" s="1"/>
  <c r="O39" i="15"/>
  <c r="E60" i="14" l="1"/>
  <c r="X60" i="15" s="1"/>
  <c r="D60" i="14"/>
  <c r="V59" i="15"/>
  <c r="Y59" i="15"/>
  <c r="AA59" i="15" s="1"/>
  <c r="Z59" i="15"/>
  <c r="E22" i="20"/>
  <c r="J22" i="20"/>
  <c r="G22" i="20"/>
  <c r="S22" i="16"/>
  <c r="U22" i="16" s="1"/>
  <c r="T22" i="16"/>
  <c r="K22" i="16"/>
  <c r="AA22" i="16"/>
  <c r="V22" i="16"/>
  <c r="R40" i="15"/>
  <c r="AD40" i="15" s="1"/>
  <c r="Q40" i="15"/>
  <c r="P22" i="16"/>
  <c r="AP39" i="15"/>
  <c r="AK39" i="15"/>
  <c r="W60" i="15" l="1"/>
  <c r="F60" i="14"/>
  <c r="M22" i="16"/>
  <c r="N22" i="16"/>
  <c r="AE22" i="16" s="1"/>
  <c r="AC22" i="16"/>
  <c r="AG22" i="16" s="1"/>
  <c r="K22" i="20"/>
  <c r="BC22" i="19"/>
  <c r="AW22" i="19"/>
  <c r="G22" i="19"/>
  <c r="AN22" i="19"/>
  <c r="V22" i="19"/>
  <c r="AK22" i="19"/>
  <c r="S22" i="19"/>
  <c r="AT22" i="19"/>
  <c r="AB22" i="19"/>
  <c r="P22" i="19"/>
  <c r="AH22" i="19"/>
  <c r="J22" i="19"/>
  <c r="AQ22" i="19"/>
  <c r="AE22" i="19"/>
  <c r="Y22" i="19"/>
  <c r="M22" i="19"/>
  <c r="AZ22" i="19"/>
  <c r="Q22" i="20"/>
  <c r="D22" i="19"/>
  <c r="S40" i="15"/>
  <c r="T40" i="15"/>
  <c r="AE40" i="15" s="1"/>
  <c r="AC40" i="15"/>
  <c r="F22" i="20"/>
  <c r="V60" i="15" l="1"/>
  <c r="D61" i="14"/>
  <c r="E61" i="14"/>
  <c r="X61" i="15" s="1"/>
  <c r="Z60" i="15"/>
  <c r="Y60" i="15"/>
  <c r="AA60" i="15" s="1"/>
  <c r="AG40" i="15"/>
  <c r="U40" i="15"/>
  <c r="AF40" i="15" s="1"/>
  <c r="O40" i="15"/>
  <c r="O22" i="16"/>
  <c r="AF22" i="16" s="1"/>
  <c r="I22" i="16"/>
  <c r="T22" i="20"/>
  <c r="W22" i="20"/>
  <c r="AC22" i="20" s="1"/>
  <c r="BD22" i="19"/>
  <c r="BE22" i="19" s="1"/>
  <c r="H22" i="19"/>
  <c r="I22" i="19" s="1"/>
  <c r="W22" i="19"/>
  <c r="X22" i="19" s="1"/>
  <c r="AU22" i="19"/>
  <c r="AV22" i="19" s="1"/>
  <c r="AL22" i="19"/>
  <c r="AM22" i="19" s="1"/>
  <c r="BA22" i="19"/>
  <c r="BB22" i="19" s="1"/>
  <c r="AI22" i="19"/>
  <c r="AJ22" i="19" s="1"/>
  <c r="AR22" i="19"/>
  <c r="AS22" i="19" s="1"/>
  <c r="AF22" i="19"/>
  <c r="AG22" i="19" s="1"/>
  <c r="AO22" i="19"/>
  <c r="AP22" i="19" s="1"/>
  <c r="T22" i="19"/>
  <c r="U22" i="19" s="1"/>
  <c r="AX22" i="19"/>
  <c r="AY22" i="19" s="1"/>
  <c r="AC22" i="19"/>
  <c r="AD22" i="19" s="1"/>
  <c r="Q22" i="19"/>
  <c r="R22" i="19" s="1"/>
  <c r="N22" i="19"/>
  <c r="O22" i="19" s="1"/>
  <c r="Z22" i="19"/>
  <c r="AA22" i="19" s="1"/>
  <c r="K22" i="19"/>
  <c r="L22" i="19" s="1"/>
  <c r="E22" i="19"/>
  <c r="F22" i="19" s="1"/>
  <c r="R22" i="20"/>
  <c r="S22" i="20" s="1"/>
  <c r="H22" i="20"/>
  <c r="I22" i="20"/>
  <c r="W61" i="15" l="1"/>
  <c r="F61" i="14"/>
  <c r="R41" i="15"/>
  <c r="AD41" i="15" s="1"/>
  <c r="Q41" i="15"/>
  <c r="Z22" i="20"/>
  <c r="AE22" i="20" s="1"/>
  <c r="V22" i="20"/>
  <c r="H23" i="16"/>
  <c r="L23" i="16" s="1"/>
  <c r="U22" i="20"/>
  <c r="O22" i="20"/>
  <c r="X22" i="20"/>
  <c r="Y22" i="20" s="1"/>
  <c r="AA22" i="20" s="1"/>
  <c r="D62" i="14" l="1"/>
  <c r="W62" i="15" s="1"/>
  <c r="Z62" i="15" s="1"/>
  <c r="E62" i="14"/>
  <c r="X62" i="15" s="1"/>
  <c r="V61" i="15"/>
  <c r="Y61" i="15"/>
  <c r="AA61" i="15" s="1"/>
  <c r="Z61" i="15"/>
  <c r="AF22" i="20"/>
  <c r="AD22" i="20"/>
  <c r="AG22" i="20" s="1"/>
  <c r="X23" i="16"/>
  <c r="W23" i="16"/>
  <c r="BG23" i="17"/>
  <c r="BF23" i="17"/>
  <c r="S23" i="17"/>
  <c r="V23" i="17"/>
  <c r="AH23" i="17"/>
  <c r="T23" i="17"/>
  <c r="M23" i="17"/>
  <c r="N23" i="17"/>
  <c r="BD23" i="17"/>
  <c r="AU23" i="17"/>
  <c r="AC23" i="17"/>
  <c r="AB23" i="17"/>
  <c r="AE23" i="17"/>
  <c r="AI23" i="17"/>
  <c r="AF23" i="17"/>
  <c r="BC23" i="17"/>
  <c r="AT23" i="17"/>
  <c r="W23" i="17"/>
  <c r="BA23" i="17"/>
  <c r="AK23" i="17"/>
  <c r="H23" i="17"/>
  <c r="AZ23" i="17"/>
  <c r="AL23" i="17"/>
  <c r="AO23" i="17"/>
  <c r="Z23" i="17"/>
  <c r="AW23" i="17"/>
  <c r="AN23" i="17"/>
  <c r="E23" i="17"/>
  <c r="D23" i="17"/>
  <c r="AR23" i="17"/>
  <c r="AX23" i="17"/>
  <c r="Y23" i="17"/>
  <c r="AQ23" i="17"/>
  <c r="J23" i="17"/>
  <c r="P23" i="17"/>
  <c r="G23" i="17"/>
  <c r="K23" i="17"/>
  <c r="Q23" i="17"/>
  <c r="S41" i="15"/>
  <c r="T41" i="15"/>
  <c r="AE41" i="15" s="1"/>
  <c r="AC41" i="15"/>
  <c r="Y62" i="15" l="1"/>
  <c r="AA62" i="15" s="1"/>
  <c r="F62" i="14"/>
  <c r="D63" i="14" s="1"/>
  <c r="AJ23" i="17"/>
  <c r="AA23" i="17"/>
  <c r="AM23" i="17"/>
  <c r="AD23" i="17"/>
  <c r="AS23" i="17"/>
  <c r="AP23" i="17"/>
  <c r="L23" i="17"/>
  <c r="BB23" i="17"/>
  <c r="U41" i="15"/>
  <c r="AF41" i="15" s="1"/>
  <c r="O41" i="15"/>
  <c r="Q23" i="16"/>
  <c r="F23" i="17"/>
  <c r="O23" i="17"/>
  <c r="AG41" i="15"/>
  <c r="AV23" i="17"/>
  <c r="U23" i="17"/>
  <c r="D23" i="20"/>
  <c r="Y23" i="16"/>
  <c r="Z23" i="16"/>
  <c r="R23" i="16"/>
  <c r="AD23" i="16" s="1"/>
  <c r="BE23" i="17"/>
  <c r="X23" i="17"/>
  <c r="AY23" i="17"/>
  <c r="BH23" i="17"/>
  <c r="AG23" i="17"/>
  <c r="I23" i="17"/>
  <c r="R23" i="17"/>
  <c r="V62" i="15" l="1"/>
  <c r="E63" i="14"/>
  <c r="X63" i="15" s="1"/>
  <c r="W63" i="15"/>
  <c r="AA23" i="16"/>
  <c r="V23" i="16"/>
  <c r="J23" i="20"/>
  <c r="E23" i="20"/>
  <c r="G23" i="20"/>
  <c r="R42" i="15"/>
  <c r="AD42" i="15" s="1"/>
  <c r="Q42" i="15"/>
  <c r="P23" i="16"/>
  <c r="S23" i="16"/>
  <c r="U23" i="16" s="1"/>
  <c r="T23" i="16"/>
  <c r="K23" i="16"/>
  <c r="F63" i="14" l="1"/>
  <c r="V63" i="15" s="1"/>
  <c r="Z63" i="15"/>
  <c r="Y63" i="15"/>
  <c r="AA63" i="15" s="1"/>
  <c r="M23" i="16"/>
  <c r="N23" i="16"/>
  <c r="AE23" i="16" s="1"/>
  <c r="AC23" i="16"/>
  <c r="AG23" i="16" s="1"/>
  <c r="BF23" i="19"/>
  <c r="AE23" i="19"/>
  <c r="AW23" i="19"/>
  <c r="AK23" i="19"/>
  <c r="J23" i="19"/>
  <c r="AN23" i="19"/>
  <c r="BC23" i="19"/>
  <c r="Y23" i="19"/>
  <c r="M23" i="19"/>
  <c r="AB23" i="19"/>
  <c r="AH23" i="19"/>
  <c r="AT23" i="19"/>
  <c r="G23" i="19"/>
  <c r="D23" i="19"/>
  <c r="AZ23" i="19"/>
  <c r="V23" i="19"/>
  <c r="AQ23" i="19"/>
  <c r="P23" i="19"/>
  <c r="S23" i="19"/>
  <c r="Q23" i="20"/>
  <c r="K23" i="20"/>
  <c r="F23" i="20"/>
  <c r="S42" i="15"/>
  <c r="T42" i="15"/>
  <c r="AE42" i="15" s="1"/>
  <c r="AC42" i="15"/>
  <c r="U42" i="15" l="1"/>
  <c r="AF42" i="15" s="1"/>
  <c r="O42" i="15"/>
  <c r="AG42" i="15"/>
  <c r="T23" i="20"/>
  <c r="W23" i="20"/>
  <c r="H23" i="20"/>
  <c r="I23" i="20"/>
  <c r="O23" i="16"/>
  <c r="AF23" i="16" s="1"/>
  <c r="I23" i="16"/>
  <c r="BG23" i="19"/>
  <c r="BH23" i="19" s="1"/>
  <c r="BD23" i="19"/>
  <c r="BE23" i="19" s="1"/>
  <c r="AI23" i="19"/>
  <c r="AJ23" i="19" s="1"/>
  <c r="Z23" i="19"/>
  <c r="AA23" i="19" s="1"/>
  <c r="N23" i="19"/>
  <c r="O23" i="19" s="1"/>
  <c r="AX23" i="19"/>
  <c r="AY23" i="19" s="1"/>
  <c r="AL23" i="19"/>
  <c r="AM23" i="19" s="1"/>
  <c r="K23" i="19"/>
  <c r="L23" i="19" s="1"/>
  <c r="E23" i="19"/>
  <c r="F23" i="19" s="1"/>
  <c r="BA23" i="19"/>
  <c r="BB23" i="19" s="1"/>
  <c r="Q23" i="19"/>
  <c r="R23" i="19" s="1"/>
  <c r="H23" i="19"/>
  <c r="I23" i="19" s="1"/>
  <c r="AC23" i="19"/>
  <c r="AD23" i="19" s="1"/>
  <c r="AF23" i="19"/>
  <c r="AG23" i="19" s="1"/>
  <c r="W23" i="19"/>
  <c r="X23" i="19" s="1"/>
  <c r="AO23" i="19"/>
  <c r="AP23" i="19" s="1"/>
  <c r="T23" i="19"/>
  <c r="U23" i="19" s="1"/>
  <c r="AU23" i="19"/>
  <c r="AV23" i="19" s="1"/>
  <c r="AR23" i="19"/>
  <c r="AS23" i="19" s="1"/>
  <c r="R23" i="20"/>
  <c r="S23" i="20" s="1"/>
  <c r="V23" i="20" l="1"/>
  <c r="Z23" i="20"/>
  <c r="AE23" i="20" s="1"/>
  <c r="U23" i="20"/>
  <c r="O23" i="20"/>
  <c r="R43" i="15"/>
  <c r="AD43" i="15" s="1"/>
  <c r="Q43" i="15"/>
  <c r="H24" i="16"/>
  <c r="L24" i="16" s="1"/>
  <c r="AC23" i="20"/>
  <c r="X23" i="20"/>
  <c r="AD23" i="20" s="1"/>
  <c r="S43" i="15" l="1"/>
  <c r="T43" i="15"/>
  <c r="AE43" i="15" s="1"/>
  <c r="AC43" i="15"/>
  <c r="Y23" i="20"/>
  <c r="AA23" i="20" s="1"/>
  <c r="AF23" i="20" s="1"/>
  <c r="X24" i="16"/>
  <c r="W24" i="16"/>
  <c r="BJ24" i="17"/>
  <c r="BI24" i="17"/>
  <c r="AO24" i="17"/>
  <c r="AB24" i="17"/>
  <c r="AR24" i="17"/>
  <c r="K24" i="17"/>
  <c r="AN24" i="17"/>
  <c r="AI24" i="17"/>
  <c r="Z24" i="17"/>
  <c r="AZ24" i="17"/>
  <c r="AK24" i="17"/>
  <c r="J24" i="17"/>
  <c r="AH24" i="17"/>
  <c r="BA24" i="17"/>
  <c r="AQ24" i="17"/>
  <c r="AL24" i="17"/>
  <c r="AC24" i="17"/>
  <c r="Y24" i="17"/>
  <c r="AX24" i="17"/>
  <c r="N24" i="17"/>
  <c r="AW24" i="17"/>
  <c r="M24" i="17"/>
  <c r="AT24" i="17"/>
  <c r="W24" i="17"/>
  <c r="AF24" i="17"/>
  <c r="V24" i="17"/>
  <c r="H24" i="17"/>
  <c r="AE24" i="17"/>
  <c r="AU24" i="17"/>
  <c r="T24" i="17"/>
  <c r="D24" i="17"/>
  <c r="G24" i="17"/>
  <c r="S24" i="17"/>
  <c r="E24" i="17"/>
  <c r="P24" i="17"/>
  <c r="Q24" i="17"/>
  <c r="BG24" i="17"/>
  <c r="BC24" i="17"/>
  <c r="BF24" i="17"/>
  <c r="BD24" i="17"/>
  <c r="AG23" i="20"/>
  <c r="AG24" i="17" l="1"/>
  <c r="O24" i="17"/>
  <c r="AY24" i="17"/>
  <c r="BK24" i="17"/>
  <c r="L24" i="17"/>
  <c r="AV24" i="17"/>
  <c r="U24" i="17"/>
  <c r="I24" i="17"/>
  <c r="BH24" i="17"/>
  <c r="AM24" i="17"/>
  <c r="BB24" i="17"/>
  <c r="AP24" i="17"/>
  <c r="R24" i="17"/>
  <c r="D24" i="20"/>
  <c r="Y24" i="16"/>
  <c r="Z24" i="16"/>
  <c r="AG43" i="15"/>
  <c r="U43" i="15"/>
  <c r="AF43" i="15" s="1"/>
  <c r="O43" i="15"/>
  <c r="AD24" i="17"/>
  <c r="R24" i="16"/>
  <c r="AD24" i="16" s="1"/>
  <c r="Q24" i="16"/>
  <c r="F24" i="17"/>
  <c r="AA24" i="17"/>
  <c r="AS24" i="17"/>
  <c r="BE24" i="17"/>
  <c r="X24" i="17"/>
  <c r="AJ24" i="17"/>
  <c r="P24" i="16" l="1"/>
  <c r="AA24" i="16"/>
  <c r="V24" i="16"/>
  <c r="S24" i="16"/>
  <c r="U24" i="16" s="1"/>
  <c r="T24" i="16"/>
  <c r="K24" i="16"/>
  <c r="R44" i="15"/>
  <c r="AD44" i="15" s="1"/>
  <c r="Q44" i="15"/>
  <c r="J24" i="20"/>
  <c r="E24" i="20"/>
  <c r="G24" i="20"/>
  <c r="K24" i="20" l="1"/>
  <c r="S44" i="15"/>
  <c r="T44" i="15"/>
  <c r="AE44" i="15" s="1"/>
  <c r="AC44" i="15"/>
  <c r="BI24" i="19"/>
  <c r="AW24" i="19"/>
  <c r="AQ24" i="19"/>
  <c r="P24" i="19"/>
  <c r="AT24" i="19"/>
  <c r="AB24" i="19"/>
  <c r="V24" i="19"/>
  <c r="AH24" i="19"/>
  <c r="BF24" i="19"/>
  <c r="AN24" i="19"/>
  <c r="AE24" i="19"/>
  <c r="D24" i="19"/>
  <c r="M24" i="19"/>
  <c r="G24" i="19"/>
  <c r="Y24" i="19"/>
  <c r="AK24" i="19"/>
  <c r="S24" i="19"/>
  <c r="J24" i="19"/>
  <c r="BC24" i="19"/>
  <c r="AZ24" i="19"/>
  <c r="Q24" i="20"/>
  <c r="F24" i="20"/>
  <c r="M24" i="16"/>
  <c r="N24" i="16"/>
  <c r="AE24" i="16" s="1"/>
  <c r="AC24" i="16"/>
  <c r="AG24" i="16" s="1"/>
  <c r="AG44" i="15" l="1"/>
  <c r="U44" i="15"/>
  <c r="AF44" i="15" s="1"/>
  <c r="O44" i="15"/>
  <c r="BJ24" i="19"/>
  <c r="BK24" i="19" s="1"/>
  <c r="W24" i="19"/>
  <c r="X24" i="19" s="1"/>
  <c r="AI24" i="19"/>
  <c r="AJ24" i="19" s="1"/>
  <c r="BG24" i="19"/>
  <c r="BH24" i="19" s="1"/>
  <c r="AO24" i="19"/>
  <c r="AP24" i="19" s="1"/>
  <c r="AL24" i="19"/>
  <c r="AM24" i="19" s="1"/>
  <c r="T24" i="19"/>
  <c r="U24" i="19" s="1"/>
  <c r="AR24" i="19"/>
  <c r="AS24" i="19" s="1"/>
  <c r="K24" i="19"/>
  <c r="L24" i="19" s="1"/>
  <c r="AF24" i="19"/>
  <c r="AG24" i="19" s="1"/>
  <c r="H24" i="19"/>
  <c r="I24" i="19" s="1"/>
  <c r="E24" i="19"/>
  <c r="N24" i="19"/>
  <c r="O24" i="19" s="1"/>
  <c r="BD24" i="19"/>
  <c r="BE24" i="19" s="1"/>
  <c r="Q24" i="19"/>
  <c r="R24" i="19" s="1"/>
  <c r="AU24" i="19"/>
  <c r="AV24" i="19" s="1"/>
  <c r="AX24" i="19"/>
  <c r="AY24" i="19" s="1"/>
  <c r="AC24" i="19"/>
  <c r="AD24" i="19" s="1"/>
  <c r="Z24" i="19"/>
  <c r="AA24" i="19" s="1"/>
  <c r="BA24" i="19"/>
  <c r="BB24" i="19" s="1"/>
  <c r="R24" i="20"/>
  <c r="S24" i="20" s="1"/>
  <c r="O24" i="16"/>
  <c r="AF24" i="16" s="1"/>
  <c r="I24" i="16"/>
  <c r="H24" i="20"/>
  <c r="I24" i="20"/>
  <c r="W24" i="20"/>
  <c r="AC24" i="20" s="1"/>
  <c r="T24" i="20"/>
  <c r="X24" i="20" l="1"/>
  <c r="AD24" i="20" s="1"/>
  <c r="AG24" i="20" s="1"/>
  <c r="R45" i="15"/>
  <c r="AD45" i="15" s="1"/>
  <c r="Q45" i="15"/>
  <c r="F24" i="19"/>
  <c r="Z24" i="20"/>
  <c r="AE24" i="20" s="1"/>
  <c r="U24" i="20"/>
  <c r="O24" i="20"/>
  <c r="H25" i="16"/>
  <c r="Y24" i="20" l="1"/>
  <c r="AA24" i="20" s="1"/>
  <c r="AF24" i="20" s="1"/>
  <c r="V24" i="20"/>
  <c r="S45" i="15"/>
  <c r="T45" i="15"/>
  <c r="AE45" i="15" s="1"/>
  <c r="AC45" i="15"/>
  <c r="AG45" i="15" s="1"/>
  <c r="X25" i="16"/>
  <c r="W25" i="16"/>
  <c r="BL25" i="17"/>
  <c r="BM25" i="17"/>
  <c r="N25" i="17"/>
  <c r="AK25" i="17"/>
  <c r="AN25" i="17"/>
  <c r="AE25" i="17"/>
  <c r="BA25" i="17"/>
  <c r="K25" i="17"/>
  <c r="J25" i="17"/>
  <c r="BF25" i="17"/>
  <c r="AX25" i="17"/>
  <c r="AO25" i="17"/>
  <c r="G25" i="17"/>
  <c r="M25" i="17"/>
  <c r="BG25" i="17"/>
  <c r="AZ25" i="17"/>
  <c r="H25" i="17"/>
  <c r="T25" i="17"/>
  <c r="AW25" i="17"/>
  <c r="S25" i="17"/>
  <c r="BJ25" i="17"/>
  <c r="BI25" i="17"/>
  <c r="AU25" i="17"/>
  <c r="AT25" i="17"/>
  <c r="AL25" i="17"/>
  <c r="AF25" i="17"/>
  <c r="Y25" i="17"/>
  <c r="AI25" i="17"/>
  <c r="W25" i="17"/>
  <c r="AC25" i="17"/>
  <c r="V25" i="17"/>
  <c r="AH25" i="17"/>
  <c r="AB25" i="17"/>
  <c r="BD25" i="17"/>
  <c r="BC25" i="17"/>
  <c r="AR25" i="17"/>
  <c r="E25" i="17"/>
  <c r="Q25" i="17"/>
  <c r="Z25" i="17"/>
  <c r="D25" i="17"/>
  <c r="AQ25" i="17"/>
  <c r="P25" i="17"/>
  <c r="L25" i="16"/>
  <c r="BE25" i="17" l="1"/>
  <c r="AM25" i="17"/>
  <c r="L25" i="17"/>
  <c r="U25" i="17"/>
  <c r="AD25" i="17"/>
  <c r="BK25" i="17"/>
  <c r="BH25" i="17"/>
  <c r="O25" i="17"/>
  <c r="AJ25" i="17"/>
  <c r="X25" i="17"/>
  <c r="R25" i="17"/>
  <c r="AG25" i="17"/>
  <c r="AS25" i="17"/>
  <c r="AP25" i="17"/>
  <c r="AV25" i="17"/>
  <c r="AY25" i="17"/>
  <c r="Q25" i="16"/>
  <c r="F25" i="17"/>
  <c r="BB25" i="17"/>
  <c r="AA25" i="17"/>
  <c r="D25" i="20"/>
  <c r="Y25" i="16"/>
  <c r="Z25" i="16"/>
  <c r="U45" i="15"/>
  <c r="AF45" i="15" s="1"/>
  <c r="O45" i="15"/>
  <c r="R25" i="16"/>
  <c r="AD25" i="16" s="1"/>
  <c r="I25" i="17"/>
  <c r="BN25" i="17"/>
  <c r="J25" i="20" l="1"/>
  <c r="E25" i="20"/>
  <c r="G25" i="20"/>
  <c r="AA25" i="16"/>
  <c r="V25" i="16"/>
  <c r="R46" i="15"/>
  <c r="AD46" i="15" s="1"/>
  <c r="Q46" i="15"/>
  <c r="P25" i="16"/>
  <c r="S25" i="16"/>
  <c r="U25" i="16" s="1"/>
  <c r="T25" i="16"/>
  <c r="K25" i="16"/>
  <c r="M25" i="16" l="1"/>
  <c r="N25" i="16"/>
  <c r="AE25" i="16" s="1"/>
  <c r="AC25" i="16"/>
  <c r="AG25" i="16" s="1"/>
  <c r="K25" i="20"/>
  <c r="F25" i="20"/>
  <c r="S46" i="15"/>
  <c r="T46" i="15"/>
  <c r="AE46" i="15" s="1"/>
  <c r="AC46" i="15"/>
  <c r="AG46" i="15" s="1"/>
  <c r="BL25" i="19"/>
  <c r="Y25" i="19"/>
  <c r="BF25" i="19"/>
  <c r="AE25" i="19"/>
  <c r="M25" i="19"/>
  <c r="AH25" i="19"/>
  <c r="BC25" i="19"/>
  <c r="AZ25" i="19"/>
  <c r="AW25" i="19"/>
  <c r="P25" i="19"/>
  <c r="AQ25" i="19"/>
  <c r="V25" i="19"/>
  <c r="S25" i="19"/>
  <c r="G25" i="19"/>
  <c r="AB25" i="19"/>
  <c r="J25" i="19"/>
  <c r="BI25" i="19"/>
  <c r="AK25" i="19"/>
  <c r="AT25" i="19"/>
  <c r="AN25" i="19"/>
  <c r="D25" i="19"/>
  <c r="Q25" i="20"/>
  <c r="U46" i="15" l="1"/>
  <c r="AF46" i="15" s="1"/>
  <c r="O46" i="15"/>
  <c r="T25" i="20"/>
  <c r="W25" i="20"/>
  <c r="AC25" i="20" s="1"/>
  <c r="O25" i="16"/>
  <c r="AF25" i="16" s="1"/>
  <c r="I25" i="16"/>
  <c r="H25" i="20"/>
  <c r="I25" i="20"/>
  <c r="BM25" i="19"/>
  <c r="BN25" i="19" s="1"/>
  <c r="AU25" i="19"/>
  <c r="AV25" i="19" s="1"/>
  <c r="AR25" i="19"/>
  <c r="AS25" i="19" s="1"/>
  <c r="BJ25" i="19"/>
  <c r="BK25" i="19" s="1"/>
  <c r="AO25" i="19"/>
  <c r="AP25" i="19" s="1"/>
  <c r="BG25" i="19"/>
  <c r="BH25" i="19" s="1"/>
  <c r="AI25" i="19"/>
  <c r="AJ25" i="19" s="1"/>
  <c r="H25" i="19"/>
  <c r="I25" i="19" s="1"/>
  <c r="BD25" i="19"/>
  <c r="BE25" i="19" s="1"/>
  <c r="N25" i="19"/>
  <c r="O25" i="19" s="1"/>
  <c r="BA25" i="19"/>
  <c r="BB25" i="19" s="1"/>
  <c r="T25" i="19"/>
  <c r="U25" i="19" s="1"/>
  <c r="W25" i="19"/>
  <c r="X25" i="19" s="1"/>
  <c r="AF25" i="19"/>
  <c r="AG25" i="19" s="1"/>
  <c r="Z25" i="19"/>
  <c r="AA25" i="19" s="1"/>
  <c r="AC25" i="19"/>
  <c r="AD25" i="19" s="1"/>
  <c r="K25" i="19"/>
  <c r="L25" i="19" s="1"/>
  <c r="Q25" i="19"/>
  <c r="R25" i="19" s="1"/>
  <c r="AX25" i="19"/>
  <c r="AY25" i="19" s="1"/>
  <c r="AL25" i="19"/>
  <c r="AM25" i="19" s="1"/>
  <c r="R25" i="20"/>
  <c r="E25" i="19"/>
  <c r="X25" i="20" l="1"/>
  <c r="AD25" i="20" s="1"/>
  <c r="AG25" i="20" s="1"/>
  <c r="H26" i="16"/>
  <c r="R47" i="15"/>
  <c r="AD47" i="15" s="1"/>
  <c r="Q47" i="15"/>
  <c r="S25" i="20"/>
  <c r="F25" i="19"/>
  <c r="Z25" i="20"/>
  <c r="AE25" i="20" s="1"/>
  <c r="Y25" i="20" l="1"/>
  <c r="AA25" i="20" s="1"/>
  <c r="W26" i="16"/>
  <c r="X26" i="16"/>
  <c r="BO26" i="17"/>
  <c r="BP26" i="17"/>
  <c r="AC26" i="17"/>
  <c r="BC26" i="17"/>
  <c r="K26" i="17"/>
  <c r="BJ26" i="17"/>
  <c r="J26" i="17"/>
  <c r="AI26" i="17"/>
  <c r="BG26" i="17"/>
  <c r="AE26" i="17"/>
  <c r="P26" i="17"/>
  <c r="V26" i="17"/>
  <c r="M26" i="17"/>
  <c r="AL26" i="17"/>
  <c r="N26" i="17"/>
  <c r="S26" i="17"/>
  <c r="AH26" i="17"/>
  <c r="AB26" i="17"/>
  <c r="BF26" i="17"/>
  <c r="AF26" i="17"/>
  <c r="Q26" i="17"/>
  <c r="W26" i="17"/>
  <c r="AK26" i="17"/>
  <c r="BD26" i="17"/>
  <c r="BI26" i="17"/>
  <c r="T26" i="17"/>
  <c r="Z26" i="17"/>
  <c r="AN26" i="17"/>
  <c r="AW26" i="17"/>
  <c r="BL26" i="17"/>
  <c r="AQ26" i="17"/>
  <c r="AR26" i="17"/>
  <c r="AO26" i="17"/>
  <c r="G26" i="17"/>
  <c r="Y26" i="17"/>
  <c r="AU26" i="17"/>
  <c r="BM26" i="17"/>
  <c r="BA26" i="17"/>
  <c r="AX26" i="17"/>
  <c r="AZ26" i="17"/>
  <c r="H26" i="17"/>
  <c r="D26" i="17"/>
  <c r="AT26" i="17"/>
  <c r="E26" i="17"/>
  <c r="V25" i="20"/>
  <c r="S47" i="15"/>
  <c r="T47" i="15"/>
  <c r="AE47" i="15" s="1"/>
  <c r="AC47" i="15"/>
  <c r="AG47" i="15" s="1"/>
  <c r="U25" i="20"/>
  <c r="O25" i="20"/>
  <c r="L26" i="16"/>
  <c r="AV26" i="17" l="1"/>
  <c r="AF25" i="20"/>
  <c r="L26" i="17"/>
  <c r="R26" i="16"/>
  <c r="AD26" i="16" s="1"/>
  <c r="AD26" i="17"/>
  <c r="BH26" i="17"/>
  <c r="BN26" i="17"/>
  <c r="BB26" i="17"/>
  <c r="U26" i="17"/>
  <c r="BE26" i="17"/>
  <c r="I26" i="17"/>
  <c r="AG26" i="17"/>
  <c r="AJ26" i="17"/>
  <c r="AS26" i="17"/>
  <c r="O26" i="17"/>
  <c r="BQ26" i="17"/>
  <c r="BK26" i="17"/>
  <c r="X26" i="17"/>
  <c r="Q26" i="16"/>
  <c r="F26" i="17"/>
  <c r="AY26" i="17"/>
  <c r="AP26" i="17"/>
  <c r="U47" i="15"/>
  <c r="AF47" i="15" s="1"/>
  <c r="O47" i="15"/>
  <c r="AA26" i="17"/>
  <c r="AM26" i="17"/>
  <c r="R26" i="17"/>
  <c r="D26" i="20"/>
  <c r="Y26" i="16"/>
  <c r="Z26" i="16"/>
  <c r="R48" i="15" l="1"/>
  <c r="AD48" i="15" s="1"/>
  <c r="Q48" i="15"/>
  <c r="AA26" i="16"/>
  <c r="V26" i="16"/>
  <c r="P26" i="16"/>
  <c r="J26" i="20"/>
  <c r="E26" i="20"/>
  <c r="F26" i="20" s="1"/>
  <c r="G26" i="20"/>
  <c r="S26" i="16"/>
  <c r="U26" i="16" s="1"/>
  <c r="T26" i="16"/>
  <c r="K26" i="16"/>
  <c r="M26" i="16" l="1"/>
  <c r="N26" i="16"/>
  <c r="AE26" i="16" s="1"/>
  <c r="AC26" i="16"/>
  <c r="AG26" i="16" s="1"/>
  <c r="K26" i="20"/>
  <c r="S48" i="15"/>
  <c r="T48" i="15"/>
  <c r="AE48" i="15" s="1"/>
  <c r="AC48" i="15"/>
  <c r="AG48" i="15" s="1"/>
  <c r="BO26" i="19"/>
  <c r="AZ26" i="19"/>
  <c r="AW26" i="19"/>
  <c r="S26" i="19"/>
  <c r="J26" i="19"/>
  <c r="AE26" i="19"/>
  <c r="BC26" i="19"/>
  <c r="AQ26" i="19"/>
  <c r="AT26" i="19"/>
  <c r="Y26" i="19"/>
  <c r="P26" i="19"/>
  <c r="AN26" i="19"/>
  <c r="BF26" i="19"/>
  <c r="V26" i="19"/>
  <c r="BI26" i="19"/>
  <c r="BL26" i="19"/>
  <c r="AH26" i="19"/>
  <c r="G26" i="19"/>
  <c r="M26" i="19"/>
  <c r="AB26" i="19"/>
  <c r="AK26" i="19"/>
  <c r="D26" i="19"/>
  <c r="Q26" i="20"/>
  <c r="H26" i="20"/>
  <c r="I26" i="20"/>
  <c r="W26" i="20" l="1"/>
  <c r="AC26" i="20" s="1"/>
  <c r="BP26" i="19"/>
  <c r="BQ26" i="19" s="1"/>
  <c r="H26" i="19"/>
  <c r="I26" i="19" s="1"/>
  <c r="BM26" i="19"/>
  <c r="BN26" i="19" s="1"/>
  <c r="Q26" i="19"/>
  <c r="R26" i="19" s="1"/>
  <c r="AO26" i="19"/>
  <c r="AP26" i="19" s="1"/>
  <c r="BG26" i="19"/>
  <c r="BH26" i="19" s="1"/>
  <c r="AI26" i="19"/>
  <c r="AJ26" i="19" s="1"/>
  <c r="BA26" i="19"/>
  <c r="BB26" i="19" s="1"/>
  <c r="AX26" i="19"/>
  <c r="AY26" i="19" s="1"/>
  <c r="T26" i="19"/>
  <c r="U26" i="19" s="1"/>
  <c r="N26" i="19"/>
  <c r="O26" i="19" s="1"/>
  <c r="AF26" i="19"/>
  <c r="AG26" i="19" s="1"/>
  <c r="BD26" i="19"/>
  <c r="BE26" i="19" s="1"/>
  <c r="K26" i="19"/>
  <c r="L26" i="19" s="1"/>
  <c r="AR26" i="19"/>
  <c r="AS26" i="19" s="1"/>
  <c r="W26" i="19"/>
  <c r="X26" i="19" s="1"/>
  <c r="AU26" i="19"/>
  <c r="AV26" i="19" s="1"/>
  <c r="AC26" i="19"/>
  <c r="AD26" i="19" s="1"/>
  <c r="Z26" i="19"/>
  <c r="AA26" i="19" s="1"/>
  <c r="BJ26" i="19"/>
  <c r="BK26" i="19" s="1"/>
  <c r="AL26" i="19"/>
  <c r="AM26" i="19" s="1"/>
  <c r="E26" i="19"/>
  <c r="R26" i="20"/>
  <c r="S26" i="20" s="1"/>
  <c r="U48" i="15"/>
  <c r="AF48" i="15" s="1"/>
  <c r="O48" i="15"/>
  <c r="T26" i="20"/>
  <c r="O26" i="16"/>
  <c r="AF26" i="16" s="1"/>
  <c r="I26" i="16"/>
  <c r="H27" i="16" l="1"/>
  <c r="R49" i="15"/>
  <c r="AD49" i="15" s="1"/>
  <c r="Q49" i="15"/>
  <c r="X26" i="20"/>
  <c r="AD26" i="20" s="1"/>
  <c r="AG26" i="20" s="1"/>
  <c r="F26" i="19"/>
  <c r="U26" i="20"/>
  <c r="O26" i="20"/>
  <c r="Z26" i="20"/>
  <c r="AE26" i="20" s="1"/>
  <c r="X27" i="16" l="1"/>
  <c r="W27" i="16"/>
  <c r="BS27" i="17"/>
  <c r="BR27" i="17"/>
  <c r="BG27" i="17"/>
  <c r="BM27" i="17"/>
  <c r="BL27" i="17"/>
  <c r="AB27" i="17"/>
  <c r="BF27" i="17"/>
  <c r="AU27" i="17"/>
  <c r="T27" i="17"/>
  <c r="BD27" i="17"/>
  <c r="S27" i="17"/>
  <c r="AZ27" i="17"/>
  <c r="AT27" i="17"/>
  <c r="AE27" i="17"/>
  <c r="BA27" i="17"/>
  <c r="G27" i="17"/>
  <c r="K27" i="17"/>
  <c r="H27" i="17"/>
  <c r="J27" i="17"/>
  <c r="AC27" i="17"/>
  <c r="AF27" i="17"/>
  <c r="BC27" i="17"/>
  <c r="BP27" i="17"/>
  <c r="BO27" i="17"/>
  <c r="AQ27" i="17"/>
  <c r="M27" i="17"/>
  <c r="AL27" i="17"/>
  <c r="AX27" i="17"/>
  <c r="V27" i="17"/>
  <c r="AO27" i="17"/>
  <c r="Z27" i="17"/>
  <c r="N27" i="17"/>
  <c r="AI27" i="17"/>
  <c r="AH27" i="17"/>
  <c r="BI27" i="17"/>
  <c r="Q27" i="17"/>
  <c r="E27" i="17"/>
  <c r="P27" i="17"/>
  <c r="BJ27" i="17"/>
  <c r="D27" i="17"/>
  <c r="AN27" i="17"/>
  <c r="AR27" i="17"/>
  <c r="AK27" i="17"/>
  <c r="Y27" i="17"/>
  <c r="AW27" i="17"/>
  <c r="W27" i="17"/>
  <c r="L27" i="16"/>
  <c r="V26" i="20"/>
  <c r="Y26" i="20"/>
  <c r="AA26" i="20" s="1"/>
  <c r="AF26" i="20" s="1"/>
  <c r="S49" i="15"/>
  <c r="T49" i="15"/>
  <c r="AE49" i="15" s="1"/>
  <c r="AC49" i="15"/>
  <c r="AG49" i="15" s="1"/>
  <c r="AM27" i="17" l="1"/>
  <c r="BH27" i="17"/>
  <c r="AJ27" i="17"/>
  <c r="BQ27" i="17"/>
  <c r="BT27" i="17"/>
  <c r="AA27" i="17"/>
  <c r="AY27" i="17"/>
  <c r="R27" i="17"/>
  <c r="L27" i="17"/>
  <c r="AP27" i="17"/>
  <c r="BN27" i="17"/>
  <c r="AD27" i="17"/>
  <c r="BE27" i="17"/>
  <c r="Q27" i="16"/>
  <c r="F27" i="17"/>
  <c r="O27" i="17"/>
  <c r="U49" i="15"/>
  <c r="AF49" i="15" s="1"/>
  <c r="O49" i="15"/>
  <c r="X27" i="17"/>
  <c r="I27" i="17"/>
  <c r="AG27" i="17"/>
  <c r="BB27" i="17"/>
  <c r="D27" i="20"/>
  <c r="Y27" i="16"/>
  <c r="Z27" i="16"/>
  <c r="W64" i="16"/>
  <c r="E7" i="11"/>
  <c r="R27" i="16"/>
  <c r="R64" i="16" s="1"/>
  <c r="AS27" i="17"/>
  <c r="AV27" i="17"/>
  <c r="L64" i="16"/>
  <c r="C6" i="11"/>
  <c r="BK27" i="17"/>
  <c r="U27" i="17"/>
  <c r="X64" i="16"/>
  <c r="E6" i="11"/>
  <c r="AD27" i="16" l="1"/>
  <c r="AI27" i="16" s="1"/>
  <c r="I6" i="11" s="1"/>
  <c r="G6" i="11"/>
  <c r="AA27" i="16"/>
  <c r="Y64" i="16"/>
  <c r="V27" i="16"/>
  <c r="E10" i="11"/>
  <c r="S27" i="16"/>
  <c r="T27" i="16"/>
  <c r="T64" i="16" s="1"/>
  <c r="K27" i="16"/>
  <c r="Q64" i="16"/>
  <c r="R50" i="15"/>
  <c r="AD50" i="15" s="1"/>
  <c r="Q50" i="15"/>
  <c r="Z64" i="16"/>
  <c r="E9" i="11"/>
  <c r="J27" i="20"/>
  <c r="E27" i="20"/>
  <c r="G27" i="20"/>
  <c r="D64" i="20"/>
  <c r="P27" i="16"/>
  <c r="AD64" i="16" l="1"/>
  <c r="AN27" i="16"/>
  <c r="K6" i="11" s="1"/>
  <c r="M27" i="16"/>
  <c r="N27" i="16"/>
  <c r="K64" i="16"/>
  <c r="C7" i="11"/>
  <c r="C10" i="11" s="1"/>
  <c r="AC27" i="16"/>
  <c r="U27" i="16"/>
  <c r="U64" i="16" s="1"/>
  <c r="S64" i="16"/>
  <c r="AA64" i="16"/>
  <c r="E8" i="11"/>
  <c r="K27" i="20"/>
  <c r="E64" i="20"/>
  <c r="BR27" i="19"/>
  <c r="AK27" i="19"/>
  <c r="AN27" i="19"/>
  <c r="AT27" i="19"/>
  <c r="G27" i="19"/>
  <c r="AE27" i="19"/>
  <c r="Y27" i="19"/>
  <c r="AB27" i="19"/>
  <c r="BC27" i="19"/>
  <c r="BO27" i="19"/>
  <c r="AQ27" i="19"/>
  <c r="S27" i="19"/>
  <c r="AW27" i="19"/>
  <c r="V27" i="19"/>
  <c r="P27" i="19"/>
  <c r="BI27" i="19"/>
  <c r="BF27" i="19"/>
  <c r="M27" i="19"/>
  <c r="BL27" i="19"/>
  <c r="AH27" i="19"/>
  <c r="J27" i="19"/>
  <c r="AZ27" i="19"/>
  <c r="D27" i="19"/>
  <c r="Q27" i="20"/>
  <c r="G64" i="20"/>
  <c r="F27" i="20"/>
  <c r="S50" i="15"/>
  <c r="T50" i="15"/>
  <c r="AE50" i="15" s="1"/>
  <c r="AC50" i="15"/>
  <c r="AG50" i="15" s="1"/>
  <c r="AG27" i="16" l="1"/>
  <c r="AM27" i="16"/>
  <c r="K7" i="11" s="1"/>
  <c r="AH27" i="16"/>
  <c r="I7" i="11" s="1"/>
  <c r="AC64" i="16"/>
  <c r="G7" i="11"/>
  <c r="G10" i="11" s="1"/>
  <c r="U50" i="15"/>
  <c r="AF50" i="15" s="1"/>
  <c r="O50" i="15"/>
  <c r="T27" i="20"/>
  <c r="Q64" i="20"/>
  <c r="W27" i="20"/>
  <c r="N64" i="16"/>
  <c r="C9" i="11"/>
  <c r="AE27" i="16"/>
  <c r="H27" i="20"/>
  <c r="F64" i="20"/>
  <c r="I27" i="20"/>
  <c r="BS27" i="19"/>
  <c r="BT27" i="19" s="1"/>
  <c r="AC27" i="19"/>
  <c r="AD27" i="19" s="1"/>
  <c r="BD27" i="19"/>
  <c r="BE27" i="19" s="1"/>
  <c r="BP27" i="19"/>
  <c r="BQ27" i="19" s="1"/>
  <c r="AF27" i="19"/>
  <c r="AG27" i="19" s="1"/>
  <c r="Z27" i="19"/>
  <c r="AA27" i="19" s="1"/>
  <c r="BJ27" i="19"/>
  <c r="BK27" i="19" s="1"/>
  <c r="BG27" i="19"/>
  <c r="BH27" i="19" s="1"/>
  <c r="AR27" i="19"/>
  <c r="AS27" i="19" s="1"/>
  <c r="AX27" i="19"/>
  <c r="AY27" i="19" s="1"/>
  <c r="AU27" i="19"/>
  <c r="AV27" i="19" s="1"/>
  <c r="W27" i="19"/>
  <c r="X27" i="19" s="1"/>
  <c r="H27" i="19"/>
  <c r="I27" i="19" s="1"/>
  <c r="Q27" i="19"/>
  <c r="R27" i="19" s="1"/>
  <c r="AO27" i="19"/>
  <c r="AP27" i="19" s="1"/>
  <c r="T27" i="19"/>
  <c r="U27" i="19" s="1"/>
  <c r="BM27" i="19"/>
  <c r="BN27" i="19" s="1"/>
  <c r="AI27" i="19"/>
  <c r="AJ27" i="19" s="1"/>
  <c r="K27" i="19"/>
  <c r="L27" i="19" s="1"/>
  <c r="BA27" i="19"/>
  <c r="BB27" i="19" s="1"/>
  <c r="N27" i="19"/>
  <c r="O27" i="19" s="1"/>
  <c r="AL27" i="19"/>
  <c r="AM27" i="19" s="1"/>
  <c r="E27" i="19"/>
  <c r="R27" i="20"/>
  <c r="S27" i="20" s="1"/>
  <c r="O27" i="16"/>
  <c r="M64" i="16"/>
  <c r="I27" i="16"/>
  <c r="AO27" i="16" l="1"/>
  <c r="K9" i="11" s="1"/>
  <c r="AE64" i="16"/>
  <c r="G9" i="11"/>
  <c r="AJ27" i="16"/>
  <c r="I9" i="11" s="1"/>
  <c r="O64" i="16"/>
  <c r="C8" i="11"/>
  <c r="AF27" i="16"/>
  <c r="R51" i="15"/>
  <c r="AD51" i="15" s="1"/>
  <c r="Q51" i="15"/>
  <c r="R64" i="20"/>
  <c r="H64" i="20"/>
  <c r="U27" i="20"/>
  <c r="U64" i="20" s="1"/>
  <c r="S64" i="20"/>
  <c r="O27" i="20"/>
  <c r="H28" i="16"/>
  <c r="AQ27" i="16"/>
  <c r="K10" i="11" s="1"/>
  <c r="AG64" i="16"/>
  <c r="AL27" i="16"/>
  <c r="I10" i="11" s="1"/>
  <c r="T64" i="20"/>
  <c r="Z27" i="20"/>
  <c r="Z64" i="20" s="1"/>
  <c r="W64" i="20"/>
  <c r="X27" i="20"/>
  <c r="X64" i="20" s="1"/>
  <c r="F27" i="19"/>
  <c r="AC27" i="20"/>
  <c r="AD27" i="20" l="1"/>
  <c r="AI27" i="20" s="1"/>
  <c r="Y27" i="20"/>
  <c r="Y64" i="20" s="1"/>
  <c r="W28" i="16"/>
  <c r="X28" i="16"/>
  <c r="BV28" i="17"/>
  <c r="BU28" i="17"/>
  <c r="Z28" i="17"/>
  <c r="AW28" i="17"/>
  <c r="Q28" i="17"/>
  <c r="AL28" i="17"/>
  <c r="P28" i="17"/>
  <c r="AK28" i="17"/>
  <c r="BO28" i="17"/>
  <c r="AI28" i="17"/>
  <c r="K28" i="17"/>
  <c r="BR28" i="17"/>
  <c r="AO28" i="17"/>
  <c r="AN28" i="17"/>
  <c r="Y28" i="17"/>
  <c r="BS28" i="17"/>
  <c r="BP28" i="17"/>
  <c r="BG28" i="17"/>
  <c r="AH28" i="17"/>
  <c r="J28" i="17"/>
  <c r="BF28" i="17"/>
  <c r="AX28" i="17"/>
  <c r="BM28" i="17"/>
  <c r="BL28" i="17"/>
  <c r="S28" i="17"/>
  <c r="AC28" i="17"/>
  <c r="E28" i="17"/>
  <c r="AB28" i="17"/>
  <c r="D28" i="17"/>
  <c r="AZ28" i="17"/>
  <c r="BJ28" i="17"/>
  <c r="AU28" i="17"/>
  <c r="W28" i="17"/>
  <c r="T28" i="17"/>
  <c r="AT28" i="17"/>
  <c r="N28" i="17"/>
  <c r="BD28" i="17"/>
  <c r="AE28" i="17"/>
  <c r="AQ28" i="17"/>
  <c r="BI28" i="17"/>
  <c r="V28" i="17"/>
  <c r="BA28" i="17"/>
  <c r="G28" i="17"/>
  <c r="AR28" i="17"/>
  <c r="H28" i="17"/>
  <c r="AF28" i="17"/>
  <c r="M28" i="17"/>
  <c r="BC28" i="17"/>
  <c r="V27" i="20"/>
  <c r="AN51" i="15"/>
  <c r="AI51" i="15"/>
  <c r="L28" i="16"/>
  <c r="AP27" i="16"/>
  <c r="K8" i="11" s="1"/>
  <c r="AK27" i="16"/>
  <c r="I8" i="11" s="1"/>
  <c r="G8" i="11"/>
  <c r="AF64" i="16"/>
  <c r="AR27" i="20"/>
  <c r="AM27" i="20"/>
  <c r="AH27" i="20"/>
  <c r="S51" i="15"/>
  <c r="T51" i="15"/>
  <c r="AE51" i="15" s="1"/>
  <c r="AC51" i="15"/>
  <c r="AE27" i="20"/>
  <c r="AN27" i="20" l="1"/>
  <c r="AS27" i="20"/>
  <c r="AG27" i="20"/>
  <c r="AQ27" i="20" s="1"/>
  <c r="AV27" i="20"/>
  <c r="AA27" i="20"/>
  <c r="AA64" i="20" s="1"/>
  <c r="L28" i="17"/>
  <c r="BN28" i="17"/>
  <c r="AP28" i="17"/>
  <c r="AA28" i="17"/>
  <c r="BE28" i="17"/>
  <c r="AM28" i="17"/>
  <c r="R28" i="17"/>
  <c r="AD28" i="17"/>
  <c r="BW28" i="17"/>
  <c r="BB28" i="17"/>
  <c r="O28" i="17"/>
  <c r="BH28" i="17"/>
  <c r="BQ28" i="17"/>
  <c r="I28" i="17"/>
  <c r="X28" i="17"/>
  <c r="Q28" i="16"/>
  <c r="F28" i="17"/>
  <c r="AT27" i="20"/>
  <c r="AO27" i="20"/>
  <c r="AJ27" i="20"/>
  <c r="AG51" i="15"/>
  <c r="AL51" i="15" s="1"/>
  <c r="AM51" i="15"/>
  <c r="AH51" i="15"/>
  <c r="BK28" i="17"/>
  <c r="AY28" i="17"/>
  <c r="AO51" i="15"/>
  <c r="AJ51" i="15"/>
  <c r="R28" i="16"/>
  <c r="AD28" i="16" s="1"/>
  <c r="AS28" i="17"/>
  <c r="U51" i="15"/>
  <c r="AF51" i="15" s="1"/>
  <c r="O51" i="15"/>
  <c r="AG28" i="17"/>
  <c r="U28" i="17"/>
  <c r="AQ51" i="15"/>
  <c r="BT28" i="17"/>
  <c r="AJ28" i="17"/>
  <c r="AV28" i="17"/>
  <c r="D28" i="20"/>
  <c r="Y28" i="16"/>
  <c r="Z28" i="16"/>
  <c r="AL27" i="20" l="1"/>
  <c r="AF27" i="20"/>
  <c r="AK27" i="20" s="1"/>
  <c r="S28" i="16"/>
  <c r="U28" i="16" s="1"/>
  <c r="T28" i="16"/>
  <c r="K28" i="16"/>
  <c r="E28" i="20"/>
  <c r="F28" i="20" s="1"/>
  <c r="J28" i="20"/>
  <c r="G28" i="20"/>
  <c r="AP51" i="15"/>
  <c r="AK51" i="15"/>
  <c r="AA28" i="16"/>
  <c r="V28" i="16"/>
  <c r="P28" i="16"/>
  <c r="Q52" i="15"/>
  <c r="R52" i="15"/>
  <c r="AD52" i="15" s="1"/>
  <c r="AP27" i="20" l="1"/>
  <c r="AU27" i="20"/>
  <c r="S52" i="15"/>
  <c r="T52" i="15"/>
  <c r="AE52" i="15" s="1"/>
  <c r="AC52" i="15"/>
  <c r="M28" i="16"/>
  <c r="N28" i="16"/>
  <c r="AC28" i="16"/>
  <c r="BU28" i="19"/>
  <c r="BC28" i="19"/>
  <c r="AW28" i="19"/>
  <c r="BL28" i="19"/>
  <c r="J28" i="19"/>
  <c r="AT28" i="19"/>
  <c r="AE28" i="19"/>
  <c r="AN28" i="19"/>
  <c r="P28" i="19"/>
  <c r="S28" i="19"/>
  <c r="BR28" i="19"/>
  <c r="AK28" i="19"/>
  <c r="AB28" i="19"/>
  <c r="AZ28" i="19"/>
  <c r="BI28" i="19"/>
  <c r="M28" i="19"/>
  <c r="AQ28" i="19"/>
  <c r="BO28" i="19"/>
  <c r="V28" i="19"/>
  <c r="G28" i="19"/>
  <c r="BF28" i="19"/>
  <c r="Y28" i="19"/>
  <c r="AH28" i="19"/>
  <c r="Q28" i="20"/>
  <c r="D28" i="19"/>
  <c r="H28" i="20"/>
  <c r="I28" i="20"/>
  <c r="K28" i="20"/>
  <c r="AG28" i="16" l="1"/>
  <c r="BV28" i="19"/>
  <c r="BW28" i="19" s="1"/>
  <c r="N28" i="19"/>
  <c r="O28" i="19" s="1"/>
  <c r="K28" i="19"/>
  <c r="L28" i="19" s="1"/>
  <c r="AI28" i="19"/>
  <c r="AJ28" i="19" s="1"/>
  <c r="AO28" i="19"/>
  <c r="AP28" i="19" s="1"/>
  <c r="Q28" i="19"/>
  <c r="R28" i="19" s="1"/>
  <c r="T28" i="19"/>
  <c r="U28" i="19" s="1"/>
  <c r="BS28" i="19"/>
  <c r="BT28" i="19" s="1"/>
  <c r="BD28" i="19"/>
  <c r="BE28" i="19" s="1"/>
  <c r="AC28" i="19"/>
  <c r="AD28" i="19" s="1"/>
  <c r="BA28" i="19"/>
  <c r="BB28" i="19" s="1"/>
  <c r="AU28" i="19"/>
  <c r="AV28" i="19" s="1"/>
  <c r="AL28" i="19"/>
  <c r="AM28" i="19" s="1"/>
  <c r="BG28" i="19"/>
  <c r="BH28" i="19" s="1"/>
  <c r="BP28" i="19"/>
  <c r="BQ28" i="19" s="1"/>
  <c r="W28" i="19"/>
  <c r="X28" i="19" s="1"/>
  <c r="H28" i="19"/>
  <c r="I28" i="19" s="1"/>
  <c r="AR28" i="19"/>
  <c r="AS28" i="19" s="1"/>
  <c r="AF28" i="19"/>
  <c r="AG28" i="19" s="1"/>
  <c r="BJ28" i="19"/>
  <c r="BK28" i="19" s="1"/>
  <c r="Z28" i="19"/>
  <c r="AA28" i="19" s="1"/>
  <c r="BM28" i="19"/>
  <c r="BN28" i="19" s="1"/>
  <c r="AX28" i="19"/>
  <c r="AY28" i="19" s="1"/>
  <c r="E28" i="19"/>
  <c r="R28" i="20"/>
  <c r="S28" i="20" s="1"/>
  <c r="AG52" i="15"/>
  <c r="AE28" i="16"/>
  <c r="T28" i="20"/>
  <c r="O28" i="16"/>
  <c r="I28" i="16"/>
  <c r="W28" i="20"/>
  <c r="AC28" i="20" s="1"/>
  <c r="U52" i="15"/>
  <c r="AF52" i="15" s="1"/>
  <c r="O52" i="15"/>
  <c r="X28" i="20" l="1"/>
  <c r="Y28" i="20" s="1"/>
  <c r="AA28" i="20" s="1"/>
  <c r="Q53" i="15"/>
  <c r="R53" i="15"/>
  <c r="AD53" i="15" s="1"/>
  <c r="Z28" i="20"/>
  <c r="AE28" i="20" s="1"/>
  <c r="H29" i="16"/>
  <c r="U28" i="20"/>
  <c r="O28" i="20"/>
  <c r="AF28" i="16"/>
  <c r="F28" i="19"/>
  <c r="AD28" i="20" l="1"/>
  <c r="AF28" i="20"/>
  <c r="V28" i="20"/>
  <c r="W29" i="16"/>
  <c r="X29" i="16"/>
  <c r="BX29" i="17"/>
  <c r="BY29" i="17"/>
  <c r="BV29" i="17"/>
  <c r="AN29" i="17"/>
  <c r="AL29" i="17"/>
  <c r="Z29" i="17"/>
  <c r="BU29" i="17"/>
  <c r="BD29" i="17"/>
  <c r="P29" i="17"/>
  <c r="Y29" i="17"/>
  <c r="BC29" i="17"/>
  <c r="J29" i="17"/>
  <c r="BL29" i="17"/>
  <c r="Q29" i="17"/>
  <c r="AC29" i="17"/>
  <c r="K29" i="17"/>
  <c r="BM29" i="17"/>
  <c r="BF29" i="17"/>
  <c r="BG29" i="17"/>
  <c r="N29" i="17"/>
  <c r="BA29" i="17"/>
  <c r="AK29" i="17"/>
  <c r="AB29" i="17"/>
  <c r="AZ29" i="17"/>
  <c r="AO29" i="17"/>
  <c r="M29" i="17"/>
  <c r="BP29" i="17"/>
  <c r="BO29" i="17"/>
  <c r="AE29" i="17"/>
  <c r="S29" i="17"/>
  <c r="AR29" i="17"/>
  <c r="AQ29" i="17"/>
  <c r="T29" i="17"/>
  <c r="BJ29" i="17"/>
  <c r="AW29" i="17"/>
  <c r="D29" i="17"/>
  <c r="AH29" i="17"/>
  <c r="W29" i="17"/>
  <c r="AX29" i="17"/>
  <c r="AT29" i="17"/>
  <c r="BI29" i="17"/>
  <c r="AI29" i="17"/>
  <c r="AU29" i="17"/>
  <c r="AF29" i="17"/>
  <c r="E29" i="17"/>
  <c r="H29" i="17"/>
  <c r="BR29" i="17"/>
  <c r="G29" i="17"/>
  <c r="BS29" i="17"/>
  <c r="V29" i="17"/>
  <c r="S53" i="15"/>
  <c r="T53" i="15"/>
  <c r="AE53" i="15" s="1"/>
  <c r="AC53" i="15"/>
  <c r="L29" i="16"/>
  <c r="AG28" i="20"/>
  <c r="AP29" i="17" l="1"/>
  <c r="X29" i="17"/>
  <c r="AS29" i="17"/>
  <c r="BK29" i="17"/>
  <c r="I29" i="17"/>
  <c r="U29" i="17"/>
  <c r="BH29" i="17"/>
  <c r="AG29" i="17"/>
  <c r="AV29" i="17"/>
  <c r="BQ29" i="17"/>
  <c r="O29" i="17"/>
  <c r="BB29" i="17"/>
  <c r="BT29" i="17"/>
  <c r="BE29" i="17"/>
  <c r="AG53" i="15"/>
  <c r="AJ29" i="17"/>
  <c r="BN29" i="17"/>
  <c r="BZ29" i="17"/>
  <c r="Q29" i="16"/>
  <c r="F29" i="17"/>
  <c r="L29" i="17"/>
  <c r="AD29" i="17"/>
  <c r="D29" i="20"/>
  <c r="Y29" i="16"/>
  <c r="Z29" i="16"/>
  <c r="AM29" i="17"/>
  <c r="R29" i="16"/>
  <c r="AD29" i="16" s="1"/>
  <c r="R29" i="17"/>
  <c r="U53" i="15"/>
  <c r="AF53" i="15" s="1"/>
  <c r="O53" i="15"/>
  <c r="AY29" i="17"/>
  <c r="AA29" i="17"/>
  <c r="BW29" i="17"/>
  <c r="S29" i="16" l="1"/>
  <c r="U29" i="16" s="1"/>
  <c r="T29" i="16"/>
  <c r="K29" i="16"/>
  <c r="P29" i="16"/>
  <c r="J29" i="20"/>
  <c r="E29" i="20"/>
  <c r="F29" i="20" s="1"/>
  <c r="G29" i="20"/>
  <c r="AA29" i="16"/>
  <c r="V29" i="16"/>
  <c r="Q54" i="15"/>
  <c r="R54" i="15"/>
  <c r="AD54" i="15" s="1"/>
  <c r="M29" i="16" l="1"/>
  <c r="N29" i="16"/>
  <c r="AC29" i="16"/>
  <c r="BX29" i="19"/>
  <c r="AT29" i="19"/>
  <c r="AN29" i="19"/>
  <c r="P29" i="19"/>
  <c r="M29" i="19"/>
  <c r="AH29" i="19"/>
  <c r="BI29" i="19"/>
  <c r="V29" i="19"/>
  <c r="AE29" i="19"/>
  <c r="AB29" i="19"/>
  <c r="Y29" i="19"/>
  <c r="BF29" i="19"/>
  <c r="AW29" i="19"/>
  <c r="BL29" i="19"/>
  <c r="BC29" i="19"/>
  <c r="BR29" i="19"/>
  <c r="S29" i="19"/>
  <c r="AZ29" i="19"/>
  <c r="BU29" i="19"/>
  <c r="AK29" i="19"/>
  <c r="AQ29" i="19"/>
  <c r="J29" i="19"/>
  <c r="BO29" i="19"/>
  <c r="G29" i="19"/>
  <c r="Q29" i="20"/>
  <c r="D29" i="19"/>
  <c r="H29" i="20"/>
  <c r="I29" i="20"/>
  <c r="K29" i="20"/>
  <c r="S54" i="15"/>
  <c r="T54" i="15"/>
  <c r="AE54" i="15" s="1"/>
  <c r="AC54" i="15"/>
  <c r="BY29" i="19" l="1"/>
  <c r="BZ29" i="19" s="1"/>
  <c r="AR29" i="19"/>
  <c r="AS29" i="19" s="1"/>
  <c r="BJ29" i="19"/>
  <c r="BK29" i="19" s="1"/>
  <c r="AO29" i="19"/>
  <c r="AP29" i="19" s="1"/>
  <c r="Q29" i="19"/>
  <c r="R29" i="19" s="1"/>
  <c r="BM29" i="19"/>
  <c r="BN29" i="19" s="1"/>
  <c r="T29" i="19"/>
  <c r="U29" i="19" s="1"/>
  <c r="W29" i="19"/>
  <c r="X29" i="19" s="1"/>
  <c r="BG29" i="19"/>
  <c r="BH29" i="19" s="1"/>
  <c r="AX29" i="19"/>
  <c r="AY29" i="19" s="1"/>
  <c r="Z29" i="19"/>
  <c r="AA29" i="19" s="1"/>
  <c r="BS29" i="19"/>
  <c r="BT29" i="19" s="1"/>
  <c r="AF29" i="19"/>
  <c r="AG29" i="19" s="1"/>
  <c r="AC29" i="19"/>
  <c r="AD29" i="19" s="1"/>
  <c r="H29" i="19"/>
  <c r="I29" i="19" s="1"/>
  <c r="BV29" i="19"/>
  <c r="BW29" i="19" s="1"/>
  <c r="K29" i="19"/>
  <c r="L29" i="19" s="1"/>
  <c r="BP29" i="19"/>
  <c r="BQ29" i="19" s="1"/>
  <c r="AL29" i="19"/>
  <c r="AM29" i="19" s="1"/>
  <c r="BD29" i="19"/>
  <c r="BE29" i="19" s="1"/>
  <c r="BA29" i="19"/>
  <c r="BB29" i="19" s="1"/>
  <c r="AU29" i="19"/>
  <c r="AV29" i="19" s="1"/>
  <c r="AI29" i="19"/>
  <c r="AJ29" i="19" s="1"/>
  <c r="N29" i="19"/>
  <c r="O29" i="19" s="1"/>
  <c r="R29" i="20"/>
  <c r="S29" i="20" s="1"/>
  <c r="E29" i="19"/>
  <c r="W29" i="20"/>
  <c r="AC29" i="20" s="1"/>
  <c r="AG54" i="15"/>
  <c r="T29" i="20"/>
  <c r="AG29" i="16"/>
  <c r="U54" i="15"/>
  <c r="AF54" i="15" s="1"/>
  <c r="O54" i="15"/>
  <c r="AE29" i="16"/>
  <c r="O29" i="16"/>
  <c r="I29" i="16"/>
  <c r="U29" i="20" l="1"/>
  <c r="O29" i="20"/>
  <c r="Z29" i="20"/>
  <c r="AE29" i="20" s="1"/>
  <c r="X29" i="20"/>
  <c r="Y29" i="20" s="1"/>
  <c r="AA29" i="20" s="1"/>
  <c r="Q55" i="15"/>
  <c r="R55" i="15"/>
  <c r="AD55" i="15" s="1"/>
  <c r="H30" i="16"/>
  <c r="L30" i="16" s="1"/>
  <c r="AF29" i="16"/>
  <c r="F29" i="19"/>
  <c r="AD29" i="20" l="1"/>
  <c r="AG29" i="20" s="1"/>
  <c r="S55" i="15"/>
  <c r="T55" i="15"/>
  <c r="AE55" i="15" s="1"/>
  <c r="AC55" i="15"/>
  <c r="V29" i="20"/>
  <c r="X30" i="16"/>
  <c r="W30" i="16"/>
  <c r="CA30" i="17"/>
  <c r="CB30" i="17"/>
  <c r="BO30" i="17"/>
  <c r="AF30" i="17"/>
  <c r="BP30" i="17"/>
  <c r="BD30" i="17"/>
  <c r="AE30" i="17"/>
  <c r="AT30" i="17"/>
  <c r="BG30" i="17"/>
  <c r="G30" i="17"/>
  <c r="AQ30" i="17"/>
  <c r="T30" i="17"/>
  <c r="BF30" i="17"/>
  <c r="W30" i="17"/>
  <c r="BA30" i="17"/>
  <c r="AZ30" i="17"/>
  <c r="AO30" i="17"/>
  <c r="AN30" i="17"/>
  <c r="H30" i="17"/>
  <c r="BS30" i="17"/>
  <c r="V30" i="17"/>
  <c r="N30" i="17"/>
  <c r="BJ30" i="17"/>
  <c r="BR30" i="17"/>
  <c r="S30" i="17"/>
  <c r="M30" i="17"/>
  <c r="BI30" i="17"/>
  <c r="BC30" i="17"/>
  <c r="AU30" i="17"/>
  <c r="AR30" i="17"/>
  <c r="D30" i="17"/>
  <c r="AI30" i="17"/>
  <c r="BV30" i="17"/>
  <c r="BU30" i="17"/>
  <c r="AX30" i="17"/>
  <c r="BM30" i="17"/>
  <c r="BL30" i="17"/>
  <c r="K30" i="17"/>
  <c r="Y30" i="17"/>
  <c r="AH30" i="17"/>
  <c r="AL30" i="17"/>
  <c r="AB30" i="17"/>
  <c r="J30" i="17"/>
  <c r="BY30" i="17"/>
  <c r="E30" i="17"/>
  <c r="AW30" i="17"/>
  <c r="Q30" i="17"/>
  <c r="Z30" i="17"/>
  <c r="AK30" i="17"/>
  <c r="P30" i="17"/>
  <c r="AC30" i="17"/>
  <c r="BX30" i="17"/>
  <c r="AF29" i="20"/>
  <c r="BT30" i="17" l="1"/>
  <c r="BK30" i="17"/>
  <c r="BW30" i="17"/>
  <c r="BZ30" i="17"/>
  <c r="AJ30" i="17"/>
  <c r="U30" i="17"/>
  <c r="BH30" i="17"/>
  <c r="AA30" i="17"/>
  <c r="AY30" i="17"/>
  <c r="CC30" i="17"/>
  <c r="BQ30" i="17"/>
  <c r="L30" i="17"/>
  <c r="AG30" i="17"/>
  <c r="AD30" i="17"/>
  <c r="AP30" i="17"/>
  <c r="BE30" i="17"/>
  <c r="BB30" i="17"/>
  <c r="R30" i="17"/>
  <c r="O30" i="17"/>
  <c r="AM30" i="17"/>
  <c r="BN30" i="17"/>
  <c r="AG55" i="15"/>
  <c r="D30" i="20"/>
  <c r="Y30" i="16"/>
  <c r="Z30" i="16"/>
  <c r="AS30" i="17"/>
  <c r="U55" i="15"/>
  <c r="AF55" i="15" s="1"/>
  <c r="O55" i="15"/>
  <c r="Q30" i="16"/>
  <c r="F30" i="17"/>
  <c r="I30" i="17"/>
  <c r="R30" i="16"/>
  <c r="AD30" i="16" s="1"/>
  <c r="X30" i="17"/>
  <c r="AV30" i="17"/>
  <c r="Q56" i="15" l="1"/>
  <c r="R56" i="15"/>
  <c r="AD56" i="15" s="1"/>
  <c r="AA30" i="16"/>
  <c r="V30" i="16"/>
  <c r="J30" i="20"/>
  <c r="E30" i="20"/>
  <c r="G30" i="20"/>
  <c r="P30" i="16"/>
  <c r="S30" i="16"/>
  <c r="U30" i="16" s="1"/>
  <c r="T30" i="16"/>
  <c r="K30" i="16"/>
  <c r="CA30" i="19" l="1"/>
  <c r="AT30" i="19"/>
  <c r="BF30" i="19"/>
  <c r="V30" i="19"/>
  <c r="BI30" i="19"/>
  <c r="G30" i="19"/>
  <c r="Y30" i="19"/>
  <c r="AK30" i="19"/>
  <c r="AH30" i="19"/>
  <c r="BO30" i="19"/>
  <c r="AN30" i="19"/>
  <c r="AZ30" i="19"/>
  <c r="AQ30" i="19"/>
  <c r="BU30" i="19"/>
  <c r="BC30" i="19"/>
  <c r="BL30" i="19"/>
  <c r="S30" i="19"/>
  <c r="BX30" i="19"/>
  <c r="AB30" i="19"/>
  <c r="BR30" i="19"/>
  <c r="AE30" i="19"/>
  <c r="M30" i="19"/>
  <c r="J30" i="19"/>
  <c r="P30" i="19"/>
  <c r="AW30" i="19"/>
  <c r="D30" i="19"/>
  <c r="Q30" i="20"/>
  <c r="S56" i="15"/>
  <c r="T56" i="15"/>
  <c r="AE56" i="15" s="1"/>
  <c r="AC56" i="15"/>
  <c r="M30" i="16"/>
  <c r="N30" i="16"/>
  <c r="AC30" i="16"/>
  <c r="K30" i="20"/>
  <c r="F30" i="20"/>
  <c r="AE30" i="16" l="1"/>
  <c r="O30" i="16"/>
  <c r="I30" i="16"/>
  <c r="U56" i="15"/>
  <c r="AF56" i="15" s="1"/>
  <c r="O56" i="15"/>
  <c r="AG56" i="15"/>
  <c r="T30" i="20"/>
  <c r="W30" i="20"/>
  <c r="H30" i="20"/>
  <c r="I30" i="20"/>
  <c r="CB30" i="19"/>
  <c r="CC30" i="19" s="1"/>
  <c r="BG30" i="19"/>
  <c r="BH30" i="19" s="1"/>
  <c r="W30" i="19"/>
  <c r="X30" i="19" s="1"/>
  <c r="BJ30" i="19"/>
  <c r="BK30" i="19" s="1"/>
  <c r="H30" i="19"/>
  <c r="I30" i="19" s="1"/>
  <c r="AU30" i="19"/>
  <c r="AV30" i="19" s="1"/>
  <c r="AI30" i="19"/>
  <c r="AJ30" i="19" s="1"/>
  <c r="Z30" i="19"/>
  <c r="AA30" i="19" s="1"/>
  <c r="AO30" i="19"/>
  <c r="AP30" i="19" s="1"/>
  <c r="AL30" i="19"/>
  <c r="AM30" i="19" s="1"/>
  <c r="AX30" i="19"/>
  <c r="AY30" i="19" s="1"/>
  <c r="BY30" i="19"/>
  <c r="BZ30" i="19" s="1"/>
  <c r="BD30" i="19"/>
  <c r="BE30" i="19" s="1"/>
  <c r="BM30" i="19"/>
  <c r="BN30" i="19" s="1"/>
  <c r="T30" i="19"/>
  <c r="U30" i="19" s="1"/>
  <c r="AC30" i="19"/>
  <c r="AD30" i="19" s="1"/>
  <c r="N30" i="19"/>
  <c r="O30" i="19" s="1"/>
  <c r="BA30" i="19"/>
  <c r="BB30" i="19" s="1"/>
  <c r="BP30" i="19"/>
  <c r="BQ30" i="19" s="1"/>
  <c r="K30" i="19"/>
  <c r="L30" i="19" s="1"/>
  <c r="BV30" i="19"/>
  <c r="BW30" i="19" s="1"/>
  <c r="Q30" i="19"/>
  <c r="R30" i="19" s="1"/>
  <c r="BS30" i="19"/>
  <c r="BT30" i="19" s="1"/>
  <c r="AR30" i="19"/>
  <c r="AS30" i="19" s="1"/>
  <c r="AF30" i="19"/>
  <c r="AG30" i="19" s="1"/>
  <c r="R30" i="20"/>
  <c r="S30" i="20" s="1"/>
  <c r="E30" i="19"/>
  <c r="AG30" i="16"/>
  <c r="X30" i="20" l="1"/>
  <c r="Y30" i="20" s="1"/>
  <c r="AA30" i="20" s="1"/>
  <c r="U30" i="20"/>
  <c r="O30" i="20"/>
  <c r="AF30" i="16"/>
  <c r="H31" i="16"/>
  <c r="F30" i="19"/>
  <c r="R57" i="15"/>
  <c r="AD57" i="15" s="1"/>
  <c r="Q57" i="15"/>
  <c r="Z30" i="20"/>
  <c r="AE30" i="20" s="1"/>
  <c r="AC30" i="20"/>
  <c r="AD30" i="20" l="1"/>
  <c r="AG30" i="20" s="1"/>
  <c r="AF30" i="20"/>
  <c r="S57" i="15"/>
  <c r="T57" i="15"/>
  <c r="AE57" i="15" s="1"/>
  <c r="AC57" i="15"/>
  <c r="AG57" i="15" s="1"/>
  <c r="W31" i="16"/>
  <c r="X31" i="16"/>
  <c r="CE31" i="17"/>
  <c r="CD31" i="17"/>
  <c r="T31" i="17"/>
  <c r="BS31" i="17"/>
  <c r="J31" i="17"/>
  <c r="AO31" i="17"/>
  <c r="Z31" i="17"/>
  <c r="S31" i="17"/>
  <c r="Y31" i="17"/>
  <c r="BR31" i="17"/>
  <c r="BV31" i="17"/>
  <c r="BY31" i="17"/>
  <c r="AN31" i="17"/>
  <c r="AW31" i="17"/>
  <c r="AC31" i="17"/>
  <c r="BX31" i="17"/>
  <c r="BG31" i="17"/>
  <c r="BJ31" i="17"/>
  <c r="BF31" i="17"/>
  <c r="BU31" i="17"/>
  <c r="CB31" i="17"/>
  <c r="K31" i="17"/>
  <c r="AI31" i="17"/>
  <c r="BI31" i="17"/>
  <c r="AF31" i="17"/>
  <c r="BO31" i="17"/>
  <c r="AH31" i="17"/>
  <c r="AE31" i="17"/>
  <c r="AB31" i="17"/>
  <c r="AX31" i="17"/>
  <c r="BP31" i="17"/>
  <c r="CA31" i="17"/>
  <c r="AT31" i="17"/>
  <c r="BD31" i="17"/>
  <c r="AR31" i="17"/>
  <c r="BC31" i="17"/>
  <c r="AL31" i="17"/>
  <c r="AK31" i="17"/>
  <c r="AQ31" i="17"/>
  <c r="V31" i="17"/>
  <c r="Q31" i="17"/>
  <c r="BM31" i="17"/>
  <c r="W31" i="17"/>
  <c r="N31" i="17"/>
  <c r="P31" i="17"/>
  <c r="BL31" i="17"/>
  <c r="AZ31" i="17"/>
  <c r="D31" i="17"/>
  <c r="M31" i="17"/>
  <c r="E31" i="17"/>
  <c r="AU31" i="17"/>
  <c r="G31" i="17"/>
  <c r="BA31" i="17"/>
  <c r="H31" i="17"/>
  <c r="V30" i="20"/>
  <c r="L31" i="16"/>
  <c r="O31" i="17" l="1"/>
  <c r="AP31" i="17"/>
  <c r="BN31" i="17"/>
  <c r="BK31" i="17"/>
  <c r="AA31" i="17"/>
  <c r="AD31" i="17"/>
  <c r="L31" i="17"/>
  <c r="BT31" i="17"/>
  <c r="R31" i="17"/>
  <c r="BE31" i="17"/>
  <c r="BB31" i="17"/>
  <c r="AV31" i="17"/>
  <c r="U31" i="17"/>
  <c r="BH31" i="17"/>
  <c r="U57" i="15"/>
  <c r="AF57" i="15" s="1"/>
  <c r="O57" i="15"/>
  <c r="CC31" i="17"/>
  <c r="Q31" i="16"/>
  <c r="F31" i="17"/>
  <c r="D31" i="20"/>
  <c r="Y31" i="16"/>
  <c r="Z31" i="16"/>
  <c r="BW31" i="17"/>
  <c r="I31" i="17"/>
  <c r="X31" i="17"/>
  <c r="AG31" i="17"/>
  <c r="BZ31" i="17"/>
  <c r="AS31" i="17"/>
  <c r="AJ31" i="17"/>
  <c r="R31" i="16"/>
  <c r="AD31" i="16" s="1"/>
  <c r="AM31" i="17"/>
  <c r="BQ31" i="17"/>
  <c r="AY31" i="17"/>
  <c r="CF31" i="17"/>
  <c r="P31" i="16" l="1"/>
  <c r="Q58" i="15"/>
  <c r="R58" i="15"/>
  <c r="AD58" i="15" s="1"/>
  <c r="S31" i="16"/>
  <c r="U31" i="16" s="1"/>
  <c r="T31" i="16"/>
  <c r="K31" i="16"/>
  <c r="AA31" i="16"/>
  <c r="V31" i="16"/>
  <c r="E31" i="20"/>
  <c r="J31" i="20"/>
  <c r="G31" i="20"/>
  <c r="M31" i="16" l="1"/>
  <c r="N31" i="16"/>
  <c r="AC31" i="16"/>
  <c r="K31" i="20"/>
  <c r="CD31" i="19"/>
  <c r="AT31" i="19"/>
  <c r="V31" i="19"/>
  <c r="AE31" i="19"/>
  <c r="AZ31" i="19"/>
  <c r="AH31" i="19"/>
  <c r="M31" i="19"/>
  <c r="J31" i="19"/>
  <c r="BX31" i="19"/>
  <c r="AW31" i="19"/>
  <c r="Y31" i="19"/>
  <c r="BI31" i="19"/>
  <c r="CA31" i="19"/>
  <c r="BR31" i="19"/>
  <c r="BU31" i="19"/>
  <c r="BL31" i="19"/>
  <c r="S31" i="19"/>
  <c r="P31" i="19"/>
  <c r="G31" i="19"/>
  <c r="BF31" i="19"/>
  <c r="BC31" i="19"/>
  <c r="BO31" i="19"/>
  <c r="AN31" i="19"/>
  <c r="AQ31" i="19"/>
  <c r="AK31" i="19"/>
  <c r="AB31" i="19"/>
  <c r="Q31" i="20"/>
  <c r="D31" i="19"/>
  <c r="F31" i="20"/>
  <c r="S58" i="15"/>
  <c r="T58" i="15"/>
  <c r="AE58" i="15" s="1"/>
  <c r="AC58" i="15"/>
  <c r="AG58" i="15" s="1"/>
  <c r="T31" i="20" l="1"/>
  <c r="AG31" i="16"/>
  <c r="H31" i="20"/>
  <c r="I31" i="20"/>
  <c r="W31" i="20"/>
  <c r="CE31" i="19"/>
  <c r="CF31" i="19" s="1"/>
  <c r="N31" i="19"/>
  <c r="O31" i="19" s="1"/>
  <c r="Z31" i="19"/>
  <c r="AA31" i="19" s="1"/>
  <c r="AO31" i="19"/>
  <c r="AP31" i="19" s="1"/>
  <c r="BY31" i="19"/>
  <c r="BZ31" i="19" s="1"/>
  <c r="AX31" i="19"/>
  <c r="AY31" i="19" s="1"/>
  <c r="H31" i="19"/>
  <c r="I31" i="19" s="1"/>
  <c r="AU31" i="19"/>
  <c r="AV31" i="19" s="1"/>
  <c r="W31" i="19"/>
  <c r="X31" i="19" s="1"/>
  <c r="AI31" i="19"/>
  <c r="AJ31" i="19" s="1"/>
  <c r="K31" i="19"/>
  <c r="L31" i="19" s="1"/>
  <c r="BV31" i="19"/>
  <c r="BW31" i="19" s="1"/>
  <c r="BM31" i="19"/>
  <c r="BN31" i="19" s="1"/>
  <c r="T31" i="19"/>
  <c r="U31" i="19" s="1"/>
  <c r="Q31" i="19"/>
  <c r="R31" i="19" s="1"/>
  <c r="BJ31" i="19"/>
  <c r="BK31" i="19" s="1"/>
  <c r="CB31" i="19"/>
  <c r="CC31" i="19" s="1"/>
  <c r="BP31" i="19"/>
  <c r="BQ31" i="19" s="1"/>
  <c r="BS31" i="19"/>
  <c r="BT31" i="19" s="1"/>
  <c r="AR31" i="19"/>
  <c r="AS31" i="19" s="1"/>
  <c r="AL31" i="19"/>
  <c r="AM31" i="19" s="1"/>
  <c r="AF31" i="19"/>
  <c r="AG31" i="19" s="1"/>
  <c r="BA31" i="19"/>
  <c r="BB31" i="19" s="1"/>
  <c r="BG31" i="19"/>
  <c r="BH31" i="19" s="1"/>
  <c r="BD31" i="19"/>
  <c r="BE31" i="19" s="1"/>
  <c r="AC31" i="19"/>
  <c r="AD31" i="19" s="1"/>
  <c r="R31" i="20"/>
  <c r="S31" i="20" s="1"/>
  <c r="E31" i="19"/>
  <c r="AE31" i="16"/>
  <c r="O31" i="16"/>
  <c r="I31" i="16"/>
  <c r="U58" i="15"/>
  <c r="AF58" i="15" s="1"/>
  <c r="O58" i="15"/>
  <c r="X31" i="20" l="1"/>
  <c r="Y31" i="20" s="1"/>
  <c r="AA31" i="20" s="1"/>
  <c r="U31" i="20"/>
  <c r="O31" i="20"/>
  <c r="H32" i="16"/>
  <c r="L32" i="16" s="1"/>
  <c r="Z31" i="20"/>
  <c r="AE31" i="20" s="1"/>
  <c r="Q59" i="15"/>
  <c r="R59" i="15"/>
  <c r="AD59" i="15" s="1"/>
  <c r="AC31" i="20"/>
  <c r="AF31" i="16"/>
  <c r="F31" i="19"/>
  <c r="AF31" i="20" l="1"/>
  <c r="AD31" i="20"/>
  <c r="AG31" i="20" s="1"/>
  <c r="S59" i="15"/>
  <c r="T59" i="15"/>
  <c r="AE59" i="15" s="1"/>
  <c r="AC59" i="15"/>
  <c r="AG59" i="15" s="1"/>
  <c r="V31" i="20"/>
  <c r="W32" i="16"/>
  <c r="X32" i="16"/>
  <c r="CH32" i="17"/>
  <c r="CG32" i="17"/>
  <c r="BL32" i="17"/>
  <c r="AC32" i="17"/>
  <c r="Z32" i="17"/>
  <c r="BF32" i="17"/>
  <c r="Q32" i="17"/>
  <c r="BM32" i="17"/>
  <c r="Y32" i="17"/>
  <c r="BG32" i="17"/>
  <c r="S32" i="17"/>
  <c r="AT32" i="17"/>
  <c r="AZ32" i="17"/>
  <c r="BJ32" i="17"/>
  <c r="J32" i="17"/>
  <c r="AB32" i="17"/>
  <c r="BR32" i="17"/>
  <c r="T32" i="17"/>
  <c r="BD32" i="17"/>
  <c r="N32" i="17"/>
  <c r="AU32" i="17"/>
  <c r="BC32" i="17"/>
  <c r="BI32" i="17"/>
  <c r="P32" i="17"/>
  <c r="M32" i="17"/>
  <c r="BS32" i="17"/>
  <c r="AN32" i="17"/>
  <c r="BA32" i="17"/>
  <c r="K32" i="17"/>
  <c r="AO32" i="17"/>
  <c r="CA32" i="17"/>
  <c r="AL32" i="17"/>
  <c r="BY32" i="17"/>
  <c r="BO32" i="17"/>
  <c r="AH32" i="17"/>
  <c r="CD32" i="17"/>
  <c r="E32" i="17"/>
  <c r="BV32" i="17"/>
  <c r="AX32" i="17"/>
  <c r="V32" i="17"/>
  <c r="BU32" i="17"/>
  <c r="BX32" i="17"/>
  <c r="AK32" i="17"/>
  <c r="CE32" i="17"/>
  <c r="W32" i="17"/>
  <c r="AQ32" i="17"/>
  <c r="D32" i="17"/>
  <c r="AW32" i="17"/>
  <c r="AR32" i="17"/>
  <c r="G32" i="17"/>
  <c r="AE32" i="17"/>
  <c r="AI32" i="17"/>
  <c r="H32" i="17"/>
  <c r="CB32" i="17"/>
  <c r="AF32" i="17"/>
  <c r="BP32" i="17"/>
  <c r="U32" i="17" l="1"/>
  <c r="O32" i="17"/>
  <c r="CF32" i="17"/>
  <c r="BN32" i="17"/>
  <c r="I32" i="17"/>
  <c r="CC32" i="17"/>
  <c r="CI32" i="17"/>
  <c r="BB32" i="17"/>
  <c r="AJ32" i="17"/>
  <c r="AD32" i="17"/>
  <c r="AM32" i="17"/>
  <c r="BZ32" i="17"/>
  <c r="BH32" i="17"/>
  <c r="BW32" i="17"/>
  <c r="BT32" i="17"/>
  <c r="U59" i="15"/>
  <c r="AF59" i="15" s="1"/>
  <c r="O59" i="15"/>
  <c r="X32" i="17"/>
  <c r="AG32" i="17"/>
  <c r="AP32" i="17"/>
  <c r="L32" i="17"/>
  <c r="D32" i="20"/>
  <c r="Y32" i="16"/>
  <c r="Z32" i="16"/>
  <c r="AS32" i="17"/>
  <c r="BQ32" i="17"/>
  <c r="BE32" i="17"/>
  <c r="R32" i="16"/>
  <c r="AD32" i="16" s="1"/>
  <c r="AY32" i="17"/>
  <c r="R32" i="17"/>
  <c r="AV32" i="17"/>
  <c r="Q32" i="16"/>
  <c r="F32" i="17"/>
  <c r="BK32" i="17"/>
  <c r="AA32" i="17"/>
  <c r="J32" i="20" l="1"/>
  <c r="E32" i="20"/>
  <c r="G32" i="20"/>
  <c r="R60" i="15"/>
  <c r="AD60" i="15" s="1"/>
  <c r="Q60" i="15"/>
  <c r="AA32" i="16"/>
  <c r="V32" i="16"/>
  <c r="S32" i="16"/>
  <c r="U32" i="16" s="1"/>
  <c r="T32" i="16"/>
  <c r="K32" i="16"/>
  <c r="P32" i="16"/>
  <c r="K32" i="20" l="1"/>
  <c r="S60" i="15"/>
  <c r="T60" i="15"/>
  <c r="AE60" i="15" s="1"/>
  <c r="AC60" i="15"/>
  <c r="AG60" i="15" s="1"/>
  <c r="F32" i="20"/>
  <c r="CG32" i="19"/>
  <c r="BL32" i="19"/>
  <c r="AH32" i="19"/>
  <c r="P32" i="19"/>
  <c r="J32" i="19"/>
  <c r="BU32" i="19"/>
  <c r="Y32" i="19"/>
  <c r="G32" i="19"/>
  <c r="AT32" i="19"/>
  <c r="AQ32" i="19"/>
  <c r="AE32" i="19"/>
  <c r="BC32" i="19"/>
  <c r="AW32" i="19"/>
  <c r="AK32" i="19"/>
  <c r="M32" i="19"/>
  <c r="BR32" i="19"/>
  <c r="AZ32" i="19"/>
  <c r="AB32" i="19"/>
  <c r="BO32" i="19"/>
  <c r="BF32" i="19"/>
  <c r="BI32" i="19"/>
  <c r="S32" i="19"/>
  <c r="CA32" i="19"/>
  <c r="CD32" i="19"/>
  <c r="V32" i="19"/>
  <c r="BX32" i="19"/>
  <c r="AN32" i="19"/>
  <c r="D32" i="19"/>
  <c r="Q32" i="20"/>
  <c r="M32" i="16"/>
  <c r="N32" i="16"/>
  <c r="AC32" i="16"/>
  <c r="H32" i="20" l="1"/>
  <c r="I32" i="20"/>
  <c r="U60" i="15"/>
  <c r="AF60" i="15" s="1"/>
  <c r="O60" i="15"/>
  <c r="AG32" i="16"/>
  <c r="AE32" i="16"/>
  <c r="CH32" i="19"/>
  <c r="CI32" i="19" s="1"/>
  <c r="K32" i="19"/>
  <c r="L32" i="19" s="1"/>
  <c r="BV32" i="19"/>
  <c r="BW32" i="19" s="1"/>
  <c r="Z32" i="19"/>
  <c r="AA32" i="19" s="1"/>
  <c r="AO32" i="19"/>
  <c r="AP32" i="19" s="1"/>
  <c r="BM32" i="19"/>
  <c r="BN32" i="19" s="1"/>
  <c r="AX32" i="19"/>
  <c r="AY32" i="19" s="1"/>
  <c r="Q32" i="19"/>
  <c r="R32" i="19" s="1"/>
  <c r="BS32" i="19"/>
  <c r="BT32" i="19" s="1"/>
  <c r="N32" i="19"/>
  <c r="O32" i="19" s="1"/>
  <c r="BP32" i="19"/>
  <c r="BQ32" i="19" s="1"/>
  <c r="W32" i="19"/>
  <c r="X32" i="19" s="1"/>
  <c r="H32" i="19"/>
  <c r="I32" i="19" s="1"/>
  <c r="AC32" i="19"/>
  <c r="AD32" i="19" s="1"/>
  <c r="BY32" i="19"/>
  <c r="BZ32" i="19" s="1"/>
  <c r="AR32" i="19"/>
  <c r="AS32" i="19" s="1"/>
  <c r="AF32" i="19"/>
  <c r="AG32" i="19" s="1"/>
  <c r="BD32" i="19"/>
  <c r="BE32" i="19" s="1"/>
  <c r="BG32" i="19"/>
  <c r="BH32" i="19" s="1"/>
  <c r="BA32" i="19"/>
  <c r="BB32" i="19" s="1"/>
  <c r="AL32" i="19"/>
  <c r="AM32" i="19" s="1"/>
  <c r="AI32" i="19"/>
  <c r="AJ32" i="19" s="1"/>
  <c r="BJ32" i="19"/>
  <c r="BK32" i="19" s="1"/>
  <c r="CE32" i="19"/>
  <c r="CF32" i="19" s="1"/>
  <c r="AU32" i="19"/>
  <c r="AV32" i="19" s="1"/>
  <c r="T32" i="19"/>
  <c r="U32" i="19" s="1"/>
  <c r="CB32" i="19"/>
  <c r="CC32" i="19" s="1"/>
  <c r="E32" i="19"/>
  <c r="R32" i="20"/>
  <c r="O32" i="16"/>
  <c r="I32" i="16"/>
  <c r="T32" i="20"/>
  <c r="W32" i="20"/>
  <c r="X32" i="20" l="1"/>
  <c r="Y32" i="20" s="1"/>
  <c r="AA32" i="20" s="1"/>
  <c r="F32" i="19"/>
  <c r="AF32" i="16"/>
  <c r="Z32" i="20"/>
  <c r="AE32" i="20" s="1"/>
  <c r="H33" i="16"/>
  <c r="AC32" i="20"/>
  <c r="S32" i="20"/>
  <c r="Q61" i="15"/>
  <c r="R61" i="15"/>
  <c r="AD61" i="15" s="1"/>
  <c r="AD32" i="20" l="1"/>
  <c r="AG32" i="20" s="1"/>
  <c r="X33" i="16"/>
  <c r="W33" i="16"/>
  <c r="CK33" i="17"/>
  <c r="CJ33" i="17"/>
  <c r="H33" i="17"/>
  <c r="S33" i="17"/>
  <c r="BA33" i="17"/>
  <c r="CG33" i="17"/>
  <c r="CD33" i="17"/>
  <c r="BX33" i="17"/>
  <c r="G33" i="17"/>
  <c r="AH33" i="17"/>
  <c r="N33" i="17"/>
  <c r="BM33" i="17"/>
  <c r="BL33" i="17"/>
  <c r="T33" i="17"/>
  <c r="CH33" i="17"/>
  <c r="AZ33" i="17"/>
  <c r="BG33" i="17"/>
  <c r="AL33" i="17"/>
  <c r="M33" i="17"/>
  <c r="CB33" i="17"/>
  <c r="BF33" i="17"/>
  <c r="CA33" i="17"/>
  <c r="CE33" i="17"/>
  <c r="AI33" i="17"/>
  <c r="AC33" i="17"/>
  <c r="AB33" i="17"/>
  <c r="BY33" i="17"/>
  <c r="AK33" i="17"/>
  <c r="AO33" i="17"/>
  <c r="AU33" i="17"/>
  <c r="AN33" i="17"/>
  <c r="BP33" i="17"/>
  <c r="Z33" i="17"/>
  <c r="J33" i="17"/>
  <c r="BJ33" i="17"/>
  <c r="BO33" i="17"/>
  <c r="Y33" i="17"/>
  <c r="AR33" i="17"/>
  <c r="BI33" i="17"/>
  <c r="AQ33" i="17"/>
  <c r="K33" i="17"/>
  <c r="BR33" i="17"/>
  <c r="E33" i="17"/>
  <c r="BV33" i="17"/>
  <c r="P33" i="17"/>
  <c r="AE33" i="17"/>
  <c r="D33" i="17"/>
  <c r="BC33" i="17"/>
  <c r="AW33" i="17"/>
  <c r="W33" i="17"/>
  <c r="V33" i="17"/>
  <c r="AF33" i="17"/>
  <c r="AT33" i="17"/>
  <c r="BU33" i="17"/>
  <c r="BD33" i="17"/>
  <c r="AX33" i="17"/>
  <c r="BS33" i="17"/>
  <c r="Q33" i="17"/>
  <c r="S61" i="15"/>
  <c r="T61" i="15"/>
  <c r="AE61" i="15" s="1"/>
  <c r="AC61" i="15"/>
  <c r="AG61" i="15" s="1"/>
  <c r="L33" i="16"/>
  <c r="U32" i="20"/>
  <c r="AF32" i="20" s="1"/>
  <c r="O32" i="20"/>
  <c r="V32" i="20"/>
  <c r="CL33" i="17" l="1"/>
  <c r="BZ33" i="17"/>
  <c r="CI33" i="17"/>
  <c r="AS33" i="17"/>
  <c r="BK33" i="17"/>
  <c r="BH33" i="17"/>
  <c r="I33" i="17"/>
  <c r="BN33" i="17"/>
  <c r="X33" i="17"/>
  <c r="AD33" i="17"/>
  <c r="U33" i="17"/>
  <c r="BB33" i="17"/>
  <c r="AG33" i="17"/>
  <c r="L33" i="17"/>
  <c r="CC33" i="17"/>
  <c r="AJ33" i="17"/>
  <c r="R33" i="17"/>
  <c r="R33" i="16"/>
  <c r="AD33" i="16" s="1"/>
  <c r="AP33" i="17"/>
  <c r="O33" i="17"/>
  <c r="CF33" i="17"/>
  <c r="BT33" i="17"/>
  <c r="AV33" i="17"/>
  <c r="AM33" i="17"/>
  <c r="U61" i="15"/>
  <c r="AF61" i="15" s="1"/>
  <c r="O61" i="15"/>
  <c r="AY33" i="17"/>
  <c r="AA33" i="17"/>
  <c r="BW33" i="17"/>
  <c r="BE33" i="17"/>
  <c r="BQ33" i="17"/>
  <c r="D33" i="20"/>
  <c r="Y33" i="16"/>
  <c r="Z33" i="16"/>
  <c r="Q33" i="16"/>
  <c r="F33" i="17"/>
  <c r="Q62" i="15" l="1"/>
  <c r="R62" i="15"/>
  <c r="AD62" i="15" s="1"/>
  <c r="AA33" i="16"/>
  <c r="V33" i="16"/>
  <c r="P33" i="16"/>
  <c r="E33" i="20"/>
  <c r="F33" i="20" s="1"/>
  <c r="J33" i="20"/>
  <c r="G33" i="20"/>
  <c r="S33" i="16"/>
  <c r="U33" i="16" s="1"/>
  <c r="T33" i="16"/>
  <c r="K33" i="16"/>
  <c r="CJ33" i="19" l="1"/>
  <c r="BO33" i="19"/>
  <c r="AK33" i="19"/>
  <c r="AZ33" i="19"/>
  <c r="BU33" i="19"/>
  <c r="BC33" i="19"/>
  <c r="CG33" i="19"/>
  <c r="M33" i="19"/>
  <c r="BI33" i="19"/>
  <c r="AW33" i="19"/>
  <c r="Y33" i="19"/>
  <c r="P33" i="19"/>
  <c r="BX33" i="19"/>
  <c r="BR33" i="19"/>
  <c r="AB33" i="19"/>
  <c r="AQ33" i="19"/>
  <c r="CD33" i="19"/>
  <c r="V33" i="19"/>
  <c r="G33" i="19"/>
  <c r="AT33" i="19"/>
  <c r="S33" i="19"/>
  <c r="AN33" i="19"/>
  <c r="AE33" i="19"/>
  <c r="CA33" i="19"/>
  <c r="AH33" i="19"/>
  <c r="BL33" i="19"/>
  <c r="BF33" i="19"/>
  <c r="J33" i="19"/>
  <c r="D33" i="19"/>
  <c r="Q33" i="20"/>
  <c r="H33" i="20"/>
  <c r="I33" i="20"/>
  <c r="K33" i="20"/>
  <c r="M33" i="16"/>
  <c r="N33" i="16"/>
  <c r="AE33" i="16" s="1"/>
  <c r="AC33" i="16"/>
  <c r="AG33" i="16" s="1"/>
  <c r="S62" i="15"/>
  <c r="T62" i="15"/>
  <c r="AE62" i="15" s="1"/>
  <c r="AC62" i="15"/>
  <c r="AG62" i="15" s="1"/>
  <c r="O33" i="16" l="1"/>
  <c r="AF33" i="16" s="1"/>
  <c r="I33" i="16"/>
  <c r="CK33" i="19"/>
  <c r="CL33" i="19" s="1"/>
  <c r="AL33" i="19"/>
  <c r="AM33" i="19" s="1"/>
  <c r="BA33" i="19"/>
  <c r="BB33" i="19" s="1"/>
  <c r="BV33" i="19"/>
  <c r="BW33" i="19" s="1"/>
  <c r="BD33" i="19"/>
  <c r="BE33" i="19" s="1"/>
  <c r="CH33" i="19"/>
  <c r="CI33" i="19" s="1"/>
  <c r="N33" i="19"/>
  <c r="O33" i="19" s="1"/>
  <c r="BJ33" i="19"/>
  <c r="BK33" i="19" s="1"/>
  <c r="AX33" i="19"/>
  <c r="AY33" i="19" s="1"/>
  <c r="Z33" i="19"/>
  <c r="AA33" i="19" s="1"/>
  <c r="AF33" i="19"/>
  <c r="AG33" i="19" s="1"/>
  <c r="W33" i="19"/>
  <c r="X33" i="19" s="1"/>
  <c r="Q33" i="19"/>
  <c r="R33" i="19" s="1"/>
  <c r="AU33" i="19"/>
  <c r="AV33" i="19" s="1"/>
  <c r="K33" i="19"/>
  <c r="L33" i="19" s="1"/>
  <c r="T33" i="19"/>
  <c r="U33" i="19" s="1"/>
  <c r="BP33" i="19"/>
  <c r="BQ33" i="19" s="1"/>
  <c r="AI33" i="19"/>
  <c r="AJ33" i="19" s="1"/>
  <c r="BY33" i="19"/>
  <c r="BZ33" i="19" s="1"/>
  <c r="H33" i="19"/>
  <c r="I33" i="19" s="1"/>
  <c r="BG33" i="19"/>
  <c r="BH33" i="19" s="1"/>
  <c r="CB33" i="19"/>
  <c r="CC33" i="19" s="1"/>
  <c r="AO33" i="19"/>
  <c r="AP33" i="19" s="1"/>
  <c r="BS33" i="19"/>
  <c r="BT33" i="19" s="1"/>
  <c r="AC33" i="19"/>
  <c r="AD33" i="19" s="1"/>
  <c r="AR33" i="19"/>
  <c r="AS33" i="19" s="1"/>
  <c r="CE33" i="19"/>
  <c r="CF33" i="19" s="1"/>
  <c r="BM33" i="19"/>
  <c r="BN33" i="19" s="1"/>
  <c r="E33" i="19"/>
  <c r="R33" i="20"/>
  <c r="T33" i="20"/>
  <c r="W33" i="20"/>
  <c r="U62" i="15"/>
  <c r="AF62" i="15" s="1"/>
  <c r="O62" i="15"/>
  <c r="X33" i="20" l="1"/>
  <c r="AD33" i="20" s="1"/>
  <c r="F33" i="19"/>
  <c r="S33" i="20"/>
  <c r="Z33" i="20"/>
  <c r="AE33" i="20" s="1"/>
  <c r="H34" i="16"/>
  <c r="L34" i="16" s="1"/>
  <c r="R63" i="15"/>
  <c r="AD63" i="15" s="1"/>
  <c r="Q63" i="15"/>
  <c r="AC33" i="20"/>
  <c r="Y33" i="20" l="1"/>
  <c r="AA33" i="20" s="1"/>
  <c r="U33" i="20"/>
  <c r="O33" i="20"/>
  <c r="S63" i="15"/>
  <c r="T63" i="15"/>
  <c r="AE63" i="15" s="1"/>
  <c r="AC63" i="15"/>
  <c r="AQ63" i="15" s="1"/>
  <c r="W34" i="16"/>
  <c r="X34" i="16"/>
  <c r="CM34" i="17"/>
  <c r="CN34" i="17"/>
  <c r="AI34" i="17"/>
  <c r="AH34" i="17"/>
  <c r="V34" i="17"/>
  <c r="AC34" i="17"/>
  <c r="H34" i="17"/>
  <c r="BJ34" i="17"/>
  <c r="G34" i="17"/>
  <c r="CH34" i="17"/>
  <c r="BA34" i="17"/>
  <c r="BI34" i="17"/>
  <c r="BY34" i="17"/>
  <c r="CG34" i="17"/>
  <c r="CB34" i="17"/>
  <c r="CK34" i="17"/>
  <c r="AF34" i="17"/>
  <c r="W34" i="17"/>
  <c r="AZ34" i="17"/>
  <c r="AB34" i="17"/>
  <c r="BX34" i="17"/>
  <c r="T34" i="17"/>
  <c r="CJ34" i="17"/>
  <c r="CA34" i="17"/>
  <c r="S34" i="17"/>
  <c r="AQ34" i="17"/>
  <c r="BL34" i="17"/>
  <c r="AE34" i="17"/>
  <c r="K34" i="17"/>
  <c r="BF34" i="17"/>
  <c r="J34" i="17"/>
  <c r="AR34" i="17"/>
  <c r="BM34" i="17"/>
  <c r="BG34" i="17"/>
  <c r="P34" i="17"/>
  <c r="BO34" i="17"/>
  <c r="BS34" i="17"/>
  <c r="BR34" i="17"/>
  <c r="Y34" i="17"/>
  <c r="M34" i="17"/>
  <c r="Z34" i="17"/>
  <c r="N34" i="17"/>
  <c r="BP34" i="17"/>
  <c r="CE34" i="17"/>
  <c r="AO34" i="17"/>
  <c r="E34" i="17"/>
  <c r="BC34" i="17"/>
  <c r="AL34" i="17"/>
  <c r="BD34" i="17"/>
  <c r="AK34" i="17"/>
  <c r="AX34" i="17"/>
  <c r="AN34" i="17"/>
  <c r="D34" i="17"/>
  <c r="BV34" i="17"/>
  <c r="CD34" i="17"/>
  <c r="AW34" i="17"/>
  <c r="AU34" i="17"/>
  <c r="Q34" i="17"/>
  <c r="AT34" i="17"/>
  <c r="BU34" i="17"/>
  <c r="AN63" i="15"/>
  <c r="AI63" i="15"/>
  <c r="V33" i="20"/>
  <c r="AG33" i="20"/>
  <c r="BW34" i="17" l="1"/>
  <c r="AF33" i="20"/>
  <c r="O34" i="17"/>
  <c r="CI34" i="17"/>
  <c r="I34" i="17"/>
  <c r="AM34" i="17"/>
  <c r="BT34" i="17"/>
  <c r="AJ34" i="17"/>
  <c r="X34" i="17"/>
  <c r="AD34" i="17"/>
  <c r="U34" i="17"/>
  <c r="BZ34" i="17"/>
  <c r="AY34" i="17"/>
  <c r="BB34" i="17"/>
  <c r="BH34" i="17"/>
  <c r="BN34" i="17"/>
  <c r="Q34" i="16"/>
  <c r="F34" i="17"/>
  <c r="AG34" i="17"/>
  <c r="CO34" i="17"/>
  <c r="AO63" i="15"/>
  <c r="AJ63" i="15"/>
  <c r="BK34" i="17"/>
  <c r="AP34" i="17"/>
  <c r="AS34" i="17"/>
  <c r="BQ34" i="17"/>
  <c r="CC34" i="17"/>
  <c r="AV34" i="17"/>
  <c r="BE34" i="17"/>
  <c r="R34" i="17"/>
  <c r="CL34" i="17"/>
  <c r="D34" i="20"/>
  <c r="Y34" i="16"/>
  <c r="Z34" i="16"/>
  <c r="AA34" i="17"/>
  <c r="R34" i="16"/>
  <c r="AD34" i="16" s="1"/>
  <c r="AG63" i="15"/>
  <c r="AL63" i="15" s="1"/>
  <c r="AM63" i="15"/>
  <c r="AH63" i="15"/>
  <c r="U63" i="15"/>
  <c r="AF63" i="15" s="1"/>
  <c r="O63" i="15"/>
  <c r="CF34" i="17"/>
  <c r="L34" i="17"/>
  <c r="S34" i="16" l="1"/>
  <c r="U34" i="16" s="1"/>
  <c r="T34" i="16"/>
  <c r="K34" i="16"/>
  <c r="AP63" i="15"/>
  <c r="AK63" i="15"/>
  <c r="E34" i="20"/>
  <c r="J34" i="20"/>
  <c r="G34" i="20"/>
  <c r="P34" i="16"/>
  <c r="AA34" i="16"/>
  <c r="V34" i="16"/>
  <c r="K34" i="20" l="1"/>
  <c r="M34" i="16"/>
  <c r="N34" i="16"/>
  <c r="AE34" i="16" s="1"/>
  <c r="AC34" i="16"/>
  <c r="AG34" i="16" s="1"/>
  <c r="CM34" i="19"/>
  <c r="P34" i="19"/>
  <c r="Y34" i="19"/>
  <c r="AW34" i="19"/>
  <c r="BC34" i="19"/>
  <c r="CD34" i="19"/>
  <c r="CA34" i="19"/>
  <c r="BF34" i="19"/>
  <c r="AZ34" i="19"/>
  <c r="BI34" i="19"/>
  <c r="AT34" i="19"/>
  <c r="AB34" i="19"/>
  <c r="AQ34" i="19"/>
  <c r="AH34" i="19"/>
  <c r="J34" i="19"/>
  <c r="V34" i="19"/>
  <c r="AN34" i="19"/>
  <c r="S34" i="19"/>
  <c r="BR34" i="19"/>
  <c r="AK34" i="19"/>
  <c r="M34" i="19"/>
  <c r="CG34" i="19"/>
  <c r="G34" i="19"/>
  <c r="BX34" i="19"/>
  <c r="BO34" i="19"/>
  <c r="BU34" i="19"/>
  <c r="AE34" i="19"/>
  <c r="BL34" i="19"/>
  <c r="CJ34" i="19"/>
  <c r="D34" i="19"/>
  <c r="Q34" i="20"/>
  <c r="F34" i="20"/>
  <c r="T34" i="20" l="1"/>
  <c r="W34" i="20"/>
  <c r="AC34" i="20" s="1"/>
  <c r="H34" i="20"/>
  <c r="I34" i="20"/>
  <c r="O34" i="16"/>
  <c r="AF34" i="16" s="1"/>
  <c r="I34" i="16"/>
  <c r="CN34" i="19"/>
  <c r="CO34" i="19" s="1"/>
  <c r="BY34" i="19"/>
  <c r="BZ34" i="19" s="1"/>
  <c r="AX34" i="19"/>
  <c r="AY34" i="19" s="1"/>
  <c r="BD34" i="19"/>
  <c r="BE34" i="19" s="1"/>
  <c r="CE34" i="19"/>
  <c r="CF34" i="19" s="1"/>
  <c r="CB34" i="19"/>
  <c r="CC34" i="19" s="1"/>
  <c r="BG34" i="19"/>
  <c r="BH34" i="19" s="1"/>
  <c r="Q34" i="19"/>
  <c r="R34" i="19" s="1"/>
  <c r="AI34" i="19"/>
  <c r="AJ34" i="19" s="1"/>
  <c r="K34" i="19"/>
  <c r="L34" i="19" s="1"/>
  <c r="W34" i="19"/>
  <c r="X34" i="19" s="1"/>
  <c r="BJ34" i="19"/>
  <c r="BK34" i="19" s="1"/>
  <c r="BA34" i="19"/>
  <c r="BB34" i="19" s="1"/>
  <c r="AR34" i="19"/>
  <c r="AS34" i="19" s="1"/>
  <c r="N34" i="19"/>
  <c r="O34" i="19" s="1"/>
  <c r="BM34" i="19"/>
  <c r="BN34" i="19" s="1"/>
  <c r="CK34" i="19"/>
  <c r="CL34" i="19" s="1"/>
  <c r="AO34" i="19"/>
  <c r="AP34" i="19" s="1"/>
  <c r="CH34" i="19"/>
  <c r="CI34" i="19" s="1"/>
  <c r="H34" i="19"/>
  <c r="I34" i="19" s="1"/>
  <c r="BV34" i="19"/>
  <c r="BW34" i="19" s="1"/>
  <c r="T34" i="19"/>
  <c r="U34" i="19" s="1"/>
  <c r="AU34" i="19"/>
  <c r="AV34" i="19" s="1"/>
  <c r="BS34" i="19"/>
  <c r="BT34" i="19" s="1"/>
  <c r="AF34" i="19"/>
  <c r="AG34" i="19" s="1"/>
  <c r="AL34" i="19"/>
  <c r="AM34" i="19" s="1"/>
  <c r="Z34" i="19"/>
  <c r="AA34" i="19" s="1"/>
  <c r="AC34" i="19"/>
  <c r="AD34" i="19" s="1"/>
  <c r="BP34" i="19"/>
  <c r="BQ34" i="19" s="1"/>
  <c r="E34" i="19"/>
  <c r="R34" i="20"/>
  <c r="S34" i="20" s="1"/>
  <c r="X34" i="20" l="1"/>
  <c r="AD34" i="20" s="1"/>
  <c r="AG34" i="20" s="1"/>
  <c r="H35" i="16"/>
  <c r="L35" i="16" s="1"/>
  <c r="U34" i="20"/>
  <c r="O34" i="20"/>
  <c r="F34" i="19"/>
  <c r="Z34" i="20"/>
  <c r="AE34" i="20" s="1"/>
  <c r="Y34" i="20" l="1"/>
  <c r="AA34" i="20" s="1"/>
  <c r="AF34" i="20" s="1"/>
  <c r="V34" i="20"/>
  <c r="W35" i="16"/>
  <c r="X35" i="16"/>
  <c r="CQ35" i="17"/>
  <c r="CP35" i="17"/>
  <c r="AC35" i="17"/>
  <c r="BF35" i="17"/>
  <c r="AI35" i="17"/>
  <c r="AB35" i="17"/>
  <c r="N35" i="17"/>
  <c r="S35" i="17"/>
  <c r="CG35" i="17"/>
  <c r="BA35" i="17"/>
  <c r="G35" i="17"/>
  <c r="AZ35" i="17"/>
  <c r="AX35" i="17"/>
  <c r="BS35" i="17"/>
  <c r="AW35" i="17"/>
  <c r="BR35" i="17"/>
  <c r="AK35" i="17"/>
  <c r="BU35" i="17"/>
  <c r="M35" i="17"/>
  <c r="T35" i="17"/>
  <c r="BG35" i="17"/>
  <c r="H35" i="17"/>
  <c r="AL35" i="17"/>
  <c r="W35" i="17"/>
  <c r="BV35" i="17"/>
  <c r="BY35" i="17"/>
  <c r="AH35" i="17"/>
  <c r="V35" i="17"/>
  <c r="CH35" i="17"/>
  <c r="BX35" i="17"/>
  <c r="CA35" i="17"/>
  <c r="BL35" i="17"/>
  <c r="BD35" i="17"/>
  <c r="Y35" i="17"/>
  <c r="BC35" i="17"/>
  <c r="Z35" i="17"/>
  <c r="Q35" i="17"/>
  <c r="K35" i="17"/>
  <c r="AU35" i="17"/>
  <c r="AT35" i="17"/>
  <c r="BJ35" i="17"/>
  <c r="AO35" i="17"/>
  <c r="BI35" i="17"/>
  <c r="E35" i="17"/>
  <c r="CE35" i="17"/>
  <c r="CJ35" i="17"/>
  <c r="AF35" i="17"/>
  <c r="CM35" i="17"/>
  <c r="P35" i="17"/>
  <c r="D35" i="17"/>
  <c r="J35" i="17"/>
  <c r="BP35" i="17"/>
  <c r="AQ35" i="17"/>
  <c r="CD35" i="17"/>
  <c r="AN35" i="17"/>
  <c r="CN35" i="17"/>
  <c r="BO35" i="17"/>
  <c r="AR35" i="17"/>
  <c r="CK35" i="17"/>
  <c r="AE35" i="17"/>
  <c r="CB35" i="17"/>
  <c r="BM35" i="17"/>
  <c r="CF35" i="17" l="1"/>
  <c r="AG35" i="17"/>
  <c r="AM35" i="17"/>
  <c r="AP35" i="17"/>
  <c r="CC35" i="17"/>
  <c r="BK35" i="17"/>
  <c r="BZ35" i="17"/>
  <c r="BW35" i="17"/>
  <c r="L35" i="17"/>
  <c r="AD35" i="17"/>
  <c r="AY35" i="17"/>
  <c r="AS35" i="17"/>
  <c r="BE35" i="17"/>
  <c r="CR35" i="17"/>
  <c r="BB35" i="17"/>
  <c r="I35" i="17"/>
  <c r="R35" i="17"/>
  <c r="AJ35" i="17"/>
  <c r="BQ35" i="17"/>
  <c r="CO35" i="17"/>
  <c r="D35" i="20"/>
  <c r="Y35" i="16"/>
  <c r="Z35" i="16"/>
  <c r="Q35" i="16"/>
  <c r="F35" i="17"/>
  <c r="CL35" i="17"/>
  <c r="AA35" i="17"/>
  <c r="CI35" i="17"/>
  <c r="R35" i="16"/>
  <c r="AD35" i="16" s="1"/>
  <c r="BN35" i="17"/>
  <c r="U35" i="17"/>
  <c r="O35" i="17"/>
  <c r="AV35" i="17"/>
  <c r="X35" i="17"/>
  <c r="BT35" i="17"/>
  <c r="BH35" i="17"/>
  <c r="J35" i="20" l="1"/>
  <c r="E35" i="20"/>
  <c r="G35" i="20"/>
  <c r="P35" i="16"/>
  <c r="S35" i="16"/>
  <c r="U35" i="16" s="1"/>
  <c r="T35" i="16"/>
  <c r="K35" i="16"/>
  <c r="AA35" i="16"/>
  <c r="V35" i="16"/>
  <c r="M35" i="16" l="1"/>
  <c r="N35" i="16"/>
  <c r="AE35" i="16" s="1"/>
  <c r="AC35" i="16"/>
  <c r="AG35" i="16" s="1"/>
  <c r="K35" i="20"/>
  <c r="F35" i="20"/>
  <c r="CP35" i="19"/>
  <c r="P35" i="19"/>
  <c r="CA35" i="19"/>
  <c r="BC35" i="19"/>
  <c r="CM35" i="19"/>
  <c r="AT35" i="19"/>
  <c r="BO35" i="19"/>
  <c r="Y35" i="19"/>
  <c r="AN35" i="19"/>
  <c r="CG35" i="19"/>
  <c r="AB35" i="19"/>
  <c r="BX35" i="19"/>
  <c r="AH35" i="19"/>
  <c r="J35" i="19"/>
  <c r="CJ35" i="19"/>
  <c r="BL35" i="19"/>
  <c r="AW35" i="19"/>
  <c r="AE35" i="19"/>
  <c r="AK35" i="19"/>
  <c r="BR35" i="19"/>
  <c r="S35" i="19"/>
  <c r="AZ35" i="19"/>
  <c r="BI35" i="19"/>
  <c r="V35" i="19"/>
  <c r="AQ35" i="19"/>
  <c r="M35" i="19"/>
  <c r="G35" i="19"/>
  <c r="BU35" i="19"/>
  <c r="CD35" i="19"/>
  <c r="BF35" i="19"/>
  <c r="D35" i="19"/>
  <c r="Q35" i="20"/>
  <c r="H35" i="20" l="1"/>
  <c r="I35" i="20"/>
  <c r="CQ35" i="19"/>
  <c r="CR35" i="19" s="1"/>
  <c r="Z35" i="19"/>
  <c r="AA35" i="19" s="1"/>
  <c r="AF35" i="19"/>
  <c r="AG35" i="19" s="1"/>
  <c r="Q35" i="19"/>
  <c r="R35" i="19" s="1"/>
  <c r="CE35" i="19"/>
  <c r="CF35" i="19" s="1"/>
  <c r="AX35" i="19"/>
  <c r="AY35" i="19" s="1"/>
  <c r="CH35" i="19"/>
  <c r="CI35" i="19" s="1"/>
  <c r="BG35" i="19"/>
  <c r="BH35" i="19" s="1"/>
  <c r="T35" i="19"/>
  <c r="U35" i="19" s="1"/>
  <c r="W35" i="19"/>
  <c r="X35" i="19" s="1"/>
  <c r="AO35" i="19"/>
  <c r="AP35" i="19" s="1"/>
  <c r="AL35" i="19"/>
  <c r="AM35" i="19" s="1"/>
  <c r="BS35" i="19"/>
  <c r="BT35" i="19" s="1"/>
  <c r="K35" i="19"/>
  <c r="L35" i="19" s="1"/>
  <c r="AC35" i="19"/>
  <c r="AD35" i="19" s="1"/>
  <c r="BY35" i="19"/>
  <c r="BZ35" i="19" s="1"/>
  <c r="BJ35" i="19"/>
  <c r="BK35" i="19" s="1"/>
  <c r="N35" i="19"/>
  <c r="O35" i="19" s="1"/>
  <c r="H35" i="19"/>
  <c r="I35" i="19" s="1"/>
  <c r="AR35" i="19"/>
  <c r="AS35" i="19" s="1"/>
  <c r="BV35" i="19"/>
  <c r="BW35" i="19" s="1"/>
  <c r="BM35" i="19"/>
  <c r="BN35" i="19" s="1"/>
  <c r="BD35" i="19"/>
  <c r="BE35" i="19" s="1"/>
  <c r="CN35" i="19"/>
  <c r="CO35" i="19" s="1"/>
  <c r="BP35" i="19"/>
  <c r="BQ35" i="19" s="1"/>
  <c r="BA35" i="19"/>
  <c r="BB35" i="19" s="1"/>
  <c r="CK35" i="19"/>
  <c r="CL35" i="19" s="1"/>
  <c r="CB35" i="19"/>
  <c r="CC35" i="19" s="1"/>
  <c r="AU35" i="19"/>
  <c r="AV35" i="19" s="1"/>
  <c r="AI35" i="19"/>
  <c r="AJ35" i="19" s="1"/>
  <c r="R35" i="20"/>
  <c r="S35" i="20" s="1"/>
  <c r="E35" i="19"/>
  <c r="F35" i="19" s="1"/>
  <c r="T35" i="20"/>
  <c r="W35" i="20"/>
  <c r="AC35" i="20" s="1"/>
  <c r="O35" i="16"/>
  <c r="AF35" i="16" s="1"/>
  <c r="I35" i="16"/>
  <c r="H36" i="16" l="1"/>
  <c r="L36" i="16" s="1"/>
  <c r="V35" i="20"/>
  <c r="Z35" i="20"/>
  <c r="AE35" i="20" s="1"/>
  <c r="U35" i="20"/>
  <c r="O35" i="20"/>
  <c r="X35" i="20"/>
  <c r="AD35" i="20" s="1"/>
  <c r="AG35" i="20" s="1"/>
  <c r="Y35" i="20" l="1"/>
  <c r="AA35" i="20" s="1"/>
  <c r="AF35" i="20" s="1"/>
  <c r="X36" i="16"/>
  <c r="W36" i="16"/>
  <c r="CT36" i="17"/>
  <c r="CS36" i="17"/>
  <c r="CA36" i="17"/>
  <c r="AI36" i="17"/>
  <c r="CD36" i="17"/>
  <c r="AH36" i="17"/>
  <c r="AX36" i="17"/>
  <c r="K36" i="17"/>
  <c r="CB36" i="17"/>
  <c r="AB36" i="17"/>
  <c r="AW36" i="17"/>
  <c r="AO36" i="17"/>
  <c r="J36" i="17"/>
  <c r="BV36" i="17"/>
  <c r="BA36" i="17"/>
  <c r="AN36" i="17"/>
  <c r="CP36" i="17"/>
  <c r="BU36" i="17"/>
  <c r="AC36" i="17"/>
  <c r="AZ36" i="17"/>
  <c r="BC36" i="17"/>
  <c r="AQ36" i="17"/>
  <c r="AL36" i="17"/>
  <c r="CQ36" i="17"/>
  <c r="BY36" i="17"/>
  <c r="Q36" i="17"/>
  <c r="BD36" i="17"/>
  <c r="BO36" i="17"/>
  <c r="P36" i="17"/>
  <c r="G36" i="17"/>
  <c r="AE36" i="17"/>
  <c r="BP36" i="17"/>
  <c r="AR36" i="17"/>
  <c r="BX36" i="17"/>
  <c r="BJ36" i="17"/>
  <c r="H36" i="17"/>
  <c r="BI36" i="17"/>
  <c r="AK36" i="17"/>
  <c r="AF36" i="17"/>
  <c r="CE36" i="17"/>
  <c r="T36" i="17"/>
  <c r="CH36" i="17"/>
  <c r="BS36" i="17"/>
  <c r="CG36" i="17"/>
  <c r="BR36" i="17"/>
  <c r="N36" i="17"/>
  <c r="AU36" i="17"/>
  <c r="AT36" i="17"/>
  <c r="E36" i="17"/>
  <c r="BM36" i="17"/>
  <c r="CN36" i="17"/>
  <c r="V36" i="17"/>
  <c r="BL36" i="17"/>
  <c r="CK36" i="17"/>
  <c r="BG36" i="17"/>
  <c r="Y36" i="17"/>
  <c r="CJ36" i="17"/>
  <c r="W36" i="17"/>
  <c r="M36" i="17"/>
  <c r="CM36" i="17"/>
  <c r="D36" i="17"/>
  <c r="BF36" i="17"/>
  <c r="Z36" i="17"/>
  <c r="S36" i="17"/>
  <c r="CR36" i="17" l="1"/>
  <c r="AG36" i="17"/>
  <c r="BN36" i="17"/>
  <c r="BW36" i="17"/>
  <c r="AJ36" i="17"/>
  <c r="I36" i="17"/>
  <c r="R36" i="17"/>
  <c r="O36" i="17"/>
  <c r="X36" i="17"/>
  <c r="AV36" i="17"/>
  <c r="BQ36" i="17"/>
  <c r="CC36" i="17"/>
  <c r="L36" i="17"/>
  <c r="CO36" i="17"/>
  <c r="BZ36" i="17"/>
  <c r="AS36" i="17"/>
  <c r="CF36" i="17"/>
  <c r="AP36" i="17"/>
  <c r="U36" i="17"/>
  <c r="BH36" i="17"/>
  <c r="AM36" i="17"/>
  <c r="CU36" i="17"/>
  <c r="R36" i="16"/>
  <c r="AD36" i="16" s="1"/>
  <c r="BK36" i="17"/>
  <c r="D36" i="20"/>
  <c r="Y36" i="16"/>
  <c r="Z36" i="16"/>
  <c r="Q36" i="16"/>
  <c r="F36" i="17"/>
  <c r="AY36" i="17"/>
  <c r="AD36" i="17"/>
  <c r="CL36" i="17"/>
  <c r="BT36" i="17"/>
  <c r="BE36" i="17"/>
  <c r="AA36" i="17"/>
  <c r="CI36" i="17"/>
  <c r="BB36" i="17"/>
  <c r="AA36" i="16" l="1"/>
  <c r="V36" i="16"/>
  <c r="E36" i="20"/>
  <c r="J36" i="20"/>
  <c r="G36" i="20"/>
  <c r="P36" i="16"/>
  <c r="S36" i="16"/>
  <c r="U36" i="16" s="1"/>
  <c r="T36" i="16"/>
  <c r="K36" i="16"/>
  <c r="K36" i="20" l="1"/>
  <c r="M36" i="16"/>
  <c r="N36" i="16"/>
  <c r="AE36" i="16" s="1"/>
  <c r="AC36" i="16"/>
  <c r="AG36" i="16" s="1"/>
  <c r="CS36" i="19"/>
  <c r="AT36" i="19"/>
  <c r="BL36" i="19"/>
  <c r="CM36" i="19"/>
  <c r="BU36" i="19"/>
  <c r="M36" i="19"/>
  <c r="BC36" i="19"/>
  <c r="P36" i="19"/>
  <c r="AZ36" i="19"/>
  <c r="G36" i="19"/>
  <c r="BI36" i="19"/>
  <c r="AE36" i="19"/>
  <c r="V36" i="19"/>
  <c r="S36" i="19"/>
  <c r="CP36" i="19"/>
  <c r="CA36" i="19"/>
  <c r="Y36" i="19"/>
  <c r="BX36" i="19"/>
  <c r="AH36" i="19"/>
  <c r="AN36" i="19"/>
  <c r="CG36" i="19"/>
  <c r="AB36" i="19"/>
  <c r="AQ36" i="19"/>
  <c r="BO36" i="19"/>
  <c r="CD36" i="19"/>
  <c r="BR36" i="19"/>
  <c r="J36" i="19"/>
  <c r="CJ36" i="19"/>
  <c r="AK36" i="19"/>
  <c r="D36" i="19"/>
  <c r="AW36" i="19"/>
  <c r="BF36" i="19"/>
  <c r="Q36" i="20"/>
  <c r="F36" i="20"/>
  <c r="H36" i="20" l="1"/>
  <c r="I36" i="20"/>
  <c r="O36" i="16"/>
  <c r="AF36" i="16" s="1"/>
  <c r="I36" i="16"/>
  <c r="T36" i="20"/>
  <c r="W36" i="20"/>
  <c r="AC36" i="20" s="1"/>
  <c r="CT36" i="19"/>
  <c r="CU36" i="19" s="1"/>
  <c r="BV36" i="19"/>
  <c r="BW36" i="19" s="1"/>
  <c r="BA36" i="19"/>
  <c r="BB36" i="19" s="1"/>
  <c r="N36" i="19"/>
  <c r="O36" i="19" s="1"/>
  <c r="AX36" i="19"/>
  <c r="AY36" i="19" s="1"/>
  <c r="CN36" i="19"/>
  <c r="CO36" i="19" s="1"/>
  <c r="BJ36" i="19"/>
  <c r="BK36" i="19" s="1"/>
  <c r="AF36" i="19"/>
  <c r="AG36" i="19" s="1"/>
  <c r="W36" i="19"/>
  <c r="X36" i="19" s="1"/>
  <c r="AO36" i="19"/>
  <c r="AP36" i="19" s="1"/>
  <c r="CH36" i="19"/>
  <c r="CI36" i="19" s="1"/>
  <c r="H36" i="19"/>
  <c r="I36" i="19" s="1"/>
  <c r="CQ36" i="19"/>
  <c r="CR36" i="19" s="1"/>
  <c r="AL36" i="19"/>
  <c r="AM36" i="19" s="1"/>
  <c r="E36" i="19"/>
  <c r="AI36" i="19"/>
  <c r="AJ36" i="19" s="1"/>
  <c r="T36" i="19"/>
  <c r="U36" i="19" s="1"/>
  <c r="BP36" i="19"/>
  <c r="BQ36" i="19" s="1"/>
  <c r="CE36" i="19"/>
  <c r="CF36" i="19" s="1"/>
  <c r="BS36" i="19"/>
  <c r="BT36" i="19" s="1"/>
  <c r="K36" i="19"/>
  <c r="L36" i="19" s="1"/>
  <c r="Q36" i="19"/>
  <c r="R36" i="19" s="1"/>
  <c r="AR36" i="19"/>
  <c r="AS36" i="19" s="1"/>
  <c r="Z36" i="19"/>
  <c r="AA36" i="19" s="1"/>
  <c r="BY36" i="19"/>
  <c r="BZ36" i="19" s="1"/>
  <c r="CB36" i="19"/>
  <c r="CC36" i="19" s="1"/>
  <c r="AC36" i="19"/>
  <c r="AD36" i="19" s="1"/>
  <c r="AU36" i="19"/>
  <c r="AV36" i="19" s="1"/>
  <c r="BM36" i="19"/>
  <c r="BN36" i="19" s="1"/>
  <c r="BG36" i="19"/>
  <c r="BH36" i="19" s="1"/>
  <c r="CK36" i="19"/>
  <c r="CL36" i="19" s="1"/>
  <c r="BD36" i="19"/>
  <c r="BE36" i="19" s="1"/>
  <c r="R36" i="20"/>
  <c r="S36" i="20" s="1"/>
  <c r="X36" i="20" l="1"/>
  <c r="Y36" i="20" s="1"/>
  <c r="AA36" i="20" s="1"/>
  <c r="U36" i="20"/>
  <c r="O36" i="20"/>
  <c r="H37" i="16"/>
  <c r="F36" i="19"/>
  <c r="Z36" i="20"/>
  <c r="AE36" i="20" s="1"/>
  <c r="AF36" i="20" l="1"/>
  <c r="AD36" i="20"/>
  <c r="AG36" i="20" s="1"/>
  <c r="W37" i="16"/>
  <c r="X37" i="16"/>
  <c r="CV37" i="17"/>
  <c r="CW37" i="17"/>
  <c r="BV37" i="17"/>
  <c r="V37" i="17"/>
  <c r="AF37" i="17"/>
  <c r="BU37" i="17"/>
  <c r="W37" i="17"/>
  <c r="H37" i="17"/>
  <c r="AU37" i="17"/>
  <c r="N37" i="17"/>
  <c r="CP37" i="17"/>
  <c r="G37" i="17"/>
  <c r="AT37" i="17"/>
  <c r="M37" i="17"/>
  <c r="Q37" i="17"/>
  <c r="BX37" i="17"/>
  <c r="BM37" i="17"/>
  <c r="K37" i="17"/>
  <c r="AI37" i="17"/>
  <c r="AR37" i="17"/>
  <c r="BP37" i="17"/>
  <c r="J37" i="17"/>
  <c r="AH37" i="17"/>
  <c r="AE37" i="17"/>
  <c r="CQ37" i="17"/>
  <c r="CN37" i="17"/>
  <c r="BY37" i="17"/>
  <c r="CM37" i="17"/>
  <c r="CB37" i="17"/>
  <c r="P37" i="17"/>
  <c r="BL37" i="17"/>
  <c r="CA37" i="17"/>
  <c r="BO37" i="17"/>
  <c r="AQ37" i="17"/>
  <c r="BC37" i="17"/>
  <c r="AX37" i="17"/>
  <c r="BI37" i="17"/>
  <c r="BD37" i="17"/>
  <c r="D37" i="17"/>
  <c r="AN37" i="17"/>
  <c r="AW37" i="17"/>
  <c r="CS37" i="17"/>
  <c r="BF37" i="17"/>
  <c r="BR37" i="17"/>
  <c r="BA37" i="17"/>
  <c r="BJ37" i="17"/>
  <c r="CT37" i="17"/>
  <c r="BG37" i="17"/>
  <c r="AO37" i="17"/>
  <c r="E37" i="17"/>
  <c r="AZ37" i="17"/>
  <c r="CE37" i="17"/>
  <c r="T37" i="17"/>
  <c r="AC37" i="17"/>
  <c r="S37" i="17"/>
  <c r="BS37" i="17"/>
  <c r="Z37" i="17"/>
  <c r="CH37" i="17"/>
  <c r="AB37" i="17"/>
  <c r="AK37" i="17"/>
  <c r="CJ37" i="17"/>
  <c r="CG37" i="17"/>
  <c r="CD37" i="17"/>
  <c r="CK37" i="17"/>
  <c r="AL37" i="17"/>
  <c r="Y37" i="17"/>
  <c r="V36" i="20"/>
  <c r="L37" i="16"/>
  <c r="AY37" i="17" l="1"/>
  <c r="R37" i="17"/>
  <c r="BH37" i="17"/>
  <c r="BN37" i="17"/>
  <c r="AP37" i="17"/>
  <c r="CU37" i="17"/>
  <c r="CO37" i="17"/>
  <c r="BW37" i="17"/>
  <c r="AS37" i="17"/>
  <c r="L37" i="17"/>
  <c r="BT37" i="17"/>
  <c r="U37" i="17"/>
  <c r="BQ37" i="17"/>
  <c r="BZ37" i="17"/>
  <c r="CX37" i="17"/>
  <c r="CC37" i="17"/>
  <c r="AA37" i="17"/>
  <c r="X37" i="17"/>
  <c r="CF37" i="17"/>
  <c r="BB37" i="17"/>
  <c r="Q37" i="16"/>
  <c r="F37" i="17"/>
  <c r="R37" i="16"/>
  <c r="AD37" i="16" s="1"/>
  <c r="CL37" i="17"/>
  <c r="BK37" i="17"/>
  <c r="AM37" i="17"/>
  <c r="AG37" i="17"/>
  <c r="I37" i="17"/>
  <c r="CI37" i="17"/>
  <c r="O37" i="17"/>
  <c r="AV37" i="17"/>
  <c r="AD37" i="17"/>
  <c r="BE37" i="17"/>
  <c r="AJ37" i="17"/>
  <c r="CR37" i="17"/>
  <c r="D37" i="20"/>
  <c r="Y37" i="16"/>
  <c r="Z37" i="16"/>
  <c r="S37" i="16" l="1"/>
  <c r="U37" i="16" s="1"/>
  <c r="T37" i="16"/>
  <c r="K37" i="16"/>
  <c r="AA37" i="16"/>
  <c r="V37" i="16"/>
  <c r="E37" i="20"/>
  <c r="J37" i="20"/>
  <c r="G37" i="20"/>
  <c r="P37" i="16"/>
  <c r="K37" i="20" l="1"/>
  <c r="CV37" i="19"/>
  <c r="CG37" i="19"/>
  <c r="BI37" i="19"/>
  <c r="M37" i="19"/>
  <c r="J37" i="19"/>
  <c r="AH37" i="19"/>
  <c r="S37" i="19"/>
  <c r="AK37" i="19"/>
  <c r="BX37" i="19"/>
  <c r="V37" i="19"/>
  <c r="AE37" i="19"/>
  <c r="AZ37" i="19"/>
  <c r="CS37" i="19"/>
  <c r="BF37" i="19"/>
  <c r="BU37" i="19"/>
  <c r="AN37" i="19"/>
  <c r="G37" i="19"/>
  <c r="P37" i="19"/>
  <c r="CD37" i="19"/>
  <c r="BR37" i="19"/>
  <c r="CM37" i="19"/>
  <c r="BO37" i="19"/>
  <c r="BC37" i="19"/>
  <c r="CP37" i="19"/>
  <c r="AQ37" i="19"/>
  <c r="AT37" i="19"/>
  <c r="CA37" i="19"/>
  <c r="AB37" i="19"/>
  <c r="BL37" i="19"/>
  <c r="CJ37" i="19"/>
  <c r="AW37" i="19"/>
  <c r="Y37" i="19"/>
  <c r="Q37" i="20"/>
  <c r="D37" i="19"/>
  <c r="M37" i="16"/>
  <c r="N37" i="16"/>
  <c r="AE37" i="16" s="1"/>
  <c r="AC37" i="16"/>
  <c r="AG37" i="16" s="1"/>
  <c r="F37" i="20"/>
  <c r="CW37" i="19" l="1"/>
  <c r="CX37" i="19" s="1"/>
  <c r="K37" i="19"/>
  <c r="L37" i="19" s="1"/>
  <c r="AC37" i="19"/>
  <c r="AD37" i="19" s="1"/>
  <c r="W37" i="19"/>
  <c r="X37" i="19" s="1"/>
  <c r="AO37" i="19"/>
  <c r="AP37" i="19" s="1"/>
  <c r="T37" i="19"/>
  <c r="U37" i="19" s="1"/>
  <c r="AU37" i="19"/>
  <c r="AV37" i="19" s="1"/>
  <c r="AF37" i="19"/>
  <c r="AG37" i="19" s="1"/>
  <c r="BS37" i="19"/>
  <c r="BT37" i="19" s="1"/>
  <c r="BJ37" i="19"/>
  <c r="BK37" i="19" s="1"/>
  <c r="BG37" i="19"/>
  <c r="BH37" i="19" s="1"/>
  <c r="N37" i="19"/>
  <c r="O37" i="19" s="1"/>
  <c r="BV37" i="19"/>
  <c r="BW37" i="19" s="1"/>
  <c r="BA37" i="19"/>
  <c r="BB37" i="19" s="1"/>
  <c r="CE37" i="19"/>
  <c r="CF37" i="19" s="1"/>
  <c r="Z37" i="19"/>
  <c r="AA37" i="19" s="1"/>
  <c r="CB37" i="19"/>
  <c r="CC37" i="19" s="1"/>
  <c r="AI37" i="19"/>
  <c r="AJ37" i="19" s="1"/>
  <c r="CT37" i="19"/>
  <c r="CU37" i="19" s="1"/>
  <c r="BD37" i="19"/>
  <c r="BE37" i="19" s="1"/>
  <c r="CK37" i="19"/>
  <c r="CL37" i="19" s="1"/>
  <c r="Q37" i="19"/>
  <c r="R37" i="19" s="1"/>
  <c r="AR37" i="19"/>
  <c r="AS37" i="19" s="1"/>
  <c r="AL37" i="19"/>
  <c r="AM37" i="19" s="1"/>
  <c r="BY37" i="19"/>
  <c r="BZ37" i="19" s="1"/>
  <c r="CN37" i="19"/>
  <c r="CO37" i="19" s="1"/>
  <c r="CQ37" i="19"/>
  <c r="CR37" i="19" s="1"/>
  <c r="BM37" i="19"/>
  <c r="BN37" i="19" s="1"/>
  <c r="BP37" i="19"/>
  <c r="BQ37" i="19" s="1"/>
  <c r="H37" i="19"/>
  <c r="I37" i="19" s="1"/>
  <c r="CH37" i="19"/>
  <c r="CI37" i="19" s="1"/>
  <c r="AX37" i="19"/>
  <c r="AY37" i="19" s="1"/>
  <c r="R37" i="20"/>
  <c r="S37" i="20" s="1"/>
  <c r="E37" i="19"/>
  <c r="F37" i="19" s="1"/>
  <c r="H37" i="20"/>
  <c r="I37" i="20"/>
  <c r="W37" i="20"/>
  <c r="O37" i="16"/>
  <c r="AF37" i="16" s="1"/>
  <c r="I37" i="16"/>
  <c r="T37" i="20"/>
  <c r="Z37" i="20" l="1"/>
  <c r="AE37" i="20" s="1"/>
  <c r="U37" i="20"/>
  <c r="O37" i="20"/>
  <c r="H38" i="16"/>
  <c r="L38" i="16" s="1"/>
  <c r="X37" i="20"/>
  <c r="Y37" i="20" s="1"/>
  <c r="AA37" i="20" s="1"/>
  <c r="V37" i="20"/>
  <c r="AC37" i="20"/>
  <c r="AF37" i="20" l="1"/>
  <c r="W38" i="16"/>
  <c r="X38" i="16"/>
  <c r="CZ38" i="17"/>
  <c r="CY38" i="17"/>
  <c r="AR38" i="17"/>
  <c r="BP38" i="17"/>
  <c r="AW38" i="17"/>
  <c r="CW38" i="17"/>
  <c r="CM38" i="17"/>
  <c r="BL38" i="17"/>
  <c r="BG38" i="17"/>
  <c r="K38" i="17"/>
  <c r="AQ38" i="17"/>
  <c r="AX38" i="17"/>
  <c r="CV38" i="17"/>
  <c r="BO38" i="17"/>
  <c r="BM38" i="17"/>
  <c r="BF38" i="17"/>
  <c r="BU38" i="17"/>
  <c r="CS38" i="17"/>
  <c r="J38" i="17"/>
  <c r="CN38" i="17"/>
  <c r="P38" i="17"/>
  <c r="BS38" i="17"/>
  <c r="T38" i="17"/>
  <c r="BR38" i="17"/>
  <c r="AO38" i="17"/>
  <c r="BV38" i="17"/>
  <c r="S38" i="17"/>
  <c r="BY38" i="17"/>
  <c r="CT38" i="17"/>
  <c r="Q38" i="17"/>
  <c r="BX38" i="17"/>
  <c r="AN38" i="17"/>
  <c r="Z38" i="17"/>
  <c r="AF38" i="17"/>
  <c r="BD38" i="17"/>
  <c r="Y38" i="17"/>
  <c r="CE38" i="17"/>
  <c r="BC38" i="17"/>
  <c r="N38" i="17"/>
  <c r="CD38" i="17"/>
  <c r="AB38" i="17"/>
  <c r="W38" i="17"/>
  <c r="V38" i="17"/>
  <c r="AH38" i="17"/>
  <c r="CK38" i="17"/>
  <c r="CA38" i="17"/>
  <c r="M38" i="17"/>
  <c r="AE38" i="17"/>
  <c r="H38" i="17"/>
  <c r="AC38" i="17"/>
  <c r="E38" i="17"/>
  <c r="CP38" i="17"/>
  <c r="CG38" i="17"/>
  <c r="AZ38" i="17"/>
  <c r="CB38" i="17"/>
  <c r="AI38" i="17"/>
  <c r="AK38" i="17"/>
  <c r="CJ38" i="17"/>
  <c r="AL38" i="17"/>
  <c r="CQ38" i="17"/>
  <c r="BJ38" i="17"/>
  <c r="G38" i="17"/>
  <c r="D38" i="17"/>
  <c r="AU38" i="17"/>
  <c r="BI38" i="17"/>
  <c r="AT38" i="17"/>
  <c r="BA38" i="17"/>
  <c r="CH38" i="17"/>
  <c r="AD37" i="20"/>
  <c r="AG37" i="20" s="1"/>
  <c r="BW38" i="17" l="1"/>
  <c r="AY38" i="17"/>
  <c r="U38" i="17"/>
  <c r="BK38" i="17"/>
  <c r="CL38" i="17"/>
  <c r="CR38" i="17"/>
  <c r="CF38" i="17"/>
  <c r="I38" i="17"/>
  <c r="BE38" i="17"/>
  <c r="CC38" i="17"/>
  <c r="DA38" i="17"/>
  <c r="AV38" i="17"/>
  <c r="AJ38" i="17"/>
  <c r="CU38" i="17"/>
  <c r="BB38" i="17"/>
  <c r="CI38" i="17"/>
  <c r="AD38" i="17"/>
  <c r="BH38" i="17"/>
  <c r="AG38" i="17"/>
  <c r="AA38" i="17"/>
  <c r="BT38" i="17"/>
  <c r="Q38" i="16"/>
  <c r="F38" i="17"/>
  <c r="CX38" i="17"/>
  <c r="D38" i="20"/>
  <c r="Y38" i="16"/>
  <c r="Z38" i="16"/>
  <c r="R38" i="17"/>
  <c r="BQ38" i="17"/>
  <c r="O38" i="17"/>
  <c r="BN38" i="17"/>
  <c r="R38" i="16"/>
  <c r="AD38" i="16" s="1"/>
  <c r="AS38" i="17"/>
  <c r="AM38" i="17"/>
  <c r="AP38" i="17"/>
  <c r="X38" i="17"/>
  <c r="BZ38" i="17"/>
  <c r="L38" i="17"/>
  <c r="CO38" i="17"/>
  <c r="P38" i="16" l="1"/>
  <c r="AA38" i="16"/>
  <c r="V38" i="16"/>
  <c r="J38" i="20"/>
  <c r="E38" i="20"/>
  <c r="G38" i="20"/>
  <c r="S38" i="16"/>
  <c r="U38" i="16" s="1"/>
  <c r="T38" i="16"/>
  <c r="K38" i="16"/>
  <c r="CY38" i="19" l="1"/>
  <c r="J38" i="19"/>
  <c r="M38" i="19"/>
  <c r="CA38" i="19"/>
  <c r="BI38" i="19"/>
  <c r="G38" i="19"/>
  <c r="CJ38" i="19"/>
  <c r="Y38" i="19"/>
  <c r="BC38" i="19"/>
  <c r="CG38" i="19"/>
  <c r="BO38" i="19"/>
  <c r="CD38" i="19"/>
  <c r="AE38" i="19"/>
  <c r="S38" i="19"/>
  <c r="AB38" i="19"/>
  <c r="BX38" i="19"/>
  <c r="AK38" i="19"/>
  <c r="AW38" i="19"/>
  <c r="BF38" i="19"/>
  <c r="AT38" i="19"/>
  <c r="AH38" i="19"/>
  <c r="AZ38" i="19"/>
  <c r="AN38" i="19"/>
  <c r="P38" i="19"/>
  <c r="D38" i="19"/>
  <c r="BL38" i="19"/>
  <c r="BU38" i="19"/>
  <c r="V38" i="19"/>
  <c r="CV38" i="19"/>
  <c r="AQ38" i="19"/>
  <c r="CS38" i="19"/>
  <c r="CM38" i="19"/>
  <c r="BR38" i="19"/>
  <c r="CP38" i="19"/>
  <c r="Q38" i="20"/>
  <c r="K38" i="20"/>
  <c r="F38" i="20"/>
  <c r="M38" i="16"/>
  <c r="N38" i="16"/>
  <c r="AE38" i="16" s="1"/>
  <c r="AC38" i="16"/>
  <c r="AG38" i="16" s="1"/>
  <c r="T38" i="20" l="1"/>
  <c r="H38" i="20"/>
  <c r="I38" i="20"/>
  <c r="O38" i="16"/>
  <c r="AF38" i="16" s="1"/>
  <c r="I38" i="16"/>
  <c r="W38" i="20"/>
  <c r="CZ38" i="19"/>
  <c r="DA38" i="19" s="1"/>
  <c r="CB38" i="19"/>
  <c r="CC38" i="19" s="1"/>
  <c r="Z38" i="19"/>
  <c r="AA38" i="19" s="1"/>
  <c r="BY38" i="19"/>
  <c r="BZ38" i="19" s="1"/>
  <c r="BJ38" i="19"/>
  <c r="BK38" i="19" s="1"/>
  <c r="AI38" i="19"/>
  <c r="AJ38" i="19" s="1"/>
  <c r="H38" i="19"/>
  <c r="I38" i="19" s="1"/>
  <c r="BD38" i="19"/>
  <c r="BE38" i="19" s="1"/>
  <c r="CK38" i="19"/>
  <c r="CL38" i="19" s="1"/>
  <c r="AL38" i="19"/>
  <c r="AM38" i="19" s="1"/>
  <c r="K38" i="19"/>
  <c r="L38" i="19" s="1"/>
  <c r="CH38" i="19"/>
  <c r="CI38" i="19" s="1"/>
  <c r="AX38" i="19"/>
  <c r="AY38" i="19" s="1"/>
  <c r="BM38" i="19"/>
  <c r="BN38" i="19" s="1"/>
  <c r="BP38" i="19"/>
  <c r="BQ38" i="19" s="1"/>
  <c r="BV38" i="19"/>
  <c r="BW38" i="19" s="1"/>
  <c r="BG38" i="19"/>
  <c r="BH38" i="19" s="1"/>
  <c r="CW38" i="19"/>
  <c r="CX38" i="19" s="1"/>
  <c r="AC38" i="19"/>
  <c r="AD38" i="19" s="1"/>
  <c r="AR38" i="19"/>
  <c r="AS38" i="19" s="1"/>
  <c r="AF38" i="19"/>
  <c r="AG38" i="19" s="1"/>
  <c r="W38" i="19"/>
  <c r="X38" i="19" s="1"/>
  <c r="BA38" i="19"/>
  <c r="BB38" i="19" s="1"/>
  <c r="AO38" i="19"/>
  <c r="AP38" i="19" s="1"/>
  <c r="Q38" i="19"/>
  <c r="R38" i="19" s="1"/>
  <c r="E38" i="19"/>
  <c r="F38" i="19" s="1"/>
  <c r="BS38" i="19"/>
  <c r="BT38" i="19" s="1"/>
  <c r="CE38" i="19"/>
  <c r="CF38" i="19" s="1"/>
  <c r="T38" i="19"/>
  <c r="U38" i="19" s="1"/>
  <c r="CN38" i="19"/>
  <c r="CO38" i="19" s="1"/>
  <c r="AU38" i="19"/>
  <c r="AV38" i="19" s="1"/>
  <c r="N38" i="19"/>
  <c r="O38" i="19" s="1"/>
  <c r="CQ38" i="19"/>
  <c r="CR38" i="19" s="1"/>
  <c r="CT38" i="19"/>
  <c r="CU38" i="19" s="1"/>
  <c r="R38" i="20"/>
  <c r="V38" i="20" l="1"/>
  <c r="X38" i="20"/>
  <c r="AD38" i="20" s="1"/>
  <c r="Z38" i="20"/>
  <c r="AE38" i="20" s="1"/>
  <c r="H39" i="16"/>
  <c r="AC38" i="20"/>
  <c r="S38" i="20"/>
  <c r="X39" i="16" l="1"/>
  <c r="W39" i="16"/>
  <c r="DC39" i="17"/>
  <c r="DB39" i="17"/>
  <c r="H39" i="17"/>
  <c r="CP39" i="17"/>
  <c r="BG39" i="17"/>
  <c r="BC39" i="17"/>
  <c r="CS39" i="17"/>
  <c r="AF39" i="17"/>
  <c r="CZ39" i="17"/>
  <c r="AE39" i="17"/>
  <c r="AH39" i="17"/>
  <c r="BI39" i="17"/>
  <c r="CD39" i="17"/>
  <c r="Y39" i="17"/>
  <c r="CT39" i="17"/>
  <c r="G39" i="17"/>
  <c r="BF39" i="17"/>
  <c r="CH39" i="17"/>
  <c r="CK39" i="17"/>
  <c r="CG39" i="17"/>
  <c r="CA39" i="17"/>
  <c r="AB39" i="17"/>
  <c r="AX39" i="17"/>
  <c r="CY39" i="17"/>
  <c r="T39" i="17"/>
  <c r="CB39" i="17"/>
  <c r="AC39" i="17"/>
  <c r="AW39" i="17"/>
  <c r="S39" i="17"/>
  <c r="AI39" i="17"/>
  <c r="AU39" i="17"/>
  <c r="CE39" i="17"/>
  <c r="AT39" i="17"/>
  <c r="Z39" i="17"/>
  <c r="BV39" i="17"/>
  <c r="BJ39" i="17"/>
  <c r="AZ39" i="17"/>
  <c r="CJ39" i="17"/>
  <c r="BS39" i="17"/>
  <c r="BR39" i="17"/>
  <c r="BA39" i="17"/>
  <c r="CQ39" i="17"/>
  <c r="BD39" i="17"/>
  <c r="BU39" i="17"/>
  <c r="M39" i="17"/>
  <c r="J39" i="17"/>
  <c r="AQ39" i="17"/>
  <c r="N39" i="17"/>
  <c r="CV39" i="17"/>
  <c r="BY39" i="17"/>
  <c r="BO39" i="17"/>
  <c r="D39" i="17"/>
  <c r="AL39" i="17"/>
  <c r="E39" i="17"/>
  <c r="BL39" i="17"/>
  <c r="AN39" i="17"/>
  <c r="CN39" i="17"/>
  <c r="BM39" i="17"/>
  <c r="AO39" i="17"/>
  <c r="CM39" i="17"/>
  <c r="BX39" i="17"/>
  <c r="CW39" i="17"/>
  <c r="BP39" i="17"/>
  <c r="P39" i="17"/>
  <c r="W39" i="17"/>
  <c r="AK39" i="17"/>
  <c r="Q39" i="17"/>
  <c r="V39" i="17"/>
  <c r="K39" i="17"/>
  <c r="AR39" i="17"/>
  <c r="Y38" i="20"/>
  <c r="AA38" i="20" s="1"/>
  <c r="U38" i="20"/>
  <c r="O38" i="20"/>
  <c r="AG38" i="20"/>
  <c r="L39" i="16"/>
  <c r="CU39" i="17" l="1"/>
  <c r="U39" i="17"/>
  <c r="O39" i="17"/>
  <c r="AD39" i="17"/>
  <c r="CC39" i="17"/>
  <c r="X39" i="17"/>
  <c r="AM39" i="17"/>
  <c r="CI39" i="17"/>
  <c r="I39" i="17"/>
  <c r="AG39" i="17"/>
  <c r="AV39" i="17"/>
  <c r="BT39" i="17"/>
  <c r="AP39" i="17"/>
  <c r="BW39" i="17"/>
  <c r="AY39" i="17"/>
  <c r="AF38" i="20"/>
  <c r="DD39" i="17"/>
  <c r="BE39" i="17"/>
  <c r="L39" i="17"/>
  <c r="CR39" i="17"/>
  <c r="BQ39" i="17"/>
  <c r="CX39" i="17"/>
  <c r="CF39" i="17"/>
  <c r="BN39" i="17"/>
  <c r="R39" i="17"/>
  <c r="AA39" i="17"/>
  <c r="BK39" i="17"/>
  <c r="D39" i="20"/>
  <c r="Y39" i="16"/>
  <c r="Z39" i="16"/>
  <c r="E12" i="11"/>
  <c r="R39" i="16"/>
  <c r="C11" i="11" s="1"/>
  <c r="BH39" i="17"/>
  <c r="Q39" i="16"/>
  <c r="F39" i="17"/>
  <c r="CL39" i="17"/>
  <c r="BZ39" i="17"/>
  <c r="BB39" i="17"/>
  <c r="CO39" i="17"/>
  <c r="DA39" i="17"/>
  <c r="AS39" i="17"/>
  <c r="AJ39" i="17"/>
  <c r="E11" i="11"/>
  <c r="E15" i="11" l="1"/>
  <c r="AD39" i="16"/>
  <c r="S39" i="16"/>
  <c r="U39" i="16" s="1"/>
  <c r="T39" i="16"/>
  <c r="K39" i="16"/>
  <c r="E14" i="11"/>
  <c r="E39" i="20"/>
  <c r="J39" i="20"/>
  <c r="G39" i="20"/>
  <c r="P39" i="16"/>
  <c r="AA39" i="16"/>
  <c r="V39" i="16"/>
  <c r="AN39" i="16" l="1"/>
  <c r="K11" i="11" s="1"/>
  <c r="AD65" i="16"/>
  <c r="AI39" i="16"/>
  <c r="I11" i="11" s="1"/>
  <c r="G11" i="11"/>
  <c r="DB39" i="19"/>
  <c r="CY39" i="19"/>
  <c r="CP39" i="19"/>
  <c r="M39" i="19"/>
  <c r="J39" i="19"/>
  <c r="AE39" i="19"/>
  <c r="CG39" i="19"/>
  <c r="D39" i="19"/>
  <c r="S39" i="19"/>
  <c r="BC39" i="19"/>
  <c r="AZ39" i="19"/>
  <c r="AT39" i="19"/>
  <c r="BX39" i="19"/>
  <c r="AB39" i="19"/>
  <c r="CJ39" i="19"/>
  <c r="BF39" i="19"/>
  <c r="G39" i="19"/>
  <c r="Y39" i="19"/>
  <c r="CM39" i="19"/>
  <c r="P39" i="19"/>
  <c r="AW39" i="19"/>
  <c r="CA39" i="19"/>
  <c r="AH39" i="19"/>
  <c r="CD39" i="19"/>
  <c r="CS39" i="19"/>
  <c r="V39" i="19"/>
  <c r="AN39" i="19"/>
  <c r="BO39" i="19"/>
  <c r="AK39" i="19"/>
  <c r="BL39" i="19"/>
  <c r="BU39" i="19"/>
  <c r="AQ39" i="19"/>
  <c r="BI39" i="19"/>
  <c r="BR39" i="19"/>
  <c r="CV39" i="19"/>
  <c r="Q39" i="20"/>
  <c r="M39" i="16"/>
  <c r="N39" i="16"/>
  <c r="C12" i="11"/>
  <c r="C15" i="11" s="1"/>
  <c r="AC39" i="16"/>
  <c r="K39" i="20"/>
  <c r="E13" i="11"/>
  <c r="F39" i="20"/>
  <c r="DC39" i="19" l="1"/>
  <c r="DD39" i="19" s="1"/>
  <c r="CH39" i="19"/>
  <c r="CI39" i="19" s="1"/>
  <c r="AR39" i="19"/>
  <c r="AS39" i="19" s="1"/>
  <c r="T39" i="19"/>
  <c r="U39" i="19" s="1"/>
  <c r="BD39" i="19"/>
  <c r="BE39" i="19" s="1"/>
  <c r="BA39" i="19"/>
  <c r="BB39" i="19" s="1"/>
  <c r="AU39" i="19"/>
  <c r="AV39" i="19" s="1"/>
  <c r="AI39" i="19"/>
  <c r="AJ39" i="19" s="1"/>
  <c r="AL39" i="19"/>
  <c r="AM39" i="19" s="1"/>
  <c r="E39" i="19"/>
  <c r="BG39" i="19"/>
  <c r="BH39" i="19" s="1"/>
  <c r="H39" i="19"/>
  <c r="I39" i="19" s="1"/>
  <c r="BY39" i="19"/>
  <c r="BZ39" i="19" s="1"/>
  <c r="AO39" i="19"/>
  <c r="AP39" i="19" s="1"/>
  <c r="CW39" i="19"/>
  <c r="CX39" i="19" s="1"/>
  <c r="CQ39" i="19"/>
  <c r="CR39" i="19" s="1"/>
  <c r="CT39" i="19"/>
  <c r="CU39" i="19" s="1"/>
  <c r="BM39" i="19"/>
  <c r="BN39" i="19" s="1"/>
  <c r="CK39" i="19"/>
  <c r="CL39" i="19" s="1"/>
  <c r="BJ39" i="19"/>
  <c r="BK39" i="19" s="1"/>
  <c r="BV39" i="19"/>
  <c r="BW39" i="19" s="1"/>
  <c r="W39" i="19"/>
  <c r="X39" i="19" s="1"/>
  <c r="Z39" i="19"/>
  <c r="AA39" i="19" s="1"/>
  <c r="BS39" i="19"/>
  <c r="BT39" i="19" s="1"/>
  <c r="K39" i="19"/>
  <c r="L39" i="19" s="1"/>
  <c r="CZ39" i="19"/>
  <c r="DA39" i="19" s="1"/>
  <c r="CE39" i="19"/>
  <c r="CF39" i="19" s="1"/>
  <c r="BP39" i="19"/>
  <c r="BQ39" i="19" s="1"/>
  <c r="AX39" i="19"/>
  <c r="AY39" i="19" s="1"/>
  <c r="CB39" i="19"/>
  <c r="CC39" i="19" s="1"/>
  <c r="AF39" i="19"/>
  <c r="AG39" i="19" s="1"/>
  <c r="Q39" i="19"/>
  <c r="R39" i="19" s="1"/>
  <c r="AC39" i="19"/>
  <c r="AD39" i="19" s="1"/>
  <c r="CN39" i="19"/>
  <c r="CO39" i="19" s="1"/>
  <c r="N39" i="19"/>
  <c r="O39" i="19" s="1"/>
  <c r="R39" i="20"/>
  <c r="S39" i="20" s="1"/>
  <c r="W39" i="20"/>
  <c r="AC39" i="20" s="1"/>
  <c r="AG39" i="16"/>
  <c r="AM39" i="16"/>
  <c r="K12" i="11" s="1"/>
  <c r="AC65" i="16"/>
  <c r="AH39" i="16"/>
  <c r="I12" i="11" s="1"/>
  <c r="G12" i="11"/>
  <c r="G15" i="11" s="1"/>
  <c r="T39" i="20"/>
  <c r="C14" i="11"/>
  <c r="AE39" i="16"/>
  <c r="O39" i="16"/>
  <c r="I39" i="16"/>
  <c r="H39" i="20"/>
  <c r="I39" i="20"/>
  <c r="AQ39" i="16" l="1"/>
  <c r="K15" i="11" s="1"/>
  <c r="AL39" i="16"/>
  <c r="I15" i="11" s="1"/>
  <c r="AG65" i="16"/>
  <c r="AR39" i="20"/>
  <c r="AH39" i="20"/>
  <c r="AM39" i="20"/>
  <c r="X39" i="20"/>
  <c r="Y39" i="20" s="1"/>
  <c r="AA39" i="20" s="1"/>
  <c r="U39" i="20"/>
  <c r="O39" i="20"/>
  <c r="C13" i="11"/>
  <c r="AF39" i="16"/>
  <c r="Z39" i="20"/>
  <c r="AE39" i="20" s="1"/>
  <c r="H40" i="16"/>
  <c r="L40" i="16" s="1"/>
  <c r="F39" i="19"/>
  <c r="AO39" i="16"/>
  <c r="K14" i="11" s="1"/>
  <c r="G14" i="11"/>
  <c r="AJ39" i="16"/>
  <c r="I14" i="11" s="1"/>
  <c r="AE65" i="16"/>
  <c r="AF39" i="20" l="1"/>
  <c r="AK39" i="20" s="1"/>
  <c r="AT39" i="20"/>
  <c r="AJ39" i="20"/>
  <c r="AO39" i="20"/>
  <c r="V39" i="20"/>
  <c r="AD39" i="20"/>
  <c r="AP39" i="16"/>
  <c r="K13" i="11" s="1"/>
  <c r="G13" i="11"/>
  <c r="AF65" i="16"/>
  <c r="AK39" i="16"/>
  <c r="I13" i="11" s="1"/>
  <c r="X40" i="16"/>
  <c r="W40" i="16"/>
  <c r="DF40" i="17"/>
  <c r="DE40" i="17"/>
  <c r="AT40" i="17"/>
  <c r="CT40" i="17"/>
  <c r="AC40" i="17"/>
  <c r="AB40" i="17"/>
  <c r="AL40" i="17"/>
  <c r="BO40" i="17"/>
  <c r="BU40" i="17"/>
  <c r="N40" i="17"/>
  <c r="BC40" i="17"/>
  <c r="BV40" i="17"/>
  <c r="M40" i="17"/>
  <c r="CP40" i="17"/>
  <c r="CG40" i="17"/>
  <c r="AF40" i="17"/>
  <c r="AU40" i="17"/>
  <c r="CS40" i="17"/>
  <c r="AK40" i="17"/>
  <c r="S40" i="17"/>
  <c r="AE40" i="17"/>
  <c r="BP40" i="17"/>
  <c r="CB40" i="17"/>
  <c r="BR40" i="17"/>
  <c r="CA40" i="17"/>
  <c r="G40" i="17"/>
  <c r="K40" i="17"/>
  <c r="AN40" i="17"/>
  <c r="T40" i="17"/>
  <c r="BD40" i="17"/>
  <c r="BS40" i="17"/>
  <c r="DC40" i="17"/>
  <c r="AO40" i="17"/>
  <c r="H40" i="17"/>
  <c r="AW40" i="17"/>
  <c r="CQ40" i="17"/>
  <c r="V40" i="17"/>
  <c r="J40" i="17"/>
  <c r="AX40" i="17"/>
  <c r="W40" i="17"/>
  <c r="DB40" i="17"/>
  <c r="CH40" i="17"/>
  <c r="AZ40" i="17"/>
  <c r="CV40" i="17"/>
  <c r="BL40" i="17"/>
  <c r="AH40" i="17"/>
  <c r="Q40" i="17"/>
  <c r="CZ40" i="17"/>
  <c r="P40" i="17"/>
  <c r="BG40" i="17"/>
  <c r="E40" i="17"/>
  <c r="AI40" i="17"/>
  <c r="CD40" i="17"/>
  <c r="D40" i="17"/>
  <c r="AQ40" i="17"/>
  <c r="BA40" i="17"/>
  <c r="CE40" i="17"/>
  <c r="BF40" i="17"/>
  <c r="Z40" i="17"/>
  <c r="CK40" i="17"/>
  <c r="AR40" i="17"/>
  <c r="Y40" i="17"/>
  <c r="CJ40" i="17"/>
  <c r="BJ40" i="17"/>
  <c r="CW40" i="17"/>
  <c r="BY40" i="17"/>
  <c r="BX40" i="17"/>
  <c r="CN40" i="17"/>
  <c r="CY40" i="17"/>
  <c r="CM40" i="17"/>
  <c r="BI40" i="17"/>
  <c r="BM40" i="17"/>
  <c r="CL40" i="17" l="1"/>
  <c r="AU39" i="20"/>
  <c r="AM40" i="17"/>
  <c r="AD40" i="17"/>
  <c r="AA40" i="17"/>
  <c r="CR40" i="17"/>
  <c r="R40" i="17"/>
  <c r="CC40" i="17"/>
  <c r="AP39" i="20"/>
  <c r="AJ40" i="17"/>
  <c r="CO40" i="17"/>
  <c r="BZ40" i="17"/>
  <c r="DG40" i="17"/>
  <c r="CU40" i="17"/>
  <c r="AG40" i="17"/>
  <c r="AV40" i="17"/>
  <c r="DD40" i="17"/>
  <c r="CF40" i="17"/>
  <c r="BB40" i="17"/>
  <c r="CI40" i="17"/>
  <c r="R40" i="16"/>
  <c r="AD40" i="16" s="1"/>
  <c r="I40" i="17"/>
  <c r="X40" i="17"/>
  <c r="O40" i="17"/>
  <c r="BT40" i="17"/>
  <c r="BK40" i="17"/>
  <c r="BE40" i="17"/>
  <c r="D40" i="20"/>
  <c r="Y40" i="16"/>
  <c r="Z40" i="16"/>
  <c r="L40" i="17"/>
  <c r="BH40" i="17"/>
  <c r="AV39" i="20"/>
  <c r="AS39" i="20"/>
  <c r="AN39" i="20"/>
  <c r="AI39" i="20"/>
  <c r="AG39" i="20"/>
  <c r="DA40" i="17"/>
  <c r="BN40" i="17"/>
  <c r="BW40" i="17"/>
  <c r="CX40" i="17"/>
  <c r="U40" i="17"/>
  <c r="BQ40" i="17"/>
  <c r="AY40" i="17"/>
  <c r="Q40" i="16"/>
  <c r="F40" i="17"/>
  <c r="AS40" i="17"/>
  <c r="AP40" i="17"/>
  <c r="P40" i="16" l="1"/>
  <c r="S40" i="16"/>
  <c r="U40" i="16" s="1"/>
  <c r="T40" i="16"/>
  <c r="K40" i="16"/>
  <c r="E40" i="20"/>
  <c r="F40" i="20" s="1"/>
  <c r="J40" i="20"/>
  <c r="G40" i="20"/>
  <c r="AL39" i="20"/>
  <c r="AQ39" i="20"/>
  <c r="AA40" i="16"/>
  <c r="V40" i="16"/>
  <c r="M40" i="16" l="1"/>
  <c r="N40" i="16"/>
  <c r="AC40" i="16"/>
  <c r="H40" i="20"/>
  <c r="I40" i="20"/>
  <c r="K40" i="20"/>
  <c r="DE40" i="19"/>
  <c r="M40" i="19"/>
  <c r="CS40" i="19"/>
  <c r="AZ40" i="19"/>
  <c r="CD40" i="19"/>
  <c r="P40" i="19"/>
  <c r="CM40" i="19"/>
  <c r="AE40" i="19"/>
  <c r="AN40" i="19"/>
  <c r="BO40" i="19"/>
  <c r="G40" i="19"/>
  <c r="AQ40" i="19"/>
  <c r="Y40" i="19"/>
  <c r="CJ40" i="19"/>
  <c r="BF40" i="19"/>
  <c r="CP40" i="19"/>
  <c r="AB40" i="19"/>
  <c r="BC40" i="19"/>
  <c r="CG40" i="19"/>
  <c r="BU40" i="19"/>
  <c r="BI40" i="19"/>
  <c r="AW40" i="19"/>
  <c r="DB40" i="19"/>
  <c r="CV40" i="19"/>
  <c r="V40" i="19"/>
  <c r="AK40" i="19"/>
  <c r="BR40" i="19"/>
  <c r="CY40" i="19"/>
  <c r="S40" i="19"/>
  <c r="CA40" i="19"/>
  <c r="AH40" i="19"/>
  <c r="AT40" i="19"/>
  <c r="BX40" i="19"/>
  <c r="BL40" i="19"/>
  <c r="J40" i="19"/>
  <c r="D40" i="19"/>
  <c r="Q40" i="20"/>
  <c r="DF40" i="19" l="1"/>
  <c r="DG40" i="19" s="1"/>
  <c r="AO40" i="19"/>
  <c r="AP40" i="19" s="1"/>
  <c r="K40" i="19"/>
  <c r="L40" i="19" s="1"/>
  <c r="Q40" i="19"/>
  <c r="R40" i="19" s="1"/>
  <c r="CN40" i="19"/>
  <c r="CO40" i="19" s="1"/>
  <c r="AF40" i="19"/>
  <c r="AG40" i="19" s="1"/>
  <c r="N40" i="19"/>
  <c r="O40" i="19" s="1"/>
  <c r="CT40" i="19"/>
  <c r="CU40" i="19" s="1"/>
  <c r="BY40" i="19"/>
  <c r="BZ40" i="19" s="1"/>
  <c r="AC40" i="19"/>
  <c r="AD40" i="19" s="1"/>
  <c r="CB40" i="19"/>
  <c r="CC40" i="19" s="1"/>
  <c r="H40" i="19"/>
  <c r="I40" i="19" s="1"/>
  <c r="T40" i="19"/>
  <c r="U40" i="19" s="1"/>
  <c r="BV40" i="19"/>
  <c r="BW40" i="19" s="1"/>
  <c r="DC40" i="19"/>
  <c r="DD40" i="19" s="1"/>
  <c r="CE40" i="19"/>
  <c r="CF40" i="19" s="1"/>
  <c r="BG40" i="19"/>
  <c r="BH40" i="19" s="1"/>
  <c r="AI40" i="19"/>
  <c r="AJ40" i="19" s="1"/>
  <c r="AU40" i="19"/>
  <c r="AV40" i="19" s="1"/>
  <c r="CQ40" i="19"/>
  <c r="CR40" i="19" s="1"/>
  <c r="BP40" i="19"/>
  <c r="BQ40" i="19" s="1"/>
  <c r="CZ40" i="19"/>
  <c r="DA40" i="19" s="1"/>
  <c r="BD40" i="19"/>
  <c r="BE40" i="19" s="1"/>
  <c r="AL40" i="19"/>
  <c r="AM40" i="19" s="1"/>
  <c r="CH40" i="19"/>
  <c r="CI40" i="19" s="1"/>
  <c r="Z40" i="19"/>
  <c r="AA40" i="19" s="1"/>
  <c r="BJ40" i="19"/>
  <c r="BK40" i="19" s="1"/>
  <c r="BA40" i="19"/>
  <c r="BB40" i="19" s="1"/>
  <c r="BM40" i="19"/>
  <c r="BN40" i="19" s="1"/>
  <c r="W40" i="19"/>
  <c r="X40" i="19" s="1"/>
  <c r="BS40" i="19"/>
  <c r="BT40" i="19" s="1"/>
  <c r="CK40" i="19"/>
  <c r="CL40" i="19" s="1"/>
  <c r="CW40" i="19"/>
  <c r="CX40" i="19" s="1"/>
  <c r="AX40" i="19"/>
  <c r="AY40" i="19" s="1"/>
  <c r="AR40" i="19"/>
  <c r="AS40" i="19" s="1"/>
  <c r="E40" i="19"/>
  <c r="R40" i="20"/>
  <c r="AG40" i="16"/>
  <c r="AE40" i="16"/>
  <c r="T40" i="20"/>
  <c r="W40" i="20"/>
  <c r="O40" i="16"/>
  <c r="I40" i="16"/>
  <c r="X40" i="20" l="1"/>
  <c r="Y40" i="20" s="1"/>
  <c r="AA40" i="20" s="1"/>
  <c r="Z40" i="20"/>
  <c r="AE40" i="20" s="1"/>
  <c r="H41" i="16"/>
  <c r="AF40" i="16"/>
  <c r="S40" i="20"/>
  <c r="F40" i="19"/>
  <c r="AC40" i="20"/>
  <c r="V40" i="20" l="1"/>
  <c r="X41" i="16"/>
  <c r="W41" i="16"/>
  <c r="DH41" i="17"/>
  <c r="DI41" i="17"/>
  <c r="CB41" i="17"/>
  <c r="AU41" i="17"/>
  <c r="AF41" i="17"/>
  <c r="N41" i="17"/>
  <c r="W41" i="17"/>
  <c r="AB41" i="17"/>
  <c r="CE41" i="17"/>
  <c r="M41" i="17"/>
  <c r="CD41" i="17"/>
  <c r="BD41" i="17"/>
  <c r="BR41" i="17"/>
  <c r="Z41" i="17"/>
  <c r="CQ41" i="17"/>
  <c r="AH41" i="17"/>
  <c r="DE41" i="17"/>
  <c r="DC41" i="17"/>
  <c r="CA41" i="17"/>
  <c r="AT41" i="17"/>
  <c r="AE41" i="17"/>
  <c r="V41" i="17"/>
  <c r="P41" i="17"/>
  <c r="CG41" i="17"/>
  <c r="AK41" i="17"/>
  <c r="BS41" i="17"/>
  <c r="AC41" i="17"/>
  <c r="CK41" i="17"/>
  <c r="BY41" i="17"/>
  <c r="BC41" i="17"/>
  <c r="Y41" i="17"/>
  <c r="Q41" i="17"/>
  <c r="CJ41" i="17"/>
  <c r="CN41" i="17"/>
  <c r="CH41" i="17"/>
  <c r="BJ41" i="17"/>
  <c r="BA41" i="17"/>
  <c r="CS41" i="17"/>
  <c r="AZ41" i="17"/>
  <c r="BX41" i="17"/>
  <c r="CT41" i="17"/>
  <c r="H41" i="17"/>
  <c r="AI41" i="17"/>
  <c r="DB41" i="17"/>
  <c r="G41" i="17"/>
  <c r="BI41" i="17"/>
  <c r="CM41" i="17"/>
  <c r="CP41" i="17"/>
  <c r="DF41" i="17"/>
  <c r="AL41" i="17"/>
  <c r="BO41" i="17"/>
  <c r="J41" i="17"/>
  <c r="AO41" i="17"/>
  <c r="S41" i="17"/>
  <c r="AN41" i="17"/>
  <c r="BP41" i="17"/>
  <c r="D41" i="17"/>
  <c r="AQ41" i="17"/>
  <c r="BM41" i="17"/>
  <c r="CV41" i="17"/>
  <c r="E41" i="17"/>
  <c r="AR41" i="17"/>
  <c r="BF41" i="17"/>
  <c r="AX41" i="17"/>
  <c r="BL41" i="17"/>
  <c r="AW41" i="17"/>
  <c r="BG41" i="17"/>
  <c r="CW41" i="17"/>
  <c r="T41" i="17"/>
  <c r="CZ41" i="17"/>
  <c r="CY41" i="17"/>
  <c r="BU41" i="17"/>
  <c r="K41" i="17"/>
  <c r="BV41" i="17"/>
  <c r="L41" i="16"/>
  <c r="AD40" i="20"/>
  <c r="AG40" i="20" s="1"/>
  <c r="U40" i="20"/>
  <c r="AF40" i="20" s="1"/>
  <c r="O40" i="20"/>
  <c r="AA41" i="17" l="1"/>
  <c r="BN41" i="17"/>
  <c r="DG41" i="17"/>
  <c r="CC41" i="17"/>
  <c r="AY41" i="17"/>
  <c r="CI41" i="17"/>
  <c r="BE41" i="17"/>
  <c r="DA41" i="17"/>
  <c r="CO41" i="17"/>
  <c r="L41" i="17"/>
  <c r="CF41" i="17"/>
  <c r="U41" i="17"/>
  <c r="AP41" i="17"/>
  <c r="BQ41" i="17"/>
  <c r="BB41" i="17"/>
  <c r="R41" i="17"/>
  <c r="CX41" i="17"/>
  <c r="CU41" i="17"/>
  <c r="AJ41" i="17"/>
  <c r="AM41" i="17"/>
  <c r="DJ41" i="17"/>
  <c r="CR41" i="17"/>
  <c r="Q41" i="16"/>
  <c r="F41" i="17"/>
  <c r="BZ41" i="17"/>
  <c r="BH41" i="17"/>
  <c r="R41" i="16"/>
  <c r="AD41" i="16" s="1"/>
  <c r="BT41" i="17"/>
  <c r="BW41" i="17"/>
  <c r="D41" i="20"/>
  <c r="Y41" i="16"/>
  <c r="Z41" i="16"/>
  <c r="AS41" i="17"/>
  <c r="BK41" i="17"/>
  <c r="X41" i="17"/>
  <c r="O41" i="17"/>
  <c r="I41" i="17"/>
  <c r="CL41" i="17"/>
  <c r="AG41" i="17"/>
  <c r="DD41" i="17"/>
  <c r="AV41" i="17"/>
  <c r="AD41" i="17"/>
  <c r="E41" i="20" l="1"/>
  <c r="J41" i="20"/>
  <c r="G41" i="20"/>
  <c r="AA41" i="16"/>
  <c r="V41" i="16"/>
  <c r="P41" i="16"/>
  <c r="S41" i="16"/>
  <c r="U41" i="16" s="1"/>
  <c r="T41" i="16"/>
  <c r="K41" i="16"/>
  <c r="K41" i="20" l="1"/>
  <c r="F41" i="20"/>
  <c r="DH41" i="19"/>
  <c r="CG41" i="19"/>
  <c r="AB41" i="19"/>
  <c r="M41" i="19"/>
  <c r="CP41" i="19"/>
  <c r="CD41" i="19"/>
  <c r="S41" i="19"/>
  <c r="CV41" i="19"/>
  <c r="BC41" i="19"/>
  <c r="AN41" i="19"/>
  <c r="AQ41" i="19"/>
  <c r="BF41" i="19"/>
  <c r="BX41" i="19"/>
  <c r="AT41" i="19"/>
  <c r="BL41" i="19"/>
  <c r="AW41" i="19"/>
  <c r="AZ41" i="19"/>
  <c r="J41" i="19"/>
  <c r="AK41" i="19"/>
  <c r="BU41" i="19"/>
  <c r="BI41" i="19"/>
  <c r="BR41" i="19"/>
  <c r="AH41" i="19"/>
  <c r="AE41" i="19"/>
  <c r="CA41" i="19"/>
  <c r="P41" i="19"/>
  <c r="BO41" i="19"/>
  <c r="CY41" i="19"/>
  <c r="V41" i="19"/>
  <c r="DE41" i="19"/>
  <c r="CS41" i="19"/>
  <c r="CM41" i="19"/>
  <c r="Y41" i="19"/>
  <c r="G41" i="19"/>
  <c r="CJ41" i="19"/>
  <c r="DB41" i="19"/>
  <c r="D41" i="19"/>
  <c r="Q41" i="20"/>
  <c r="M41" i="16"/>
  <c r="N41" i="16"/>
  <c r="AC41" i="16"/>
  <c r="H41" i="20" l="1"/>
  <c r="I41" i="20"/>
  <c r="DI41" i="19"/>
  <c r="DJ41" i="19" s="1"/>
  <c r="BG41" i="19"/>
  <c r="BH41" i="19" s="1"/>
  <c r="K41" i="19"/>
  <c r="L41" i="19" s="1"/>
  <c r="AI41" i="19"/>
  <c r="AJ41" i="19" s="1"/>
  <c r="CQ41" i="19"/>
  <c r="CR41" i="19" s="1"/>
  <c r="N41" i="19"/>
  <c r="O41" i="19" s="1"/>
  <c r="Z41" i="19"/>
  <c r="AA41" i="19" s="1"/>
  <c r="AR41" i="19"/>
  <c r="AS41" i="19" s="1"/>
  <c r="BM41" i="19"/>
  <c r="BN41" i="19" s="1"/>
  <c r="AX41" i="19"/>
  <c r="AY41" i="19" s="1"/>
  <c r="BA41" i="19"/>
  <c r="BB41" i="19" s="1"/>
  <c r="AL41" i="19"/>
  <c r="AM41" i="19" s="1"/>
  <c r="AU41" i="19"/>
  <c r="AV41" i="19" s="1"/>
  <c r="CZ41" i="19"/>
  <c r="DA41" i="19" s="1"/>
  <c r="BJ41" i="19"/>
  <c r="BK41" i="19" s="1"/>
  <c r="AO41" i="19"/>
  <c r="AP41" i="19" s="1"/>
  <c r="CH41" i="19"/>
  <c r="CI41" i="19" s="1"/>
  <c r="CN41" i="19"/>
  <c r="CO41" i="19" s="1"/>
  <c r="CB41" i="19"/>
  <c r="CC41" i="19" s="1"/>
  <c r="CE41" i="19"/>
  <c r="CF41" i="19" s="1"/>
  <c r="Q41" i="19"/>
  <c r="R41" i="19" s="1"/>
  <c r="T41" i="19"/>
  <c r="U41" i="19" s="1"/>
  <c r="AF41" i="19"/>
  <c r="AG41" i="19" s="1"/>
  <c r="BP41" i="19"/>
  <c r="BQ41" i="19" s="1"/>
  <c r="BY41" i="19"/>
  <c r="BZ41" i="19" s="1"/>
  <c r="BV41" i="19"/>
  <c r="BW41" i="19" s="1"/>
  <c r="H41" i="19"/>
  <c r="I41" i="19" s="1"/>
  <c r="DF41" i="19"/>
  <c r="DG41" i="19" s="1"/>
  <c r="CT41" i="19"/>
  <c r="CU41" i="19" s="1"/>
  <c r="CW41" i="19"/>
  <c r="CX41" i="19" s="1"/>
  <c r="DC41" i="19"/>
  <c r="DD41" i="19" s="1"/>
  <c r="CK41" i="19"/>
  <c r="CL41" i="19" s="1"/>
  <c r="W41" i="19"/>
  <c r="X41" i="19" s="1"/>
  <c r="BS41" i="19"/>
  <c r="BT41" i="19" s="1"/>
  <c r="AC41" i="19"/>
  <c r="AD41" i="19" s="1"/>
  <c r="BD41" i="19"/>
  <c r="BE41" i="19" s="1"/>
  <c r="E41" i="19"/>
  <c r="F41" i="19" s="1"/>
  <c r="R41" i="20"/>
  <c r="S41" i="20" s="1"/>
  <c r="AG41" i="16"/>
  <c r="W41" i="20"/>
  <c r="AC41" i="20" s="1"/>
  <c r="AE41" i="16"/>
  <c r="O41" i="16"/>
  <c r="I41" i="16"/>
  <c r="T41" i="20"/>
  <c r="H42" i="16" l="1"/>
  <c r="X41" i="20"/>
  <c r="Y41" i="20" s="1"/>
  <c r="AA41" i="20" s="1"/>
  <c r="U41" i="20"/>
  <c r="O41" i="20"/>
  <c r="AF41" i="16"/>
  <c r="V41" i="20"/>
  <c r="Z41" i="20"/>
  <c r="AE41" i="20" s="1"/>
  <c r="AF41" i="20" l="1"/>
  <c r="AD41" i="20"/>
  <c r="X42" i="16"/>
  <c r="W42" i="16"/>
  <c r="DL42" i="17"/>
  <c r="DK42" i="17"/>
  <c r="S42" i="17"/>
  <c r="DE42" i="17"/>
  <c r="BA42" i="17"/>
  <c r="J42" i="17"/>
  <c r="AZ42" i="17"/>
  <c r="AO42" i="17"/>
  <c r="CN42" i="17"/>
  <c r="CW42" i="17"/>
  <c r="BP42" i="17"/>
  <c r="P42" i="17"/>
  <c r="CV42" i="17"/>
  <c r="Z42" i="17"/>
  <c r="Y42" i="17"/>
  <c r="DF42" i="17"/>
  <c r="CZ42" i="17"/>
  <c r="CB42" i="17"/>
  <c r="AN42" i="17"/>
  <c r="CM42" i="17"/>
  <c r="CA42" i="17"/>
  <c r="T42" i="17"/>
  <c r="K42" i="17"/>
  <c r="Q42" i="17"/>
  <c r="CY42" i="17"/>
  <c r="BL42" i="17"/>
  <c r="BD42" i="17"/>
  <c r="CH42" i="17"/>
  <c r="BM42" i="17"/>
  <c r="BC42" i="17"/>
  <c r="CD42" i="17"/>
  <c r="AW42" i="17"/>
  <c r="AX42" i="17"/>
  <c r="BO42" i="17"/>
  <c r="CG42" i="17"/>
  <c r="CE42" i="17"/>
  <c r="BX42" i="17"/>
  <c r="BJ42" i="17"/>
  <c r="CT42" i="17"/>
  <c r="DC42" i="17"/>
  <c r="BI42" i="17"/>
  <c r="BF42" i="17"/>
  <c r="BR42" i="17"/>
  <c r="BG42" i="17"/>
  <c r="BS42" i="17"/>
  <c r="BY42" i="17"/>
  <c r="CS42" i="17"/>
  <c r="AH42" i="17"/>
  <c r="AI42" i="17"/>
  <c r="AQ42" i="17"/>
  <c r="AC42" i="17"/>
  <c r="AB42" i="17"/>
  <c r="AR42" i="17"/>
  <c r="BV42" i="17"/>
  <c r="D42" i="17"/>
  <c r="AT42" i="17"/>
  <c r="E42" i="17"/>
  <c r="BU42" i="17"/>
  <c r="H42" i="17"/>
  <c r="AF42" i="17"/>
  <c r="AU42" i="17"/>
  <c r="CP42" i="17"/>
  <c r="AK42" i="17"/>
  <c r="AE42" i="17"/>
  <c r="V42" i="17"/>
  <c r="N42" i="17"/>
  <c r="DI42" i="17"/>
  <c r="CQ42" i="17"/>
  <c r="AL42" i="17"/>
  <c r="M42" i="17"/>
  <c r="CK42" i="17"/>
  <c r="W42" i="17"/>
  <c r="DH42" i="17"/>
  <c r="DB42" i="17"/>
  <c r="CJ42" i="17"/>
  <c r="G42" i="17"/>
  <c r="L42" i="16"/>
  <c r="I42" i="17" l="1"/>
  <c r="AG42" i="17"/>
  <c r="AV42" i="17"/>
  <c r="CF42" i="17"/>
  <c r="AD42" i="17"/>
  <c r="U42" i="17"/>
  <c r="X42" i="17"/>
  <c r="CL42" i="17"/>
  <c r="BZ42" i="17"/>
  <c r="CX42" i="17"/>
  <c r="BB42" i="17"/>
  <c r="DM42" i="17"/>
  <c r="AA42" i="17"/>
  <c r="DG42" i="17"/>
  <c r="R42" i="16"/>
  <c r="AD42" i="16" s="1"/>
  <c r="CC42" i="17"/>
  <c r="BK42" i="17"/>
  <c r="CO42" i="17"/>
  <c r="Q42" i="16"/>
  <c r="F42" i="17"/>
  <c r="BT42" i="17"/>
  <c r="AP42" i="17"/>
  <c r="AG41" i="20"/>
  <c r="BH42" i="17"/>
  <c r="BE42" i="17"/>
  <c r="L42" i="17"/>
  <c r="AY42" i="17"/>
  <c r="DD42" i="17"/>
  <c r="BN42" i="17"/>
  <c r="DJ42" i="17"/>
  <c r="DA42" i="17"/>
  <c r="AM42" i="17"/>
  <c r="AS42" i="17"/>
  <c r="AJ42" i="17"/>
  <c r="R42" i="17"/>
  <c r="D42" i="20"/>
  <c r="Y42" i="16"/>
  <c r="Z42" i="16"/>
  <c r="CR42" i="17"/>
  <c r="CI42" i="17"/>
  <c r="CU42" i="17"/>
  <c r="O42" i="17"/>
  <c r="BW42" i="17"/>
  <c r="BQ42" i="17"/>
  <c r="E42" i="20" l="1"/>
  <c r="F42" i="20" s="1"/>
  <c r="J42" i="20"/>
  <c r="G42" i="20"/>
  <c r="AA42" i="16"/>
  <c r="V42" i="16"/>
  <c r="P42" i="16"/>
  <c r="S42" i="16"/>
  <c r="U42" i="16" s="1"/>
  <c r="T42" i="16"/>
  <c r="K42" i="16"/>
  <c r="DK42" i="19" l="1"/>
  <c r="BR42" i="19"/>
  <c r="S42" i="19"/>
  <c r="CA42" i="19"/>
  <c r="AQ42" i="19"/>
  <c r="CJ42" i="19"/>
  <c r="AH42" i="19"/>
  <c r="AW42" i="19"/>
  <c r="AZ42" i="19"/>
  <c r="BF42" i="19"/>
  <c r="CP42" i="19"/>
  <c r="M42" i="19"/>
  <c r="P42" i="19"/>
  <c r="DE42" i="19"/>
  <c r="V42" i="19"/>
  <c r="AE42" i="19"/>
  <c r="BX42" i="19"/>
  <c r="AT42" i="19"/>
  <c r="DH42" i="19"/>
  <c r="G42" i="19"/>
  <c r="AN42" i="19"/>
  <c r="BI42" i="19"/>
  <c r="BL42" i="19"/>
  <c r="CS42" i="19"/>
  <c r="CD42" i="19"/>
  <c r="AK42" i="19"/>
  <c r="BO42" i="19"/>
  <c r="CV42" i="19"/>
  <c r="Y42" i="19"/>
  <c r="D42" i="19"/>
  <c r="CG42" i="19"/>
  <c r="AB42" i="19"/>
  <c r="BU42" i="19"/>
  <c r="DB42" i="19"/>
  <c r="CM42" i="19"/>
  <c r="J42" i="19"/>
  <c r="BC42" i="19"/>
  <c r="CY42" i="19"/>
  <c r="Q42" i="20"/>
  <c r="K42" i="20"/>
  <c r="H42" i="20"/>
  <c r="I42" i="20"/>
  <c r="M42" i="16"/>
  <c r="N42" i="16"/>
  <c r="AC42" i="16"/>
  <c r="O42" i="16" l="1"/>
  <c r="I42" i="16"/>
  <c r="AG42" i="16"/>
  <c r="DL42" i="19"/>
  <c r="DM42" i="19" s="1"/>
  <c r="AR42" i="19"/>
  <c r="AS42" i="19" s="1"/>
  <c r="T42" i="19"/>
  <c r="U42" i="19" s="1"/>
  <c r="AL42" i="19"/>
  <c r="AM42" i="19" s="1"/>
  <c r="W42" i="19"/>
  <c r="X42" i="19" s="1"/>
  <c r="CQ42" i="19"/>
  <c r="CR42" i="19" s="1"/>
  <c r="N42" i="19"/>
  <c r="O42" i="19" s="1"/>
  <c r="Q42" i="19"/>
  <c r="R42" i="19" s="1"/>
  <c r="DF42" i="19"/>
  <c r="DG42" i="19" s="1"/>
  <c r="CB42" i="19"/>
  <c r="CC42" i="19" s="1"/>
  <c r="AO42" i="19"/>
  <c r="AP42" i="19" s="1"/>
  <c r="E42" i="19"/>
  <c r="F42" i="19" s="1"/>
  <c r="CK42" i="19"/>
  <c r="CL42" i="19" s="1"/>
  <c r="AF42" i="19"/>
  <c r="AG42" i="19" s="1"/>
  <c r="Z42" i="19"/>
  <c r="AA42" i="19" s="1"/>
  <c r="BG42" i="19"/>
  <c r="BH42" i="19" s="1"/>
  <c r="BS42" i="19"/>
  <c r="BT42" i="19" s="1"/>
  <c r="H42" i="19"/>
  <c r="I42" i="19" s="1"/>
  <c r="AI42" i="19"/>
  <c r="AJ42" i="19" s="1"/>
  <c r="BJ42" i="19"/>
  <c r="BK42" i="19" s="1"/>
  <c r="BM42" i="19"/>
  <c r="BN42" i="19" s="1"/>
  <c r="CT42" i="19"/>
  <c r="CU42" i="19" s="1"/>
  <c r="CE42" i="19"/>
  <c r="CF42" i="19" s="1"/>
  <c r="AX42" i="19"/>
  <c r="AY42" i="19" s="1"/>
  <c r="BD42" i="19"/>
  <c r="BE42" i="19" s="1"/>
  <c r="BP42" i="19"/>
  <c r="BQ42" i="19" s="1"/>
  <c r="DI42" i="19"/>
  <c r="DJ42" i="19" s="1"/>
  <c r="BY42" i="19"/>
  <c r="BZ42" i="19" s="1"/>
  <c r="CH42" i="19"/>
  <c r="CI42" i="19" s="1"/>
  <c r="AC42" i="19"/>
  <c r="AD42" i="19" s="1"/>
  <c r="BV42" i="19"/>
  <c r="BW42" i="19" s="1"/>
  <c r="DC42" i="19"/>
  <c r="DD42" i="19" s="1"/>
  <c r="CN42" i="19"/>
  <c r="CO42" i="19" s="1"/>
  <c r="K42" i="19"/>
  <c r="L42" i="19" s="1"/>
  <c r="AU42" i="19"/>
  <c r="AV42" i="19" s="1"/>
  <c r="CW42" i="19"/>
  <c r="CX42" i="19" s="1"/>
  <c r="BA42" i="19"/>
  <c r="BB42" i="19" s="1"/>
  <c r="CZ42" i="19"/>
  <c r="DA42" i="19" s="1"/>
  <c r="R42" i="20"/>
  <c r="S42" i="20" s="1"/>
  <c r="AE42" i="16"/>
  <c r="T42" i="20"/>
  <c r="W42" i="20"/>
  <c r="AC42" i="20" s="1"/>
  <c r="U42" i="20" l="1"/>
  <c r="O42" i="20"/>
  <c r="X42" i="20"/>
  <c r="AD42" i="20" s="1"/>
  <c r="H43" i="16"/>
  <c r="V42" i="20"/>
  <c r="AF42" i="16"/>
  <c r="Z42" i="20"/>
  <c r="AE42" i="20" s="1"/>
  <c r="AG42" i="20" l="1"/>
  <c r="Y42" i="20"/>
  <c r="AA42" i="20" s="1"/>
  <c r="AF42" i="20" s="1"/>
  <c r="X43" i="16"/>
  <c r="W43" i="16"/>
  <c r="DO43" i="17"/>
  <c r="DN43" i="17"/>
  <c r="DE43" i="17"/>
  <c r="W43" i="17"/>
  <c r="DK43" i="17"/>
  <c r="DL43" i="17"/>
  <c r="V43" i="17"/>
  <c r="Z43" i="17"/>
  <c r="CB43" i="17"/>
  <c r="CD43" i="17"/>
  <c r="CA43" i="17"/>
  <c r="AC43" i="17"/>
  <c r="AU43" i="17"/>
  <c r="BY43" i="17"/>
  <c r="H43" i="17"/>
  <c r="T43" i="17"/>
  <c r="AE43" i="17"/>
  <c r="AB43" i="17"/>
  <c r="AT43" i="17"/>
  <c r="AF43" i="17"/>
  <c r="BX43" i="17"/>
  <c r="DF43" i="17"/>
  <c r="CE43" i="17"/>
  <c r="S43" i="17"/>
  <c r="CV43" i="17"/>
  <c r="AZ43" i="17"/>
  <c r="BJ43" i="17"/>
  <c r="G43" i="17"/>
  <c r="BI43" i="17"/>
  <c r="CK43" i="17"/>
  <c r="BA43" i="17"/>
  <c r="CJ43" i="17"/>
  <c r="CW43" i="17"/>
  <c r="Y43" i="17"/>
  <c r="BO43" i="17"/>
  <c r="M43" i="17"/>
  <c r="AI43" i="17"/>
  <c r="AO43" i="17"/>
  <c r="AK43" i="17"/>
  <c r="BC43" i="17"/>
  <c r="E43" i="17"/>
  <c r="AN43" i="17"/>
  <c r="DB43" i="17"/>
  <c r="AR43" i="17"/>
  <c r="BP43" i="17"/>
  <c r="BG43" i="17"/>
  <c r="BF43" i="17"/>
  <c r="BS43" i="17"/>
  <c r="P43" i="17"/>
  <c r="DC43" i="17"/>
  <c r="N43" i="17"/>
  <c r="AH43" i="17"/>
  <c r="AL43" i="17"/>
  <c r="BD43" i="17"/>
  <c r="D43" i="17"/>
  <c r="CM43" i="17"/>
  <c r="CH43" i="17"/>
  <c r="CQ43" i="17"/>
  <c r="CZ43" i="17"/>
  <c r="CG43" i="17"/>
  <c r="CP43" i="17"/>
  <c r="CY43" i="17"/>
  <c r="BR43" i="17"/>
  <c r="Q43" i="17"/>
  <c r="DI43" i="17"/>
  <c r="AQ43" i="17"/>
  <c r="BL43" i="17"/>
  <c r="DH43" i="17"/>
  <c r="BM43" i="17"/>
  <c r="CS43" i="17"/>
  <c r="AW43" i="17"/>
  <c r="BU43" i="17"/>
  <c r="J43" i="17"/>
  <c r="CN43" i="17"/>
  <c r="CT43" i="17"/>
  <c r="AX43" i="17"/>
  <c r="BV43" i="17"/>
  <c r="K43" i="17"/>
  <c r="L43" i="16"/>
  <c r="DG43" i="17" l="1"/>
  <c r="BK43" i="17"/>
  <c r="CX43" i="17"/>
  <c r="CI43" i="17"/>
  <c r="I43" i="17"/>
  <c r="CO43" i="17"/>
  <c r="CL43" i="17"/>
  <c r="BH43" i="17"/>
  <c r="BQ43" i="17"/>
  <c r="CC43" i="17"/>
  <c r="DM43" i="17"/>
  <c r="R43" i="16"/>
  <c r="AD43" i="16" s="1"/>
  <c r="BE43" i="17"/>
  <c r="AG43" i="17"/>
  <c r="AJ43" i="17"/>
  <c r="BB43" i="17"/>
  <c r="L43" i="17"/>
  <c r="CR43" i="17"/>
  <c r="O43" i="17"/>
  <c r="CU43" i="17"/>
  <c r="AA43" i="17"/>
  <c r="BZ43" i="17"/>
  <c r="BT43" i="17"/>
  <c r="AM43" i="17"/>
  <c r="DA43" i="17"/>
  <c r="DP43" i="17"/>
  <c r="D43" i="20"/>
  <c r="Y43" i="16"/>
  <c r="Z43" i="16"/>
  <c r="CF43" i="17"/>
  <c r="U43" i="17"/>
  <c r="R43" i="17"/>
  <c r="BW43" i="17"/>
  <c r="BN43" i="17"/>
  <c r="Q43" i="16"/>
  <c r="F43" i="17"/>
  <c r="DD43" i="17"/>
  <c r="AV43" i="17"/>
  <c r="X43" i="17"/>
  <c r="AY43" i="17"/>
  <c r="DJ43" i="17"/>
  <c r="AS43" i="17"/>
  <c r="AP43" i="17"/>
  <c r="AD43" i="17"/>
  <c r="AA43" i="16" l="1"/>
  <c r="V43" i="16"/>
  <c r="P43" i="16"/>
  <c r="E43" i="20"/>
  <c r="F43" i="20" s="1"/>
  <c r="J43" i="20"/>
  <c r="G43" i="20"/>
  <c r="S43" i="16"/>
  <c r="U43" i="16" s="1"/>
  <c r="T43" i="16"/>
  <c r="K43" i="16"/>
  <c r="M43" i="16" l="1"/>
  <c r="N43" i="16"/>
  <c r="AC43" i="16"/>
  <c r="H43" i="20"/>
  <c r="I43" i="20"/>
  <c r="DN43" i="19"/>
  <c r="AH43" i="19"/>
  <c r="DB43" i="19"/>
  <c r="BL43" i="19"/>
  <c r="CM43" i="19"/>
  <c r="BO43" i="19"/>
  <c r="BR43" i="19"/>
  <c r="D43" i="19"/>
  <c r="BX43" i="19"/>
  <c r="AE43" i="19"/>
  <c r="AQ43" i="19"/>
  <c r="AW43" i="19"/>
  <c r="Y43" i="19"/>
  <c r="V43" i="19"/>
  <c r="BU43" i="19"/>
  <c r="CS43" i="19"/>
  <c r="CY43" i="19"/>
  <c r="M43" i="19"/>
  <c r="BF43" i="19"/>
  <c r="CD43" i="19"/>
  <c r="S43" i="19"/>
  <c r="DE43" i="19"/>
  <c r="CG43" i="19"/>
  <c r="DH43" i="19"/>
  <c r="BI43" i="19"/>
  <c r="AK43" i="19"/>
  <c r="AN43" i="19"/>
  <c r="CP43" i="19"/>
  <c r="DK43" i="19"/>
  <c r="CJ43" i="19"/>
  <c r="BC43" i="19"/>
  <c r="P43" i="19"/>
  <c r="AB43" i="19"/>
  <c r="AZ43" i="19"/>
  <c r="CV43" i="19"/>
  <c r="AT43" i="19"/>
  <c r="CA43" i="19"/>
  <c r="G43" i="19"/>
  <c r="J43" i="19"/>
  <c r="Q43" i="20"/>
  <c r="K43" i="20"/>
  <c r="T43" i="20" l="1"/>
  <c r="AG43" i="16"/>
  <c r="W43" i="20"/>
  <c r="AE43" i="16"/>
  <c r="DO43" i="19"/>
  <c r="DP43" i="19" s="1"/>
  <c r="CN43" i="19"/>
  <c r="CO43" i="19" s="1"/>
  <c r="BP43" i="19"/>
  <c r="BQ43" i="19" s="1"/>
  <c r="DI43" i="19"/>
  <c r="DJ43" i="19" s="1"/>
  <c r="AI43" i="19"/>
  <c r="AJ43" i="19" s="1"/>
  <c r="AF43" i="19"/>
  <c r="AG43" i="19" s="1"/>
  <c r="AR43" i="19"/>
  <c r="AS43" i="19" s="1"/>
  <c r="BM43" i="19"/>
  <c r="BN43" i="19" s="1"/>
  <c r="DC43" i="19"/>
  <c r="DD43" i="19" s="1"/>
  <c r="E43" i="19"/>
  <c r="T43" i="19"/>
  <c r="U43" i="19" s="1"/>
  <c r="BJ43" i="19"/>
  <c r="BK43" i="19" s="1"/>
  <c r="AL43" i="19"/>
  <c r="AM43" i="19" s="1"/>
  <c r="Z43" i="19"/>
  <c r="AA43" i="19" s="1"/>
  <c r="CT43" i="19"/>
  <c r="CU43" i="19" s="1"/>
  <c r="AX43" i="19"/>
  <c r="AY43" i="19" s="1"/>
  <c r="BS43" i="19"/>
  <c r="BT43" i="19" s="1"/>
  <c r="BY43" i="19"/>
  <c r="BZ43" i="19" s="1"/>
  <c r="DF43" i="19"/>
  <c r="DG43" i="19" s="1"/>
  <c r="CK43" i="19"/>
  <c r="CL43" i="19" s="1"/>
  <c r="W43" i="19"/>
  <c r="X43" i="19" s="1"/>
  <c r="N43" i="19"/>
  <c r="O43" i="19" s="1"/>
  <c r="BG43" i="19"/>
  <c r="BH43" i="19" s="1"/>
  <c r="DL43" i="19"/>
  <c r="DM43" i="19" s="1"/>
  <c r="CE43" i="19"/>
  <c r="CF43" i="19" s="1"/>
  <c r="K43" i="19"/>
  <c r="L43" i="19" s="1"/>
  <c r="AO43" i="19"/>
  <c r="AP43" i="19" s="1"/>
  <c r="CB43" i="19"/>
  <c r="CC43" i="19" s="1"/>
  <c r="H43" i="19"/>
  <c r="I43" i="19" s="1"/>
  <c r="Q43" i="19"/>
  <c r="R43" i="19" s="1"/>
  <c r="AC43" i="19"/>
  <c r="AD43" i="19" s="1"/>
  <c r="BA43" i="19"/>
  <c r="BB43" i="19" s="1"/>
  <c r="CW43" i="19"/>
  <c r="CX43" i="19" s="1"/>
  <c r="CQ43" i="19"/>
  <c r="CR43" i="19" s="1"/>
  <c r="BV43" i="19"/>
  <c r="BW43" i="19" s="1"/>
  <c r="AU43" i="19"/>
  <c r="AV43" i="19" s="1"/>
  <c r="CH43" i="19"/>
  <c r="CI43" i="19" s="1"/>
  <c r="CZ43" i="19"/>
  <c r="DA43" i="19" s="1"/>
  <c r="BD43" i="19"/>
  <c r="BE43" i="19" s="1"/>
  <c r="R43" i="20"/>
  <c r="S43" i="20" s="1"/>
  <c r="O43" i="16"/>
  <c r="I43" i="16"/>
  <c r="U43" i="20" l="1"/>
  <c r="O43" i="20"/>
  <c r="X43" i="20"/>
  <c r="AD43" i="20" s="1"/>
  <c r="H44" i="16"/>
  <c r="F43" i="19"/>
  <c r="Z43" i="20"/>
  <c r="AE43" i="20" s="1"/>
  <c r="AF43" i="16"/>
  <c r="AC43" i="20"/>
  <c r="Y43" i="20" l="1"/>
  <c r="AA43" i="20" s="1"/>
  <c r="AF43" i="20" s="1"/>
  <c r="X44" i="16"/>
  <c r="W44" i="16"/>
  <c r="DR44" i="17"/>
  <c r="DQ44" i="17"/>
  <c r="BP44" i="17"/>
  <c r="Z44" i="17"/>
  <c r="CV44" i="17"/>
  <c r="CK44" i="17"/>
  <c r="CH44" i="17"/>
  <c r="BO44" i="17"/>
  <c r="Y44" i="17"/>
  <c r="CW44" i="17"/>
  <c r="CG44" i="17"/>
  <c r="CJ44" i="17"/>
  <c r="DF44" i="17"/>
  <c r="BJ44" i="17"/>
  <c r="DE44" i="17"/>
  <c r="CB44" i="17"/>
  <c r="N44" i="17"/>
  <c r="G44" i="17"/>
  <c r="BI44" i="17"/>
  <c r="CT44" i="17"/>
  <c r="CA44" i="17"/>
  <c r="M44" i="17"/>
  <c r="H44" i="17"/>
  <c r="CS44" i="17"/>
  <c r="BA44" i="17"/>
  <c r="AZ44" i="17"/>
  <c r="DK44" i="17"/>
  <c r="AE44" i="17"/>
  <c r="BY44" i="17"/>
  <c r="BG44" i="17"/>
  <c r="AI44" i="17"/>
  <c r="DL44" i="17"/>
  <c r="BF44" i="17"/>
  <c r="CQ44" i="17"/>
  <c r="BX44" i="17"/>
  <c r="J44" i="17"/>
  <c r="BD44" i="17"/>
  <c r="CN44" i="17"/>
  <c r="BC44" i="17"/>
  <c r="AF44" i="17"/>
  <c r="AH44" i="17"/>
  <c r="K44" i="17"/>
  <c r="CM44" i="17"/>
  <c r="CP44" i="17"/>
  <c r="AO44" i="17"/>
  <c r="DO44" i="17"/>
  <c r="T44" i="17"/>
  <c r="AC44" i="17"/>
  <c r="AN44" i="17"/>
  <c r="DN44" i="17"/>
  <c r="S44" i="17"/>
  <c r="AB44" i="17"/>
  <c r="Q44" i="17"/>
  <c r="AL44" i="17"/>
  <c r="BM44" i="17"/>
  <c r="BV44" i="17"/>
  <c r="AX44" i="17"/>
  <c r="AK44" i="17"/>
  <c r="BL44" i="17"/>
  <c r="AR44" i="17"/>
  <c r="BU44" i="17"/>
  <c r="P44" i="17"/>
  <c r="AW44" i="17"/>
  <c r="AQ44" i="17"/>
  <c r="CE44" i="17"/>
  <c r="AU44" i="17"/>
  <c r="DC44" i="17"/>
  <c r="DI44" i="17"/>
  <c r="AT44" i="17"/>
  <c r="DH44" i="17"/>
  <c r="W44" i="17"/>
  <c r="E44" i="17"/>
  <c r="CZ44" i="17"/>
  <c r="V44" i="17"/>
  <c r="D44" i="17"/>
  <c r="CD44" i="17"/>
  <c r="BR44" i="17"/>
  <c r="DB44" i="17"/>
  <c r="CY44" i="17"/>
  <c r="BS44" i="17"/>
  <c r="L44" i="16"/>
  <c r="V43" i="20"/>
  <c r="AG43" i="20"/>
  <c r="U44" i="17" l="1"/>
  <c r="DP44" i="17"/>
  <c r="BE44" i="17"/>
  <c r="DG44" i="17"/>
  <c r="BB44" i="17"/>
  <c r="X44" i="17"/>
  <c r="AV44" i="17"/>
  <c r="DS44" i="17"/>
  <c r="R44" i="17"/>
  <c r="AY44" i="17"/>
  <c r="BH44" i="17"/>
  <c r="DD44" i="17"/>
  <c r="CF44" i="17"/>
  <c r="AS44" i="17"/>
  <c r="AD44" i="17"/>
  <c r="DM44" i="17"/>
  <c r="BW44" i="17"/>
  <c r="BN44" i="17"/>
  <c r="L44" i="17"/>
  <c r="CU44" i="17"/>
  <c r="CL44" i="17"/>
  <c r="BZ44" i="17"/>
  <c r="CI44" i="17"/>
  <c r="DJ44" i="17"/>
  <c r="AM44" i="17"/>
  <c r="O44" i="17"/>
  <c r="AP44" i="17"/>
  <c r="D44" i="20"/>
  <c r="Y44" i="16"/>
  <c r="Z44" i="16"/>
  <c r="AG44" i="17"/>
  <c r="CC44" i="17"/>
  <c r="AA44" i="17"/>
  <c r="R44" i="16"/>
  <c r="AD44" i="16" s="1"/>
  <c r="CR44" i="17"/>
  <c r="BQ44" i="17"/>
  <c r="DA44" i="17"/>
  <c r="CO44" i="17"/>
  <c r="BK44" i="17"/>
  <c r="Q44" i="16"/>
  <c r="F44" i="17"/>
  <c r="I44" i="17"/>
  <c r="BT44" i="17"/>
  <c r="AJ44" i="17"/>
  <c r="CX44" i="17"/>
  <c r="E44" i="20" l="1"/>
  <c r="J44" i="20"/>
  <c r="G44" i="20"/>
  <c r="P44" i="16"/>
  <c r="S44" i="16"/>
  <c r="U44" i="16" s="1"/>
  <c r="T44" i="16"/>
  <c r="K44" i="16"/>
  <c r="AA44" i="16"/>
  <c r="V44" i="16"/>
  <c r="M44" i="16" l="1"/>
  <c r="N44" i="16"/>
  <c r="AC44" i="16"/>
  <c r="K44" i="20"/>
  <c r="DQ44" i="19"/>
  <c r="BX44" i="19"/>
  <c r="P44" i="19"/>
  <c r="CY44" i="19"/>
  <c r="BC44" i="19"/>
  <c r="J44" i="19"/>
  <c r="CV44" i="19"/>
  <c r="CA44" i="19"/>
  <c r="CM44" i="19"/>
  <c r="DK44" i="19"/>
  <c r="S44" i="19"/>
  <c r="AT44" i="19"/>
  <c r="DB44" i="19"/>
  <c r="BR44" i="19"/>
  <c r="BL44" i="19"/>
  <c r="AW44" i="19"/>
  <c r="Y44" i="19"/>
  <c r="DH44" i="19"/>
  <c r="CP44" i="19"/>
  <c r="DN44" i="19"/>
  <c r="G44" i="19"/>
  <c r="CD44" i="19"/>
  <c r="V44" i="19"/>
  <c r="CG44" i="19"/>
  <c r="BI44" i="19"/>
  <c r="CJ44" i="19"/>
  <c r="CS44" i="19"/>
  <c r="AB44" i="19"/>
  <c r="AE44" i="19"/>
  <c r="BO44" i="19"/>
  <c r="BF44" i="19"/>
  <c r="DE44" i="19"/>
  <c r="AH44" i="19"/>
  <c r="AN44" i="19"/>
  <c r="AK44" i="19"/>
  <c r="BU44" i="19"/>
  <c r="M44" i="19"/>
  <c r="AZ44" i="19"/>
  <c r="AQ44" i="19"/>
  <c r="D44" i="19"/>
  <c r="Q44" i="20"/>
  <c r="F44" i="20"/>
  <c r="DR44" i="19" l="1"/>
  <c r="DS44" i="19" s="1"/>
  <c r="CW44" i="19"/>
  <c r="CX44" i="19" s="1"/>
  <c r="BM44" i="19"/>
  <c r="BN44" i="19" s="1"/>
  <c r="T44" i="19"/>
  <c r="U44" i="19" s="1"/>
  <c r="BD44" i="19"/>
  <c r="BE44" i="19" s="1"/>
  <c r="AC44" i="19"/>
  <c r="AD44" i="19" s="1"/>
  <c r="CH44" i="19"/>
  <c r="CI44" i="19" s="1"/>
  <c r="BJ44" i="19"/>
  <c r="BK44" i="19" s="1"/>
  <c r="BA44" i="19"/>
  <c r="BB44" i="19" s="1"/>
  <c r="CE44" i="19"/>
  <c r="CF44" i="19" s="1"/>
  <c r="AI44" i="19"/>
  <c r="AJ44" i="19" s="1"/>
  <c r="BV44" i="19"/>
  <c r="BW44" i="19" s="1"/>
  <c r="H44" i="19"/>
  <c r="I44" i="19" s="1"/>
  <c r="CB44" i="19"/>
  <c r="CC44" i="19" s="1"/>
  <c r="DL44" i="19"/>
  <c r="DM44" i="19" s="1"/>
  <c r="BY44" i="19"/>
  <c r="BZ44" i="19" s="1"/>
  <c r="K44" i="19"/>
  <c r="L44" i="19" s="1"/>
  <c r="DO44" i="19"/>
  <c r="DP44" i="19" s="1"/>
  <c r="W44" i="19"/>
  <c r="X44" i="19" s="1"/>
  <c r="AO44" i="19"/>
  <c r="AP44" i="19" s="1"/>
  <c r="AU44" i="19"/>
  <c r="AV44" i="19" s="1"/>
  <c r="AF44" i="19"/>
  <c r="AG44" i="19" s="1"/>
  <c r="AX44" i="19"/>
  <c r="AY44" i="19" s="1"/>
  <c r="CQ44" i="19"/>
  <c r="CR44" i="19" s="1"/>
  <c r="Z44" i="19"/>
  <c r="AA44" i="19" s="1"/>
  <c r="BP44" i="19"/>
  <c r="BQ44" i="19" s="1"/>
  <c r="AL44" i="19"/>
  <c r="AM44" i="19" s="1"/>
  <c r="CT44" i="19"/>
  <c r="CU44" i="19" s="1"/>
  <c r="DC44" i="19"/>
  <c r="DD44" i="19" s="1"/>
  <c r="AR44" i="19"/>
  <c r="AS44" i="19" s="1"/>
  <c r="BS44" i="19"/>
  <c r="BT44" i="19" s="1"/>
  <c r="CN44" i="19"/>
  <c r="CO44" i="19" s="1"/>
  <c r="CZ44" i="19"/>
  <c r="DA44" i="19" s="1"/>
  <c r="N44" i="19"/>
  <c r="O44" i="19" s="1"/>
  <c r="CK44" i="19"/>
  <c r="CL44" i="19" s="1"/>
  <c r="Q44" i="19"/>
  <c r="R44" i="19" s="1"/>
  <c r="DF44" i="19"/>
  <c r="DG44" i="19" s="1"/>
  <c r="BG44" i="19"/>
  <c r="BH44" i="19" s="1"/>
  <c r="DI44" i="19"/>
  <c r="DJ44" i="19" s="1"/>
  <c r="R44" i="20"/>
  <c r="S44" i="20" s="1"/>
  <c r="E44" i="19"/>
  <c r="AG44" i="16"/>
  <c r="O44" i="16"/>
  <c r="I44" i="16"/>
  <c r="H44" i="20"/>
  <c r="I44" i="20"/>
  <c r="T44" i="20"/>
  <c r="AE44" i="16"/>
  <c r="W44" i="20"/>
  <c r="AC44" i="20" s="1"/>
  <c r="X44" i="20" l="1"/>
  <c r="AD44" i="20" s="1"/>
  <c r="H45" i="16"/>
  <c r="L45" i="16" s="1"/>
  <c r="AF44" i="16"/>
  <c r="U44" i="20"/>
  <c r="O44" i="20"/>
  <c r="F44" i="19"/>
  <c r="Z44" i="20"/>
  <c r="AE44" i="20" s="1"/>
  <c r="AG44" i="20" l="1"/>
  <c r="V44" i="20"/>
  <c r="W45" i="16"/>
  <c r="X45" i="16"/>
  <c r="DU45" i="17"/>
  <c r="DT45" i="17"/>
  <c r="AW45" i="17"/>
  <c r="CG45" i="17"/>
  <c r="BD45" i="17"/>
  <c r="AK45" i="17"/>
  <c r="BM45" i="17"/>
  <c r="AC45" i="17"/>
  <c r="DO45" i="17"/>
  <c r="BG45" i="17"/>
  <c r="BC45" i="17"/>
  <c r="BL45" i="17"/>
  <c r="AB45" i="17"/>
  <c r="BF45" i="17"/>
  <c r="AX45" i="17"/>
  <c r="CH45" i="17"/>
  <c r="AL45" i="17"/>
  <c r="J45" i="17"/>
  <c r="AU45" i="17"/>
  <c r="BY45" i="17"/>
  <c r="BU45" i="17"/>
  <c r="BA45" i="17"/>
  <c r="DI45" i="17"/>
  <c r="K45" i="17"/>
  <c r="AR45" i="17"/>
  <c r="DE45" i="17"/>
  <c r="BV45" i="17"/>
  <c r="DH45" i="17"/>
  <c r="CE45" i="17"/>
  <c r="Q45" i="17"/>
  <c r="AQ45" i="17"/>
  <c r="AZ45" i="17"/>
  <c r="AT45" i="17"/>
  <c r="M45" i="17"/>
  <c r="DC45" i="17"/>
  <c r="DQ45" i="17"/>
  <c r="DF45" i="17"/>
  <c r="DB45" i="17"/>
  <c r="N45" i="17"/>
  <c r="BX45" i="17"/>
  <c r="DR45" i="17"/>
  <c r="DN45" i="17"/>
  <c r="CJ45" i="17"/>
  <c r="T45" i="17"/>
  <c r="DL45" i="17"/>
  <c r="V45" i="17"/>
  <c r="CT45" i="17"/>
  <c r="S45" i="17"/>
  <c r="DK45" i="17"/>
  <c r="CS45" i="17"/>
  <c r="W45" i="17"/>
  <c r="CK45" i="17"/>
  <c r="CD45" i="17"/>
  <c r="P45" i="17"/>
  <c r="CQ45" i="17"/>
  <c r="AF45" i="17"/>
  <c r="E45" i="17"/>
  <c r="BP45" i="17"/>
  <c r="CP45" i="17"/>
  <c r="AE45" i="17"/>
  <c r="D45" i="17"/>
  <c r="BI45" i="17"/>
  <c r="CN45" i="17"/>
  <c r="BJ45" i="17"/>
  <c r="H45" i="17"/>
  <c r="CB45" i="17"/>
  <c r="Y45" i="17"/>
  <c r="G45" i="17"/>
  <c r="CA45" i="17"/>
  <c r="AO45" i="17"/>
  <c r="CM45" i="17"/>
  <c r="Z45" i="17"/>
  <c r="AN45" i="17"/>
  <c r="CY45" i="17"/>
  <c r="BS45" i="17"/>
  <c r="CZ45" i="17"/>
  <c r="CW45" i="17"/>
  <c r="AI45" i="17"/>
  <c r="BR45" i="17"/>
  <c r="CV45" i="17"/>
  <c r="AH45" i="17"/>
  <c r="BO45" i="17"/>
  <c r="Y44" i="20"/>
  <c r="AA44" i="20" s="1"/>
  <c r="AF44" i="20" s="1"/>
  <c r="DP45" i="17" l="1"/>
  <c r="DM45" i="17"/>
  <c r="DJ45" i="17"/>
  <c r="BQ45" i="17"/>
  <c r="CU45" i="17"/>
  <c r="BT45" i="17"/>
  <c r="L45" i="17"/>
  <c r="AP45" i="17"/>
  <c r="R45" i="17"/>
  <c r="AM45" i="17"/>
  <c r="DD45" i="17"/>
  <c r="BH45" i="17"/>
  <c r="BZ45" i="17"/>
  <c r="AA45" i="17"/>
  <c r="CL45" i="17"/>
  <c r="AS45" i="17"/>
  <c r="CF45" i="17"/>
  <c r="AY45" i="17"/>
  <c r="U45" i="17"/>
  <c r="AD45" i="17"/>
  <c r="AG45" i="17"/>
  <c r="DS45" i="17"/>
  <c r="CI45" i="17"/>
  <c r="DG45" i="17"/>
  <c r="DV45" i="17"/>
  <c r="Q45" i="16"/>
  <c r="F45" i="17"/>
  <c r="D45" i="20"/>
  <c r="Y45" i="16"/>
  <c r="Z45" i="16"/>
  <c r="BK45" i="17"/>
  <c r="DA45" i="17"/>
  <c r="CO45" i="17"/>
  <c r="BN45" i="17"/>
  <c r="CR45" i="17"/>
  <c r="BE45" i="17"/>
  <c r="X45" i="17"/>
  <c r="O45" i="17"/>
  <c r="AJ45" i="17"/>
  <c r="CC45" i="17"/>
  <c r="R45" i="16"/>
  <c r="AD45" i="16" s="1"/>
  <c r="AV45" i="17"/>
  <c r="BW45" i="17"/>
  <c r="CX45" i="17"/>
  <c r="I45" i="17"/>
  <c r="BB45" i="17"/>
  <c r="S45" i="16" l="1"/>
  <c r="U45" i="16" s="1"/>
  <c r="T45" i="16"/>
  <c r="K45" i="16"/>
  <c r="E45" i="20"/>
  <c r="F45" i="20" s="1"/>
  <c r="J45" i="20"/>
  <c r="G45" i="20"/>
  <c r="P45" i="16"/>
  <c r="AA45" i="16"/>
  <c r="V45" i="16"/>
  <c r="H45" i="20" l="1"/>
  <c r="I45" i="20"/>
  <c r="DT45" i="19"/>
  <c r="G45" i="19"/>
  <c r="CA45" i="19"/>
  <c r="AN45" i="19"/>
  <c r="CP45" i="19"/>
  <c r="M45" i="19"/>
  <c r="CJ45" i="19"/>
  <c r="J45" i="19"/>
  <c r="AK45" i="19"/>
  <c r="AE45" i="19"/>
  <c r="AT45" i="19"/>
  <c r="CD45" i="19"/>
  <c r="BO45" i="19"/>
  <c r="BF45" i="19"/>
  <c r="DQ45" i="19"/>
  <c r="DK45" i="19"/>
  <c r="BR45" i="19"/>
  <c r="BU45" i="19"/>
  <c r="BX45" i="19"/>
  <c r="S45" i="19"/>
  <c r="CG45" i="19"/>
  <c r="DN45" i="19"/>
  <c r="P45" i="19"/>
  <c r="CY45" i="19"/>
  <c r="AQ45" i="19"/>
  <c r="BL45" i="19"/>
  <c r="AB45" i="19"/>
  <c r="AH45" i="19"/>
  <c r="AZ45" i="19"/>
  <c r="BC45" i="19"/>
  <c r="Y45" i="19"/>
  <c r="AW45" i="19"/>
  <c r="BI45" i="19"/>
  <c r="V45" i="19"/>
  <c r="CV45" i="19"/>
  <c r="DH45" i="19"/>
  <c r="CS45" i="19"/>
  <c r="CM45" i="19"/>
  <c r="DE45" i="19"/>
  <c r="DB45" i="19"/>
  <c r="Q45" i="20"/>
  <c r="D45" i="19"/>
  <c r="K45" i="20"/>
  <c r="M45" i="16"/>
  <c r="N45" i="16"/>
  <c r="AE45" i="16" s="1"/>
  <c r="AC45" i="16"/>
  <c r="AG45" i="16" s="1"/>
  <c r="W45" i="20" l="1"/>
  <c r="AC45" i="20" s="1"/>
  <c r="T45" i="20"/>
  <c r="O45" i="16"/>
  <c r="AF45" i="16" s="1"/>
  <c r="I45" i="16"/>
  <c r="DU45" i="19"/>
  <c r="DV45" i="19" s="1"/>
  <c r="CQ45" i="19"/>
  <c r="CR45" i="19" s="1"/>
  <c r="N45" i="19"/>
  <c r="O45" i="19" s="1"/>
  <c r="CK45" i="19"/>
  <c r="CL45" i="19" s="1"/>
  <c r="CH45" i="19"/>
  <c r="CI45" i="19" s="1"/>
  <c r="K45" i="19"/>
  <c r="L45" i="19" s="1"/>
  <c r="AL45" i="19"/>
  <c r="AM45" i="19" s="1"/>
  <c r="AU45" i="19"/>
  <c r="AV45" i="19" s="1"/>
  <c r="CE45" i="19"/>
  <c r="CF45" i="19" s="1"/>
  <c r="H45" i="19"/>
  <c r="I45" i="19" s="1"/>
  <c r="BP45" i="19"/>
  <c r="BQ45" i="19" s="1"/>
  <c r="BG45" i="19"/>
  <c r="BH45" i="19" s="1"/>
  <c r="BM45" i="19"/>
  <c r="BN45" i="19" s="1"/>
  <c r="DR45" i="19"/>
  <c r="DS45" i="19" s="1"/>
  <c r="AF45" i="19"/>
  <c r="AG45" i="19" s="1"/>
  <c r="Z45" i="19"/>
  <c r="AA45" i="19" s="1"/>
  <c r="DL45" i="19"/>
  <c r="DM45" i="19" s="1"/>
  <c r="DI45" i="19"/>
  <c r="DJ45" i="19" s="1"/>
  <c r="AI45" i="19"/>
  <c r="AJ45" i="19" s="1"/>
  <c r="CW45" i="19"/>
  <c r="CX45" i="19" s="1"/>
  <c r="CN45" i="19"/>
  <c r="CO45" i="19" s="1"/>
  <c r="CB45" i="19"/>
  <c r="CC45" i="19" s="1"/>
  <c r="BD45" i="19"/>
  <c r="BE45" i="19" s="1"/>
  <c r="CZ45" i="19"/>
  <c r="DA45" i="19" s="1"/>
  <c r="AR45" i="19"/>
  <c r="AS45" i="19" s="1"/>
  <c r="BJ45" i="19"/>
  <c r="BK45" i="19" s="1"/>
  <c r="BA45" i="19"/>
  <c r="BB45" i="19" s="1"/>
  <c r="AX45" i="19"/>
  <c r="AY45" i="19" s="1"/>
  <c r="AC45" i="19"/>
  <c r="AD45" i="19" s="1"/>
  <c r="BS45" i="19"/>
  <c r="BT45" i="19" s="1"/>
  <c r="DO45" i="19"/>
  <c r="DP45" i="19" s="1"/>
  <c r="CT45" i="19"/>
  <c r="CU45" i="19" s="1"/>
  <c r="BV45" i="19"/>
  <c r="BW45" i="19" s="1"/>
  <c r="W45" i="19"/>
  <c r="X45" i="19" s="1"/>
  <c r="DF45" i="19"/>
  <c r="DG45" i="19" s="1"/>
  <c r="DC45" i="19"/>
  <c r="DD45" i="19" s="1"/>
  <c r="Q45" i="19"/>
  <c r="R45" i="19" s="1"/>
  <c r="BY45" i="19"/>
  <c r="BZ45" i="19" s="1"/>
  <c r="T45" i="19"/>
  <c r="U45" i="19" s="1"/>
  <c r="AO45" i="19"/>
  <c r="AP45" i="19" s="1"/>
  <c r="R45" i="20"/>
  <c r="S45" i="20" s="1"/>
  <c r="E45" i="19"/>
  <c r="F45" i="19" s="1"/>
  <c r="U45" i="20" l="1"/>
  <c r="O45" i="20"/>
  <c r="H46" i="16"/>
  <c r="Z45" i="20"/>
  <c r="AE45" i="20" s="1"/>
  <c r="V45" i="20"/>
  <c r="X45" i="20"/>
  <c r="AD45" i="20" s="1"/>
  <c r="AG45" i="20" s="1"/>
  <c r="Y45" i="20" l="1"/>
  <c r="AA45" i="20" s="1"/>
  <c r="AF45" i="20" s="1"/>
  <c r="X46" i="16"/>
  <c r="W46" i="16"/>
  <c r="DX46" i="17"/>
  <c r="DW46" i="17"/>
  <c r="AL46" i="17"/>
  <c r="BX46" i="17"/>
  <c r="DK46" i="17"/>
  <c r="BO46" i="17"/>
  <c r="AK46" i="17"/>
  <c r="DC46" i="17"/>
  <c r="DR46" i="17"/>
  <c r="DB46" i="17"/>
  <c r="DQ46" i="17"/>
  <c r="AB46" i="17"/>
  <c r="CE46" i="17"/>
  <c r="AN46" i="17"/>
  <c r="CD46" i="17"/>
  <c r="AO46" i="17"/>
  <c r="AR46" i="17"/>
  <c r="CJ46" i="17"/>
  <c r="BG46" i="17"/>
  <c r="AQ46" i="17"/>
  <c r="S46" i="17"/>
  <c r="J46" i="17"/>
  <c r="AF46" i="17"/>
  <c r="BR46" i="17"/>
  <c r="DH46" i="17"/>
  <c r="CS46" i="17"/>
  <c r="T46" i="17"/>
  <c r="DN46" i="17"/>
  <c r="BY46" i="17"/>
  <c r="BP46" i="17"/>
  <c r="AE46" i="17"/>
  <c r="Q46" i="17"/>
  <c r="DO46" i="17"/>
  <c r="P46" i="17"/>
  <c r="BF46" i="17"/>
  <c r="AC46" i="17"/>
  <c r="Y46" i="17"/>
  <c r="AW46" i="17"/>
  <c r="Z46" i="17"/>
  <c r="DI46" i="17"/>
  <c r="CT46" i="17"/>
  <c r="AX46" i="17"/>
  <c r="K46" i="17"/>
  <c r="CK46" i="17"/>
  <c r="DL46" i="17"/>
  <c r="BS46" i="17"/>
  <c r="AI46" i="17"/>
  <c r="CZ46" i="17"/>
  <c r="AU46" i="17"/>
  <c r="DE46" i="17"/>
  <c r="CG46" i="17"/>
  <c r="AH46" i="17"/>
  <c r="CY46" i="17"/>
  <c r="AT46" i="17"/>
  <c r="BD46" i="17"/>
  <c r="BJ46" i="17"/>
  <c r="CB46" i="17"/>
  <c r="BI46" i="17"/>
  <c r="E46" i="17"/>
  <c r="CA46" i="17"/>
  <c r="D46" i="17"/>
  <c r="AZ46" i="17"/>
  <c r="DT46" i="17"/>
  <c r="DF46" i="17"/>
  <c r="BC46" i="17"/>
  <c r="H46" i="17"/>
  <c r="G46" i="17"/>
  <c r="BA46" i="17"/>
  <c r="W46" i="17"/>
  <c r="V46" i="17"/>
  <c r="CV46" i="17"/>
  <c r="CP46" i="17"/>
  <c r="CM46" i="17"/>
  <c r="CN46" i="17"/>
  <c r="CW46" i="17"/>
  <c r="CQ46" i="17"/>
  <c r="BL46" i="17"/>
  <c r="N46" i="17"/>
  <c r="BU46" i="17"/>
  <c r="DU46" i="17"/>
  <c r="BV46" i="17"/>
  <c r="BM46" i="17"/>
  <c r="CH46" i="17"/>
  <c r="M46" i="17"/>
  <c r="L46" i="16"/>
  <c r="AJ46" i="17" l="1"/>
  <c r="DA46" i="17"/>
  <c r="AV46" i="17"/>
  <c r="U46" i="17"/>
  <c r="AG46" i="17"/>
  <c r="AM46" i="17"/>
  <c r="BQ46" i="17"/>
  <c r="CI46" i="17"/>
  <c r="CF46" i="17"/>
  <c r="DY46" i="17"/>
  <c r="CL46" i="17"/>
  <c r="BW46" i="17"/>
  <c r="I46" i="17"/>
  <c r="X46" i="17"/>
  <c r="BK46" i="17"/>
  <c r="R46" i="17"/>
  <c r="DD46" i="17"/>
  <c r="L46" i="17"/>
  <c r="AS46" i="17"/>
  <c r="DM46" i="17"/>
  <c r="BZ46" i="17"/>
  <c r="DP46" i="17"/>
  <c r="BE46" i="17"/>
  <c r="DG46" i="17"/>
  <c r="DV46" i="17"/>
  <c r="BB46" i="17"/>
  <c r="D46" i="20"/>
  <c r="Y46" i="16"/>
  <c r="Z46" i="16"/>
  <c r="BN46" i="17"/>
  <c r="AY46" i="17"/>
  <c r="CU46" i="17"/>
  <c r="AP46" i="17"/>
  <c r="CO46" i="17"/>
  <c r="Q46" i="16"/>
  <c r="F46" i="17"/>
  <c r="AA46" i="17"/>
  <c r="DJ46" i="17"/>
  <c r="O46" i="17"/>
  <c r="CR46" i="17"/>
  <c r="CC46" i="17"/>
  <c r="BT46" i="17"/>
  <c r="AD46" i="17"/>
  <c r="CX46" i="17"/>
  <c r="R46" i="16"/>
  <c r="AD46" i="16" s="1"/>
  <c r="BH46" i="17"/>
  <c r="DS46" i="17"/>
  <c r="S46" i="16" l="1"/>
  <c r="U46" i="16" s="1"/>
  <c r="T46" i="16"/>
  <c r="K46" i="16"/>
  <c r="P46" i="16"/>
  <c r="AA46" i="16"/>
  <c r="V46" i="16"/>
  <c r="E46" i="20"/>
  <c r="F46" i="20" s="1"/>
  <c r="J46" i="20"/>
  <c r="G46" i="20"/>
  <c r="H46" i="20" l="1"/>
  <c r="I46" i="20"/>
  <c r="K46" i="20"/>
  <c r="DW46" i="19"/>
  <c r="AW46" i="19"/>
  <c r="DQ46" i="19"/>
  <c r="DB46" i="19"/>
  <c r="BU46" i="19"/>
  <c r="AN46" i="19"/>
  <c r="BR46" i="19"/>
  <c r="G46" i="19"/>
  <c r="AE46" i="19"/>
  <c r="BC46" i="19"/>
  <c r="CJ46" i="19"/>
  <c r="AT46" i="19"/>
  <c r="CM46" i="19"/>
  <c r="BF46" i="19"/>
  <c r="CD46" i="19"/>
  <c r="AQ46" i="19"/>
  <c r="CS46" i="19"/>
  <c r="P46" i="19"/>
  <c r="CV46" i="19"/>
  <c r="DN46" i="19"/>
  <c r="AK46" i="19"/>
  <c r="AZ46" i="19"/>
  <c r="BL46" i="19"/>
  <c r="CA46" i="19"/>
  <c r="CG46" i="19"/>
  <c r="DT46" i="19"/>
  <c r="M46" i="19"/>
  <c r="CP46" i="19"/>
  <c r="DH46" i="19"/>
  <c r="D46" i="19"/>
  <c r="J46" i="19"/>
  <c r="BO46" i="19"/>
  <c r="V46" i="19"/>
  <c r="BX46" i="19"/>
  <c r="DK46" i="19"/>
  <c r="CY46" i="19"/>
  <c r="AH46" i="19"/>
  <c r="S46" i="19"/>
  <c r="AB46" i="19"/>
  <c r="Y46" i="19"/>
  <c r="BI46" i="19"/>
  <c r="DE46" i="19"/>
  <c r="Q46" i="20"/>
  <c r="M46" i="16"/>
  <c r="N46" i="16"/>
  <c r="AE46" i="16" s="1"/>
  <c r="AC46" i="16"/>
  <c r="AG46" i="16" s="1"/>
  <c r="T46" i="20" l="1"/>
  <c r="W46" i="20"/>
  <c r="DX46" i="19"/>
  <c r="DY46" i="19" s="1"/>
  <c r="AL46" i="19"/>
  <c r="AM46" i="19" s="1"/>
  <c r="H46" i="19"/>
  <c r="I46" i="19" s="1"/>
  <c r="DR46" i="19"/>
  <c r="DS46" i="19" s="1"/>
  <c r="DC46" i="19"/>
  <c r="DD46" i="19" s="1"/>
  <c r="BV46" i="19"/>
  <c r="BW46" i="19" s="1"/>
  <c r="DI46" i="19"/>
  <c r="DJ46" i="19" s="1"/>
  <c r="DU46" i="19"/>
  <c r="DV46" i="19" s="1"/>
  <c r="BS46" i="19"/>
  <c r="BT46" i="19" s="1"/>
  <c r="DL46" i="19"/>
  <c r="DM46" i="19" s="1"/>
  <c r="CZ46" i="19"/>
  <c r="DA46" i="19" s="1"/>
  <c r="CN46" i="19"/>
  <c r="CO46" i="19" s="1"/>
  <c r="AR46" i="19"/>
  <c r="AS46" i="19" s="1"/>
  <c r="K46" i="19"/>
  <c r="L46" i="19" s="1"/>
  <c r="AC46" i="19"/>
  <c r="AD46" i="19" s="1"/>
  <c r="Q46" i="19"/>
  <c r="R46" i="19" s="1"/>
  <c r="BA46" i="19"/>
  <c r="BB46" i="19" s="1"/>
  <c r="BM46" i="19"/>
  <c r="BN46" i="19" s="1"/>
  <c r="BJ46" i="19"/>
  <c r="BK46" i="19" s="1"/>
  <c r="AX46" i="19"/>
  <c r="AY46" i="19" s="1"/>
  <c r="AF46" i="19"/>
  <c r="AG46" i="19" s="1"/>
  <c r="BD46" i="19"/>
  <c r="BE46" i="19" s="1"/>
  <c r="CK46" i="19"/>
  <c r="CL46" i="19" s="1"/>
  <c r="E46" i="19"/>
  <c r="BP46" i="19"/>
  <c r="BQ46" i="19" s="1"/>
  <c r="CH46" i="19"/>
  <c r="CI46" i="19" s="1"/>
  <c r="CQ46" i="19"/>
  <c r="CR46" i="19" s="1"/>
  <c r="AU46" i="19"/>
  <c r="AV46" i="19" s="1"/>
  <c r="BY46" i="19"/>
  <c r="BZ46" i="19" s="1"/>
  <c r="CW46" i="19"/>
  <c r="CX46" i="19" s="1"/>
  <c r="BG46" i="19"/>
  <c r="BH46" i="19" s="1"/>
  <c r="AO46" i="19"/>
  <c r="AP46" i="19" s="1"/>
  <c r="N46" i="19"/>
  <c r="O46" i="19" s="1"/>
  <c r="AI46" i="19"/>
  <c r="AJ46" i="19" s="1"/>
  <c r="Z46" i="19"/>
  <c r="AA46" i="19" s="1"/>
  <c r="DF46" i="19"/>
  <c r="DG46" i="19" s="1"/>
  <c r="DO46" i="19"/>
  <c r="DP46" i="19" s="1"/>
  <c r="T46" i="19"/>
  <c r="U46" i="19" s="1"/>
  <c r="W46" i="19"/>
  <c r="X46" i="19" s="1"/>
  <c r="CE46" i="19"/>
  <c r="CF46" i="19" s="1"/>
  <c r="CB46" i="19"/>
  <c r="CC46" i="19" s="1"/>
  <c r="CT46" i="19"/>
  <c r="CU46" i="19" s="1"/>
  <c r="R46" i="20"/>
  <c r="O46" i="16"/>
  <c r="AF46" i="16" s="1"/>
  <c r="I46" i="16"/>
  <c r="X46" i="20" l="1"/>
  <c r="Y46" i="20" s="1"/>
  <c r="AA46" i="20" s="1"/>
  <c r="F46" i="19"/>
  <c r="Z46" i="20"/>
  <c r="AE46" i="20" s="1"/>
  <c r="AC46" i="20"/>
  <c r="S46" i="20"/>
  <c r="H47" i="16"/>
  <c r="L47" i="16" s="1"/>
  <c r="AD46" i="20" l="1"/>
  <c r="AG46" i="20" s="1"/>
  <c r="X47" i="16"/>
  <c r="W47" i="16"/>
  <c r="EA47" i="17"/>
  <c r="DZ47" i="17"/>
  <c r="S47" i="17"/>
  <c r="CH47" i="17"/>
  <c r="AH47" i="17"/>
  <c r="AT47" i="17"/>
  <c r="W47" i="17"/>
  <c r="G47" i="17"/>
  <c r="V47" i="17"/>
  <c r="H47" i="17"/>
  <c r="CG47" i="17"/>
  <c r="P47" i="17"/>
  <c r="AL47" i="17"/>
  <c r="CE47" i="17"/>
  <c r="AK47" i="17"/>
  <c r="BI47" i="17"/>
  <c r="Q47" i="17"/>
  <c r="CJ47" i="17"/>
  <c r="BP47" i="17"/>
  <c r="BO47" i="17"/>
  <c r="CY47" i="17"/>
  <c r="CD47" i="17"/>
  <c r="BJ47" i="17"/>
  <c r="CK47" i="17"/>
  <c r="CZ47" i="17"/>
  <c r="DC47" i="17"/>
  <c r="DX47" i="17"/>
  <c r="AU47" i="17"/>
  <c r="AF47" i="17"/>
  <c r="BU47" i="17"/>
  <c r="BV47" i="17"/>
  <c r="DW47" i="17"/>
  <c r="AI47" i="17"/>
  <c r="T47" i="17"/>
  <c r="DB47" i="17"/>
  <c r="AE47" i="17"/>
  <c r="J47" i="17"/>
  <c r="DF47" i="17"/>
  <c r="BX47" i="17"/>
  <c r="Z47" i="17"/>
  <c r="DE47" i="17"/>
  <c r="BM47" i="17"/>
  <c r="Y47" i="17"/>
  <c r="CT47" i="17"/>
  <c r="AB47" i="17"/>
  <c r="BL47" i="17"/>
  <c r="BY47" i="17"/>
  <c r="AC47" i="17"/>
  <c r="CQ47" i="17"/>
  <c r="DU47" i="17"/>
  <c r="E47" i="17"/>
  <c r="BS47" i="17"/>
  <c r="DT47" i="17"/>
  <c r="AW47" i="17"/>
  <c r="BR47" i="17"/>
  <c r="DO47" i="17"/>
  <c r="AQ47" i="17"/>
  <c r="DN47" i="17"/>
  <c r="AZ47" i="17"/>
  <c r="CN47" i="17"/>
  <c r="CA47" i="17"/>
  <c r="BG47" i="17"/>
  <c r="BD47" i="17"/>
  <c r="CV47" i="17"/>
  <c r="DI47" i="17"/>
  <c r="DQ47" i="17"/>
  <c r="N47" i="17"/>
  <c r="CS47" i="17"/>
  <c r="CB47" i="17"/>
  <c r="AX47" i="17"/>
  <c r="CP47" i="17"/>
  <c r="D47" i="17"/>
  <c r="BA47" i="17"/>
  <c r="AN47" i="17"/>
  <c r="CW47" i="17"/>
  <c r="K47" i="17"/>
  <c r="DH47" i="17"/>
  <c r="DL47" i="17"/>
  <c r="DK47" i="17"/>
  <c r="AR47" i="17"/>
  <c r="BF47" i="17"/>
  <c r="AO47" i="17"/>
  <c r="BC47" i="17"/>
  <c r="M47" i="17"/>
  <c r="DR47" i="17"/>
  <c r="CM47" i="17"/>
  <c r="U46" i="20"/>
  <c r="AF46" i="20" s="1"/>
  <c r="O46" i="20"/>
  <c r="V46" i="20"/>
  <c r="BK47" i="17" l="1"/>
  <c r="BZ47" i="17"/>
  <c r="DV47" i="17"/>
  <c r="CU47" i="17"/>
  <c r="DJ47" i="17"/>
  <c r="DG47" i="17"/>
  <c r="DM47" i="17"/>
  <c r="CX47" i="17"/>
  <c r="DY47" i="17"/>
  <c r="DS47" i="17"/>
  <c r="CL47" i="17"/>
  <c r="BT47" i="17"/>
  <c r="AA47" i="17"/>
  <c r="AV47" i="17"/>
  <c r="BH47" i="17"/>
  <c r="AS47" i="17"/>
  <c r="AD47" i="17"/>
  <c r="DA47" i="17"/>
  <c r="AM47" i="17"/>
  <c r="CO47" i="17"/>
  <c r="X47" i="17"/>
  <c r="EB47" i="17"/>
  <c r="DP47" i="17"/>
  <c r="BN47" i="17"/>
  <c r="CF47" i="17"/>
  <c r="BQ47" i="17"/>
  <c r="I47" i="17"/>
  <c r="AY47" i="17"/>
  <c r="AJ47" i="17"/>
  <c r="U47" i="17"/>
  <c r="BW47" i="17"/>
  <c r="R47" i="16"/>
  <c r="AD47" i="16" s="1"/>
  <c r="AP47" i="17"/>
  <c r="CC47" i="17"/>
  <c r="L47" i="17"/>
  <c r="O47" i="17"/>
  <c r="Q47" i="16"/>
  <c r="F47" i="17"/>
  <c r="AG47" i="17"/>
  <c r="R47" i="17"/>
  <c r="D47" i="20"/>
  <c r="Y47" i="16"/>
  <c r="Z47" i="16"/>
  <c r="BE47" i="17"/>
  <c r="CR47" i="17"/>
  <c r="BB47" i="17"/>
  <c r="DD47" i="17"/>
  <c r="CI47" i="17"/>
  <c r="J47" i="20" l="1"/>
  <c r="E47" i="20"/>
  <c r="G47" i="20"/>
  <c r="AA47" i="16"/>
  <c r="V47" i="16"/>
  <c r="S47" i="16"/>
  <c r="U47" i="16" s="1"/>
  <c r="T47" i="16"/>
  <c r="K47" i="16"/>
  <c r="P47" i="16"/>
  <c r="M47" i="16" l="1"/>
  <c r="N47" i="16"/>
  <c r="AE47" i="16" s="1"/>
  <c r="AC47" i="16"/>
  <c r="AG47" i="16" s="1"/>
  <c r="K47" i="20"/>
  <c r="F47" i="20"/>
  <c r="DZ47" i="19"/>
  <c r="BX47" i="19"/>
  <c r="DN47" i="19"/>
  <c r="AN47" i="19"/>
  <c r="CV47" i="19"/>
  <c r="CM47" i="19"/>
  <c r="AB47" i="19"/>
  <c r="P47" i="19"/>
  <c r="CJ47" i="19"/>
  <c r="Y47" i="19"/>
  <c r="BI47" i="19"/>
  <c r="DE47" i="19"/>
  <c r="AE47" i="19"/>
  <c r="CD47" i="19"/>
  <c r="CG47" i="19"/>
  <c r="CP47" i="19"/>
  <c r="S47" i="19"/>
  <c r="AW47" i="19"/>
  <c r="AK47" i="19"/>
  <c r="CS47" i="19"/>
  <c r="AQ47" i="19"/>
  <c r="BF47" i="19"/>
  <c r="DQ47" i="19"/>
  <c r="BL47" i="19"/>
  <c r="BC47" i="19"/>
  <c r="J47" i="19"/>
  <c r="AH47" i="19"/>
  <c r="BR47" i="19"/>
  <c r="DH47" i="19"/>
  <c r="BO47" i="19"/>
  <c r="DT47" i="19"/>
  <c r="CY47" i="19"/>
  <c r="AT47" i="19"/>
  <c r="AZ47" i="19"/>
  <c r="DW47" i="19"/>
  <c r="DK47" i="19"/>
  <c r="V47" i="19"/>
  <c r="M47" i="19"/>
  <c r="CA47" i="19"/>
  <c r="BU47" i="19"/>
  <c r="DB47" i="19"/>
  <c r="G47" i="19"/>
  <c r="D47" i="19"/>
  <c r="Q47" i="20"/>
  <c r="T47" i="20" l="1"/>
  <c r="W47" i="20"/>
  <c r="AC47" i="20" s="1"/>
  <c r="H47" i="20"/>
  <c r="I47" i="20"/>
  <c r="EA47" i="19"/>
  <c r="EB47" i="19" s="1"/>
  <c r="Z47" i="19"/>
  <c r="AA47" i="19" s="1"/>
  <c r="BJ47" i="19"/>
  <c r="BK47" i="19" s="1"/>
  <c r="DF47" i="19"/>
  <c r="DG47" i="19" s="1"/>
  <c r="AO47" i="19"/>
  <c r="AP47" i="19" s="1"/>
  <c r="BY47" i="19"/>
  <c r="BZ47" i="19" s="1"/>
  <c r="H47" i="19"/>
  <c r="I47" i="19" s="1"/>
  <c r="CQ47" i="19"/>
  <c r="CR47" i="19" s="1"/>
  <c r="T47" i="19"/>
  <c r="U47" i="19" s="1"/>
  <c r="AX47" i="19"/>
  <c r="AY47" i="19" s="1"/>
  <c r="AL47" i="19"/>
  <c r="AM47" i="19" s="1"/>
  <c r="CZ47" i="19"/>
  <c r="DA47" i="19" s="1"/>
  <c r="Q47" i="19"/>
  <c r="R47" i="19" s="1"/>
  <c r="AF47" i="19"/>
  <c r="AG47" i="19" s="1"/>
  <c r="CE47" i="19"/>
  <c r="CF47" i="19" s="1"/>
  <c r="DO47" i="19"/>
  <c r="DP47" i="19" s="1"/>
  <c r="CN47" i="19"/>
  <c r="CO47" i="19" s="1"/>
  <c r="BA47" i="19"/>
  <c r="BB47" i="19" s="1"/>
  <c r="BD47" i="19"/>
  <c r="BE47" i="19" s="1"/>
  <c r="W47" i="19"/>
  <c r="X47" i="19" s="1"/>
  <c r="CB47" i="19"/>
  <c r="CC47" i="19" s="1"/>
  <c r="AR47" i="19"/>
  <c r="AS47" i="19" s="1"/>
  <c r="DI47" i="19"/>
  <c r="DJ47" i="19" s="1"/>
  <c r="DR47" i="19"/>
  <c r="DS47" i="19" s="1"/>
  <c r="CW47" i="19"/>
  <c r="CX47" i="19" s="1"/>
  <c r="BS47" i="19"/>
  <c r="BT47" i="19" s="1"/>
  <c r="BP47" i="19"/>
  <c r="BQ47" i="19" s="1"/>
  <c r="BM47" i="19"/>
  <c r="BN47" i="19" s="1"/>
  <c r="AI47" i="19"/>
  <c r="AJ47" i="19" s="1"/>
  <c r="CH47" i="19"/>
  <c r="CI47" i="19" s="1"/>
  <c r="DU47" i="19"/>
  <c r="DV47" i="19" s="1"/>
  <c r="CT47" i="19"/>
  <c r="CU47" i="19" s="1"/>
  <c r="AC47" i="19"/>
  <c r="AD47" i="19" s="1"/>
  <c r="DL47" i="19"/>
  <c r="DM47" i="19" s="1"/>
  <c r="N47" i="19"/>
  <c r="O47" i="19" s="1"/>
  <c r="CK47" i="19"/>
  <c r="CL47" i="19" s="1"/>
  <c r="BV47" i="19"/>
  <c r="BW47" i="19" s="1"/>
  <c r="BG47" i="19"/>
  <c r="BH47" i="19" s="1"/>
  <c r="DC47" i="19"/>
  <c r="DD47" i="19" s="1"/>
  <c r="K47" i="19"/>
  <c r="L47" i="19" s="1"/>
  <c r="DX47" i="19"/>
  <c r="DY47" i="19" s="1"/>
  <c r="AU47" i="19"/>
  <c r="AV47" i="19" s="1"/>
  <c r="E47" i="19"/>
  <c r="F47" i="19" s="1"/>
  <c r="R47" i="20"/>
  <c r="S47" i="20" s="1"/>
  <c r="O47" i="16"/>
  <c r="AF47" i="16" s="1"/>
  <c r="I47" i="16"/>
  <c r="U47" i="20" l="1"/>
  <c r="O47" i="20"/>
  <c r="H48" i="16"/>
  <c r="L48" i="16" s="1"/>
  <c r="V47" i="20"/>
  <c r="X47" i="20"/>
  <c r="AD47" i="20" s="1"/>
  <c r="AG47" i="20" s="1"/>
  <c r="Z47" i="20"/>
  <c r="AE47" i="20" s="1"/>
  <c r="Y47" i="20" l="1"/>
  <c r="AA47" i="20" s="1"/>
  <c r="AF47" i="20" s="1"/>
  <c r="X48" i="16"/>
  <c r="W48" i="16"/>
  <c r="EC48" i="17"/>
  <c r="ED48" i="17"/>
  <c r="DE48" i="17"/>
  <c r="BF48" i="17"/>
  <c r="W48" i="17"/>
  <c r="AR48" i="17"/>
  <c r="DK48" i="17"/>
  <c r="Z48" i="17"/>
  <c r="CW48" i="17"/>
  <c r="V48" i="17"/>
  <c r="DF48" i="17"/>
  <c r="CV48" i="17"/>
  <c r="AU48" i="17"/>
  <c r="DL48" i="17"/>
  <c r="BI48" i="17"/>
  <c r="BJ48" i="17"/>
  <c r="CZ48" i="17"/>
  <c r="CY48" i="17"/>
  <c r="CN48" i="17"/>
  <c r="CD48" i="17"/>
  <c r="DO48" i="17"/>
  <c r="DZ48" i="17"/>
  <c r="AC48" i="17"/>
  <c r="AB48" i="17"/>
  <c r="AQ48" i="17"/>
  <c r="CM48" i="17"/>
  <c r="AT48" i="17"/>
  <c r="CK48" i="17"/>
  <c r="BY48" i="17"/>
  <c r="DN48" i="17"/>
  <c r="EA48" i="17"/>
  <c r="DR48" i="17"/>
  <c r="BG48" i="17"/>
  <c r="CS48" i="17"/>
  <c r="CE48" i="17"/>
  <c r="CJ48" i="17"/>
  <c r="BX48" i="17"/>
  <c r="BR48" i="17"/>
  <c r="CT48" i="17"/>
  <c r="DX48" i="17"/>
  <c r="DW48" i="17"/>
  <c r="BL48" i="17"/>
  <c r="DU48" i="17"/>
  <c r="Y48" i="17"/>
  <c r="AK48" i="17"/>
  <c r="DI48" i="17"/>
  <c r="BS48" i="17"/>
  <c r="DH48" i="17"/>
  <c r="DQ48" i="17"/>
  <c r="BM48" i="17"/>
  <c r="AL48" i="17"/>
  <c r="DT48" i="17"/>
  <c r="G48" i="17"/>
  <c r="Q48" i="17"/>
  <c r="S48" i="17"/>
  <c r="BC48" i="17"/>
  <c r="K48" i="17"/>
  <c r="BV48" i="17"/>
  <c r="H48" i="17"/>
  <c r="P48" i="17"/>
  <c r="BD48" i="17"/>
  <c r="J48" i="17"/>
  <c r="AW48" i="17"/>
  <c r="AO48" i="17"/>
  <c r="E48" i="17"/>
  <c r="AI48" i="17"/>
  <c r="D48" i="17"/>
  <c r="AX48" i="17"/>
  <c r="AH48" i="17"/>
  <c r="AF48" i="17"/>
  <c r="CP48" i="17"/>
  <c r="BA48" i="17"/>
  <c r="BU48" i="17"/>
  <c r="AN48" i="17"/>
  <c r="CH48" i="17"/>
  <c r="CG48" i="17"/>
  <c r="CQ48" i="17"/>
  <c r="AE48" i="17"/>
  <c r="M48" i="17"/>
  <c r="BO48" i="17"/>
  <c r="N48" i="17"/>
  <c r="DB48" i="17"/>
  <c r="CB48" i="17"/>
  <c r="BP48" i="17"/>
  <c r="DC48" i="17"/>
  <c r="AZ48" i="17"/>
  <c r="CA48" i="17"/>
  <c r="T48" i="17"/>
  <c r="I48" i="17" l="1"/>
  <c r="DG48" i="17"/>
  <c r="DY48" i="17"/>
  <c r="BT48" i="17"/>
  <c r="BW48" i="17"/>
  <c r="DJ48" i="17"/>
  <c r="AD48" i="17"/>
  <c r="AA48" i="17"/>
  <c r="BB48" i="17"/>
  <c r="R48" i="16"/>
  <c r="AD48" i="16" s="1"/>
  <c r="AP48" i="17"/>
  <c r="EE48" i="17"/>
  <c r="AY48" i="17"/>
  <c r="AJ48" i="17"/>
  <c r="CI48" i="17"/>
  <c r="DV48" i="17"/>
  <c r="BH48" i="17"/>
  <c r="L48" i="17"/>
  <c r="CO48" i="17"/>
  <c r="DS48" i="17"/>
  <c r="AS48" i="17"/>
  <c r="R48" i="17"/>
  <c r="CX48" i="17"/>
  <c r="CU48" i="17"/>
  <c r="EB48" i="17"/>
  <c r="CC48" i="17"/>
  <c r="AV48" i="17"/>
  <c r="BK48" i="17"/>
  <c r="D48" i="20"/>
  <c r="Y48" i="16"/>
  <c r="Z48" i="16"/>
  <c r="BZ48" i="17"/>
  <c r="CL48" i="17"/>
  <c r="CR48" i="17"/>
  <c r="DD48" i="17"/>
  <c r="X48" i="17"/>
  <c r="AM48" i="17"/>
  <c r="BQ48" i="17"/>
  <c r="BE48" i="17"/>
  <c r="CF48" i="17"/>
  <c r="O48" i="17"/>
  <c r="Q48" i="16"/>
  <c r="F48" i="17"/>
  <c r="U48" i="17"/>
  <c r="DM48" i="17"/>
  <c r="AG48" i="17"/>
  <c r="BN48" i="17"/>
  <c r="DP48" i="17"/>
  <c r="DA48" i="17"/>
  <c r="P48" i="16" l="1"/>
  <c r="S48" i="16"/>
  <c r="U48" i="16" s="1"/>
  <c r="T48" i="16"/>
  <c r="K48" i="16"/>
  <c r="AA48" i="16"/>
  <c r="V48" i="16"/>
  <c r="J48" i="20"/>
  <c r="E48" i="20"/>
  <c r="G48" i="20"/>
  <c r="K48" i="20" l="1"/>
  <c r="F48" i="20"/>
  <c r="EC48" i="19"/>
  <c r="DW48" i="19"/>
  <c r="AW48" i="19"/>
  <c r="CS48" i="19"/>
  <c r="BC48" i="19"/>
  <c r="DB48" i="19"/>
  <c r="BF48" i="19"/>
  <c r="CV48" i="19"/>
  <c r="CY48" i="19"/>
  <c r="AQ48" i="19"/>
  <c r="M48" i="19"/>
  <c r="G48" i="19"/>
  <c r="AB48" i="19"/>
  <c r="AT48" i="19"/>
  <c r="AK48" i="19"/>
  <c r="AN48" i="19"/>
  <c r="D48" i="19"/>
  <c r="AE48" i="19"/>
  <c r="CG48" i="19"/>
  <c r="S48" i="19"/>
  <c r="J48" i="19"/>
  <c r="AH48" i="19"/>
  <c r="CD48" i="19"/>
  <c r="V48" i="19"/>
  <c r="BX48" i="19"/>
  <c r="BO48" i="19"/>
  <c r="BR48" i="19"/>
  <c r="P48" i="19"/>
  <c r="DH48" i="19"/>
  <c r="BU48" i="19"/>
  <c r="CA48" i="19"/>
  <c r="CP48" i="19"/>
  <c r="DT48" i="19"/>
  <c r="DK48" i="19"/>
  <c r="AZ48" i="19"/>
  <c r="CM48" i="19"/>
  <c r="BL48" i="19"/>
  <c r="DN48" i="19"/>
  <c r="BI48" i="19"/>
  <c r="Y48" i="19"/>
  <c r="DQ48" i="19"/>
  <c r="CJ48" i="19"/>
  <c r="DE48" i="19"/>
  <c r="DZ48" i="19"/>
  <c r="Q48" i="20"/>
  <c r="M48" i="16"/>
  <c r="N48" i="16"/>
  <c r="AE48" i="16" s="1"/>
  <c r="AC48" i="16"/>
  <c r="AG48" i="16" s="1"/>
  <c r="W48" i="20" l="1"/>
  <c r="AC48" i="20" s="1"/>
  <c r="O48" i="16"/>
  <c r="AF48" i="16" s="1"/>
  <c r="I48" i="16"/>
  <c r="H48" i="20"/>
  <c r="I48" i="20"/>
  <c r="T48" i="20"/>
  <c r="ED48" i="19"/>
  <c r="EE48" i="19" s="1"/>
  <c r="AX48" i="19"/>
  <c r="AY48" i="19" s="1"/>
  <c r="CT48" i="19"/>
  <c r="CU48" i="19" s="1"/>
  <c r="BD48" i="19"/>
  <c r="BE48" i="19" s="1"/>
  <c r="DC48" i="19"/>
  <c r="DD48" i="19" s="1"/>
  <c r="BG48" i="19"/>
  <c r="BH48" i="19" s="1"/>
  <c r="CW48" i="19"/>
  <c r="CX48" i="19" s="1"/>
  <c r="CZ48" i="19"/>
  <c r="DA48" i="19" s="1"/>
  <c r="AR48" i="19"/>
  <c r="AS48" i="19" s="1"/>
  <c r="N48" i="19"/>
  <c r="O48" i="19" s="1"/>
  <c r="CH48" i="19"/>
  <c r="CI48" i="19" s="1"/>
  <c r="T48" i="19"/>
  <c r="U48" i="19" s="1"/>
  <c r="BY48" i="19"/>
  <c r="BZ48" i="19" s="1"/>
  <c r="BS48" i="19"/>
  <c r="BT48" i="19" s="1"/>
  <c r="Q48" i="19"/>
  <c r="R48" i="19" s="1"/>
  <c r="BV48" i="19"/>
  <c r="BW48" i="19" s="1"/>
  <c r="AU48" i="19"/>
  <c r="AV48" i="19" s="1"/>
  <c r="H48" i="19"/>
  <c r="I48" i="19" s="1"/>
  <c r="E48" i="19"/>
  <c r="W48" i="19"/>
  <c r="X48" i="19" s="1"/>
  <c r="DI48" i="19"/>
  <c r="DJ48" i="19" s="1"/>
  <c r="K48" i="19"/>
  <c r="L48" i="19" s="1"/>
  <c r="CB48" i="19"/>
  <c r="CC48" i="19" s="1"/>
  <c r="CN48" i="19"/>
  <c r="CO48" i="19" s="1"/>
  <c r="AC48" i="19"/>
  <c r="AD48" i="19" s="1"/>
  <c r="AI48" i="19"/>
  <c r="AJ48" i="19" s="1"/>
  <c r="BP48" i="19"/>
  <c r="BQ48" i="19" s="1"/>
  <c r="CQ48" i="19"/>
  <c r="CR48" i="19" s="1"/>
  <c r="CE48" i="19"/>
  <c r="CF48" i="19" s="1"/>
  <c r="AF48" i="19"/>
  <c r="AG48" i="19" s="1"/>
  <c r="EA48" i="19"/>
  <c r="EB48" i="19" s="1"/>
  <c r="AO48" i="19"/>
  <c r="AP48" i="19" s="1"/>
  <c r="DL48" i="19"/>
  <c r="DM48" i="19" s="1"/>
  <c r="BM48" i="19"/>
  <c r="BN48" i="19" s="1"/>
  <c r="DO48" i="19"/>
  <c r="DP48" i="19" s="1"/>
  <c r="BJ48" i="19"/>
  <c r="BK48" i="19" s="1"/>
  <c r="Z48" i="19"/>
  <c r="AA48" i="19" s="1"/>
  <c r="DR48" i="19"/>
  <c r="DS48" i="19" s="1"/>
  <c r="CK48" i="19"/>
  <c r="CL48" i="19" s="1"/>
  <c r="DF48" i="19"/>
  <c r="DG48" i="19" s="1"/>
  <c r="DU48" i="19"/>
  <c r="DV48" i="19" s="1"/>
  <c r="BA48" i="19"/>
  <c r="BB48" i="19" s="1"/>
  <c r="DX48" i="19"/>
  <c r="DY48" i="19" s="1"/>
  <c r="AL48" i="19"/>
  <c r="AM48" i="19" s="1"/>
  <c r="R48" i="20"/>
  <c r="S48" i="20" s="1"/>
  <c r="X48" i="20" l="1"/>
  <c r="Y48" i="20" s="1"/>
  <c r="AA48" i="20" s="1"/>
  <c r="H49" i="16"/>
  <c r="Z48" i="20"/>
  <c r="AE48" i="20" s="1"/>
  <c r="U48" i="20"/>
  <c r="O48" i="20"/>
  <c r="F48" i="19"/>
  <c r="AF48" i="20" l="1"/>
  <c r="AD48" i="20"/>
  <c r="AG48" i="20" s="1"/>
  <c r="X49" i="16"/>
  <c r="W49" i="16"/>
  <c r="EF49" i="17"/>
  <c r="EG49" i="17"/>
  <c r="AX49" i="17"/>
  <c r="CS49" i="17"/>
  <c r="J49" i="17"/>
  <c r="AZ49" i="17"/>
  <c r="DW49" i="17"/>
  <c r="CV49" i="17"/>
  <c r="Y49" i="17"/>
  <c r="DX49" i="17"/>
  <c r="DR49" i="17"/>
  <c r="BS49" i="17"/>
  <c r="Z49" i="17"/>
  <c r="DU49" i="17"/>
  <c r="CH49" i="17"/>
  <c r="CW49" i="17"/>
  <c r="DT49" i="17"/>
  <c r="DF49" i="17"/>
  <c r="BR49" i="17"/>
  <c r="DE49" i="17"/>
  <c r="AR49" i="17"/>
  <c r="DH49" i="17"/>
  <c r="CG49" i="17"/>
  <c r="DQ49" i="17"/>
  <c r="BU49" i="17"/>
  <c r="BV49" i="17"/>
  <c r="BF49" i="17"/>
  <c r="AC49" i="17"/>
  <c r="CN49" i="17"/>
  <c r="AB49" i="17"/>
  <c r="EA49" i="17"/>
  <c r="Q49" i="17"/>
  <c r="BG49" i="17"/>
  <c r="AQ49" i="17"/>
  <c r="P49" i="17"/>
  <c r="CM49" i="17"/>
  <c r="AI49" i="17"/>
  <c r="DZ49" i="17"/>
  <c r="EC49" i="17"/>
  <c r="AO49" i="17"/>
  <c r="H49" i="17"/>
  <c r="AH49" i="17"/>
  <c r="AN49" i="17"/>
  <c r="G49" i="17"/>
  <c r="DI49" i="17"/>
  <c r="AW49" i="17"/>
  <c r="ED49" i="17"/>
  <c r="CT49" i="17"/>
  <c r="K49" i="17"/>
  <c r="BA49" i="17"/>
  <c r="BO49" i="17"/>
  <c r="W49" i="17"/>
  <c r="T49" i="17"/>
  <c r="BJ49" i="17"/>
  <c r="DN49" i="17"/>
  <c r="V49" i="17"/>
  <c r="DC49" i="17"/>
  <c r="N49" i="17"/>
  <c r="BI49" i="17"/>
  <c r="BP49" i="17"/>
  <c r="M49" i="17"/>
  <c r="BD49" i="17"/>
  <c r="DB49" i="17"/>
  <c r="CY49" i="17"/>
  <c r="BC49" i="17"/>
  <c r="AF49" i="17"/>
  <c r="CB49" i="17"/>
  <c r="CE49" i="17"/>
  <c r="CZ49" i="17"/>
  <c r="AE49" i="17"/>
  <c r="CA49" i="17"/>
  <c r="BY49" i="17"/>
  <c r="CK49" i="17"/>
  <c r="AL49" i="17"/>
  <c r="E49" i="17"/>
  <c r="CQ49" i="17"/>
  <c r="AK49" i="17"/>
  <c r="BM49" i="17"/>
  <c r="DL49" i="17"/>
  <c r="CJ49" i="17"/>
  <c r="AU49" i="17"/>
  <c r="D49" i="17"/>
  <c r="BL49" i="17"/>
  <c r="CD49" i="17"/>
  <c r="AT49" i="17"/>
  <c r="CP49" i="17"/>
  <c r="BX49" i="17"/>
  <c r="S49" i="17"/>
  <c r="DO49" i="17"/>
  <c r="DK49" i="17"/>
  <c r="L49" i="16"/>
  <c r="V48" i="20"/>
  <c r="EE49" i="17" l="1"/>
  <c r="BQ49" i="17"/>
  <c r="CU49" i="17"/>
  <c r="BZ49" i="17"/>
  <c r="DY49" i="17"/>
  <c r="AM49" i="17"/>
  <c r="BE49" i="17"/>
  <c r="DV49" i="17"/>
  <c r="CL49" i="17"/>
  <c r="BT49" i="17"/>
  <c r="AJ49" i="17"/>
  <c r="L49" i="17"/>
  <c r="DS49" i="17"/>
  <c r="DP49" i="17"/>
  <c r="AP49" i="17"/>
  <c r="AD49" i="17"/>
  <c r="BB49" i="17"/>
  <c r="AA49" i="17"/>
  <c r="X49" i="17"/>
  <c r="AG49" i="17"/>
  <c r="AY49" i="17"/>
  <c r="AS49" i="17"/>
  <c r="DJ49" i="17"/>
  <c r="I49" i="17"/>
  <c r="DG49" i="17"/>
  <c r="CX49" i="17"/>
  <c r="DA49" i="17"/>
  <c r="EH49" i="17"/>
  <c r="Q49" i="16"/>
  <c r="F49" i="17"/>
  <c r="R49" i="16"/>
  <c r="AD49" i="16" s="1"/>
  <c r="BH49" i="17"/>
  <c r="DM49" i="17"/>
  <c r="U49" i="17"/>
  <c r="DD49" i="17"/>
  <c r="CR49" i="17"/>
  <c r="EB49" i="17"/>
  <c r="AV49" i="17"/>
  <c r="O49" i="17"/>
  <c r="BW49" i="17"/>
  <c r="CF49" i="17"/>
  <c r="CO49" i="17"/>
  <c r="D49" i="20"/>
  <c r="Y49" i="16"/>
  <c r="Z49" i="16"/>
  <c r="BN49" i="17"/>
  <c r="CC49" i="17"/>
  <c r="BK49" i="17"/>
  <c r="R49" i="17"/>
  <c r="CI49" i="17"/>
  <c r="P49" i="16" l="1"/>
  <c r="AA49" i="16"/>
  <c r="V49" i="16"/>
  <c r="J49" i="20"/>
  <c r="E49" i="20"/>
  <c r="F49" i="20" s="1"/>
  <c r="G49" i="20"/>
  <c r="S49" i="16"/>
  <c r="U49" i="16" s="1"/>
  <c r="T49" i="16"/>
  <c r="K49" i="16"/>
  <c r="EF49" i="19" l="1"/>
  <c r="M49" i="19"/>
  <c r="EC49" i="19"/>
  <c r="CD49" i="19"/>
  <c r="CJ49" i="19"/>
  <c r="AW49" i="19"/>
  <c r="BL49" i="19"/>
  <c r="DK49" i="19"/>
  <c r="CY49" i="19"/>
  <c r="AE49" i="19"/>
  <c r="DB49" i="19"/>
  <c r="BC49" i="19"/>
  <c r="AH49" i="19"/>
  <c r="DE49" i="19"/>
  <c r="AK49" i="19"/>
  <c r="G49" i="19"/>
  <c r="CG49" i="19"/>
  <c r="CA49" i="19"/>
  <c r="DW49" i="19"/>
  <c r="BF49" i="19"/>
  <c r="BO49" i="19"/>
  <c r="BR49" i="19"/>
  <c r="CP49" i="19"/>
  <c r="S49" i="19"/>
  <c r="P49" i="19"/>
  <c r="DH49" i="19"/>
  <c r="Y49" i="19"/>
  <c r="DZ49" i="19"/>
  <c r="CS49" i="19"/>
  <c r="BI49" i="19"/>
  <c r="CM49" i="19"/>
  <c r="AN49" i="19"/>
  <c r="DT49" i="19"/>
  <c r="AB49" i="19"/>
  <c r="AQ49" i="19"/>
  <c r="AZ49" i="19"/>
  <c r="DN49" i="19"/>
  <c r="AT49" i="19"/>
  <c r="CV49" i="19"/>
  <c r="BU49" i="19"/>
  <c r="DQ49" i="19"/>
  <c r="BX49" i="19"/>
  <c r="J49" i="19"/>
  <c r="V49" i="19"/>
  <c r="Q49" i="20"/>
  <c r="D49" i="19"/>
  <c r="M49" i="16"/>
  <c r="N49" i="16"/>
  <c r="AE49" i="16" s="1"/>
  <c r="AC49" i="16"/>
  <c r="AG49" i="16" s="1"/>
  <c r="H49" i="20"/>
  <c r="I49" i="20"/>
  <c r="K49" i="20"/>
  <c r="W49" i="20" l="1"/>
  <c r="T49" i="20"/>
  <c r="EG49" i="19"/>
  <c r="EH49" i="19" s="1"/>
  <c r="BA49" i="19"/>
  <c r="BB49" i="19" s="1"/>
  <c r="DL49" i="19"/>
  <c r="DM49" i="19" s="1"/>
  <c r="CZ49" i="19"/>
  <c r="DA49" i="19" s="1"/>
  <c r="AF49" i="19"/>
  <c r="AG49" i="19" s="1"/>
  <c r="DC49" i="19"/>
  <c r="DD49" i="19" s="1"/>
  <c r="BD49" i="19"/>
  <c r="BE49" i="19" s="1"/>
  <c r="AI49" i="19"/>
  <c r="AJ49" i="19" s="1"/>
  <c r="ED49" i="19"/>
  <c r="EE49" i="19" s="1"/>
  <c r="CK49" i="19"/>
  <c r="CL49" i="19" s="1"/>
  <c r="CT49" i="19"/>
  <c r="CU49" i="19" s="1"/>
  <c r="N49" i="19"/>
  <c r="O49" i="19" s="1"/>
  <c r="BM49" i="19"/>
  <c r="BN49" i="19" s="1"/>
  <c r="AX49" i="19"/>
  <c r="AY49" i="19" s="1"/>
  <c r="CB49" i="19"/>
  <c r="CC49" i="19" s="1"/>
  <c r="BG49" i="19"/>
  <c r="BH49" i="19" s="1"/>
  <c r="BP49" i="19"/>
  <c r="BQ49" i="19" s="1"/>
  <c r="BS49" i="19"/>
  <c r="BT49" i="19" s="1"/>
  <c r="T49" i="19"/>
  <c r="U49" i="19" s="1"/>
  <c r="H49" i="19"/>
  <c r="I49" i="19" s="1"/>
  <c r="BY49" i="19"/>
  <c r="BZ49" i="19" s="1"/>
  <c r="BV49" i="19"/>
  <c r="BW49" i="19" s="1"/>
  <c r="DX49" i="19"/>
  <c r="DY49" i="19" s="1"/>
  <c r="DF49" i="19"/>
  <c r="DG49" i="19" s="1"/>
  <c r="CH49" i="19"/>
  <c r="CI49" i="19" s="1"/>
  <c r="DO49" i="19"/>
  <c r="DP49" i="19" s="1"/>
  <c r="EA49" i="19"/>
  <c r="EB49" i="19" s="1"/>
  <c r="CN49" i="19"/>
  <c r="CO49" i="19" s="1"/>
  <c r="CW49" i="19"/>
  <c r="CX49" i="19" s="1"/>
  <c r="AO49" i="19"/>
  <c r="AP49" i="19" s="1"/>
  <c r="DU49" i="19"/>
  <c r="DV49" i="19" s="1"/>
  <c r="K49" i="19"/>
  <c r="L49" i="19" s="1"/>
  <c r="Z49" i="19"/>
  <c r="AA49" i="19" s="1"/>
  <c r="W49" i="19"/>
  <c r="X49" i="19" s="1"/>
  <c r="DR49" i="19"/>
  <c r="DS49" i="19" s="1"/>
  <c r="CE49" i="19"/>
  <c r="CF49" i="19" s="1"/>
  <c r="Q49" i="19"/>
  <c r="R49" i="19" s="1"/>
  <c r="BJ49" i="19"/>
  <c r="BK49" i="19" s="1"/>
  <c r="AL49" i="19"/>
  <c r="AM49" i="19" s="1"/>
  <c r="AR49" i="19"/>
  <c r="AS49" i="19" s="1"/>
  <c r="CQ49" i="19"/>
  <c r="CR49" i="19" s="1"/>
  <c r="AC49" i="19"/>
  <c r="AD49" i="19" s="1"/>
  <c r="AU49" i="19"/>
  <c r="AV49" i="19" s="1"/>
  <c r="DI49" i="19"/>
  <c r="DJ49" i="19" s="1"/>
  <c r="E49" i="19"/>
  <c r="F49" i="19" s="1"/>
  <c r="R49" i="20"/>
  <c r="O49" i="16"/>
  <c r="AF49" i="16" s="1"/>
  <c r="I49" i="16"/>
  <c r="V49" i="20" l="1"/>
  <c r="Z49" i="20"/>
  <c r="AE49" i="20" s="1"/>
  <c r="H50" i="16"/>
  <c r="AC49" i="20"/>
  <c r="S49" i="20"/>
  <c r="X49" i="20"/>
  <c r="AD49" i="20" s="1"/>
  <c r="X50" i="16" l="1"/>
  <c r="W50" i="16"/>
  <c r="EI50" i="17"/>
  <c r="EJ50" i="17"/>
  <c r="AQ50" i="17"/>
  <c r="DW50" i="17"/>
  <c r="BR50" i="17"/>
  <c r="DT50" i="17"/>
  <c r="BO50" i="17"/>
  <c r="DX50" i="17"/>
  <c r="AX50" i="17"/>
  <c r="BS50" i="17"/>
  <c r="AH50" i="17"/>
  <c r="AR50" i="17"/>
  <c r="AW50" i="17"/>
  <c r="Z50" i="17"/>
  <c r="AI50" i="17"/>
  <c r="CJ50" i="17"/>
  <c r="BD50" i="17"/>
  <c r="BA50" i="17"/>
  <c r="AK50" i="17"/>
  <c r="EC50" i="17"/>
  <c r="K50" i="17"/>
  <c r="AE50" i="17"/>
  <c r="BP50" i="17"/>
  <c r="DQ50" i="17"/>
  <c r="Y50" i="17"/>
  <c r="BC50" i="17"/>
  <c r="DR50" i="17"/>
  <c r="AZ50" i="17"/>
  <c r="CK50" i="17"/>
  <c r="DN50" i="17"/>
  <c r="ED50" i="17"/>
  <c r="AC50" i="17"/>
  <c r="J50" i="17"/>
  <c r="AL50" i="17"/>
  <c r="AF50" i="17"/>
  <c r="DO50" i="17"/>
  <c r="AB50" i="17"/>
  <c r="V50" i="17"/>
  <c r="W50" i="17"/>
  <c r="CT50" i="17"/>
  <c r="BX50" i="17"/>
  <c r="DH50" i="17"/>
  <c r="AN50" i="17"/>
  <c r="BY50" i="17"/>
  <c r="CS50" i="17"/>
  <c r="DI50" i="17"/>
  <c r="DU50" i="17"/>
  <c r="AO50" i="17"/>
  <c r="BV50" i="17"/>
  <c r="G50" i="17"/>
  <c r="CM50" i="17"/>
  <c r="P50" i="17"/>
  <c r="BU50" i="17"/>
  <c r="H50" i="17"/>
  <c r="BG50" i="17"/>
  <c r="T50" i="17"/>
  <c r="CN50" i="17"/>
  <c r="Q50" i="17"/>
  <c r="BF50" i="17"/>
  <c r="CP50" i="17"/>
  <c r="DB50" i="17"/>
  <c r="DF50" i="17"/>
  <c r="BL50" i="17"/>
  <c r="DC50" i="17"/>
  <c r="E50" i="17"/>
  <c r="DL50" i="17"/>
  <c r="D50" i="17"/>
  <c r="EF50" i="17"/>
  <c r="CB50" i="17"/>
  <c r="DZ50" i="17"/>
  <c r="CQ50" i="17"/>
  <c r="DE50" i="17"/>
  <c r="CW50" i="17"/>
  <c r="M50" i="17"/>
  <c r="CG50" i="17"/>
  <c r="CH50" i="17"/>
  <c r="DK50" i="17"/>
  <c r="CA50" i="17"/>
  <c r="CE50" i="17"/>
  <c r="EA50" i="17"/>
  <c r="CZ50" i="17"/>
  <c r="CY50" i="17"/>
  <c r="AT50" i="17"/>
  <c r="AU50" i="17"/>
  <c r="BM50" i="17"/>
  <c r="EG50" i="17"/>
  <c r="BJ50" i="17"/>
  <c r="N50" i="17"/>
  <c r="CV50" i="17"/>
  <c r="S50" i="17"/>
  <c r="CD50" i="17"/>
  <c r="BI50" i="17"/>
  <c r="Y49" i="20"/>
  <c r="AA49" i="20" s="1"/>
  <c r="L50" i="16"/>
  <c r="AG49" i="20"/>
  <c r="U49" i="20"/>
  <c r="O49" i="20"/>
  <c r="AP50" i="17" l="1"/>
  <c r="DP50" i="17"/>
  <c r="DV50" i="17"/>
  <c r="BQ50" i="17"/>
  <c r="BW50" i="17"/>
  <c r="CX50" i="17"/>
  <c r="AS50" i="17"/>
  <c r="CF50" i="17"/>
  <c r="AG50" i="17"/>
  <c r="CR50" i="17"/>
  <c r="DA50" i="17"/>
  <c r="BK50" i="17"/>
  <c r="EH50" i="17"/>
  <c r="L50" i="17"/>
  <c r="BN50" i="17"/>
  <c r="EB50" i="17"/>
  <c r="CU50" i="17"/>
  <c r="U50" i="17"/>
  <c r="CC50" i="17"/>
  <c r="DY50" i="17"/>
  <c r="EK50" i="17"/>
  <c r="EE50" i="17"/>
  <c r="BT50" i="17"/>
  <c r="Q50" i="16"/>
  <c r="F50" i="17"/>
  <c r="DJ50" i="17"/>
  <c r="DM50" i="17"/>
  <c r="AM50" i="17"/>
  <c r="R50" i="16"/>
  <c r="AD50" i="16" s="1"/>
  <c r="BZ50" i="17"/>
  <c r="R50" i="17"/>
  <c r="BB50" i="17"/>
  <c r="CL50" i="17"/>
  <c r="CI50" i="17"/>
  <c r="CO50" i="17"/>
  <c r="O50" i="17"/>
  <c r="I50" i="17"/>
  <c r="X50" i="17"/>
  <c r="BE50" i="17"/>
  <c r="DD50" i="17"/>
  <c r="AD50" i="17"/>
  <c r="AA50" i="17"/>
  <c r="AY50" i="17"/>
  <c r="AF49" i="20"/>
  <c r="DG50" i="17"/>
  <c r="DS50" i="17"/>
  <c r="D50" i="20"/>
  <c r="Y50" i="16"/>
  <c r="Z50" i="16"/>
  <c r="AV50" i="17"/>
  <c r="BH50" i="17"/>
  <c r="AJ50" i="17"/>
  <c r="AA50" i="16" l="1"/>
  <c r="V50" i="16"/>
  <c r="E50" i="20"/>
  <c r="F50" i="20" s="1"/>
  <c r="J50" i="20"/>
  <c r="G50" i="20"/>
  <c r="P50" i="16"/>
  <c r="S50" i="16"/>
  <c r="U50" i="16" s="1"/>
  <c r="T50" i="16"/>
  <c r="K50" i="16"/>
  <c r="EI50" i="19" l="1"/>
  <c r="D50" i="19"/>
  <c r="BX50" i="19"/>
  <c r="J50" i="19"/>
  <c r="AK50" i="19"/>
  <c r="G50" i="19"/>
  <c r="CP50" i="19"/>
  <c r="AZ50" i="19"/>
  <c r="EF50" i="19"/>
  <c r="AB50" i="19"/>
  <c r="M50" i="19"/>
  <c r="Y50" i="19"/>
  <c r="DQ50" i="19"/>
  <c r="CM50" i="19"/>
  <c r="EC50" i="19"/>
  <c r="AH50" i="19"/>
  <c r="AW50" i="19"/>
  <c r="CD50" i="19"/>
  <c r="AN50" i="19"/>
  <c r="CG50" i="19"/>
  <c r="AQ50" i="19"/>
  <c r="BL50" i="19"/>
  <c r="AT50" i="19"/>
  <c r="CJ50" i="19"/>
  <c r="CA50" i="19"/>
  <c r="CY50" i="19"/>
  <c r="BI50" i="19"/>
  <c r="DN50" i="19"/>
  <c r="DH50" i="19"/>
  <c r="BC50" i="19"/>
  <c r="V50" i="19"/>
  <c r="CS50" i="19"/>
  <c r="DT50" i="19"/>
  <c r="CV50" i="19"/>
  <c r="P50" i="19"/>
  <c r="DZ50" i="19"/>
  <c r="S50" i="19"/>
  <c r="DE50" i="19"/>
  <c r="BF50" i="19"/>
  <c r="BR50" i="19"/>
  <c r="BO50" i="19"/>
  <c r="DK50" i="19"/>
  <c r="DW50" i="19"/>
  <c r="AE50" i="19"/>
  <c r="DB50" i="19"/>
  <c r="BU50" i="19"/>
  <c r="Q50" i="20"/>
  <c r="H50" i="20"/>
  <c r="I50" i="20"/>
  <c r="M50" i="16"/>
  <c r="N50" i="16"/>
  <c r="AE50" i="16" s="1"/>
  <c r="AC50" i="16"/>
  <c r="AG50" i="16" s="1"/>
  <c r="K50" i="20"/>
  <c r="T50" i="20" l="1"/>
  <c r="EJ50" i="19"/>
  <c r="EK50" i="19" s="1"/>
  <c r="CQ50" i="19"/>
  <c r="CR50" i="19" s="1"/>
  <c r="H50" i="19"/>
  <c r="I50" i="19" s="1"/>
  <c r="BA50" i="19"/>
  <c r="BB50" i="19" s="1"/>
  <c r="EG50" i="19"/>
  <c r="EH50" i="19" s="1"/>
  <c r="AC50" i="19"/>
  <c r="AD50" i="19" s="1"/>
  <c r="CK50" i="19"/>
  <c r="CL50" i="19" s="1"/>
  <c r="N50" i="19"/>
  <c r="O50" i="19" s="1"/>
  <c r="W50" i="19"/>
  <c r="X50" i="19" s="1"/>
  <c r="Z50" i="19"/>
  <c r="AA50" i="19" s="1"/>
  <c r="DR50" i="19"/>
  <c r="DS50" i="19" s="1"/>
  <c r="AL50" i="19"/>
  <c r="AM50" i="19" s="1"/>
  <c r="CB50" i="19"/>
  <c r="CC50" i="19" s="1"/>
  <c r="CE50" i="19"/>
  <c r="CF50" i="19" s="1"/>
  <c r="CZ50" i="19"/>
  <c r="DA50" i="19" s="1"/>
  <c r="DO50" i="19"/>
  <c r="DP50" i="19" s="1"/>
  <c r="EA50" i="19"/>
  <c r="EB50" i="19" s="1"/>
  <c r="CW50" i="19"/>
  <c r="CX50" i="19" s="1"/>
  <c r="Q50" i="19"/>
  <c r="R50" i="19" s="1"/>
  <c r="AO50" i="19"/>
  <c r="AP50" i="19" s="1"/>
  <c r="BJ50" i="19"/>
  <c r="BK50" i="19" s="1"/>
  <c r="DI50" i="19"/>
  <c r="DJ50" i="19" s="1"/>
  <c r="AU50" i="19"/>
  <c r="AV50" i="19" s="1"/>
  <c r="BM50" i="19"/>
  <c r="BN50" i="19" s="1"/>
  <c r="T50" i="19"/>
  <c r="U50" i="19" s="1"/>
  <c r="DL50" i="19"/>
  <c r="DM50" i="19" s="1"/>
  <c r="BS50" i="19"/>
  <c r="BT50" i="19" s="1"/>
  <c r="DX50" i="19"/>
  <c r="DY50" i="19" s="1"/>
  <c r="CT50" i="19"/>
  <c r="CU50" i="19" s="1"/>
  <c r="BV50" i="19"/>
  <c r="BW50" i="19" s="1"/>
  <c r="BY50" i="19"/>
  <c r="BZ50" i="19" s="1"/>
  <c r="CN50" i="19"/>
  <c r="CO50" i="19" s="1"/>
  <c r="AF50" i="19"/>
  <c r="AG50" i="19" s="1"/>
  <c r="ED50" i="19"/>
  <c r="EE50" i="19" s="1"/>
  <c r="DU50" i="19"/>
  <c r="DV50" i="19" s="1"/>
  <c r="BP50" i="19"/>
  <c r="BQ50" i="19" s="1"/>
  <c r="CH50" i="19"/>
  <c r="CI50" i="19" s="1"/>
  <c r="DF50" i="19"/>
  <c r="DG50" i="19" s="1"/>
  <c r="AI50" i="19"/>
  <c r="AJ50" i="19" s="1"/>
  <c r="AX50" i="19"/>
  <c r="AY50" i="19" s="1"/>
  <c r="K50" i="19"/>
  <c r="L50" i="19" s="1"/>
  <c r="AR50" i="19"/>
  <c r="AS50" i="19" s="1"/>
  <c r="DC50" i="19"/>
  <c r="DD50" i="19" s="1"/>
  <c r="BD50" i="19"/>
  <c r="BE50" i="19" s="1"/>
  <c r="BG50" i="19"/>
  <c r="BH50" i="19" s="1"/>
  <c r="E50" i="19"/>
  <c r="F50" i="19" s="1"/>
  <c r="R50" i="20"/>
  <c r="O50" i="16"/>
  <c r="AF50" i="16" s="1"/>
  <c r="I50" i="16"/>
  <c r="W50" i="20"/>
  <c r="Z50" i="20" l="1"/>
  <c r="AE50" i="20" s="1"/>
  <c r="X50" i="20"/>
  <c r="Y50" i="20" s="1"/>
  <c r="AA50" i="20" s="1"/>
  <c r="H51" i="16"/>
  <c r="L51" i="16" s="1"/>
  <c r="V50" i="20"/>
  <c r="AC50" i="20"/>
  <c r="S50" i="20"/>
  <c r="U50" i="20" l="1"/>
  <c r="AF50" i="20" s="1"/>
  <c r="O50" i="20"/>
  <c r="AD50" i="20"/>
  <c r="AG50" i="20" s="1"/>
  <c r="X51" i="16"/>
  <c r="W51" i="16"/>
  <c r="EM51" i="17"/>
  <c r="EL51" i="17"/>
  <c r="EF51" i="17"/>
  <c r="DZ51" i="17"/>
  <c r="CW51" i="17"/>
  <c r="BM51" i="17"/>
  <c r="CY51" i="17"/>
  <c r="CV51" i="17"/>
  <c r="DO51" i="17"/>
  <c r="EG51" i="17"/>
  <c r="CB51" i="17"/>
  <c r="BV51" i="17"/>
  <c r="DN51" i="17"/>
  <c r="CP51" i="17"/>
  <c r="BO51" i="17"/>
  <c r="BU51" i="17"/>
  <c r="EA51" i="17"/>
  <c r="CZ51" i="17"/>
  <c r="CD51" i="17"/>
  <c r="AR51" i="17"/>
  <c r="CT51" i="17"/>
  <c r="CQ51" i="17"/>
  <c r="DX51" i="17"/>
  <c r="CS51" i="17"/>
  <c r="CA51" i="17"/>
  <c r="CE51" i="17"/>
  <c r="T51" i="17"/>
  <c r="BJ51" i="17"/>
  <c r="K51" i="17"/>
  <c r="BP51" i="17"/>
  <c r="DW51" i="17"/>
  <c r="EJ51" i="17"/>
  <c r="J51" i="17"/>
  <c r="DT51" i="17"/>
  <c r="EI51" i="17"/>
  <c r="S51" i="17"/>
  <c r="AF51" i="17"/>
  <c r="DU51" i="17"/>
  <c r="BI51" i="17"/>
  <c r="AN51" i="17"/>
  <c r="AQ51" i="17"/>
  <c r="AE51" i="17"/>
  <c r="BL51" i="17"/>
  <c r="AO51" i="17"/>
  <c r="CH51" i="17"/>
  <c r="BY51" i="17"/>
  <c r="AI51" i="17"/>
  <c r="CN51" i="17"/>
  <c r="AL51" i="17"/>
  <c r="CG51" i="17"/>
  <c r="Y51" i="17"/>
  <c r="BX51" i="17"/>
  <c r="BA51" i="17"/>
  <c r="AH51" i="17"/>
  <c r="CM51" i="17"/>
  <c r="AC51" i="17"/>
  <c r="Z51" i="17"/>
  <c r="W51" i="17"/>
  <c r="DF51" i="17"/>
  <c r="AK51" i="17"/>
  <c r="AB51" i="17"/>
  <c r="AU51" i="17"/>
  <c r="V51" i="17"/>
  <c r="DE51" i="17"/>
  <c r="H51" i="17"/>
  <c r="BS51" i="17"/>
  <c r="DI51" i="17"/>
  <c r="AT51" i="17"/>
  <c r="BD51" i="17"/>
  <c r="BR51" i="17"/>
  <c r="BC51" i="17"/>
  <c r="DR51" i="17"/>
  <c r="DL51" i="17"/>
  <c r="CJ51" i="17"/>
  <c r="BG51" i="17"/>
  <c r="DK51" i="17"/>
  <c r="BF51" i="17"/>
  <c r="M51" i="17"/>
  <c r="E51" i="17"/>
  <c r="AW51" i="17"/>
  <c r="D51" i="17"/>
  <c r="G51" i="17"/>
  <c r="DQ51" i="17"/>
  <c r="N51" i="17"/>
  <c r="CK51" i="17"/>
  <c r="DH51" i="17"/>
  <c r="EC51" i="17"/>
  <c r="Q51" i="17"/>
  <c r="AZ51" i="17"/>
  <c r="DC51" i="17"/>
  <c r="P51" i="17"/>
  <c r="ED51" i="17"/>
  <c r="AX51" i="17"/>
  <c r="DB51" i="17"/>
  <c r="BZ51" i="17" l="1"/>
  <c r="X51" i="17"/>
  <c r="EH51" i="17"/>
  <c r="AS51" i="17"/>
  <c r="AP51" i="17"/>
  <c r="EE51" i="17"/>
  <c r="AA51" i="17"/>
  <c r="CI51" i="17"/>
  <c r="DP51" i="17"/>
  <c r="AD51" i="17"/>
  <c r="EK51" i="17"/>
  <c r="CR51" i="17"/>
  <c r="DG51" i="17"/>
  <c r="CC51" i="17"/>
  <c r="BB51" i="17"/>
  <c r="BE51" i="17"/>
  <c r="CU51" i="17"/>
  <c r="BW51" i="17"/>
  <c r="BN51" i="17"/>
  <c r="BH51" i="17"/>
  <c r="DA51" i="17"/>
  <c r="BQ51" i="17"/>
  <c r="DJ51" i="17"/>
  <c r="CL51" i="17"/>
  <c r="EN51" i="17"/>
  <c r="U51" i="17"/>
  <c r="DD51" i="17"/>
  <c r="BT51" i="17"/>
  <c r="DM51" i="17"/>
  <c r="EB51" i="17"/>
  <c r="BK51" i="17"/>
  <c r="D51" i="20"/>
  <c r="Y51" i="16"/>
  <c r="Z51" i="16"/>
  <c r="E17" i="11"/>
  <c r="E16" i="11"/>
  <c r="CX51" i="17"/>
  <c r="AM51" i="17"/>
  <c r="DS51" i="17"/>
  <c r="I51" i="17"/>
  <c r="DV51" i="17"/>
  <c r="Q51" i="16"/>
  <c r="F51" i="17"/>
  <c r="L51" i="17"/>
  <c r="AY51" i="17"/>
  <c r="AV51" i="17"/>
  <c r="R51" i="17"/>
  <c r="R51" i="16"/>
  <c r="C16" i="11" s="1"/>
  <c r="CO51" i="17"/>
  <c r="DY51" i="17"/>
  <c r="CF51" i="17"/>
  <c r="O51" i="17"/>
  <c r="AJ51" i="17"/>
  <c r="AG51" i="17"/>
  <c r="AD51" i="16" l="1"/>
  <c r="AI51" i="16" s="1"/>
  <c r="I16" i="11" s="1"/>
  <c r="G16" i="11"/>
  <c r="J51" i="20"/>
  <c r="E51" i="20"/>
  <c r="F51" i="20" s="1"/>
  <c r="G51" i="20"/>
  <c r="AA51" i="16"/>
  <c r="V51" i="16"/>
  <c r="P51" i="16"/>
  <c r="S51" i="16"/>
  <c r="U51" i="16" s="1"/>
  <c r="T51" i="16"/>
  <c r="K51" i="16"/>
  <c r="E20" i="11"/>
  <c r="E19" i="11"/>
  <c r="AN51" i="16" l="1"/>
  <c r="K16" i="11" s="1"/>
  <c r="H51" i="20"/>
  <c r="I51" i="20"/>
  <c r="E18" i="11"/>
  <c r="M51" i="16"/>
  <c r="N51" i="16"/>
  <c r="C17" i="11"/>
  <c r="C20" i="11" s="1"/>
  <c r="AC51" i="16"/>
  <c r="K51" i="20"/>
  <c r="EL51" i="19"/>
  <c r="DT51" i="19"/>
  <c r="CY51" i="19"/>
  <c r="CJ51" i="19"/>
  <c r="CV51" i="19"/>
  <c r="DB51" i="19"/>
  <c r="EC51" i="19"/>
  <c r="AB51" i="19"/>
  <c r="V51" i="19"/>
  <c r="DH51" i="19"/>
  <c r="BR51" i="19"/>
  <c r="EI51" i="19"/>
  <c r="BI51" i="19"/>
  <c r="DZ51" i="19"/>
  <c r="DN51" i="19"/>
  <c r="G51" i="19"/>
  <c r="BU51" i="19"/>
  <c r="EF51" i="19"/>
  <c r="AZ51" i="19"/>
  <c r="DK51" i="19"/>
  <c r="M51" i="19"/>
  <c r="CM51" i="19"/>
  <c r="D51" i="19"/>
  <c r="CD51" i="19"/>
  <c r="AE51" i="19"/>
  <c r="DW51" i="19"/>
  <c r="BO51" i="19"/>
  <c r="AT51" i="19"/>
  <c r="BC51" i="19"/>
  <c r="DE51" i="19"/>
  <c r="BF51" i="19"/>
  <c r="CA51" i="19"/>
  <c r="P51" i="19"/>
  <c r="AW51" i="19"/>
  <c r="BL51" i="19"/>
  <c r="AQ51" i="19"/>
  <c r="AH51" i="19"/>
  <c r="BX51" i="19"/>
  <c r="CG51" i="19"/>
  <c r="S51" i="19"/>
  <c r="CS51" i="19"/>
  <c r="DQ51" i="19"/>
  <c r="J51" i="19"/>
  <c r="AN51" i="19"/>
  <c r="Y51" i="19"/>
  <c r="CP51" i="19"/>
  <c r="AK51" i="19"/>
  <c r="Q51" i="20"/>
  <c r="AG51" i="16" l="1"/>
  <c r="AM51" i="16"/>
  <c r="K17" i="11" s="1"/>
  <c r="AH51" i="16"/>
  <c r="I17" i="11" s="1"/>
  <c r="G17" i="11"/>
  <c r="G20" i="11" s="1"/>
  <c r="W51" i="20"/>
  <c r="AC51" i="20" s="1"/>
  <c r="EM51" i="19"/>
  <c r="EN51" i="19" s="1"/>
  <c r="CZ51" i="19"/>
  <c r="DA51" i="19" s="1"/>
  <c r="DI51" i="19"/>
  <c r="DJ51" i="19" s="1"/>
  <c r="EJ51" i="19"/>
  <c r="EK51" i="19" s="1"/>
  <c r="BJ51" i="19"/>
  <c r="BK51" i="19" s="1"/>
  <c r="EA51" i="19"/>
  <c r="EB51" i="19" s="1"/>
  <c r="DO51" i="19"/>
  <c r="DP51" i="19" s="1"/>
  <c r="H51" i="19"/>
  <c r="I51" i="19" s="1"/>
  <c r="BV51" i="19"/>
  <c r="BW51" i="19" s="1"/>
  <c r="AO51" i="19"/>
  <c r="AP51" i="19" s="1"/>
  <c r="CK51" i="19"/>
  <c r="CL51" i="19" s="1"/>
  <c r="CH51" i="19"/>
  <c r="CI51" i="19" s="1"/>
  <c r="AC51" i="19"/>
  <c r="AD51" i="19" s="1"/>
  <c r="DU51" i="19"/>
  <c r="DV51" i="19" s="1"/>
  <c r="CN51" i="19"/>
  <c r="CO51" i="19" s="1"/>
  <c r="E51" i="19"/>
  <c r="F51" i="19" s="1"/>
  <c r="BP51" i="19"/>
  <c r="BQ51" i="19" s="1"/>
  <c r="AU51" i="19"/>
  <c r="AV51" i="19" s="1"/>
  <c r="BD51" i="19"/>
  <c r="BE51" i="19" s="1"/>
  <c r="DF51" i="19"/>
  <c r="DG51" i="19" s="1"/>
  <c r="BG51" i="19"/>
  <c r="BH51" i="19" s="1"/>
  <c r="CB51" i="19"/>
  <c r="CC51" i="19" s="1"/>
  <c r="CW51" i="19"/>
  <c r="CX51" i="19" s="1"/>
  <c r="EG51" i="19"/>
  <c r="EH51" i="19" s="1"/>
  <c r="BA51" i="19"/>
  <c r="BB51" i="19" s="1"/>
  <c r="AR51" i="19"/>
  <c r="AS51" i="19" s="1"/>
  <c r="T51" i="19"/>
  <c r="U51" i="19" s="1"/>
  <c r="DC51" i="19"/>
  <c r="DD51" i="19" s="1"/>
  <c r="BY51" i="19"/>
  <c r="BZ51" i="19" s="1"/>
  <c r="DR51" i="19"/>
  <c r="DS51" i="19" s="1"/>
  <c r="K51" i="19"/>
  <c r="L51" i="19" s="1"/>
  <c r="AX51" i="19"/>
  <c r="AY51" i="19" s="1"/>
  <c r="AI51" i="19"/>
  <c r="AJ51" i="19" s="1"/>
  <c r="DL51" i="19"/>
  <c r="DM51" i="19" s="1"/>
  <c r="CE51" i="19"/>
  <c r="CF51" i="19" s="1"/>
  <c r="W51" i="19"/>
  <c r="X51" i="19" s="1"/>
  <c r="Q51" i="19"/>
  <c r="R51" i="19" s="1"/>
  <c r="Z51" i="19"/>
  <c r="AA51" i="19" s="1"/>
  <c r="N51" i="19"/>
  <c r="O51" i="19" s="1"/>
  <c r="BM51" i="19"/>
  <c r="BN51" i="19" s="1"/>
  <c r="CQ51" i="19"/>
  <c r="CR51" i="19" s="1"/>
  <c r="AF51" i="19"/>
  <c r="AG51" i="19" s="1"/>
  <c r="AL51" i="19"/>
  <c r="AM51" i="19" s="1"/>
  <c r="ED51" i="19"/>
  <c r="EE51" i="19" s="1"/>
  <c r="CT51" i="19"/>
  <c r="CU51" i="19" s="1"/>
  <c r="DX51" i="19"/>
  <c r="DY51" i="19" s="1"/>
  <c r="BS51" i="19"/>
  <c r="BT51" i="19" s="1"/>
  <c r="R51" i="20"/>
  <c r="S51" i="20" s="1"/>
  <c r="T51" i="20"/>
  <c r="O51" i="16"/>
  <c r="I51" i="16"/>
  <c r="C19" i="11"/>
  <c r="AE51" i="16"/>
  <c r="X51" i="20" l="1"/>
  <c r="Y51" i="20" s="1"/>
  <c r="AA51" i="20" s="1"/>
  <c r="U51" i="20"/>
  <c r="O51" i="20"/>
  <c r="Z51" i="20"/>
  <c r="AE51" i="20" s="1"/>
  <c r="V51" i="20"/>
  <c r="AR51" i="20"/>
  <c r="AM51" i="20"/>
  <c r="AH51" i="20"/>
  <c r="AO51" i="16"/>
  <c r="K19" i="11" s="1"/>
  <c r="AJ51" i="16"/>
  <c r="I19" i="11" s="1"/>
  <c r="G19" i="11"/>
  <c r="H52" i="16"/>
  <c r="L52" i="16" s="1"/>
  <c r="C18" i="11"/>
  <c r="AF51" i="16"/>
  <c r="AQ51" i="16"/>
  <c r="K20" i="11" s="1"/>
  <c r="AL51" i="16"/>
  <c r="I20" i="11" s="1"/>
  <c r="AD51" i="20" l="1"/>
  <c r="AV51" i="20" s="1"/>
  <c r="AT51" i="20"/>
  <c r="AO51" i="20"/>
  <c r="AJ51" i="20"/>
  <c r="X52" i="16"/>
  <c r="W52" i="16"/>
  <c r="EP52" i="17"/>
  <c r="EO52" i="17"/>
  <c r="BX52" i="17"/>
  <c r="W52" i="17"/>
  <c r="AZ52" i="17"/>
  <c r="EI52" i="17"/>
  <c r="CY52" i="17"/>
  <c r="CZ52" i="17"/>
  <c r="CG52" i="17"/>
  <c r="EJ52" i="17"/>
  <c r="BU52" i="17"/>
  <c r="CA52" i="17"/>
  <c r="DI52" i="17"/>
  <c r="DC52" i="17"/>
  <c r="CS52" i="17"/>
  <c r="DH52" i="17"/>
  <c r="BG52" i="17"/>
  <c r="AO52" i="17"/>
  <c r="V52" i="17"/>
  <c r="EM52" i="17"/>
  <c r="DN52" i="17"/>
  <c r="CT52" i="17"/>
  <c r="BM52" i="17"/>
  <c r="BA52" i="17"/>
  <c r="BF52" i="17"/>
  <c r="AN52" i="17"/>
  <c r="Y52" i="17"/>
  <c r="EL52" i="17"/>
  <c r="CK52" i="17"/>
  <c r="CP52" i="17"/>
  <c r="BP52" i="17"/>
  <c r="AC52" i="17"/>
  <c r="EF52" i="17"/>
  <c r="AB52" i="17"/>
  <c r="AR52" i="17"/>
  <c r="Z52" i="17"/>
  <c r="CQ52" i="17"/>
  <c r="CJ52" i="17"/>
  <c r="CH52" i="17"/>
  <c r="DO52" i="17"/>
  <c r="BY52" i="17"/>
  <c r="AQ52" i="17"/>
  <c r="CB52" i="17"/>
  <c r="BV52" i="17"/>
  <c r="BO52" i="17"/>
  <c r="DB52" i="17"/>
  <c r="BD52" i="17"/>
  <c r="S52" i="17"/>
  <c r="DE52" i="17"/>
  <c r="BR52" i="17"/>
  <c r="EC52" i="17"/>
  <c r="DF52" i="17"/>
  <c r="ED52" i="17"/>
  <c r="EG52" i="17"/>
  <c r="T52" i="17"/>
  <c r="BC52" i="17"/>
  <c r="BS52" i="17"/>
  <c r="BL52" i="17"/>
  <c r="AF52" i="17"/>
  <c r="AU52" i="17"/>
  <c r="H52" i="17"/>
  <c r="AT52" i="17"/>
  <c r="CV52" i="17"/>
  <c r="DW52" i="17"/>
  <c r="EA52" i="17"/>
  <c r="AH52" i="17"/>
  <c r="AX52" i="17"/>
  <c r="DX52" i="17"/>
  <c r="DZ52" i="17"/>
  <c r="AW52" i="17"/>
  <c r="CE52" i="17"/>
  <c r="Q52" i="17"/>
  <c r="CD52" i="17"/>
  <c r="N52" i="17"/>
  <c r="G52" i="17"/>
  <c r="AL52" i="17"/>
  <c r="AI52" i="17"/>
  <c r="CW52" i="17"/>
  <c r="BI52" i="17"/>
  <c r="J52" i="17"/>
  <c r="DK52" i="17"/>
  <c r="DL52" i="17"/>
  <c r="K52" i="17"/>
  <c r="P52" i="17"/>
  <c r="DU52" i="17"/>
  <c r="BJ52" i="17"/>
  <c r="CN52" i="17"/>
  <c r="M52" i="17"/>
  <c r="DT52" i="17"/>
  <c r="CM52" i="17"/>
  <c r="AE52" i="17"/>
  <c r="D52" i="17"/>
  <c r="DR52" i="17"/>
  <c r="AK52" i="17"/>
  <c r="E52" i="17"/>
  <c r="DQ52" i="17"/>
  <c r="AF51" i="20"/>
  <c r="AP51" i="16"/>
  <c r="K18" i="11" s="1"/>
  <c r="AK51" i="16"/>
  <c r="I18" i="11" s="1"/>
  <c r="G18" i="11"/>
  <c r="AN51" i="20" l="1"/>
  <c r="AG51" i="20"/>
  <c r="AQ51" i="20" s="1"/>
  <c r="AI51" i="20"/>
  <c r="AS51" i="20"/>
  <c r="CL52" i="17"/>
  <c r="AP52" i="17"/>
  <c r="DG52" i="17"/>
  <c r="BH52" i="17"/>
  <c r="AY52" i="17"/>
  <c r="BW52" i="17"/>
  <c r="R52" i="17"/>
  <c r="BT52" i="17"/>
  <c r="EB52" i="17"/>
  <c r="X52" i="17"/>
  <c r="AM52" i="17"/>
  <c r="DP52" i="17"/>
  <c r="AJ52" i="17"/>
  <c r="AV52" i="17"/>
  <c r="R52" i="16"/>
  <c r="AD52" i="16" s="1"/>
  <c r="EQ52" i="17"/>
  <c r="DD52" i="17"/>
  <c r="AD52" i="17"/>
  <c r="BQ52" i="17"/>
  <c r="EH52" i="17"/>
  <c r="CI52" i="17"/>
  <c r="CO52" i="17"/>
  <c r="CF52" i="17"/>
  <c r="DS52" i="17"/>
  <c r="U52" i="17"/>
  <c r="CC52" i="17"/>
  <c r="D52" i="20"/>
  <c r="Y52" i="16"/>
  <c r="Z52" i="16"/>
  <c r="DM52" i="17"/>
  <c r="Q52" i="16"/>
  <c r="F52" i="17"/>
  <c r="L52" i="17"/>
  <c r="DA52" i="17"/>
  <c r="AU51" i="20"/>
  <c r="AK51" i="20"/>
  <c r="AP51" i="20"/>
  <c r="BN52" i="17"/>
  <c r="BE52" i="17"/>
  <c r="AG52" i="17"/>
  <c r="BK52" i="17"/>
  <c r="AS52" i="17"/>
  <c r="CR52" i="17"/>
  <c r="EK52" i="17"/>
  <c r="DV52" i="17"/>
  <c r="BB52" i="17"/>
  <c r="O52" i="17"/>
  <c r="DY52" i="17"/>
  <c r="EN52" i="17"/>
  <c r="DJ52" i="17"/>
  <c r="I52" i="17"/>
  <c r="CX52" i="17"/>
  <c r="EE52" i="17"/>
  <c r="AA52" i="17"/>
  <c r="CU52" i="17"/>
  <c r="BZ52" i="17"/>
  <c r="AL51" i="20" l="1"/>
  <c r="AA52" i="16"/>
  <c r="V52" i="16"/>
  <c r="E52" i="20"/>
  <c r="J52" i="20"/>
  <c r="G52" i="20"/>
  <c r="P52" i="16"/>
  <c r="S52" i="16"/>
  <c r="U52" i="16" s="1"/>
  <c r="T52" i="16"/>
  <c r="K52" i="16"/>
  <c r="K52" i="20" l="1"/>
  <c r="F52" i="20"/>
  <c r="M52" i="16"/>
  <c r="N52" i="16"/>
  <c r="AC52" i="16"/>
  <c r="EO52" i="19"/>
  <c r="M52" i="19"/>
  <c r="Y52" i="19"/>
  <c r="AT52" i="19"/>
  <c r="AH52" i="19"/>
  <c r="EL52" i="19"/>
  <c r="AB52" i="19"/>
  <c r="DK52" i="19"/>
  <c r="DB52" i="19"/>
  <c r="AK52" i="19"/>
  <c r="D52" i="19"/>
  <c r="DQ52" i="19"/>
  <c r="BC52" i="19"/>
  <c r="AW52" i="19"/>
  <c r="CJ52" i="19"/>
  <c r="BF52" i="19"/>
  <c r="BX52" i="19"/>
  <c r="BO52" i="19"/>
  <c r="BU52" i="19"/>
  <c r="G52" i="19"/>
  <c r="CA52" i="19"/>
  <c r="CY52" i="19"/>
  <c r="DT52" i="19"/>
  <c r="BR52" i="19"/>
  <c r="EI52" i="19"/>
  <c r="S52" i="19"/>
  <c r="AN52" i="19"/>
  <c r="P52" i="19"/>
  <c r="V52" i="19"/>
  <c r="CD52" i="19"/>
  <c r="J52" i="19"/>
  <c r="CP52" i="19"/>
  <c r="BI52" i="19"/>
  <c r="CM52" i="19"/>
  <c r="CS52" i="19"/>
  <c r="EF52" i="19"/>
  <c r="BL52" i="19"/>
  <c r="AE52" i="19"/>
  <c r="CV52" i="19"/>
  <c r="DZ52" i="19"/>
  <c r="DH52" i="19"/>
  <c r="AZ52" i="19"/>
  <c r="DW52" i="19"/>
  <c r="DE52" i="19"/>
  <c r="AQ52" i="19"/>
  <c r="DN52" i="19"/>
  <c r="CG52" i="19"/>
  <c r="EC52" i="19"/>
  <c r="Q52" i="20"/>
  <c r="T52" i="20" l="1"/>
  <c r="AG52" i="16"/>
  <c r="W52" i="20"/>
  <c r="AC52" i="20" s="1"/>
  <c r="AE52" i="16"/>
  <c r="O52" i="16"/>
  <c r="I52" i="16"/>
  <c r="H52" i="20"/>
  <c r="I52" i="20"/>
  <c r="EP52" i="19"/>
  <c r="EQ52" i="19" s="1"/>
  <c r="AC52" i="19"/>
  <c r="AD52" i="19" s="1"/>
  <c r="DL52" i="19"/>
  <c r="DM52" i="19" s="1"/>
  <c r="DC52" i="19"/>
  <c r="DD52" i="19" s="1"/>
  <c r="E52" i="19"/>
  <c r="F52" i="19" s="1"/>
  <c r="DF52" i="19"/>
  <c r="DG52" i="19" s="1"/>
  <c r="BD52" i="19"/>
  <c r="BE52" i="19" s="1"/>
  <c r="CH52" i="19"/>
  <c r="CI52" i="19" s="1"/>
  <c r="CK52" i="19"/>
  <c r="CL52" i="19" s="1"/>
  <c r="Z52" i="19"/>
  <c r="AA52" i="19" s="1"/>
  <c r="BG52" i="19"/>
  <c r="BH52" i="19" s="1"/>
  <c r="BY52" i="19"/>
  <c r="BZ52" i="19" s="1"/>
  <c r="BP52" i="19"/>
  <c r="BQ52" i="19" s="1"/>
  <c r="BS52" i="19"/>
  <c r="BT52" i="19" s="1"/>
  <c r="CB52" i="19"/>
  <c r="CC52" i="19" s="1"/>
  <c r="EJ52" i="19"/>
  <c r="EK52" i="19" s="1"/>
  <c r="AL52" i="19"/>
  <c r="AM52" i="19" s="1"/>
  <c r="DR52" i="19"/>
  <c r="DS52" i="19" s="1"/>
  <c r="ED52" i="19"/>
  <c r="EE52" i="19" s="1"/>
  <c r="AX52" i="19"/>
  <c r="AY52" i="19" s="1"/>
  <c r="N52" i="19"/>
  <c r="O52" i="19" s="1"/>
  <c r="AI52" i="19"/>
  <c r="AJ52" i="19" s="1"/>
  <c r="DU52" i="19"/>
  <c r="DV52" i="19" s="1"/>
  <c r="T52" i="19"/>
  <c r="U52" i="19" s="1"/>
  <c r="CZ52" i="19"/>
  <c r="DA52" i="19" s="1"/>
  <c r="AO52" i="19"/>
  <c r="AP52" i="19" s="1"/>
  <c r="BV52" i="19"/>
  <c r="BW52" i="19" s="1"/>
  <c r="H52" i="19"/>
  <c r="I52" i="19" s="1"/>
  <c r="Q52" i="19"/>
  <c r="R52" i="19" s="1"/>
  <c r="W52" i="19"/>
  <c r="X52" i="19" s="1"/>
  <c r="CE52" i="19"/>
  <c r="CF52" i="19" s="1"/>
  <c r="K52" i="19"/>
  <c r="L52" i="19" s="1"/>
  <c r="CQ52" i="19"/>
  <c r="CR52" i="19" s="1"/>
  <c r="EA52" i="19"/>
  <c r="EB52" i="19" s="1"/>
  <c r="EM52" i="19"/>
  <c r="EN52" i="19" s="1"/>
  <c r="CN52" i="19"/>
  <c r="CO52" i="19" s="1"/>
  <c r="EG52" i="19"/>
  <c r="EH52" i="19" s="1"/>
  <c r="BM52" i="19"/>
  <c r="BN52" i="19" s="1"/>
  <c r="AF52" i="19"/>
  <c r="AG52" i="19" s="1"/>
  <c r="CW52" i="19"/>
  <c r="CX52" i="19" s="1"/>
  <c r="DI52" i="19"/>
  <c r="DJ52" i="19" s="1"/>
  <c r="BA52" i="19"/>
  <c r="BB52" i="19" s="1"/>
  <c r="DX52" i="19"/>
  <c r="DY52" i="19" s="1"/>
  <c r="BJ52" i="19"/>
  <c r="BK52" i="19" s="1"/>
  <c r="AR52" i="19"/>
  <c r="AS52" i="19" s="1"/>
  <c r="DO52" i="19"/>
  <c r="DP52" i="19" s="1"/>
  <c r="CT52" i="19"/>
  <c r="CU52" i="19" s="1"/>
  <c r="AU52" i="19"/>
  <c r="AV52" i="19" s="1"/>
  <c r="R52" i="20"/>
  <c r="V52" i="20" l="1"/>
  <c r="AF52" i="16"/>
  <c r="H53" i="16"/>
  <c r="Z52" i="20"/>
  <c r="AE52" i="20" s="1"/>
  <c r="S52" i="20"/>
  <c r="X52" i="20"/>
  <c r="AD52" i="20" s="1"/>
  <c r="AG52" i="20" s="1"/>
  <c r="Y52" i="20" l="1"/>
  <c r="AA52" i="20" s="1"/>
  <c r="X53" i="16"/>
  <c r="W53" i="16"/>
  <c r="ER53" i="17"/>
  <c r="ES53" i="17"/>
  <c r="AT53" i="17"/>
  <c r="EO53" i="17"/>
  <c r="Q53" i="17"/>
  <c r="EG53" i="17"/>
  <c r="BV53" i="17"/>
  <c r="AI53" i="17"/>
  <c r="P53" i="17"/>
  <c r="AL53" i="17"/>
  <c r="DO53" i="17"/>
  <c r="AU53" i="17"/>
  <c r="EP53" i="17"/>
  <c r="DB53" i="17"/>
  <c r="EF53" i="17"/>
  <c r="BR53" i="17"/>
  <c r="DC53" i="17"/>
  <c r="CG53" i="17"/>
  <c r="CH53" i="17"/>
  <c r="DZ53" i="17"/>
  <c r="V53" i="17"/>
  <c r="EA53" i="17"/>
  <c r="W53" i="17"/>
  <c r="AX53" i="17"/>
  <c r="BG53" i="17"/>
  <c r="AC53" i="17"/>
  <c r="BS53" i="17"/>
  <c r="DE53" i="17"/>
  <c r="CN53" i="17"/>
  <c r="AW53" i="17"/>
  <c r="BO53" i="17"/>
  <c r="BU53" i="17"/>
  <c r="AN53" i="17"/>
  <c r="AH53" i="17"/>
  <c r="DF53" i="17"/>
  <c r="AB53" i="17"/>
  <c r="AK53" i="17"/>
  <c r="CJ53" i="17"/>
  <c r="BF53" i="17"/>
  <c r="CK53" i="17"/>
  <c r="AO53" i="17"/>
  <c r="BP53" i="17"/>
  <c r="CM53" i="17"/>
  <c r="DN53" i="17"/>
  <c r="EL53" i="17"/>
  <c r="CY53" i="17"/>
  <c r="AE53" i="17"/>
  <c r="BY53" i="17"/>
  <c r="BD53" i="17"/>
  <c r="BX53" i="17"/>
  <c r="S53" i="17"/>
  <c r="T53" i="17"/>
  <c r="J53" i="17"/>
  <c r="ED53" i="17"/>
  <c r="CT53" i="17"/>
  <c r="DX53" i="17"/>
  <c r="N53" i="17"/>
  <c r="DH53" i="17"/>
  <c r="DU53" i="17"/>
  <c r="EM53" i="17"/>
  <c r="DT53" i="17"/>
  <c r="EJ53" i="17"/>
  <c r="CW53" i="17"/>
  <c r="K53" i="17"/>
  <c r="EC53" i="17"/>
  <c r="CA53" i="17"/>
  <c r="G53" i="17"/>
  <c r="EI53" i="17"/>
  <c r="Z53" i="17"/>
  <c r="M53" i="17"/>
  <c r="CZ53" i="17"/>
  <c r="DW53" i="17"/>
  <c r="CS53" i="17"/>
  <c r="CP53" i="17"/>
  <c r="CB53" i="17"/>
  <c r="H53" i="17"/>
  <c r="CQ53" i="17"/>
  <c r="DI53" i="17"/>
  <c r="CE53" i="17"/>
  <c r="CV53" i="17"/>
  <c r="DQ53" i="17"/>
  <c r="BM53" i="17"/>
  <c r="E53" i="17"/>
  <c r="D53" i="17"/>
  <c r="DR53" i="17"/>
  <c r="AZ53" i="17"/>
  <c r="BJ53" i="17"/>
  <c r="DK53" i="17"/>
  <c r="Y53" i="17"/>
  <c r="AQ53" i="17"/>
  <c r="BL53" i="17"/>
  <c r="BC53" i="17"/>
  <c r="BA53" i="17"/>
  <c r="BI53" i="17"/>
  <c r="DL53" i="17"/>
  <c r="CD53" i="17"/>
  <c r="AR53" i="17"/>
  <c r="AF53" i="17"/>
  <c r="L53" i="16"/>
  <c r="U52" i="20"/>
  <c r="O52" i="20"/>
  <c r="DM53" i="17" l="1"/>
  <c r="DG53" i="17"/>
  <c r="AP53" i="17"/>
  <c r="R53" i="17"/>
  <c r="BQ53" i="17"/>
  <c r="CO53" i="17"/>
  <c r="DV53" i="17"/>
  <c r="AF52" i="20"/>
  <c r="BH53" i="17"/>
  <c r="AV53" i="17"/>
  <c r="EQ53" i="17"/>
  <c r="BZ53" i="17"/>
  <c r="AM53" i="17"/>
  <c r="BW53" i="17"/>
  <c r="BT53" i="17"/>
  <c r="EH53" i="17"/>
  <c r="BB53" i="17"/>
  <c r="CR53" i="17"/>
  <c r="DD53" i="17"/>
  <c r="CU53" i="17"/>
  <c r="CF53" i="17"/>
  <c r="DY53" i="17"/>
  <c r="O53" i="17"/>
  <c r="DJ53" i="17"/>
  <c r="AJ53" i="17"/>
  <c r="ET53" i="17"/>
  <c r="AD53" i="17"/>
  <c r="D53" i="20"/>
  <c r="Y53" i="16"/>
  <c r="Z53" i="16"/>
  <c r="CL53" i="17"/>
  <c r="Q53" i="16"/>
  <c r="F53" i="17"/>
  <c r="EN53" i="17"/>
  <c r="X53" i="17"/>
  <c r="R53" i="16"/>
  <c r="AD53" i="16" s="1"/>
  <c r="BK53" i="17"/>
  <c r="DP53" i="17"/>
  <c r="U53" i="17"/>
  <c r="DA53" i="17"/>
  <c r="EK53" i="17"/>
  <c r="EB53" i="17"/>
  <c r="AG53" i="17"/>
  <c r="DS53" i="17"/>
  <c r="BE53" i="17"/>
  <c r="CX53" i="17"/>
  <c r="BN53" i="17"/>
  <c r="I53" i="17"/>
  <c r="AS53" i="17"/>
  <c r="CC53" i="17"/>
  <c r="AY53" i="17"/>
  <c r="CI53" i="17"/>
  <c r="AA53" i="17"/>
  <c r="EE53" i="17"/>
  <c r="L53" i="17"/>
  <c r="P53" i="16" l="1"/>
  <c r="S53" i="16"/>
  <c r="U53" i="16" s="1"/>
  <c r="T53" i="16"/>
  <c r="K53" i="16"/>
  <c r="AA53" i="16"/>
  <c r="V53" i="16"/>
  <c r="J53" i="20"/>
  <c r="E53" i="20"/>
  <c r="G53" i="20"/>
  <c r="K53" i="20" l="1"/>
  <c r="F53" i="20"/>
  <c r="ER53" i="19"/>
  <c r="DK53" i="19"/>
  <c r="BR53" i="19"/>
  <c r="DN53" i="19"/>
  <c r="V53" i="19"/>
  <c r="DB53" i="19"/>
  <c r="DQ53" i="19"/>
  <c r="BO53" i="19"/>
  <c r="S53" i="19"/>
  <c r="M53" i="19"/>
  <c r="BC53" i="19"/>
  <c r="BX53" i="19"/>
  <c r="DH53" i="19"/>
  <c r="EI53" i="19"/>
  <c r="CJ53" i="19"/>
  <c r="G53" i="19"/>
  <c r="EC53" i="19"/>
  <c r="CG53" i="19"/>
  <c r="BI53" i="19"/>
  <c r="BU53" i="19"/>
  <c r="CD53" i="19"/>
  <c r="CA53" i="19"/>
  <c r="DZ53" i="19"/>
  <c r="J53" i="19"/>
  <c r="AW53" i="19"/>
  <c r="DE53" i="19"/>
  <c r="AN53" i="19"/>
  <c r="CY53" i="19"/>
  <c r="CM53" i="19"/>
  <c r="DW53" i="19"/>
  <c r="P53" i="19"/>
  <c r="AB53" i="19"/>
  <c r="EO53" i="19"/>
  <c r="CS53" i="19"/>
  <c r="AK53" i="19"/>
  <c r="AE53" i="19"/>
  <c r="AQ53" i="19"/>
  <c r="D53" i="19"/>
  <c r="CV53" i="19"/>
  <c r="AZ53" i="19"/>
  <c r="AT53" i="19"/>
  <c r="EL53" i="19"/>
  <c r="BL53" i="19"/>
  <c r="EF53" i="19"/>
  <c r="Y53" i="19"/>
  <c r="BF53" i="19"/>
  <c r="DT53" i="19"/>
  <c r="CP53" i="19"/>
  <c r="AH53" i="19"/>
  <c r="Q53" i="20"/>
  <c r="M53" i="16"/>
  <c r="N53" i="16"/>
  <c r="AC53" i="16"/>
  <c r="AE53" i="16" l="1"/>
  <c r="O53" i="16"/>
  <c r="I53" i="16"/>
  <c r="T53" i="20"/>
  <c r="W53" i="20"/>
  <c r="AC53" i="20" s="1"/>
  <c r="H53" i="20"/>
  <c r="I53" i="20"/>
  <c r="ES53" i="19"/>
  <c r="ET53" i="19" s="1"/>
  <c r="BS53" i="19"/>
  <c r="BT53" i="19" s="1"/>
  <c r="DO53" i="19"/>
  <c r="DP53" i="19" s="1"/>
  <c r="W53" i="19"/>
  <c r="X53" i="19" s="1"/>
  <c r="DC53" i="19"/>
  <c r="DD53" i="19" s="1"/>
  <c r="DR53" i="19"/>
  <c r="DS53" i="19" s="1"/>
  <c r="BP53" i="19"/>
  <c r="BQ53" i="19" s="1"/>
  <c r="T53" i="19"/>
  <c r="U53" i="19" s="1"/>
  <c r="N53" i="19"/>
  <c r="O53" i="19" s="1"/>
  <c r="BD53" i="19"/>
  <c r="BE53" i="19" s="1"/>
  <c r="BY53" i="19"/>
  <c r="BZ53" i="19" s="1"/>
  <c r="DI53" i="19"/>
  <c r="DJ53" i="19" s="1"/>
  <c r="CH53" i="19"/>
  <c r="CI53" i="19" s="1"/>
  <c r="EJ53" i="19"/>
  <c r="EK53" i="19" s="1"/>
  <c r="CK53" i="19"/>
  <c r="CL53" i="19" s="1"/>
  <c r="BV53" i="19"/>
  <c r="BW53" i="19" s="1"/>
  <c r="H53" i="19"/>
  <c r="I53" i="19" s="1"/>
  <c r="CE53" i="19"/>
  <c r="CF53" i="19" s="1"/>
  <c r="ED53" i="19"/>
  <c r="EE53" i="19" s="1"/>
  <c r="EA53" i="19"/>
  <c r="EB53" i="19" s="1"/>
  <c r="K53" i="19"/>
  <c r="L53" i="19" s="1"/>
  <c r="AL53" i="19"/>
  <c r="AM53" i="19" s="1"/>
  <c r="DL53" i="19"/>
  <c r="DM53" i="19" s="1"/>
  <c r="Q53" i="19"/>
  <c r="R53" i="19" s="1"/>
  <c r="AC53" i="19"/>
  <c r="AD53" i="19" s="1"/>
  <c r="EP53" i="19"/>
  <c r="EQ53" i="19" s="1"/>
  <c r="CT53" i="19"/>
  <c r="CU53" i="19" s="1"/>
  <c r="BJ53" i="19"/>
  <c r="BK53" i="19" s="1"/>
  <c r="AF53" i="19"/>
  <c r="AG53" i="19" s="1"/>
  <c r="DF53" i="19"/>
  <c r="DG53" i="19" s="1"/>
  <c r="AU53" i="19"/>
  <c r="AV53" i="19" s="1"/>
  <c r="EM53" i="19"/>
  <c r="EN53" i="19" s="1"/>
  <c r="BM53" i="19"/>
  <c r="BN53" i="19" s="1"/>
  <c r="EG53" i="19"/>
  <c r="EH53" i="19" s="1"/>
  <c r="Z53" i="19"/>
  <c r="AA53" i="19" s="1"/>
  <c r="AX53" i="19"/>
  <c r="AY53" i="19" s="1"/>
  <c r="CB53" i="19"/>
  <c r="CC53" i="19" s="1"/>
  <c r="BG53" i="19"/>
  <c r="BH53" i="19" s="1"/>
  <c r="DU53" i="19"/>
  <c r="DV53" i="19" s="1"/>
  <c r="CQ53" i="19"/>
  <c r="CR53" i="19" s="1"/>
  <c r="AI53" i="19"/>
  <c r="AJ53" i="19" s="1"/>
  <c r="AO53" i="19"/>
  <c r="AP53" i="19" s="1"/>
  <c r="CZ53" i="19"/>
  <c r="DA53" i="19" s="1"/>
  <c r="CN53" i="19"/>
  <c r="CO53" i="19" s="1"/>
  <c r="AR53" i="19"/>
  <c r="AS53" i="19" s="1"/>
  <c r="DX53" i="19"/>
  <c r="DY53" i="19" s="1"/>
  <c r="E53" i="19"/>
  <c r="F53" i="19" s="1"/>
  <c r="CW53" i="19"/>
  <c r="CX53" i="19" s="1"/>
  <c r="BA53" i="19"/>
  <c r="BB53" i="19" s="1"/>
  <c r="R53" i="20"/>
  <c r="S53" i="20" s="1"/>
  <c r="AG53" i="16"/>
  <c r="Z53" i="20" l="1"/>
  <c r="AE53" i="20" s="1"/>
  <c r="H54" i="16"/>
  <c r="AF53" i="16"/>
  <c r="V53" i="20"/>
  <c r="U53" i="20"/>
  <c r="O53" i="20"/>
  <c r="X53" i="20"/>
  <c r="Y53" i="20" s="1"/>
  <c r="AA53" i="20" s="1"/>
  <c r="AD53" i="20" l="1"/>
  <c r="AG53" i="20" s="1"/>
  <c r="AF53" i="20"/>
  <c r="X54" i="16"/>
  <c r="W54" i="16"/>
  <c r="EU54" i="17"/>
  <c r="EV54" i="17"/>
  <c r="BF54" i="17"/>
  <c r="AT54" i="17"/>
  <c r="EG54" i="17"/>
  <c r="P54" i="17"/>
  <c r="BV54" i="17"/>
  <c r="DB54" i="17"/>
  <c r="AU54" i="17"/>
  <c r="EF54" i="17"/>
  <c r="BY54" i="17"/>
  <c r="BG54" i="17"/>
  <c r="CD54" i="17"/>
  <c r="EP54" i="17"/>
  <c r="AL54" i="17"/>
  <c r="CQ54" i="17"/>
  <c r="DC54" i="17"/>
  <c r="BX54" i="17"/>
  <c r="BU54" i="17"/>
  <c r="DK54" i="17"/>
  <c r="DL54" i="17"/>
  <c r="CM54" i="17"/>
  <c r="N54" i="17"/>
  <c r="BP54" i="17"/>
  <c r="CT54" i="17"/>
  <c r="CS54" i="17"/>
  <c r="CE54" i="17"/>
  <c r="AK54" i="17"/>
  <c r="DI54" i="17"/>
  <c r="EO54" i="17"/>
  <c r="DH54" i="17"/>
  <c r="M54" i="17"/>
  <c r="BS54" i="17"/>
  <c r="CN54" i="17"/>
  <c r="BR54" i="17"/>
  <c r="AZ54" i="17"/>
  <c r="DX54" i="17"/>
  <c r="BO54" i="17"/>
  <c r="Q54" i="17"/>
  <c r="BA54" i="17"/>
  <c r="DF54" i="17"/>
  <c r="DW54" i="17"/>
  <c r="CP54" i="17"/>
  <c r="AO54" i="17"/>
  <c r="DU54" i="17"/>
  <c r="AI54" i="17"/>
  <c r="DE54" i="17"/>
  <c r="AN54" i="17"/>
  <c r="DT54" i="17"/>
  <c r="AH54" i="17"/>
  <c r="AR54" i="17"/>
  <c r="ES54" i="17"/>
  <c r="CB54" i="17"/>
  <c r="Z54" i="17"/>
  <c r="AW54" i="17"/>
  <c r="AQ54" i="17"/>
  <c r="EM54" i="17"/>
  <c r="ER54" i="17"/>
  <c r="CA54" i="17"/>
  <c r="Y54" i="17"/>
  <c r="CW54" i="17"/>
  <c r="EL54" i="17"/>
  <c r="DN54" i="17"/>
  <c r="BM54" i="17"/>
  <c r="CV54" i="17"/>
  <c r="BD54" i="17"/>
  <c r="CZ54" i="17"/>
  <c r="DO54" i="17"/>
  <c r="BL54" i="17"/>
  <c r="BC54" i="17"/>
  <c r="E54" i="17"/>
  <c r="DR54" i="17"/>
  <c r="AF54" i="17"/>
  <c r="CY54" i="17"/>
  <c r="K54" i="17"/>
  <c r="EJ54" i="17"/>
  <c r="EA54" i="17"/>
  <c r="EI54" i="17"/>
  <c r="DQ54" i="17"/>
  <c r="S54" i="17"/>
  <c r="H54" i="17"/>
  <c r="CJ54" i="17"/>
  <c r="CG54" i="17"/>
  <c r="AE54" i="17"/>
  <c r="G54" i="17"/>
  <c r="AC54" i="17"/>
  <c r="V54" i="17"/>
  <c r="DZ54" i="17"/>
  <c r="AB54" i="17"/>
  <c r="BI54" i="17"/>
  <c r="CH54" i="17"/>
  <c r="D54" i="17"/>
  <c r="T54" i="17"/>
  <c r="W54" i="17"/>
  <c r="J54" i="17"/>
  <c r="CK54" i="17"/>
  <c r="ED54" i="17"/>
  <c r="BJ54" i="17"/>
  <c r="AX54" i="17"/>
  <c r="EC54" i="17"/>
  <c r="L54" i="16"/>
  <c r="DM54" i="17" l="1"/>
  <c r="AD54" i="17"/>
  <c r="BK54" i="17"/>
  <c r="DY54" i="17"/>
  <c r="CX54" i="17"/>
  <c r="BW54" i="17"/>
  <c r="EQ54" i="17"/>
  <c r="AS54" i="17"/>
  <c r="DD54" i="17"/>
  <c r="AY54" i="17"/>
  <c r="CR54" i="17"/>
  <c r="EK54" i="17"/>
  <c r="R54" i="17"/>
  <c r="BT54" i="17"/>
  <c r="AG54" i="17"/>
  <c r="BB54" i="17"/>
  <c r="L54" i="17"/>
  <c r="DJ54" i="17"/>
  <c r="EE54" i="17"/>
  <c r="AM54" i="17"/>
  <c r="CU54" i="17"/>
  <c r="CI54" i="17"/>
  <c r="AA54" i="17"/>
  <c r="EH54" i="17"/>
  <c r="AP54" i="17"/>
  <c r="R54" i="16"/>
  <c r="AD54" i="16" s="1"/>
  <c r="CC54" i="17"/>
  <c r="DG54" i="17"/>
  <c r="BE54" i="17"/>
  <c r="ET54" i="17"/>
  <c r="CO54" i="17"/>
  <c r="BN54" i="17"/>
  <c r="D54" i="20"/>
  <c r="Y54" i="16"/>
  <c r="Z54" i="16"/>
  <c r="CL54" i="17"/>
  <c r="O54" i="17"/>
  <c r="DS54" i="17"/>
  <c r="Q54" i="16"/>
  <c r="F54" i="17"/>
  <c r="U54" i="17"/>
  <c r="BZ54" i="17"/>
  <c r="EB54" i="17"/>
  <c r="AV54" i="17"/>
  <c r="X54" i="17"/>
  <c r="DP54" i="17"/>
  <c r="BH54" i="17"/>
  <c r="DA54" i="17"/>
  <c r="EN54" i="17"/>
  <c r="AJ54" i="17"/>
  <c r="BQ54" i="17"/>
  <c r="I54" i="17"/>
  <c r="DV54" i="17"/>
  <c r="CF54" i="17"/>
  <c r="EW54" i="17"/>
  <c r="P54" i="16" l="1"/>
  <c r="S54" i="16"/>
  <c r="U54" i="16" s="1"/>
  <c r="T54" i="16"/>
  <c r="K54" i="16"/>
  <c r="AA54" i="16"/>
  <c r="V54" i="16"/>
  <c r="J54" i="20"/>
  <c r="E54" i="20"/>
  <c r="G54" i="20"/>
  <c r="K54" i="20" l="1"/>
  <c r="EU54" i="19"/>
  <c r="J54" i="19"/>
  <c r="BU54" i="19"/>
  <c r="CV54" i="19"/>
  <c r="AN54" i="19"/>
  <c r="Y54" i="19"/>
  <c r="DZ54" i="19"/>
  <c r="BF54" i="19"/>
  <c r="V54" i="19"/>
  <c r="P54" i="19"/>
  <c r="EC54" i="19"/>
  <c r="AE54" i="19"/>
  <c r="ER54" i="19"/>
  <c r="AK54" i="19"/>
  <c r="CJ54" i="19"/>
  <c r="BO54" i="19"/>
  <c r="DT54" i="19"/>
  <c r="BI54" i="19"/>
  <c r="CG54" i="19"/>
  <c r="DH54" i="19"/>
  <c r="D54" i="19"/>
  <c r="EF54" i="19"/>
  <c r="DW54" i="19"/>
  <c r="AB54" i="19"/>
  <c r="BL54" i="19"/>
  <c r="BC54" i="19"/>
  <c r="AH54" i="19"/>
  <c r="AW54" i="19"/>
  <c r="M54" i="19"/>
  <c r="S54" i="19"/>
  <c r="G54" i="19"/>
  <c r="BR54" i="19"/>
  <c r="EO54" i="19"/>
  <c r="CS54" i="19"/>
  <c r="AQ54" i="19"/>
  <c r="EL54" i="19"/>
  <c r="CP54" i="19"/>
  <c r="DN54" i="19"/>
  <c r="DK54" i="19"/>
  <c r="CM54" i="19"/>
  <c r="CY54" i="19"/>
  <c r="CA54" i="19"/>
  <c r="DE54" i="19"/>
  <c r="DB54" i="19"/>
  <c r="AZ54" i="19"/>
  <c r="EI54" i="19"/>
  <c r="AT54" i="19"/>
  <c r="DQ54" i="19"/>
  <c r="CD54" i="19"/>
  <c r="BX54" i="19"/>
  <c r="Q54" i="20"/>
  <c r="F54" i="20"/>
  <c r="M54" i="16"/>
  <c r="N54" i="16"/>
  <c r="AC54" i="16"/>
  <c r="AE54" i="16" l="1"/>
  <c r="W54" i="20"/>
  <c r="AC54" i="20" s="1"/>
  <c r="O54" i="16"/>
  <c r="I54" i="16"/>
  <c r="AG54" i="16"/>
  <c r="T54" i="20"/>
  <c r="H54" i="20"/>
  <c r="I54" i="20"/>
  <c r="EV54" i="19"/>
  <c r="EW54" i="19" s="1"/>
  <c r="EA54" i="19"/>
  <c r="EB54" i="19" s="1"/>
  <c r="BG54" i="19"/>
  <c r="BH54" i="19" s="1"/>
  <c r="Q54" i="19"/>
  <c r="R54" i="19" s="1"/>
  <c r="BM54" i="19"/>
  <c r="BN54" i="19" s="1"/>
  <c r="AF54" i="19"/>
  <c r="AG54" i="19" s="1"/>
  <c r="ES54" i="19"/>
  <c r="ET54" i="19" s="1"/>
  <c r="AL54" i="19"/>
  <c r="AM54" i="19" s="1"/>
  <c r="BD54" i="19"/>
  <c r="BE54" i="19" s="1"/>
  <c r="CK54" i="19"/>
  <c r="CL54" i="19" s="1"/>
  <c r="K54" i="19"/>
  <c r="L54" i="19" s="1"/>
  <c r="BV54" i="19"/>
  <c r="BW54" i="19" s="1"/>
  <c r="BP54" i="19"/>
  <c r="BQ54" i="19" s="1"/>
  <c r="DU54" i="19"/>
  <c r="DV54" i="19" s="1"/>
  <c r="W54" i="19"/>
  <c r="X54" i="19" s="1"/>
  <c r="AX54" i="19"/>
  <c r="AY54" i="19" s="1"/>
  <c r="T54" i="19"/>
  <c r="U54" i="19" s="1"/>
  <c r="H54" i="19"/>
  <c r="I54" i="19" s="1"/>
  <c r="BS54" i="19"/>
  <c r="BT54" i="19" s="1"/>
  <c r="BJ54" i="19"/>
  <c r="BK54" i="19" s="1"/>
  <c r="CH54" i="19"/>
  <c r="CI54" i="19" s="1"/>
  <c r="DI54" i="19"/>
  <c r="DJ54" i="19" s="1"/>
  <c r="E54" i="19"/>
  <c r="F54" i="19" s="1"/>
  <c r="EG54" i="19"/>
  <c r="EH54" i="19" s="1"/>
  <c r="CB54" i="19"/>
  <c r="CC54" i="19" s="1"/>
  <c r="DX54" i="19"/>
  <c r="DY54" i="19" s="1"/>
  <c r="DR54" i="19"/>
  <c r="DS54" i="19" s="1"/>
  <c r="ED54" i="19"/>
  <c r="EE54" i="19" s="1"/>
  <c r="AI54" i="19"/>
  <c r="AJ54" i="19" s="1"/>
  <c r="N54" i="19"/>
  <c r="O54" i="19" s="1"/>
  <c r="DL54" i="19"/>
  <c r="DM54" i="19" s="1"/>
  <c r="CN54" i="19"/>
  <c r="CO54" i="19" s="1"/>
  <c r="CZ54" i="19"/>
  <c r="DA54" i="19" s="1"/>
  <c r="BY54" i="19"/>
  <c r="BZ54" i="19" s="1"/>
  <c r="CW54" i="19"/>
  <c r="CX54" i="19" s="1"/>
  <c r="Z54" i="19"/>
  <c r="AA54" i="19" s="1"/>
  <c r="DF54" i="19"/>
  <c r="DG54" i="19" s="1"/>
  <c r="DC54" i="19"/>
  <c r="DD54" i="19" s="1"/>
  <c r="BA54" i="19"/>
  <c r="BB54" i="19" s="1"/>
  <c r="EP54" i="19"/>
  <c r="EQ54" i="19" s="1"/>
  <c r="EJ54" i="19"/>
  <c r="EK54" i="19" s="1"/>
  <c r="CT54" i="19"/>
  <c r="CU54" i="19" s="1"/>
  <c r="CE54" i="19"/>
  <c r="CF54" i="19" s="1"/>
  <c r="AR54" i="19"/>
  <c r="AS54" i="19" s="1"/>
  <c r="EM54" i="19"/>
  <c r="EN54" i="19" s="1"/>
  <c r="AU54" i="19"/>
  <c r="AV54" i="19" s="1"/>
  <c r="CQ54" i="19"/>
  <c r="CR54" i="19" s="1"/>
  <c r="DO54" i="19"/>
  <c r="DP54" i="19" s="1"/>
  <c r="AC54" i="19"/>
  <c r="AD54" i="19" s="1"/>
  <c r="AO54" i="19"/>
  <c r="AP54" i="19" s="1"/>
  <c r="R54" i="20"/>
  <c r="S54" i="20" s="1"/>
  <c r="H55" i="16" l="1"/>
  <c r="L55" i="16" s="1"/>
  <c r="AF54" i="16"/>
  <c r="V54" i="20"/>
  <c r="Z54" i="20"/>
  <c r="AE54" i="20" s="1"/>
  <c r="U54" i="20"/>
  <c r="O54" i="20"/>
  <c r="X54" i="20"/>
  <c r="Y54" i="20" s="1"/>
  <c r="AA54" i="20" s="1"/>
  <c r="AF54" i="20" l="1"/>
  <c r="AD54" i="20"/>
  <c r="AG54" i="20" s="1"/>
  <c r="X55" i="16"/>
  <c r="W55" i="16"/>
  <c r="EY55" i="17"/>
  <c r="EX55" i="17"/>
  <c r="Z55" i="17"/>
  <c r="CG55" i="17"/>
  <c r="BA55" i="17"/>
  <c r="P55" i="17"/>
  <c r="DH55" i="17"/>
  <c r="EG55" i="17"/>
  <c r="CP55" i="17"/>
  <c r="CN55" i="17"/>
  <c r="AR55" i="17"/>
  <c r="BS55" i="17"/>
  <c r="CM55" i="17"/>
  <c r="Q55" i="17"/>
  <c r="AQ55" i="17"/>
  <c r="AO55" i="17"/>
  <c r="BR55" i="17"/>
  <c r="CQ55" i="17"/>
  <c r="DX55" i="17"/>
  <c r="AC55" i="17"/>
  <c r="AN55" i="17"/>
  <c r="DL55" i="17"/>
  <c r="DC55" i="17"/>
  <c r="ED55" i="17"/>
  <c r="BV55" i="17"/>
  <c r="DE55" i="17"/>
  <c r="K55" i="17"/>
  <c r="DW55" i="17"/>
  <c r="EC55" i="17"/>
  <c r="AB55" i="17"/>
  <c r="DF55" i="17"/>
  <c r="CB55" i="17"/>
  <c r="DK55" i="17"/>
  <c r="J55" i="17"/>
  <c r="BL55" i="17"/>
  <c r="BU55" i="17"/>
  <c r="AW55" i="17"/>
  <c r="CA55" i="17"/>
  <c r="AF55" i="17"/>
  <c r="BD55" i="17"/>
  <c r="BM55" i="17"/>
  <c r="AE55" i="17"/>
  <c r="EJ55" i="17"/>
  <c r="EP55" i="17"/>
  <c r="AL55" i="17"/>
  <c r="CS55" i="17"/>
  <c r="BC55" i="17"/>
  <c r="EI55" i="17"/>
  <c r="EO55" i="17"/>
  <c r="BJ55" i="17"/>
  <c r="ES55" i="17"/>
  <c r="CT55" i="17"/>
  <c r="EF55" i="17"/>
  <c r="Y55" i="17"/>
  <c r="CH55" i="17"/>
  <c r="AZ55" i="17"/>
  <c r="BI55" i="17"/>
  <c r="ER55" i="17"/>
  <c r="DI55" i="17"/>
  <c r="AK55" i="17"/>
  <c r="DB55" i="17"/>
  <c r="CW55" i="17"/>
  <c r="AX55" i="17"/>
  <c r="CV55" i="17"/>
  <c r="D55" i="17"/>
  <c r="S55" i="17"/>
  <c r="DN55" i="17"/>
  <c r="BY55" i="17"/>
  <c r="N55" i="17"/>
  <c r="BP55" i="17"/>
  <c r="BX55" i="17"/>
  <c r="M55" i="17"/>
  <c r="BO55" i="17"/>
  <c r="EM55" i="17"/>
  <c r="DO55" i="17"/>
  <c r="DT55" i="17"/>
  <c r="CJ55" i="17"/>
  <c r="EL55" i="17"/>
  <c r="EA55" i="17"/>
  <c r="DU55" i="17"/>
  <c r="DZ55" i="17"/>
  <c r="BG55" i="17"/>
  <c r="CD55" i="17"/>
  <c r="G55" i="17"/>
  <c r="DQ55" i="17"/>
  <c r="W55" i="17"/>
  <c r="T55" i="17"/>
  <c r="CK55" i="17"/>
  <c r="AT55" i="17"/>
  <c r="BF55" i="17"/>
  <c r="AI55" i="17"/>
  <c r="CE55" i="17"/>
  <c r="AH55" i="17"/>
  <c r="CZ55" i="17"/>
  <c r="EV55" i="17"/>
  <c r="E55" i="17"/>
  <c r="AU55" i="17"/>
  <c r="H55" i="17"/>
  <c r="V55" i="17"/>
  <c r="CY55" i="17"/>
  <c r="EU55" i="17"/>
  <c r="DR55" i="17"/>
  <c r="EE55" i="17" l="1"/>
  <c r="BH55" i="17"/>
  <c r="U55" i="17"/>
  <c r="AG55" i="17"/>
  <c r="BT55" i="17"/>
  <c r="EN55" i="17"/>
  <c r="R55" i="17"/>
  <c r="AV55" i="17"/>
  <c r="AA55" i="17"/>
  <c r="X55" i="17"/>
  <c r="EW55" i="17"/>
  <c r="DA55" i="17"/>
  <c r="EZ55" i="17"/>
  <c r="CX55" i="17"/>
  <c r="CL55" i="17"/>
  <c r="BB55" i="17"/>
  <c r="DJ55" i="17"/>
  <c r="BQ55" i="17"/>
  <c r="CI55" i="17"/>
  <c r="AD55" i="17"/>
  <c r="EH55" i="17"/>
  <c r="DY55" i="17"/>
  <c r="AS55" i="17"/>
  <c r="DD55" i="17"/>
  <c r="AY55" i="17"/>
  <c r="CO55" i="17"/>
  <c r="AJ55" i="17"/>
  <c r="EB55" i="17"/>
  <c r="BK55" i="17"/>
  <c r="DM55" i="17"/>
  <c r="AP55" i="17"/>
  <c r="CR55" i="17"/>
  <c r="DP55" i="17"/>
  <c r="DV55" i="17"/>
  <c r="Q55" i="16"/>
  <c r="F55" i="17"/>
  <c r="CC55" i="17"/>
  <c r="DG55" i="17"/>
  <c r="DS55" i="17"/>
  <c r="EQ55" i="17"/>
  <c r="R55" i="16"/>
  <c r="AD55" i="16" s="1"/>
  <c r="I55" i="17"/>
  <c r="O55" i="17"/>
  <c r="AM55" i="17"/>
  <c r="EK55" i="17"/>
  <c r="BW55" i="17"/>
  <c r="D55" i="20"/>
  <c r="Y55" i="16"/>
  <c r="Z55" i="16"/>
  <c r="CF55" i="17"/>
  <c r="BZ55" i="17"/>
  <c r="BE55" i="17"/>
  <c r="BN55" i="17"/>
  <c r="ET55" i="17"/>
  <c r="CU55" i="17"/>
  <c r="L55" i="17"/>
  <c r="S55" i="16" l="1"/>
  <c r="U55" i="16" s="1"/>
  <c r="T55" i="16"/>
  <c r="K55" i="16"/>
  <c r="AA55" i="16"/>
  <c r="V55" i="16"/>
  <c r="E55" i="20"/>
  <c r="J55" i="20"/>
  <c r="G55" i="20"/>
  <c r="P55" i="16"/>
  <c r="K55" i="20" l="1"/>
  <c r="EX55" i="19"/>
  <c r="CY55" i="19"/>
  <c r="AE55" i="19"/>
  <c r="DE55" i="19"/>
  <c r="DQ55" i="19"/>
  <c r="DW55" i="19"/>
  <c r="BR55" i="19"/>
  <c r="AW55" i="19"/>
  <c r="DT55" i="19"/>
  <c r="CM55" i="19"/>
  <c r="DK55" i="19"/>
  <c r="AN55" i="19"/>
  <c r="BI55" i="19"/>
  <c r="EI55" i="19"/>
  <c r="DB55" i="19"/>
  <c r="AZ55" i="19"/>
  <c r="AB55" i="19"/>
  <c r="DH55" i="19"/>
  <c r="BC55" i="19"/>
  <c r="CS55" i="19"/>
  <c r="EL55" i="19"/>
  <c r="CD55" i="19"/>
  <c r="M55" i="19"/>
  <c r="CJ55" i="19"/>
  <c r="J55" i="19"/>
  <c r="S55" i="19"/>
  <c r="DN55" i="19"/>
  <c r="G55" i="19"/>
  <c r="EF55" i="19"/>
  <c r="AQ55" i="19"/>
  <c r="CA55" i="19"/>
  <c r="BU55" i="19"/>
  <c r="BX55" i="19"/>
  <c r="CV55" i="19"/>
  <c r="EU55" i="19"/>
  <c r="BO55" i="19"/>
  <c r="BL55" i="19"/>
  <c r="P55" i="19"/>
  <c r="AK55" i="19"/>
  <c r="DZ55" i="19"/>
  <c r="AT55" i="19"/>
  <c r="CG55" i="19"/>
  <c r="ER55" i="19"/>
  <c r="AH55" i="19"/>
  <c r="CP55" i="19"/>
  <c r="D55" i="19"/>
  <c r="V55" i="19"/>
  <c r="EO55" i="19"/>
  <c r="EC55" i="19"/>
  <c r="Y55" i="19"/>
  <c r="BF55" i="19"/>
  <c r="Q55" i="20"/>
  <c r="M55" i="16"/>
  <c r="N55" i="16"/>
  <c r="AC55" i="16"/>
  <c r="F55" i="20"/>
  <c r="H55" i="20" l="1"/>
  <c r="I55" i="20"/>
  <c r="AE55" i="16"/>
  <c r="AG55" i="16"/>
  <c r="O55" i="16"/>
  <c r="I55" i="16"/>
  <c r="T55" i="20"/>
  <c r="EY55" i="19"/>
  <c r="EZ55" i="19" s="1"/>
  <c r="DR55" i="19"/>
  <c r="DS55" i="19" s="1"/>
  <c r="DX55" i="19"/>
  <c r="DY55" i="19" s="1"/>
  <c r="BS55" i="19"/>
  <c r="BT55" i="19" s="1"/>
  <c r="T55" i="19"/>
  <c r="U55" i="19" s="1"/>
  <c r="AX55" i="19"/>
  <c r="AY55" i="19" s="1"/>
  <c r="DU55" i="19"/>
  <c r="DV55" i="19" s="1"/>
  <c r="DO55" i="19"/>
  <c r="DP55" i="19" s="1"/>
  <c r="CN55" i="19"/>
  <c r="CO55" i="19" s="1"/>
  <c r="DL55" i="19"/>
  <c r="DM55" i="19" s="1"/>
  <c r="CB55" i="19"/>
  <c r="CC55" i="19" s="1"/>
  <c r="AO55" i="19"/>
  <c r="AP55" i="19" s="1"/>
  <c r="CZ55" i="19"/>
  <c r="DA55" i="19" s="1"/>
  <c r="AF55" i="19"/>
  <c r="AG55" i="19" s="1"/>
  <c r="DF55" i="19"/>
  <c r="DG55" i="19" s="1"/>
  <c r="DC55" i="19"/>
  <c r="DD55" i="19" s="1"/>
  <c r="CW55" i="19"/>
  <c r="CX55" i="19" s="1"/>
  <c r="AL55" i="19"/>
  <c r="AM55" i="19" s="1"/>
  <c r="ED55" i="19"/>
  <c r="EE55" i="19" s="1"/>
  <c r="Q55" i="19"/>
  <c r="R55" i="19" s="1"/>
  <c r="EG55" i="19"/>
  <c r="EH55" i="19" s="1"/>
  <c r="AU55" i="19"/>
  <c r="AV55" i="19" s="1"/>
  <c r="ES55" i="19"/>
  <c r="ET55" i="19" s="1"/>
  <c r="CK55" i="19"/>
  <c r="CL55" i="19" s="1"/>
  <c r="BV55" i="19"/>
  <c r="BW55" i="19" s="1"/>
  <c r="CH55" i="19"/>
  <c r="CI55" i="19" s="1"/>
  <c r="AI55" i="19"/>
  <c r="AJ55" i="19" s="1"/>
  <c r="BY55" i="19"/>
  <c r="BZ55" i="19" s="1"/>
  <c r="EV55" i="19"/>
  <c r="EW55" i="19" s="1"/>
  <c r="BM55" i="19"/>
  <c r="BN55" i="19" s="1"/>
  <c r="K55" i="19"/>
  <c r="L55" i="19" s="1"/>
  <c r="EA55" i="19"/>
  <c r="EB55" i="19" s="1"/>
  <c r="H55" i="19"/>
  <c r="I55" i="19" s="1"/>
  <c r="CQ55" i="19"/>
  <c r="CR55" i="19" s="1"/>
  <c r="BJ55" i="19"/>
  <c r="BK55" i="19" s="1"/>
  <c r="E55" i="19"/>
  <c r="EJ55" i="19"/>
  <c r="EK55" i="19" s="1"/>
  <c r="Z55" i="19"/>
  <c r="AA55" i="19" s="1"/>
  <c r="BP55" i="19"/>
  <c r="BQ55" i="19" s="1"/>
  <c r="EM55" i="19"/>
  <c r="EN55" i="19" s="1"/>
  <c r="AR55" i="19"/>
  <c r="AS55" i="19" s="1"/>
  <c r="CE55" i="19"/>
  <c r="CF55" i="19" s="1"/>
  <c r="N55" i="19"/>
  <c r="O55" i="19" s="1"/>
  <c r="EP55" i="19"/>
  <c r="EQ55" i="19" s="1"/>
  <c r="BA55" i="19"/>
  <c r="BB55" i="19" s="1"/>
  <c r="AC55" i="19"/>
  <c r="AD55" i="19" s="1"/>
  <c r="DI55" i="19"/>
  <c r="DJ55" i="19" s="1"/>
  <c r="BD55" i="19"/>
  <c r="BE55" i="19" s="1"/>
  <c r="CT55" i="19"/>
  <c r="CU55" i="19" s="1"/>
  <c r="BG55" i="19"/>
  <c r="BH55" i="19" s="1"/>
  <c r="W55" i="19"/>
  <c r="X55" i="19" s="1"/>
  <c r="R55" i="20"/>
  <c r="S55" i="20" s="1"/>
  <c r="W55" i="20"/>
  <c r="X55" i="20" l="1"/>
  <c r="AD55" i="20" s="1"/>
  <c r="U55" i="20"/>
  <c r="O55" i="20"/>
  <c r="AF55" i="16"/>
  <c r="F55" i="19"/>
  <c r="Z55" i="20"/>
  <c r="AE55" i="20" s="1"/>
  <c r="H56" i="16"/>
  <c r="AC55" i="20"/>
  <c r="Y55" i="20" l="1"/>
  <c r="AA55" i="20" s="1"/>
  <c r="AF55" i="20" s="1"/>
  <c r="X56" i="16"/>
  <c r="W56" i="16"/>
  <c r="FA56" i="17"/>
  <c r="FB56" i="17"/>
  <c r="AH56" i="17"/>
  <c r="DL56" i="17"/>
  <c r="AI56" i="17"/>
  <c r="BF56" i="17"/>
  <c r="DK56" i="17"/>
  <c r="AN56" i="17"/>
  <c r="Z56" i="17"/>
  <c r="S56" i="17"/>
  <c r="AF56" i="17"/>
  <c r="AW56" i="17"/>
  <c r="CW56" i="17"/>
  <c r="T56" i="17"/>
  <c r="BG56" i="17"/>
  <c r="AE56" i="17"/>
  <c r="EV56" i="17"/>
  <c r="AC56" i="17"/>
  <c r="DB56" i="17"/>
  <c r="AZ56" i="17"/>
  <c r="AT56" i="17"/>
  <c r="AB56" i="17"/>
  <c r="AX56" i="17"/>
  <c r="EG56" i="17"/>
  <c r="CK56" i="17"/>
  <c r="EF56" i="17"/>
  <c r="CJ56" i="17"/>
  <c r="EC56" i="17"/>
  <c r="BI56" i="17"/>
  <c r="DX56" i="17"/>
  <c r="CQ56" i="17"/>
  <c r="BA56" i="17"/>
  <c r="EU56" i="17"/>
  <c r="DC56" i="17"/>
  <c r="ED56" i="17"/>
  <c r="W56" i="17"/>
  <c r="BS56" i="17"/>
  <c r="CZ56" i="17"/>
  <c r="EA56" i="17"/>
  <c r="EM56" i="17"/>
  <c r="AO56" i="17"/>
  <c r="CV56" i="17"/>
  <c r="BR56" i="17"/>
  <c r="BJ56" i="17"/>
  <c r="Y56" i="17"/>
  <c r="AU56" i="17"/>
  <c r="DZ56" i="17"/>
  <c r="DW56" i="17"/>
  <c r="EX56" i="17"/>
  <c r="CM56" i="17"/>
  <c r="CH56" i="17"/>
  <c r="DI56" i="17"/>
  <c r="DH56" i="17"/>
  <c r="CY56" i="17"/>
  <c r="AR56" i="17"/>
  <c r="EY56" i="17"/>
  <c r="BO56" i="17"/>
  <c r="Q56" i="17"/>
  <c r="CP56" i="17"/>
  <c r="V56" i="17"/>
  <c r="CN56" i="17"/>
  <c r="EL56" i="17"/>
  <c r="CG56" i="17"/>
  <c r="AQ56" i="17"/>
  <c r="BP56" i="17"/>
  <c r="P56" i="17"/>
  <c r="J56" i="17"/>
  <c r="DQ56" i="17"/>
  <c r="DU56" i="17"/>
  <c r="K56" i="17"/>
  <c r="DR56" i="17"/>
  <c r="BM56" i="17"/>
  <c r="DT56" i="17"/>
  <c r="BL56" i="17"/>
  <c r="CD56" i="17"/>
  <c r="ES56" i="17"/>
  <c r="BV56" i="17"/>
  <c r="ER56" i="17"/>
  <c r="H56" i="17"/>
  <c r="EP56" i="17"/>
  <c r="BU56" i="17"/>
  <c r="N56" i="17"/>
  <c r="G56" i="17"/>
  <c r="CB56" i="17"/>
  <c r="CT56" i="17"/>
  <c r="CA56" i="17"/>
  <c r="BD56" i="17"/>
  <c r="M56" i="17"/>
  <c r="EI56" i="17"/>
  <c r="CE56" i="17"/>
  <c r="EO56" i="17"/>
  <c r="DF56" i="17"/>
  <c r="CS56" i="17"/>
  <c r="AL56" i="17"/>
  <c r="BC56" i="17"/>
  <c r="AK56" i="17"/>
  <c r="BX56" i="17"/>
  <c r="EJ56" i="17"/>
  <c r="DE56" i="17"/>
  <c r="D56" i="17"/>
  <c r="DN56" i="17"/>
  <c r="BY56" i="17"/>
  <c r="E56" i="17"/>
  <c r="DO56" i="17"/>
  <c r="AG55" i="20"/>
  <c r="V55" i="20"/>
  <c r="L56" i="16"/>
  <c r="EE56" i="17" l="1"/>
  <c r="AG56" i="17"/>
  <c r="O56" i="17"/>
  <c r="CI56" i="17"/>
  <c r="X56" i="17"/>
  <c r="AM56" i="17"/>
  <c r="BW56" i="17"/>
  <c r="BQ56" i="17"/>
  <c r="EW56" i="17"/>
  <c r="AV56" i="17"/>
  <c r="FC56" i="17"/>
  <c r="BE56" i="17"/>
  <c r="EB56" i="17"/>
  <c r="EZ56" i="17"/>
  <c r="AP56" i="17"/>
  <c r="AS56" i="17"/>
  <c r="DG56" i="17"/>
  <c r="CF56" i="17"/>
  <c r="CL56" i="17"/>
  <c r="AJ56" i="17"/>
  <c r="DY56" i="17"/>
  <c r="DV56" i="17"/>
  <c r="BZ56" i="17"/>
  <c r="I56" i="17"/>
  <c r="CR56" i="17"/>
  <c r="AD56" i="17"/>
  <c r="U56" i="17"/>
  <c r="Q56" i="16"/>
  <c r="F56" i="17"/>
  <c r="CC56" i="17"/>
  <c r="BN56" i="17"/>
  <c r="EN56" i="17"/>
  <c r="CO56" i="17"/>
  <c r="EH56" i="17"/>
  <c r="AY56" i="17"/>
  <c r="D56" i="20"/>
  <c r="Y56" i="16"/>
  <c r="Z56" i="16"/>
  <c r="BB56" i="17"/>
  <c r="R56" i="17"/>
  <c r="CU56" i="17"/>
  <c r="AA56" i="17"/>
  <c r="DS56" i="17"/>
  <c r="R56" i="16"/>
  <c r="AD56" i="16" s="1"/>
  <c r="EQ56" i="17"/>
  <c r="L56" i="17"/>
  <c r="BT56" i="17"/>
  <c r="DD56" i="17"/>
  <c r="DM56" i="17"/>
  <c r="ET56" i="17"/>
  <c r="DA56" i="17"/>
  <c r="CX56" i="17"/>
  <c r="BH56" i="17"/>
  <c r="DP56" i="17"/>
  <c r="EK56" i="17"/>
  <c r="DJ56" i="17"/>
  <c r="BK56" i="17"/>
  <c r="AA56" i="16" l="1"/>
  <c r="V56" i="16"/>
  <c r="P56" i="16"/>
  <c r="J56" i="20"/>
  <c r="E56" i="20"/>
  <c r="G56" i="20"/>
  <c r="S56" i="16"/>
  <c r="U56" i="16" s="1"/>
  <c r="T56" i="16"/>
  <c r="K56" i="16"/>
  <c r="M56" i="16" l="1"/>
  <c r="N56" i="16"/>
  <c r="AC56" i="16"/>
  <c r="K56" i="20"/>
  <c r="FA56" i="19"/>
  <c r="EX56" i="19"/>
  <c r="CM56" i="19"/>
  <c r="AK56" i="19"/>
  <c r="BR56" i="19"/>
  <c r="AB56" i="19"/>
  <c r="G56" i="19"/>
  <c r="J56" i="19"/>
  <c r="BI56" i="19"/>
  <c r="CP56" i="19"/>
  <c r="EF56" i="19"/>
  <c r="EC56" i="19"/>
  <c r="BL56" i="19"/>
  <c r="BC56" i="19"/>
  <c r="AW56" i="19"/>
  <c r="EU56" i="19"/>
  <c r="CG56" i="19"/>
  <c r="EO56" i="19"/>
  <c r="AT56" i="19"/>
  <c r="DT56" i="19"/>
  <c r="CD56" i="19"/>
  <c r="BX56" i="19"/>
  <c r="CS56" i="19"/>
  <c r="DH56" i="19"/>
  <c r="DQ56" i="19"/>
  <c r="V56" i="19"/>
  <c r="DW56" i="19"/>
  <c r="BU56" i="19"/>
  <c r="ER56" i="19"/>
  <c r="EI56" i="19"/>
  <c r="BO56" i="19"/>
  <c r="S56" i="19"/>
  <c r="AE56" i="19"/>
  <c r="EL56" i="19"/>
  <c r="BF56" i="19"/>
  <c r="CJ56" i="19"/>
  <c r="DK56" i="19"/>
  <c r="DZ56" i="19"/>
  <c r="CV56" i="19"/>
  <c r="Y56" i="19"/>
  <c r="AN56" i="19"/>
  <c r="DN56" i="19"/>
  <c r="DE56" i="19"/>
  <c r="DB56" i="19"/>
  <c r="AH56" i="19"/>
  <c r="CY56" i="19"/>
  <c r="CA56" i="19"/>
  <c r="AZ56" i="19"/>
  <c r="P56" i="19"/>
  <c r="M56" i="19"/>
  <c r="AQ56" i="19"/>
  <c r="D56" i="19"/>
  <c r="Q56" i="20"/>
  <c r="F56" i="20"/>
  <c r="H56" i="20" l="1"/>
  <c r="I56" i="20"/>
  <c r="T56" i="20"/>
  <c r="FB56" i="19"/>
  <c r="FC56" i="19" s="1"/>
  <c r="BS56" i="19"/>
  <c r="BT56" i="19" s="1"/>
  <c r="AC56" i="19"/>
  <c r="AD56" i="19" s="1"/>
  <c r="H56" i="19"/>
  <c r="I56" i="19" s="1"/>
  <c r="BY56" i="19"/>
  <c r="BZ56" i="19" s="1"/>
  <c r="DF56" i="19"/>
  <c r="DG56" i="19" s="1"/>
  <c r="CH56" i="19"/>
  <c r="CI56" i="19" s="1"/>
  <c r="DI56" i="19"/>
  <c r="DJ56" i="19" s="1"/>
  <c r="N56" i="19"/>
  <c r="O56" i="19" s="1"/>
  <c r="CQ56" i="19"/>
  <c r="CR56" i="19" s="1"/>
  <c r="EG56" i="19"/>
  <c r="EH56" i="19" s="1"/>
  <c r="AL56" i="19"/>
  <c r="AM56" i="19" s="1"/>
  <c r="K56" i="19"/>
  <c r="L56" i="19" s="1"/>
  <c r="W56" i="19"/>
  <c r="X56" i="19" s="1"/>
  <c r="DX56" i="19"/>
  <c r="DY56" i="19" s="1"/>
  <c r="CT56" i="19"/>
  <c r="CU56" i="19" s="1"/>
  <c r="BD56" i="19"/>
  <c r="BE56" i="19" s="1"/>
  <c r="AU56" i="19"/>
  <c r="AV56" i="19" s="1"/>
  <c r="ED56" i="19"/>
  <c r="EE56" i="19" s="1"/>
  <c r="EV56" i="19"/>
  <c r="EW56" i="19" s="1"/>
  <c r="EJ56" i="19"/>
  <c r="EK56" i="19" s="1"/>
  <c r="BM56" i="19"/>
  <c r="BN56" i="19" s="1"/>
  <c r="CW56" i="19"/>
  <c r="CX56" i="19" s="1"/>
  <c r="BJ56" i="19"/>
  <c r="BK56" i="19" s="1"/>
  <c r="BP56" i="19"/>
  <c r="BQ56" i="19" s="1"/>
  <c r="T56" i="19"/>
  <c r="U56" i="19" s="1"/>
  <c r="AX56" i="19"/>
  <c r="AY56" i="19" s="1"/>
  <c r="EM56" i="19"/>
  <c r="EN56" i="19" s="1"/>
  <c r="BG56" i="19"/>
  <c r="BH56" i="19" s="1"/>
  <c r="CK56" i="19"/>
  <c r="CL56" i="19" s="1"/>
  <c r="DL56" i="19"/>
  <c r="DM56" i="19" s="1"/>
  <c r="EA56" i="19"/>
  <c r="EB56" i="19" s="1"/>
  <c r="DU56" i="19"/>
  <c r="DV56" i="19" s="1"/>
  <c r="AF56" i="19"/>
  <c r="AG56" i="19" s="1"/>
  <c r="BV56" i="19"/>
  <c r="BW56" i="19" s="1"/>
  <c r="ES56" i="19"/>
  <c r="ET56" i="19" s="1"/>
  <c r="DO56" i="19"/>
  <c r="DP56" i="19" s="1"/>
  <c r="AR56" i="19"/>
  <c r="AS56" i="19" s="1"/>
  <c r="EY56" i="19"/>
  <c r="EZ56" i="19" s="1"/>
  <c r="CN56" i="19"/>
  <c r="CO56" i="19" s="1"/>
  <c r="Z56" i="19"/>
  <c r="AA56" i="19" s="1"/>
  <c r="CZ56" i="19"/>
  <c r="DA56" i="19" s="1"/>
  <c r="CB56" i="19"/>
  <c r="CC56" i="19" s="1"/>
  <c r="BA56" i="19"/>
  <c r="BB56" i="19" s="1"/>
  <c r="Q56" i="19"/>
  <c r="R56" i="19" s="1"/>
  <c r="DR56" i="19"/>
  <c r="DS56" i="19" s="1"/>
  <c r="CE56" i="19"/>
  <c r="CF56" i="19" s="1"/>
  <c r="DC56" i="19"/>
  <c r="DD56" i="19" s="1"/>
  <c r="AI56" i="19"/>
  <c r="AJ56" i="19" s="1"/>
  <c r="AO56" i="19"/>
  <c r="AP56" i="19" s="1"/>
  <c r="EP56" i="19"/>
  <c r="EQ56" i="19" s="1"/>
  <c r="E56" i="19"/>
  <c r="F56" i="19" s="1"/>
  <c r="R56" i="20"/>
  <c r="S56" i="20" s="1"/>
  <c r="AG56" i="16"/>
  <c r="AE56" i="16"/>
  <c r="O56" i="16"/>
  <c r="I56" i="16"/>
  <c r="W56" i="20"/>
  <c r="AC56" i="20" s="1"/>
  <c r="V56" i="20" l="1"/>
  <c r="U56" i="20"/>
  <c r="O56" i="20"/>
  <c r="Z56" i="20"/>
  <c r="AE56" i="20" s="1"/>
  <c r="AF56" i="16"/>
  <c r="H57" i="16"/>
  <c r="X56" i="20"/>
  <c r="Y56" i="20" s="1"/>
  <c r="AA56" i="20" s="1"/>
  <c r="AF56" i="20" l="1"/>
  <c r="AD56" i="20"/>
  <c r="AG56" i="20" s="1"/>
  <c r="X57" i="16"/>
  <c r="W57" i="16"/>
  <c r="FD57" i="17"/>
  <c r="FE57" i="17"/>
  <c r="DF57" i="17"/>
  <c r="AH57" i="17"/>
  <c r="V57" i="17"/>
  <c r="DZ57" i="17"/>
  <c r="EV57" i="17"/>
  <c r="DE57" i="17"/>
  <c r="EY57" i="17"/>
  <c r="DX57" i="17"/>
  <c r="EA57" i="17"/>
  <c r="EU57" i="17"/>
  <c r="CE57" i="17"/>
  <c r="EX57" i="17"/>
  <c r="DW57" i="17"/>
  <c r="AT57" i="17"/>
  <c r="BX57" i="17"/>
  <c r="BU57" i="17"/>
  <c r="AI57" i="17"/>
  <c r="BP57" i="17"/>
  <c r="CP57" i="17"/>
  <c r="FA57" i="17"/>
  <c r="AN57" i="17"/>
  <c r="CH57" i="17"/>
  <c r="AR57" i="17"/>
  <c r="BD57" i="17"/>
  <c r="CQ57" i="17"/>
  <c r="AO57" i="17"/>
  <c r="FB57" i="17"/>
  <c r="AL57" i="17"/>
  <c r="CJ57" i="17"/>
  <c r="AQ57" i="17"/>
  <c r="CD57" i="17"/>
  <c r="BC57" i="17"/>
  <c r="BO57" i="17"/>
  <c r="H57" i="17"/>
  <c r="AU57" i="17"/>
  <c r="AC57" i="17"/>
  <c r="M57" i="17"/>
  <c r="DT57" i="17"/>
  <c r="CG57" i="17"/>
  <c r="BY57" i="17"/>
  <c r="AB57" i="17"/>
  <c r="S57" i="17"/>
  <c r="N57" i="17"/>
  <c r="ED57" i="17"/>
  <c r="EC57" i="17"/>
  <c r="AF57" i="17"/>
  <c r="AE57" i="17"/>
  <c r="CK57" i="17"/>
  <c r="AK57" i="17"/>
  <c r="T57" i="17"/>
  <c r="G57" i="17"/>
  <c r="BV57" i="17"/>
  <c r="DU57" i="17"/>
  <c r="W57" i="17"/>
  <c r="EF57" i="17"/>
  <c r="CW57" i="17"/>
  <c r="AW57" i="17"/>
  <c r="DH57" i="17"/>
  <c r="DL57" i="17"/>
  <c r="K57" i="17"/>
  <c r="DQ57" i="17"/>
  <c r="CZ57" i="17"/>
  <c r="AX57" i="17"/>
  <c r="DK57" i="17"/>
  <c r="DC57" i="17"/>
  <c r="J57" i="17"/>
  <c r="Q57" i="17"/>
  <c r="CY57" i="17"/>
  <c r="DB57" i="17"/>
  <c r="P57" i="17"/>
  <c r="DR57" i="17"/>
  <c r="CN57" i="17"/>
  <c r="Y57" i="17"/>
  <c r="D57" i="17"/>
  <c r="BF57" i="17"/>
  <c r="E57" i="17"/>
  <c r="BL57" i="17"/>
  <c r="Z57" i="17"/>
  <c r="CB57" i="17"/>
  <c r="CA57" i="17"/>
  <c r="EJ57" i="17"/>
  <c r="BM57" i="17"/>
  <c r="CS57" i="17"/>
  <c r="DN57" i="17"/>
  <c r="BS57" i="17"/>
  <c r="CM57" i="17"/>
  <c r="DO57" i="17"/>
  <c r="BR57" i="17"/>
  <c r="EM57" i="17"/>
  <c r="EP57" i="17"/>
  <c r="DI57" i="17"/>
  <c r="AZ57" i="17"/>
  <c r="BJ57" i="17"/>
  <c r="BI57" i="17"/>
  <c r="EL57" i="17"/>
  <c r="CT57" i="17"/>
  <c r="EO57" i="17"/>
  <c r="ES57" i="17"/>
  <c r="BA57" i="17"/>
  <c r="BG57" i="17"/>
  <c r="ER57" i="17"/>
  <c r="EG57" i="17"/>
  <c r="CV57" i="17"/>
  <c r="EI57" i="17"/>
  <c r="L57" i="16"/>
  <c r="DM57" i="17" l="1"/>
  <c r="EB57" i="17"/>
  <c r="AS57" i="17"/>
  <c r="DY57" i="17"/>
  <c r="AV57" i="17"/>
  <c r="EE57" i="17"/>
  <c r="I57" i="17"/>
  <c r="CI57" i="17"/>
  <c r="BT57" i="17"/>
  <c r="L57" i="17"/>
  <c r="BN57" i="17"/>
  <c r="AG57" i="17"/>
  <c r="U57" i="17"/>
  <c r="DG57" i="17"/>
  <c r="AD57" i="17"/>
  <c r="CL57" i="17"/>
  <c r="ET57" i="17"/>
  <c r="BK57" i="17"/>
  <c r="CO57" i="17"/>
  <c r="DV57" i="17"/>
  <c r="DS57" i="17"/>
  <c r="AM57" i="17"/>
  <c r="O57" i="17"/>
  <c r="BZ57" i="17"/>
  <c r="EZ57" i="17"/>
  <c r="FF57" i="17"/>
  <c r="R57" i="17"/>
  <c r="DJ57" i="17"/>
  <c r="CC57" i="17"/>
  <c r="R57" i="16"/>
  <c r="AD57" i="16" s="1"/>
  <c r="BW57" i="17"/>
  <c r="X57" i="17"/>
  <c r="EQ57" i="17"/>
  <c r="EW57" i="17"/>
  <c r="Q57" i="16"/>
  <c r="F57" i="17"/>
  <c r="AJ57" i="17"/>
  <c r="BH57" i="17"/>
  <c r="FC57" i="17"/>
  <c r="AA57" i="17"/>
  <c r="DP57" i="17"/>
  <c r="EN57" i="17"/>
  <c r="CU57" i="17"/>
  <c r="D57" i="20"/>
  <c r="Y57" i="16"/>
  <c r="Z57" i="16"/>
  <c r="DD57" i="17"/>
  <c r="AY57" i="17"/>
  <c r="BQ57" i="17"/>
  <c r="AP57" i="17"/>
  <c r="EK57" i="17"/>
  <c r="BB57" i="17"/>
  <c r="DA57" i="17"/>
  <c r="BE57" i="17"/>
  <c r="CX57" i="17"/>
  <c r="EH57" i="17"/>
  <c r="CF57" i="17"/>
  <c r="CR57" i="17"/>
  <c r="P57" i="16" l="1"/>
  <c r="S57" i="16"/>
  <c r="U57" i="16" s="1"/>
  <c r="T57" i="16"/>
  <c r="K57" i="16"/>
  <c r="AA57" i="16"/>
  <c r="V57" i="16"/>
  <c r="J57" i="20"/>
  <c r="E57" i="20"/>
  <c r="F57" i="20" s="1"/>
  <c r="G57" i="20"/>
  <c r="M57" i="16" l="1"/>
  <c r="N57" i="16"/>
  <c r="AE57" i="16" s="1"/>
  <c r="AC57" i="16"/>
  <c r="AG57" i="16" s="1"/>
  <c r="FD57" i="19"/>
  <c r="EF57" i="19"/>
  <c r="BX57" i="19"/>
  <c r="G57" i="19"/>
  <c r="BI57" i="19"/>
  <c r="FA57" i="19"/>
  <c r="DT57" i="19"/>
  <c r="V57" i="19"/>
  <c r="AB57" i="19"/>
  <c r="AZ57" i="19"/>
  <c r="CM57" i="19"/>
  <c r="BR57" i="19"/>
  <c r="AE57" i="19"/>
  <c r="DK57" i="19"/>
  <c r="ER57" i="19"/>
  <c r="AN57" i="19"/>
  <c r="CS57" i="19"/>
  <c r="P57" i="19"/>
  <c r="EL57" i="19"/>
  <c r="BF57" i="19"/>
  <c r="AH57" i="19"/>
  <c r="CP57" i="19"/>
  <c r="CY57" i="19"/>
  <c r="AT57" i="19"/>
  <c r="DH57" i="19"/>
  <c r="EC57" i="19"/>
  <c r="DQ57" i="19"/>
  <c r="AQ57" i="19"/>
  <c r="BU57" i="19"/>
  <c r="EI57" i="19"/>
  <c r="DZ57" i="19"/>
  <c r="BC57" i="19"/>
  <c r="DN57" i="19"/>
  <c r="DB57" i="19"/>
  <c r="S57" i="19"/>
  <c r="AK57" i="19"/>
  <c r="BO57" i="19"/>
  <c r="M57" i="19"/>
  <c r="CV57" i="19"/>
  <c r="BL57" i="19"/>
  <c r="D57" i="19"/>
  <c r="EX57" i="19"/>
  <c r="Y57" i="19"/>
  <c r="DW57" i="19"/>
  <c r="CG57" i="19"/>
  <c r="CA57" i="19"/>
  <c r="DE57" i="19"/>
  <c r="AW57" i="19"/>
  <c r="EU57" i="19"/>
  <c r="J57" i="19"/>
  <c r="CD57" i="19"/>
  <c r="EO57" i="19"/>
  <c r="CJ57" i="19"/>
  <c r="Q57" i="20"/>
  <c r="H57" i="20"/>
  <c r="I57" i="20"/>
  <c r="K57" i="20"/>
  <c r="W57" i="20" l="1"/>
  <c r="AC57" i="20" s="1"/>
  <c r="T57" i="20"/>
  <c r="FE57" i="19"/>
  <c r="FF57" i="19" s="1"/>
  <c r="DL57" i="19"/>
  <c r="DM57" i="19" s="1"/>
  <c r="FB57" i="19"/>
  <c r="FC57" i="19" s="1"/>
  <c r="ES57" i="19"/>
  <c r="ET57" i="19" s="1"/>
  <c r="BG57" i="19"/>
  <c r="BH57" i="19" s="1"/>
  <c r="EG57" i="19"/>
  <c r="EH57" i="19" s="1"/>
  <c r="ED57" i="19"/>
  <c r="EE57" i="19" s="1"/>
  <c r="AL57" i="19"/>
  <c r="AM57" i="19" s="1"/>
  <c r="AU57" i="19"/>
  <c r="AV57" i="19" s="1"/>
  <c r="Q57" i="19"/>
  <c r="R57" i="19" s="1"/>
  <c r="EM57" i="19"/>
  <c r="EN57" i="19" s="1"/>
  <c r="AI57" i="19"/>
  <c r="AJ57" i="19" s="1"/>
  <c r="CQ57" i="19"/>
  <c r="CR57" i="19" s="1"/>
  <c r="DU57" i="19"/>
  <c r="DV57" i="19" s="1"/>
  <c r="W57" i="19"/>
  <c r="X57" i="19" s="1"/>
  <c r="AO57" i="19"/>
  <c r="AP57" i="19" s="1"/>
  <c r="CT57" i="19"/>
  <c r="CU57" i="19" s="1"/>
  <c r="AF57" i="19"/>
  <c r="AG57" i="19" s="1"/>
  <c r="DI57" i="19"/>
  <c r="DJ57" i="19" s="1"/>
  <c r="DR57" i="19"/>
  <c r="DS57" i="19" s="1"/>
  <c r="AR57" i="19"/>
  <c r="AS57" i="19" s="1"/>
  <c r="BV57" i="19"/>
  <c r="BW57" i="19" s="1"/>
  <c r="EJ57" i="19"/>
  <c r="EK57" i="19" s="1"/>
  <c r="BS57" i="19"/>
  <c r="BT57" i="19" s="1"/>
  <c r="BP57" i="19"/>
  <c r="BQ57" i="19" s="1"/>
  <c r="CK57" i="19"/>
  <c r="CL57" i="19" s="1"/>
  <c r="EY57" i="19"/>
  <c r="EZ57" i="19" s="1"/>
  <c r="T57" i="19"/>
  <c r="U57" i="19" s="1"/>
  <c r="EA57" i="19"/>
  <c r="EB57" i="19" s="1"/>
  <c r="BD57" i="19"/>
  <c r="BE57" i="19" s="1"/>
  <c r="DO57" i="19"/>
  <c r="DP57" i="19" s="1"/>
  <c r="DC57" i="19"/>
  <c r="DD57" i="19" s="1"/>
  <c r="CZ57" i="19"/>
  <c r="DA57" i="19" s="1"/>
  <c r="BA57" i="19"/>
  <c r="BB57" i="19" s="1"/>
  <c r="AC57" i="19"/>
  <c r="AD57" i="19" s="1"/>
  <c r="E57" i="19"/>
  <c r="Z57" i="19"/>
  <c r="AA57" i="19" s="1"/>
  <c r="N57" i="19"/>
  <c r="O57" i="19" s="1"/>
  <c r="CH57" i="19"/>
  <c r="CI57" i="19" s="1"/>
  <c r="CB57" i="19"/>
  <c r="CC57" i="19" s="1"/>
  <c r="DF57" i="19"/>
  <c r="DG57" i="19" s="1"/>
  <c r="AX57" i="19"/>
  <c r="AY57" i="19" s="1"/>
  <c r="CN57" i="19"/>
  <c r="CO57" i="19" s="1"/>
  <c r="EV57" i="19"/>
  <c r="EW57" i="19" s="1"/>
  <c r="K57" i="19"/>
  <c r="L57" i="19" s="1"/>
  <c r="BM57" i="19"/>
  <c r="BN57" i="19" s="1"/>
  <c r="CE57" i="19"/>
  <c r="CF57" i="19" s="1"/>
  <c r="EP57" i="19"/>
  <c r="EQ57" i="19" s="1"/>
  <c r="CW57" i="19"/>
  <c r="CX57" i="19" s="1"/>
  <c r="BY57" i="19"/>
  <c r="BZ57" i="19" s="1"/>
  <c r="H57" i="19"/>
  <c r="I57" i="19" s="1"/>
  <c r="BJ57" i="19"/>
  <c r="BK57" i="19" s="1"/>
  <c r="DX57" i="19"/>
  <c r="DY57" i="19" s="1"/>
  <c r="R57" i="20"/>
  <c r="O57" i="16"/>
  <c r="AF57" i="16" s="1"/>
  <c r="I57" i="16"/>
  <c r="X57" i="20" l="1"/>
  <c r="Y57" i="20" s="1"/>
  <c r="AA57" i="20" s="1"/>
  <c r="H58" i="16"/>
  <c r="L58" i="16" s="1"/>
  <c r="F57" i="19"/>
  <c r="Z57" i="20"/>
  <c r="AE57" i="20" s="1"/>
  <c r="S57" i="20"/>
  <c r="AD57" i="20" l="1"/>
  <c r="AG57" i="20" s="1"/>
  <c r="U57" i="20"/>
  <c r="AF57" i="20" s="1"/>
  <c r="O57" i="20"/>
  <c r="V57" i="20"/>
  <c r="X58" i="16"/>
  <c r="W58" i="16"/>
  <c r="FH58" i="17"/>
  <c r="FG58" i="17"/>
  <c r="DT58" i="17"/>
  <c r="DW58" i="17"/>
  <c r="DE58" i="17"/>
  <c r="T58" i="17"/>
  <c r="CM58" i="17"/>
  <c r="AF58" i="17"/>
  <c r="BS58" i="17"/>
  <c r="BX58" i="17"/>
  <c r="S58" i="17"/>
  <c r="CN58" i="17"/>
  <c r="AE58" i="17"/>
  <c r="CB58" i="17"/>
  <c r="DU58" i="17"/>
  <c r="AR58" i="17"/>
  <c r="ER58" i="17"/>
  <c r="AT58" i="17"/>
  <c r="BY58" i="17"/>
  <c r="G58" i="17"/>
  <c r="CK58" i="17"/>
  <c r="BJ58" i="17"/>
  <c r="DR58" i="17"/>
  <c r="N58" i="17"/>
  <c r="J58" i="17"/>
  <c r="AQ58" i="17"/>
  <c r="AU58" i="17"/>
  <c r="CJ58" i="17"/>
  <c r="FE58" i="17"/>
  <c r="AK58" i="17"/>
  <c r="DX58" i="17"/>
  <c r="DH58" i="17"/>
  <c r="BR58" i="17"/>
  <c r="H58" i="17"/>
  <c r="CA58" i="17"/>
  <c r="ES58" i="17"/>
  <c r="FD58" i="17"/>
  <c r="Q58" i="17"/>
  <c r="BM58" i="17"/>
  <c r="P58" i="17"/>
  <c r="DF58" i="17"/>
  <c r="BI58" i="17"/>
  <c r="AC58" i="17"/>
  <c r="DL58" i="17"/>
  <c r="ED58" i="17"/>
  <c r="DK58" i="17"/>
  <c r="DQ58" i="17"/>
  <c r="AB58" i="17"/>
  <c r="EY58" i="17"/>
  <c r="EC58" i="17"/>
  <c r="AL58" i="17"/>
  <c r="EA58" i="17"/>
  <c r="M58" i="17"/>
  <c r="EX58" i="17"/>
  <c r="BL58" i="17"/>
  <c r="CH58" i="17"/>
  <c r="DZ58" i="17"/>
  <c r="K58" i="17"/>
  <c r="CG58" i="17"/>
  <c r="DI58" i="17"/>
  <c r="V58" i="17"/>
  <c r="CP58" i="17"/>
  <c r="CZ58" i="17"/>
  <c r="Z58" i="17"/>
  <c r="FA58" i="17"/>
  <c r="BV58" i="17"/>
  <c r="AX58" i="17"/>
  <c r="CY58" i="17"/>
  <c r="Y58" i="17"/>
  <c r="AZ58" i="17"/>
  <c r="W58" i="17"/>
  <c r="CQ58" i="17"/>
  <c r="BU58" i="17"/>
  <c r="AW58" i="17"/>
  <c r="BA58" i="17"/>
  <c r="AO58" i="17"/>
  <c r="BP58" i="17"/>
  <c r="EP58" i="17"/>
  <c r="AI58" i="17"/>
  <c r="AN58" i="17"/>
  <c r="BO58" i="17"/>
  <c r="EO58" i="17"/>
  <c r="AH58" i="17"/>
  <c r="EG58" i="17"/>
  <c r="DN58" i="17"/>
  <c r="EF58" i="17"/>
  <c r="EM58" i="17"/>
  <c r="DO58" i="17"/>
  <c r="CW58" i="17"/>
  <c r="DB58" i="17"/>
  <c r="EL58" i="17"/>
  <c r="CV58" i="17"/>
  <c r="CT58" i="17"/>
  <c r="FB58" i="17"/>
  <c r="BF58" i="17"/>
  <c r="DC58" i="17"/>
  <c r="CE58" i="17"/>
  <c r="BG58" i="17"/>
  <c r="CD58" i="17"/>
  <c r="EJ58" i="17"/>
  <c r="EI58" i="17"/>
  <c r="D58" i="17"/>
  <c r="CS58" i="17"/>
  <c r="BD58" i="17"/>
  <c r="BC58" i="17"/>
  <c r="EU58" i="17"/>
  <c r="EV58" i="17"/>
  <c r="E58" i="17"/>
  <c r="CL58" i="17" l="1"/>
  <c r="AG58" i="17"/>
  <c r="CI58" i="17"/>
  <c r="R58" i="17"/>
  <c r="DS58" i="17"/>
  <c r="BE58" i="17"/>
  <c r="R58" i="16"/>
  <c r="AD58" i="16" s="1"/>
  <c r="CC58" i="17"/>
  <c r="BH58" i="17"/>
  <c r="DY58" i="17"/>
  <c r="AY58" i="17"/>
  <c r="DP58" i="17"/>
  <c r="BW58" i="17"/>
  <c r="X58" i="17"/>
  <c r="FF58" i="17"/>
  <c r="L58" i="17"/>
  <c r="AD58" i="17"/>
  <c r="AJ58" i="17"/>
  <c r="U58" i="17"/>
  <c r="EQ58" i="17"/>
  <c r="BZ58" i="17"/>
  <c r="BQ58" i="17"/>
  <c r="CX58" i="17"/>
  <c r="CF58" i="17"/>
  <c r="DV58" i="17"/>
  <c r="EH58" i="17"/>
  <c r="CR58" i="17"/>
  <c r="EE58" i="17"/>
  <c r="AS58" i="17"/>
  <c r="FI58" i="17"/>
  <c r="D58" i="20"/>
  <c r="Y58" i="16"/>
  <c r="Z58" i="16"/>
  <c r="BT58" i="17"/>
  <c r="AP58" i="17"/>
  <c r="CO58" i="17"/>
  <c r="EW58" i="17"/>
  <c r="BB58" i="17"/>
  <c r="I58" i="17"/>
  <c r="BK58" i="17"/>
  <c r="DM58" i="17"/>
  <c r="AA58" i="17"/>
  <c r="EB58" i="17"/>
  <c r="DA58" i="17"/>
  <c r="DJ58" i="17"/>
  <c r="CU58" i="17"/>
  <c r="EN58" i="17"/>
  <c r="BN58" i="17"/>
  <c r="Q58" i="16"/>
  <c r="F58" i="17"/>
  <c r="DD58" i="17"/>
  <c r="EZ58" i="17"/>
  <c r="AM58" i="17"/>
  <c r="AV58" i="17"/>
  <c r="EK58" i="17"/>
  <c r="FC58" i="17"/>
  <c r="O58" i="17"/>
  <c r="ET58" i="17"/>
  <c r="DG58" i="17"/>
  <c r="S58" i="16" l="1"/>
  <c r="U58" i="16" s="1"/>
  <c r="T58" i="16"/>
  <c r="K58" i="16"/>
  <c r="P58" i="16"/>
  <c r="E58" i="20"/>
  <c r="F58" i="20" s="1"/>
  <c r="J58" i="20"/>
  <c r="G58" i="20"/>
  <c r="AA58" i="16"/>
  <c r="V58" i="16"/>
  <c r="FG58" i="19" l="1"/>
  <c r="DE58" i="19"/>
  <c r="ER58" i="19"/>
  <c r="M58" i="19"/>
  <c r="EU58" i="19"/>
  <c r="FD58" i="19"/>
  <c r="J58" i="19"/>
  <c r="BI58" i="19"/>
  <c r="CV58" i="19"/>
  <c r="AB58" i="19"/>
  <c r="P58" i="19"/>
  <c r="EF58" i="19"/>
  <c r="AW58" i="19"/>
  <c r="CG58" i="19"/>
  <c r="CJ58" i="19"/>
  <c r="DH58" i="19"/>
  <c r="G58" i="19"/>
  <c r="DT58" i="19"/>
  <c r="EL58" i="19"/>
  <c r="EX58" i="19"/>
  <c r="CD58" i="19"/>
  <c r="CM58" i="19"/>
  <c r="AT58" i="19"/>
  <c r="CA58" i="19"/>
  <c r="EO58" i="19"/>
  <c r="AZ58" i="19"/>
  <c r="DQ58" i="19"/>
  <c r="AK58" i="19"/>
  <c r="AQ58" i="19"/>
  <c r="AN58" i="19"/>
  <c r="CP58" i="19"/>
  <c r="DZ58" i="19"/>
  <c r="Y58" i="19"/>
  <c r="BX58" i="19"/>
  <c r="BR58" i="19"/>
  <c r="CS58" i="19"/>
  <c r="AE58" i="19"/>
  <c r="BF58" i="19"/>
  <c r="AH58" i="19"/>
  <c r="BO58" i="19"/>
  <c r="V58" i="19"/>
  <c r="DB58" i="19"/>
  <c r="EI58" i="19"/>
  <c r="S58" i="19"/>
  <c r="FA58" i="19"/>
  <c r="DK58" i="19"/>
  <c r="DN58" i="19"/>
  <c r="BL58" i="19"/>
  <c r="DW58" i="19"/>
  <c r="BU58" i="19"/>
  <c r="CY58" i="19"/>
  <c r="BC58" i="19"/>
  <c r="EC58" i="19"/>
  <c r="D58" i="19"/>
  <c r="Q58" i="20"/>
  <c r="K58" i="20"/>
  <c r="M58" i="16"/>
  <c r="N58" i="16"/>
  <c r="AE58" i="16" s="1"/>
  <c r="AC58" i="16"/>
  <c r="AG58" i="16" s="1"/>
  <c r="H58" i="20"/>
  <c r="I58" i="20"/>
  <c r="FH58" i="19" l="1"/>
  <c r="FI58" i="19" s="1"/>
  <c r="EV58" i="19"/>
  <c r="EW58" i="19" s="1"/>
  <c r="FE58" i="19"/>
  <c r="FF58" i="19" s="1"/>
  <c r="K58" i="19"/>
  <c r="L58" i="19" s="1"/>
  <c r="BJ58" i="19"/>
  <c r="BK58" i="19" s="1"/>
  <c r="CW58" i="19"/>
  <c r="CX58" i="19" s="1"/>
  <c r="AC58" i="19"/>
  <c r="AD58" i="19" s="1"/>
  <c r="Q58" i="19"/>
  <c r="R58" i="19" s="1"/>
  <c r="EG58" i="19"/>
  <c r="EH58" i="19" s="1"/>
  <c r="AX58" i="19"/>
  <c r="AY58" i="19" s="1"/>
  <c r="W58" i="19"/>
  <c r="X58" i="19" s="1"/>
  <c r="DF58" i="19"/>
  <c r="DG58" i="19" s="1"/>
  <c r="N58" i="19"/>
  <c r="O58" i="19" s="1"/>
  <c r="CB58" i="19"/>
  <c r="CC58" i="19" s="1"/>
  <c r="EJ58" i="19"/>
  <c r="EK58" i="19" s="1"/>
  <c r="EA58" i="19"/>
  <c r="EB58" i="19" s="1"/>
  <c r="H58" i="19"/>
  <c r="I58" i="19" s="1"/>
  <c r="Z58" i="19"/>
  <c r="AA58" i="19" s="1"/>
  <c r="BA58" i="19"/>
  <c r="BB58" i="19" s="1"/>
  <c r="EP58" i="19"/>
  <c r="EQ58" i="19" s="1"/>
  <c r="DI58" i="19"/>
  <c r="DJ58" i="19" s="1"/>
  <c r="CK58" i="19"/>
  <c r="CL58" i="19" s="1"/>
  <c r="DR58" i="19"/>
  <c r="DS58" i="19" s="1"/>
  <c r="BP58" i="19"/>
  <c r="BQ58" i="19" s="1"/>
  <c r="BM58" i="19"/>
  <c r="BN58" i="19" s="1"/>
  <c r="CZ58" i="19"/>
  <c r="DA58" i="19" s="1"/>
  <c r="ES58" i="19"/>
  <c r="ET58" i="19" s="1"/>
  <c r="AU58" i="19"/>
  <c r="AV58" i="19" s="1"/>
  <c r="DC58" i="19"/>
  <c r="DD58" i="19" s="1"/>
  <c r="BY58" i="19"/>
  <c r="BZ58" i="19" s="1"/>
  <c r="CH58" i="19"/>
  <c r="CI58" i="19" s="1"/>
  <c r="DO58" i="19"/>
  <c r="DP58" i="19" s="1"/>
  <c r="AF58" i="19"/>
  <c r="AG58" i="19" s="1"/>
  <c r="BS58" i="19"/>
  <c r="BT58" i="19" s="1"/>
  <c r="AR58" i="19"/>
  <c r="AS58" i="19" s="1"/>
  <c r="EM58" i="19"/>
  <c r="EN58" i="19" s="1"/>
  <c r="BV58" i="19"/>
  <c r="BW58" i="19" s="1"/>
  <c r="CN58" i="19"/>
  <c r="CO58" i="19" s="1"/>
  <c r="AL58" i="19"/>
  <c r="AM58" i="19" s="1"/>
  <c r="CT58" i="19"/>
  <c r="CU58" i="19" s="1"/>
  <c r="T58" i="19"/>
  <c r="U58" i="19" s="1"/>
  <c r="EY58" i="19"/>
  <c r="EZ58" i="19" s="1"/>
  <c r="DU58" i="19"/>
  <c r="DV58" i="19" s="1"/>
  <c r="DX58" i="19"/>
  <c r="DY58" i="19" s="1"/>
  <c r="DL58" i="19"/>
  <c r="DM58" i="19" s="1"/>
  <c r="BD58" i="19"/>
  <c r="BE58" i="19" s="1"/>
  <c r="BG58" i="19"/>
  <c r="BH58" i="19" s="1"/>
  <c r="AO58" i="19"/>
  <c r="AP58" i="19" s="1"/>
  <c r="FB58" i="19"/>
  <c r="FC58" i="19" s="1"/>
  <c r="CQ58" i="19"/>
  <c r="CR58" i="19" s="1"/>
  <c r="AI58" i="19"/>
  <c r="AJ58" i="19" s="1"/>
  <c r="ED58" i="19"/>
  <c r="EE58" i="19" s="1"/>
  <c r="CE58" i="19"/>
  <c r="CF58" i="19" s="1"/>
  <c r="E58" i="19"/>
  <c r="R58" i="20"/>
  <c r="S58" i="20" s="1"/>
  <c r="W58" i="20"/>
  <c r="T58" i="20"/>
  <c r="O58" i="16"/>
  <c r="AF58" i="16" s="1"/>
  <c r="I58" i="16"/>
  <c r="X58" i="20" l="1"/>
  <c r="AD58" i="20" s="1"/>
  <c r="U58" i="20"/>
  <c r="O58" i="20"/>
  <c r="H59" i="16"/>
  <c r="F58" i="19"/>
  <c r="Z58" i="20"/>
  <c r="AE58" i="20" s="1"/>
  <c r="AC58" i="20"/>
  <c r="AG58" i="20" l="1"/>
  <c r="Y58" i="20"/>
  <c r="AA58" i="20" s="1"/>
  <c r="AF58" i="20" s="1"/>
  <c r="V58" i="20"/>
  <c r="X59" i="16"/>
  <c r="W59" i="16"/>
  <c r="FK59" i="17"/>
  <c r="FJ59" i="17"/>
  <c r="DN59" i="17"/>
  <c r="BC59" i="17"/>
  <c r="AB59" i="17"/>
  <c r="P59" i="17"/>
  <c r="AX59" i="17"/>
  <c r="BD59" i="17"/>
  <c r="Q59" i="17"/>
  <c r="AW59" i="17"/>
  <c r="DO59" i="17"/>
  <c r="BO59" i="17"/>
  <c r="CW59" i="17"/>
  <c r="AE59" i="17"/>
  <c r="BF59" i="17"/>
  <c r="CV59" i="17"/>
  <c r="BY59" i="17"/>
  <c r="AF59" i="17"/>
  <c r="CA59" i="17"/>
  <c r="BV59" i="17"/>
  <c r="CH59" i="17"/>
  <c r="AI59" i="17"/>
  <c r="FD59" i="17"/>
  <c r="CG59" i="17"/>
  <c r="EO59" i="17"/>
  <c r="AC59" i="17"/>
  <c r="BG59" i="17"/>
  <c r="K59" i="17"/>
  <c r="BX59" i="17"/>
  <c r="CJ59" i="17"/>
  <c r="BP59" i="17"/>
  <c r="DW59" i="17"/>
  <c r="EP59" i="17"/>
  <c r="AH59" i="17"/>
  <c r="CK59" i="17"/>
  <c r="DR59" i="17"/>
  <c r="V59" i="17"/>
  <c r="CB59" i="17"/>
  <c r="W59" i="17"/>
  <c r="T59" i="17"/>
  <c r="DX59" i="17"/>
  <c r="BU59" i="17"/>
  <c r="FE59" i="17"/>
  <c r="DQ59" i="17"/>
  <c r="S59" i="17"/>
  <c r="J59" i="17"/>
  <c r="M59" i="17"/>
  <c r="ES59" i="17"/>
  <c r="CQ59" i="17"/>
  <c r="BS59" i="17"/>
  <c r="CY59" i="17"/>
  <c r="AT59" i="17"/>
  <c r="FG59" i="17"/>
  <c r="N59" i="17"/>
  <c r="ER59" i="17"/>
  <c r="CP59" i="17"/>
  <c r="FH59" i="17"/>
  <c r="AR59" i="17"/>
  <c r="EY59" i="17"/>
  <c r="EX59" i="17"/>
  <c r="CE59" i="17"/>
  <c r="FB59" i="17"/>
  <c r="BJ59" i="17"/>
  <c r="DH59" i="17"/>
  <c r="CZ59" i="17"/>
  <c r="EA59" i="17"/>
  <c r="CD59" i="17"/>
  <c r="FA59" i="17"/>
  <c r="BI59" i="17"/>
  <c r="E59" i="17"/>
  <c r="DI59" i="17"/>
  <c r="AU59" i="17"/>
  <c r="Z59" i="17"/>
  <c r="D59" i="17"/>
  <c r="EL59" i="17"/>
  <c r="G59" i="17"/>
  <c r="DZ59" i="17"/>
  <c r="AL59" i="17"/>
  <c r="AK59" i="17"/>
  <c r="DL59" i="17"/>
  <c r="CN59" i="17"/>
  <c r="BR59" i="17"/>
  <c r="DC59" i="17"/>
  <c r="Y59" i="17"/>
  <c r="EG59" i="17"/>
  <c r="EI59" i="17"/>
  <c r="EM59" i="17"/>
  <c r="AN59" i="17"/>
  <c r="EU59" i="17"/>
  <c r="DF59" i="17"/>
  <c r="AZ59" i="17"/>
  <c r="DE59" i="17"/>
  <c r="DB59" i="17"/>
  <c r="EF59" i="17"/>
  <c r="H59" i="17"/>
  <c r="AO59" i="17"/>
  <c r="BL59" i="17"/>
  <c r="DK59" i="17"/>
  <c r="EJ59" i="17"/>
  <c r="CT59" i="17"/>
  <c r="CM59" i="17"/>
  <c r="EV59" i="17"/>
  <c r="DU59" i="17"/>
  <c r="BM59" i="17"/>
  <c r="CS59" i="17"/>
  <c r="ED59" i="17"/>
  <c r="BA59" i="17"/>
  <c r="DT59" i="17"/>
  <c r="EC59" i="17"/>
  <c r="AQ59" i="17"/>
  <c r="L59" i="16"/>
  <c r="BE59" i="17" l="1"/>
  <c r="DM59" i="17"/>
  <c r="CO59" i="17"/>
  <c r="BN59" i="17"/>
  <c r="EQ59" i="17"/>
  <c r="AS59" i="17"/>
  <c r="EE59" i="17"/>
  <c r="AP59" i="17"/>
  <c r="I59" i="17"/>
  <c r="DJ59" i="17"/>
  <c r="AV59" i="17"/>
  <c r="AJ59" i="17"/>
  <c r="FI59" i="17"/>
  <c r="FL59" i="17"/>
  <c r="AD59" i="17"/>
  <c r="CI59" i="17"/>
  <c r="EK59" i="17"/>
  <c r="AG59" i="17"/>
  <c r="X59" i="17"/>
  <c r="EB59" i="17"/>
  <c r="DV59" i="17"/>
  <c r="BQ59" i="17"/>
  <c r="EW59" i="17"/>
  <c r="O59" i="17"/>
  <c r="AY59" i="17"/>
  <c r="FF59" i="17"/>
  <c r="DG59" i="17"/>
  <c r="AM59" i="17"/>
  <c r="BZ59" i="17"/>
  <c r="CX59" i="17"/>
  <c r="EN59" i="17"/>
  <c r="DA59" i="17"/>
  <c r="BH59" i="17"/>
  <c r="DP59" i="17"/>
  <c r="D59" i="20"/>
  <c r="Y59" i="16"/>
  <c r="Z59" i="16"/>
  <c r="EZ59" i="17"/>
  <c r="AA59" i="17"/>
  <c r="BT59" i="17"/>
  <c r="Q59" i="16"/>
  <c r="F59" i="17"/>
  <c r="CU59" i="17"/>
  <c r="EH59" i="17"/>
  <c r="R59" i="16"/>
  <c r="AD59" i="16" s="1"/>
  <c r="L59" i="17"/>
  <c r="DD59" i="17"/>
  <c r="BK59" i="17"/>
  <c r="U59" i="17"/>
  <c r="FC59" i="17"/>
  <c r="CR59" i="17"/>
  <c r="DS59" i="17"/>
  <c r="DY59" i="17"/>
  <c r="BB59" i="17"/>
  <c r="CF59" i="17"/>
  <c r="ET59" i="17"/>
  <c r="CC59" i="17"/>
  <c r="BW59" i="17"/>
  <c r="CL59" i="17"/>
  <c r="R59" i="17"/>
  <c r="AA59" i="16" l="1"/>
  <c r="V59" i="16"/>
  <c r="J59" i="20"/>
  <c r="E59" i="20"/>
  <c r="G59" i="20"/>
  <c r="P59" i="16"/>
  <c r="S59" i="16"/>
  <c r="U59" i="16" s="1"/>
  <c r="T59" i="16"/>
  <c r="K59" i="16"/>
  <c r="FJ59" i="19" l="1"/>
  <c r="EL59" i="19"/>
  <c r="AZ59" i="19"/>
  <c r="J59" i="19"/>
  <c r="CP59" i="19"/>
  <c r="M59" i="19"/>
  <c r="Y59" i="19"/>
  <c r="CA59" i="19"/>
  <c r="BI59" i="19"/>
  <c r="EC59" i="19"/>
  <c r="DN59" i="19"/>
  <c r="BL59" i="19"/>
  <c r="AH59" i="19"/>
  <c r="V59" i="19"/>
  <c r="CY59" i="19"/>
  <c r="BC59" i="19"/>
  <c r="EI59" i="19"/>
  <c r="CG59" i="19"/>
  <c r="BO59" i="19"/>
  <c r="S59" i="19"/>
  <c r="BF59" i="19"/>
  <c r="DT59" i="19"/>
  <c r="AB59" i="19"/>
  <c r="DB59" i="19"/>
  <c r="P59" i="19"/>
  <c r="AT59" i="19"/>
  <c r="AK59" i="19"/>
  <c r="BR59" i="19"/>
  <c r="DH59" i="19"/>
  <c r="BU59" i="19"/>
  <c r="FG59" i="19"/>
  <c r="EX59" i="19"/>
  <c r="EF59" i="19"/>
  <c r="DE59" i="19"/>
  <c r="AQ59" i="19"/>
  <c r="CS59" i="19"/>
  <c r="CD59" i="19"/>
  <c r="DW59" i="19"/>
  <c r="CJ59" i="19"/>
  <c r="AN59" i="19"/>
  <c r="AW59" i="19"/>
  <c r="CV59" i="19"/>
  <c r="DZ59" i="19"/>
  <c r="CM59" i="19"/>
  <c r="EU59" i="19"/>
  <c r="BX59" i="19"/>
  <c r="DK59" i="19"/>
  <c r="DQ59" i="19"/>
  <c r="EO59" i="19"/>
  <c r="FD59" i="19"/>
  <c r="ER59" i="19"/>
  <c r="FA59" i="19"/>
  <c r="AE59" i="19"/>
  <c r="G59" i="19"/>
  <c r="D59" i="19"/>
  <c r="Q59" i="20"/>
  <c r="M59" i="16"/>
  <c r="N59" i="16"/>
  <c r="AE59" i="16" s="1"/>
  <c r="AC59" i="16"/>
  <c r="AG59" i="16" s="1"/>
  <c r="K59" i="20"/>
  <c r="F59" i="20"/>
  <c r="O59" i="16" l="1"/>
  <c r="AF59" i="16" s="1"/>
  <c r="I59" i="16"/>
  <c r="T59" i="20"/>
  <c r="W59" i="20"/>
  <c r="H59" i="20"/>
  <c r="I59" i="20"/>
  <c r="FK59" i="19"/>
  <c r="FL59" i="19" s="1"/>
  <c r="BD59" i="19"/>
  <c r="BE59" i="19" s="1"/>
  <c r="CQ59" i="19"/>
  <c r="CR59" i="19" s="1"/>
  <c r="EJ59" i="19"/>
  <c r="EK59" i="19" s="1"/>
  <c r="N59" i="19"/>
  <c r="O59" i="19" s="1"/>
  <c r="Z59" i="19"/>
  <c r="AA59" i="19" s="1"/>
  <c r="CB59" i="19"/>
  <c r="CC59" i="19" s="1"/>
  <c r="FE59" i="19"/>
  <c r="FF59" i="19" s="1"/>
  <c r="BP59" i="19"/>
  <c r="BQ59" i="19" s="1"/>
  <c r="BG59" i="19"/>
  <c r="BH59" i="19" s="1"/>
  <c r="K59" i="19"/>
  <c r="L59" i="19" s="1"/>
  <c r="BS59" i="19"/>
  <c r="BT59" i="19" s="1"/>
  <c r="ED59" i="19"/>
  <c r="EE59" i="19" s="1"/>
  <c r="DU59" i="19"/>
  <c r="DV59" i="19" s="1"/>
  <c r="DO59" i="19"/>
  <c r="DP59" i="19" s="1"/>
  <c r="W59" i="19"/>
  <c r="X59" i="19" s="1"/>
  <c r="T59" i="19"/>
  <c r="U59" i="19" s="1"/>
  <c r="AX59" i="19"/>
  <c r="AY59" i="19" s="1"/>
  <c r="BJ59" i="19"/>
  <c r="BK59" i="19" s="1"/>
  <c r="DC59" i="19"/>
  <c r="DD59" i="19" s="1"/>
  <c r="Q59" i="19"/>
  <c r="R59" i="19" s="1"/>
  <c r="DI59" i="19"/>
  <c r="DJ59" i="19" s="1"/>
  <c r="EA59" i="19"/>
  <c r="EB59" i="19" s="1"/>
  <c r="EV59" i="19"/>
  <c r="EW59" i="19" s="1"/>
  <c r="EG59" i="19"/>
  <c r="EH59" i="19" s="1"/>
  <c r="BM59" i="19"/>
  <c r="BN59" i="19" s="1"/>
  <c r="AC59" i="19"/>
  <c r="AD59" i="19" s="1"/>
  <c r="EY59" i="19"/>
  <c r="EZ59" i="19" s="1"/>
  <c r="AI59" i="19"/>
  <c r="AJ59" i="19" s="1"/>
  <c r="AL59" i="19"/>
  <c r="AM59" i="19" s="1"/>
  <c r="CZ59" i="19"/>
  <c r="DA59" i="19" s="1"/>
  <c r="AF59" i="19"/>
  <c r="AG59" i="19" s="1"/>
  <c r="CH59" i="19"/>
  <c r="CI59" i="19" s="1"/>
  <c r="FH59" i="19"/>
  <c r="FI59" i="19" s="1"/>
  <c r="DX59" i="19"/>
  <c r="DY59" i="19" s="1"/>
  <c r="DF59" i="19"/>
  <c r="DG59" i="19" s="1"/>
  <c r="AR59" i="19"/>
  <c r="AS59" i="19" s="1"/>
  <c r="AU59" i="19"/>
  <c r="AV59" i="19" s="1"/>
  <c r="CN59" i="19"/>
  <c r="CO59" i="19" s="1"/>
  <c r="CW59" i="19"/>
  <c r="CX59" i="19" s="1"/>
  <c r="AO59" i="19"/>
  <c r="AP59" i="19" s="1"/>
  <c r="BV59" i="19"/>
  <c r="BW59" i="19" s="1"/>
  <c r="CT59" i="19"/>
  <c r="CU59" i="19" s="1"/>
  <c r="FB59" i="19"/>
  <c r="FC59" i="19" s="1"/>
  <c r="DR59" i="19"/>
  <c r="DS59" i="19" s="1"/>
  <c r="ES59" i="19"/>
  <c r="ET59" i="19" s="1"/>
  <c r="BA59" i="19"/>
  <c r="BB59" i="19" s="1"/>
  <c r="H59" i="19"/>
  <c r="I59" i="19" s="1"/>
  <c r="EP59" i="19"/>
  <c r="EQ59" i="19" s="1"/>
  <c r="CE59" i="19"/>
  <c r="CF59" i="19" s="1"/>
  <c r="BY59" i="19"/>
  <c r="BZ59" i="19" s="1"/>
  <c r="DL59" i="19"/>
  <c r="DM59" i="19" s="1"/>
  <c r="CK59" i="19"/>
  <c r="CL59" i="19" s="1"/>
  <c r="EM59" i="19"/>
  <c r="EN59" i="19" s="1"/>
  <c r="E59" i="19"/>
  <c r="F59" i="19" s="1"/>
  <c r="R59" i="20"/>
  <c r="V59" i="20" l="1"/>
  <c r="Z59" i="20"/>
  <c r="AE59" i="20" s="1"/>
  <c r="X59" i="20"/>
  <c r="Y59" i="20" s="1"/>
  <c r="AA59" i="20" s="1"/>
  <c r="H60" i="16"/>
  <c r="L60" i="16" s="1"/>
  <c r="AC59" i="20"/>
  <c r="S59" i="20"/>
  <c r="AD59" i="20" l="1"/>
  <c r="AG59" i="20" s="1"/>
  <c r="U59" i="20"/>
  <c r="AF59" i="20" s="1"/>
  <c r="O59" i="20"/>
  <c r="X60" i="16"/>
  <c r="W60" i="16"/>
  <c r="FN60" i="17"/>
  <c r="FM60" i="17"/>
  <c r="DT60" i="17"/>
  <c r="EU60" i="17"/>
  <c r="EJ60" i="17"/>
  <c r="AX60" i="17"/>
  <c r="EA60" i="17"/>
  <c r="DL60" i="17"/>
  <c r="EP60" i="17"/>
  <c r="EI60" i="17"/>
  <c r="AW60" i="17"/>
  <c r="AK60" i="17"/>
  <c r="DZ60" i="17"/>
  <c r="DI60" i="17"/>
  <c r="DK60" i="17"/>
  <c r="EO60" i="17"/>
  <c r="W60" i="17"/>
  <c r="FK60" i="17"/>
  <c r="V60" i="17"/>
  <c r="EC60" i="17"/>
  <c r="AL60" i="17"/>
  <c r="FJ60" i="17"/>
  <c r="AC60" i="17"/>
  <c r="DH60" i="17"/>
  <c r="AE60" i="17"/>
  <c r="AU60" i="17"/>
  <c r="AT60" i="17"/>
  <c r="ED60" i="17"/>
  <c r="BM60" i="17"/>
  <c r="BL60" i="17"/>
  <c r="AF60" i="17"/>
  <c r="FE60" i="17"/>
  <c r="BP60" i="17"/>
  <c r="BO60" i="17"/>
  <c r="FG60" i="17"/>
  <c r="DU60" i="17"/>
  <c r="DE60" i="17"/>
  <c r="FD60" i="17"/>
  <c r="BD60" i="17"/>
  <c r="CG60" i="17"/>
  <c r="AB60" i="17"/>
  <c r="FH60" i="17"/>
  <c r="CH60" i="17"/>
  <c r="DF60" i="17"/>
  <c r="AO60" i="17"/>
  <c r="AN60" i="17"/>
  <c r="BC60" i="17"/>
  <c r="AR60" i="17"/>
  <c r="N60" i="17"/>
  <c r="CN60" i="17"/>
  <c r="AI60" i="17"/>
  <c r="H60" i="17"/>
  <c r="AQ60" i="17"/>
  <c r="M60" i="17"/>
  <c r="CM60" i="17"/>
  <c r="AH60" i="17"/>
  <c r="G60" i="17"/>
  <c r="EV60" i="17"/>
  <c r="BX60" i="17"/>
  <c r="CV60" i="17"/>
  <c r="BG60" i="17"/>
  <c r="BJ60" i="17"/>
  <c r="CT60" i="17"/>
  <c r="DR60" i="17"/>
  <c r="DX60" i="17"/>
  <c r="BF60" i="17"/>
  <c r="CS60" i="17"/>
  <c r="DW60" i="17"/>
  <c r="D60" i="17"/>
  <c r="Z60" i="17"/>
  <c r="BA60" i="17"/>
  <c r="CK60" i="17"/>
  <c r="EG60" i="17"/>
  <c r="E60" i="17"/>
  <c r="S60" i="17"/>
  <c r="CZ60" i="17"/>
  <c r="ES60" i="17"/>
  <c r="DC60" i="17"/>
  <c r="K60" i="17"/>
  <c r="DO60" i="17"/>
  <c r="AZ60" i="17"/>
  <c r="FA60" i="17"/>
  <c r="CY60" i="17"/>
  <c r="CA60" i="17"/>
  <c r="DQ60" i="17"/>
  <c r="CE60" i="17"/>
  <c r="CD60" i="17"/>
  <c r="Y60" i="17"/>
  <c r="DB60" i="17"/>
  <c r="BV60" i="17"/>
  <c r="BI60" i="17"/>
  <c r="Q60" i="17"/>
  <c r="CJ60" i="17"/>
  <c r="FB60" i="17"/>
  <c r="EF60" i="17"/>
  <c r="T60" i="17"/>
  <c r="P60" i="17"/>
  <c r="ER60" i="17"/>
  <c r="EM60" i="17"/>
  <c r="CQ60" i="17"/>
  <c r="CP60" i="17"/>
  <c r="EL60" i="17"/>
  <c r="J60" i="17"/>
  <c r="BU60" i="17"/>
  <c r="EY60" i="17"/>
  <c r="BS60" i="17"/>
  <c r="DN60" i="17"/>
  <c r="CB60" i="17"/>
  <c r="EX60" i="17"/>
  <c r="BR60" i="17"/>
  <c r="BY60" i="17"/>
  <c r="CW60" i="17"/>
  <c r="L60" i="17" l="1"/>
  <c r="DM60" i="17"/>
  <c r="FF60" i="17"/>
  <c r="BT60" i="17"/>
  <c r="R60" i="17"/>
  <c r="EB60" i="17"/>
  <c r="CI60" i="17"/>
  <c r="AG60" i="17"/>
  <c r="AM60" i="17"/>
  <c r="EQ60" i="17"/>
  <c r="DG60" i="17"/>
  <c r="EZ60" i="17"/>
  <c r="DP60" i="17"/>
  <c r="AA60" i="17"/>
  <c r="EW60" i="17"/>
  <c r="FO60" i="17"/>
  <c r="CF60" i="17"/>
  <c r="U60" i="17"/>
  <c r="AV60" i="17"/>
  <c r="DV60" i="17"/>
  <c r="BN60" i="17"/>
  <c r="EN60" i="17"/>
  <c r="BH60" i="17"/>
  <c r="AS60" i="17"/>
  <c r="AD60" i="17"/>
  <c r="ET60" i="17"/>
  <c r="CR60" i="17"/>
  <c r="R60" i="16"/>
  <c r="AD60" i="16" s="1"/>
  <c r="AP60" i="17"/>
  <c r="BQ60" i="17"/>
  <c r="DS60" i="17"/>
  <c r="DD60" i="17"/>
  <c r="O60" i="17"/>
  <c r="D60" i="20"/>
  <c r="Y60" i="16"/>
  <c r="Z60" i="16"/>
  <c r="CC60" i="17"/>
  <c r="DA60" i="17"/>
  <c r="CX60" i="17"/>
  <c r="DJ60" i="17"/>
  <c r="EH60" i="17"/>
  <c r="BZ60" i="17"/>
  <c r="BE60" i="17"/>
  <c r="FI60" i="17"/>
  <c r="AY60" i="17"/>
  <c r="FC60" i="17"/>
  <c r="FL60" i="17"/>
  <c r="EK60" i="17"/>
  <c r="CL60" i="17"/>
  <c r="BB60" i="17"/>
  <c r="Q60" i="16"/>
  <c r="F60" i="17"/>
  <c r="I60" i="17"/>
  <c r="BW60" i="17"/>
  <c r="DY60" i="17"/>
  <c r="AJ60" i="17"/>
  <c r="EE60" i="17"/>
  <c r="BK60" i="17"/>
  <c r="CU60" i="17"/>
  <c r="CO60" i="17"/>
  <c r="X60" i="17"/>
  <c r="AA60" i="16" l="1"/>
  <c r="V60" i="16"/>
  <c r="J60" i="20"/>
  <c r="E60" i="20"/>
  <c r="G60" i="20"/>
  <c r="P60" i="16"/>
  <c r="S60" i="16"/>
  <c r="U60" i="16" s="1"/>
  <c r="T60" i="16"/>
  <c r="K60" i="16"/>
  <c r="K60" i="20" l="1"/>
  <c r="M60" i="16"/>
  <c r="N60" i="16"/>
  <c r="AE60" i="16" s="1"/>
  <c r="AC60" i="16"/>
  <c r="AG60" i="16" s="1"/>
  <c r="FM60" i="19"/>
  <c r="DE60" i="19"/>
  <c r="AK60" i="19"/>
  <c r="EC60" i="19"/>
  <c r="AN60" i="19"/>
  <c r="CA60" i="19"/>
  <c r="EO60" i="19"/>
  <c r="DB60" i="19"/>
  <c r="CV60" i="19"/>
  <c r="DN60" i="19"/>
  <c r="DT60" i="19"/>
  <c r="CY60" i="19"/>
  <c r="CJ60" i="19"/>
  <c r="V60" i="19"/>
  <c r="BC60" i="19"/>
  <c r="Y60" i="19"/>
  <c r="S60" i="19"/>
  <c r="EL60" i="19"/>
  <c r="DW60" i="19"/>
  <c r="FD60" i="19"/>
  <c r="G60" i="19"/>
  <c r="AB60" i="19"/>
  <c r="EI60" i="19"/>
  <c r="BL60" i="19"/>
  <c r="CD60" i="19"/>
  <c r="BI60" i="19"/>
  <c r="M60" i="19"/>
  <c r="P60" i="19"/>
  <c r="EU60" i="19"/>
  <c r="BX60" i="19"/>
  <c r="CP60" i="19"/>
  <c r="ER60" i="19"/>
  <c r="EX60" i="19"/>
  <c r="FG60" i="19"/>
  <c r="AQ60" i="19"/>
  <c r="AZ60" i="19"/>
  <c r="DZ60" i="19"/>
  <c r="AT60" i="19"/>
  <c r="D60" i="19"/>
  <c r="BO60" i="19"/>
  <c r="BU60" i="19"/>
  <c r="CM60" i="19"/>
  <c r="CG60" i="19"/>
  <c r="DQ60" i="19"/>
  <c r="AH60" i="19"/>
  <c r="BR60" i="19"/>
  <c r="DH60" i="19"/>
  <c r="DK60" i="19"/>
  <c r="EF60" i="19"/>
  <c r="AW60" i="19"/>
  <c r="BF60" i="19"/>
  <c r="J60" i="19"/>
  <c r="AE60" i="19"/>
  <c r="CS60" i="19"/>
  <c r="FA60" i="19"/>
  <c r="FJ60" i="19"/>
  <c r="Q60" i="20"/>
  <c r="F60" i="20"/>
  <c r="W60" i="20" l="1"/>
  <c r="H60" i="20"/>
  <c r="I60" i="20"/>
  <c r="O60" i="16"/>
  <c r="AF60" i="16" s="1"/>
  <c r="I60" i="16"/>
  <c r="T60" i="20"/>
  <c r="FN60" i="19"/>
  <c r="FO60" i="19" s="1"/>
  <c r="CT60" i="19"/>
  <c r="CU60" i="19" s="1"/>
  <c r="FB60" i="19"/>
  <c r="FC60" i="19" s="1"/>
  <c r="CE60" i="19"/>
  <c r="CF60" i="19" s="1"/>
  <c r="DF60" i="19"/>
  <c r="DG60" i="19" s="1"/>
  <c r="DC60" i="19"/>
  <c r="DD60" i="19" s="1"/>
  <c r="CW60" i="19"/>
  <c r="CX60" i="19" s="1"/>
  <c r="DO60" i="19"/>
  <c r="DP60" i="19" s="1"/>
  <c r="DU60" i="19"/>
  <c r="DV60" i="19" s="1"/>
  <c r="CZ60" i="19"/>
  <c r="DA60" i="19" s="1"/>
  <c r="CK60" i="19"/>
  <c r="CL60" i="19" s="1"/>
  <c r="DX60" i="19"/>
  <c r="DY60" i="19" s="1"/>
  <c r="AL60" i="19"/>
  <c r="AM60" i="19" s="1"/>
  <c r="ED60" i="19"/>
  <c r="EE60" i="19" s="1"/>
  <c r="AO60" i="19"/>
  <c r="AP60" i="19" s="1"/>
  <c r="W60" i="19"/>
  <c r="X60" i="19" s="1"/>
  <c r="K60" i="19"/>
  <c r="L60" i="19" s="1"/>
  <c r="EP60" i="19"/>
  <c r="EQ60" i="19" s="1"/>
  <c r="ES60" i="19"/>
  <c r="ET60" i="19" s="1"/>
  <c r="Z60" i="19"/>
  <c r="AA60" i="19" s="1"/>
  <c r="H60" i="19"/>
  <c r="I60" i="19" s="1"/>
  <c r="DL60" i="19"/>
  <c r="DM60" i="19" s="1"/>
  <c r="CN60" i="19"/>
  <c r="CO60" i="19" s="1"/>
  <c r="CH60" i="19"/>
  <c r="CI60" i="19" s="1"/>
  <c r="AF60" i="19"/>
  <c r="AG60" i="19" s="1"/>
  <c r="AU60" i="19"/>
  <c r="AV60" i="19" s="1"/>
  <c r="EV60" i="19"/>
  <c r="EW60" i="19" s="1"/>
  <c r="BY60" i="19"/>
  <c r="BZ60" i="19" s="1"/>
  <c r="CB60" i="19"/>
  <c r="CC60" i="19" s="1"/>
  <c r="CQ60" i="19"/>
  <c r="CR60" i="19" s="1"/>
  <c r="BJ60" i="19"/>
  <c r="BK60" i="19" s="1"/>
  <c r="EM60" i="19"/>
  <c r="EN60" i="19" s="1"/>
  <c r="EA60" i="19"/>
  <c r="EB60" i="19" s="1"/>
  <c r="FE60" i="19"/>
  <c r="FF60" i="19" s="1"/>
  <c r="Q60" i="19"/>
  <c r="R60" i="19" s="1"/>
  <c r="T60" i="19"/>
  <c r="U60" i="19" s="1"/>
  <c r="AR60" i="19"/>
  <c r="AS60" i="19" s="1"/>
  <c r="BG60" i="19"/>
  <c r="BH60" i="19" s="1"/>
  <c r="BD60" i="19"/>
  <c r="BE60" i="19" s="1"/>
  <c r="EY60" i="19"/>
  <c r="EZ60" i="19" s="1"/>
  <c r="N60" i="19"/>
  <c r="O60" i="19" s="1"/>
  <c r="BV60" i="19"/>
  <c r="BW60" i="19" s="1"/>
  <c r="AX60" i="19"/>
  <c r="AY60" i="19" s="1"/>
  <c r="BS60" i="19"/>
  <c r="BT60" i="19" s="1"/>
  <c r="DI60" i="19"/>
  <c r="DJ60" i="19" s="1"/>
  <c r="E60" i="19"/>
  <c r="F60" i="19" s="1"/>
  <c r="DR60" i="19"/>
  <c r="DS60" i="19" s="1"/>
  <c r="FH60" i="19"/>
  <c r="FI60" i="19" s="1"/>
  <c r="BA60" i="19"/>
  <c r="BB60" i="19" s="1"/>
  <c r="BP60" i="19"/>
  <c r="BQ60" i="19" s="1"/>
  <c r="AC60" i="19"/>
  <c r="AD60" i="19" s="1"/>
  <c r="BM60" i="19"/>
  <c r="BN60" i="19" s="1"/>
  <c r="EG60" i="19"/>
  <c r="EH60" i="19" s="1"/>
  <c r="FK60" i="19"/>
  <c r="FL60" i="19" s="1"/>
  <c r="AI60" i="19"/>
  <c r="AJ60" i="19" s="1"/>
  <c r="EJ60" i="19"/>
  <c r="EK60" i="19" s="1"/>
  <c r="R60" i="20"/>
  <c r="Z60" i="20" l="1"/>
  <c r="AE60" i="20" s="1"/>
  <c r="V60" i="20"/>
  <c r="X60" i="20"/>
  <c r="AD60" i="20" s="1"/>
  <c r="AC60" i="20"/>
  <c r="S60" i="20"/>
  <c r="H61" i="16"/>
  <c r="L61" i="16" s="1"/>
  <c r="Y60" i="20" l="1"/>
  <c r="AA60" i="20" s="1"/>
  <c r="AG60" i="20"/>
  <c r="U60" i="20"/>
  <c r="O60" i="20"/>
  <c r="X61" i="16"/>
  <c r="W61" i="16"/>
  <c r="FQ61" i="17"/>
  <c r="FP61" i="17"/>
  <c r="AB61" i="17"/>
  <c r="EU61" i="17"/>
  <c r="DN61" i="17"/>
  <c r="Z61" i="17"/>
  <c r="AT61" i="17"/>
  <c r="DF61" i="17"/>
  <c r="FE61" i="17"/>
  <c r="BL61" i="17"/>
  <c r="Y61" i="17"/>
  <c r="DU61" i="17"/>
  <c r="DE61" i="17"/>
  <c r="BP61" i="17"/>
  <c r="AF61" i="17"/>
  <c r="FD61" i="17"/>
  <c r="Q61" i="17"/>
  <c r="BO61" i="17"/>
  <c r="AE61" i="17"/>
  <c r="EY61" i="17"/>
  <c r="BF61" i="17"/>
  <c r="EA61" i="17"/>
  <c r="BS61" i="17"/>
  <c r="T61" i="17"/>
  <c r="S61" i="17"/>
  <c r="AC61" i="17"/>
  <c r="BM61" i="17"/>
  <c r="FM61" i="17"/>
  <c r="AN61" i="17"/>
  <c r="DQ61" i="17"/>
  <c r="BG61" i="17"/>
  <c r="AK61" i="17"/>
  <c r="BR61" i="17"/>
  <c r="ER61" i="17"/>
  <c r="J61" i="17"/>
  <c r="CQ61" i="17"/>
  <c r="DT61" i="17"/>
  <c r="DO61" i="17"/>
  <c r="CG61" i="17"/>
  <c r="P61" i="17"/>
  <c r="CE61" i="17"/>
  <c r="EX61" i="17"/>
  <c r="CD61" i="17"/>
  <c r="DZ61" i="17"/>
  <c r="DK61" i="17"/>
  <c r="CP61" i="17"/>
  <c r="FN61" i="17"/>
  <c r="EV61" i="17"/>
  <c r="CH61" i="17"/>
  <c r="AU61" i="17"/>
  <c r="AQ61" i="17"/>
  <c r="EP61" i="17"/>
  <c r="EM61" i="17"/>
  <c r="AR61" i="17"/>
  <c r="EO61" i="17"/>
  <c r="AL61" i="17"/>
  <c r="AO61" i="17"/>
  <c r="EL61" i="17"/>
  <c r="DL61" i="17"/>
  <c r="DR61" i="17"/>
  <c r="ES61" i="17"/>
  <c r="K61" i="17"/>
  <c r="DC61" i="17"/>
  <c r="FH61" i="17"/>
  <c r="G61" i="17"/>
  <c r="CM61" i="17"/>
  <c r="DI61" i="17"/>
  <c r="DB61" i="17"/>
  <c r="FG61" i="17"/>
  <c r="H61" i="17"/>
  <c r="DX61" i="17"/>
  <c r="CT61" i="17"/>
  <c r="CK61" i="17"/>
  <c r="DH61" i="17"/>
  <c r="CN61" i="17"/>
  <c r="CS61" i="17"/>
  <c r="EC61" i="17"/>
  <c r="W61" i="17"/>
  <c r="EI61" i="17"/>
  <c r="AX61" i="17"/>
  <c r="BA61" i="17"/>
  <c r="ED61" i="17"/>
  <c r="D61" i="17"/>
  <c r="AW61" i="17"/>
  <c r="FA61" i="17"/>
  <c r="AZ61" i="17"/>
  <c r="EJ61" i="17"/>
  <c r="CW61" i="17"/>
  <c r="BV61" i="17"/>
  <c r="CZ61" i="17"/>
  <c r="BC61" i="17"/>
  <c r="EF61" i="17"/>
  <c r="FK61" i="17"/>
  <c r="DW61" i="17"/>
  <c r="N61" i="17"/>
  <c r="CY61" i="17"/>
  <c r="BD61" i="17"/>
  <c r="EG61" i="17"/>
  <c r="CV61" i="17"/>
  <c r="M61" i="17"/>
  <c r="BY61" i="17"/>
  <c r="CJ61" i="17"/>
  <c r="V61" i="17"/>
  <c r="FB61" i="17"/>
  <c r="AI61" i="17"/>
  <c r="AH61" i="17"/>
  <c r="CA61" i="17"/>
  <c r="BI61" i="17"/>
  <c r="E61" i="17"/>
  <c r="CB61" i="17"/>
  <c r="BX61" i="17"/>
  <c r="FJ61" i="17"/>
  <c r="BU61" i="17"/>
  <c r="BJ61" i="17"/>
  <c r="EZ61" i="17" l="1"/>
  <c r="DJ61" i="17"/>
  <c r="DG61" i="17"/>
  <c r="FC61" i="17"/>
  <c r="DV61" i="17"/>
  <c r="AF60" i="20"/>
  <c r="AD61" i="17"/>
  <c r="AY61" i="17"/>
  <c r="DS61" i="17"/>
  <c r="EE61" i="17"/>
  <c r="AP61" i="17"/>
  <c r="U61" i="17"/>
  <c r="I61" i="17"/>
  <c r="BW61" i="17"/>
  <c r="BH61" i="17"/>
  <c r="BB61" i="17"/>
  <c r="FR61" i="17"/>
  <c r="CL61" i="17"/>
  <c r="CO61" i="17"/>
  <c r="BQ61" i="17"/>
  <c r="FL61" i="17"/>
  <c r="O61" i="17"/>
  <c r="CU61" i="17"/>
  <c r="FO61" i="17"/>
  <c r="FF61" i="17"/>
  <c r="CX61" i="17"/>
  <c r="AJ61" i="17"/>
  <c r="BZ61" i="17"/>
  <c r="DP61" i="17"/>
  <c r="R61" i="17"/>
  <c r="EW61" i="17"/>
  <c r="BK61" i="17"/>
  <c r="D61" i="20"/>
  <c r="Y61" i="16"/>
  <c r="Z61" i="16"/>
  <c r="CI61" i="17"/>
  <c r="AS61" i="17"/>
  <c r="R61" i="16"/>
  <c r="AD61" i="16" s="1"/>
  <c r="DA61" i="17"/>
  <c r="CC61" i="17"/>
  <c r="Q61" i="16"/>
  <c r="F61" i="17"/>
  <c r="L61" i="17"/>
  <c r="AA61" i="17"/>
  <c r="DY61" i="17"/>
  <c r="EN61" i="17"/>
  <c r="CR61" i="17"/>
  <c r="ET61" i="17"/>
  <c r="BN61" i="17"/>
  <c r="FI61" i="17"/>
  <c r="DM61" i="17"/>
  <c r="BT61" i="17"/>
  <c r="EH61" i="17"/>
  <c r="DD61" i="17"/>
  <c r="EB61" i="17"/>
  <c r="AM61" i="17"/>
  <c r="X61" i="17"/>
  <c r="BE61" i="17"/>
  <c r="EK61" i="17"/>
  <c r="EQ61" i="17"/>
  <c r="CF61" i="17"/>
  <c r="AG61" i="17"/>
  <c r="AV61" i="17"/>
  <c r="P61" i="16" l="1"/>
  <c r="S61" i="16"/>
  <c r="U61" i="16" s="1"/>
  <c r="T61" i="16"/>
  <c r="K61" i="16"/>
  <c r="AA61" i="16"/>
  <c r="V61" i="16"/>
  <c r="E61" i="20"/>
  <c r="J61" i="20"/>
  <c r="G61" i="20"/>
  <c r="M61" i="16" l="1"/>
  <c r="N61" i="16"/>
  <c r="AE61" i="16" s="1"/>
  <c r="AC61" i="16"/>
  <c r="AG61" i="16" s="1"/>
  <c r="FP61" i="19"/>
  <c r="CA61" i="19"/>
  <c r="FG61" i="19"/>
  <c r="Y61" i="19"/>
  <c r="DW61" i="19"/>
  <c r="DH61" i="19"/>
  <c r="FD61" i="19"/>
  <c r="EI61" i="19"/>
  <c r="FM61" i="19"/>
  <c r="DZ61" i="19"/>
  <c r="BF61" i="19"/>
  <c r="CG61" i="19"/>
  <c r="FA61" i="19"/>
  <c r="BR61" i="19"/>
  <c r="DK61" i="19"/>
  <c r="J61" i="19"/>
  <c r="AT61" i="19"/>
  <c r="CP61" i="19"/>
  <c r="AN61" i="19"/>
  <c r="P61" i="19"/>
  <c r="EX61" i="19"/>
  <c r="AB61" i="19"/>
  <c r="AQ61" i="19"/>
  <c r="CJ61" i="19"/>
  <c r="BX61" i="19"/>
  <c r="BC61" i="19"/>
  <c r="AE61" i="19"/>
  <c r="DT61" i="19"/>
  <c r="D61" i="19"/>
  <c r="CS61" i="19"/>
  <c r="EF61" i="19"/>
  <c r="DE61" i="19"/>
  <c r="EC61" i="19"/>
  <c r="AK61" i="19"/>
  <c r="AH61" i="19"/>
  <c r="V61" i="19"/>
  <c r="DN61" i="19"/>
  <c r="BI61" i="19"/>
  <c r="DB61" i="19"/>
  <c r="CV61" i="19"/>
  <c r="CM61" i="19"/>
  <c r="BU61" i="19"/>
  <c r="EL61" i="19"/>
  <c r="ER61" i="19"/>
  <c r="FJ61" i="19"/>
  <c r="EO61" i="19"/>
  <c r="BL61" i="19"/>
  <c r="CD61" i="19"/>
  <c r="BO61" i="19"/>
  <c r="AW61" i="19"/>
  <c r="EU61" i="19"/>
  <c r="CY61" i="19"/>
  <c r="M61" i="19"/>
  <c r="AZ61" i="19"/>
  <c r="S61" i="19"/>
  <c r="G61" i="19"/>
  <c r="DQ61" i="19"/>
  <c r="Q61" i="20"/>
  <c r="K61" i="20"/>
  <c r="F61" i="20"/>
  <c r="H61" i="20" l="1"/>
  <c r="I61" i="20"/>
  <c r="W61" i="20"/>
  <c r="AC61" i="20" s="1"/>
  <c r="FQ61" i="19"/>
  <c r="FR61" i="19" s="1"/>
  <c r="EA61" i="19"/>
  <c r="EB61" i="19" s="1"/>
  <c r="BG61" i="19"/>
  <c r="BH61" i="19" s="1"/>
  <c r="CH61" i="19"/>
  <c r="CI61" i="19" s="1"/>
  <c r="FH61" i="19"/>
  <c r="FI61" i="19" s="1"/>
  <c r="DX61" i="19"/>
  <c r="DY61" i="19" s="1"/>
  <c r="FE61" i="19"/>
  <c r="FF61" i="19" s="1"/>
  <c r="BS61" i="19"/>
  <c r="BT61" i="19" s="1"/>
  <c r="DI61" i="19"/>
  <c r="DJ61" i="19" s="1"/>
  <c r="AU61" i="19"/>
  <c r="AV61" i="19" s="1"/>
  <c r="FN61" i="19"/>
  <c r="FO61" i="19" s="1"/>
  <c r="BD61" i="19"/>
  <c r="BE61" i="19" s="1"/>
  <c r="AF61" i="19"/>
  <c r="AG61" i="19" s="1"/>
  <c r="E61" i="19"/>
  <c r="F61" i="19" s="1"/>
  <c r="Q61" i="19"/>
  <c r="R61" i="19" s="1"/>
  <c r="EY61" i="19"/>
  <c r="EZ61" i="19" s="1"/>
  <c r="AC61" i="19"/>
  <c r="AD61" i="19" s="1"/>
  <c r="AR61" i="19"/>
  <c r="AS61" i="19" s="1"/>
  <c r="H61" i="19"/>
  <c r="I61" i="19" s="1"/>
  <c r="FB61" i="19"/>
  <c r="FC61" i="19" s="1"/>
  <c r="K61" i="19"/>
  <c r="L61" i="19" s="1"/>
  <c r="CQ61" i="19"/>
  <c r="CR61" i="19" s="1"/>
  <c r="CK61" i="19"/>
  <c r="CL61" i="19" s="1"/>
  <c r="BY61" i="19"/>
  <c r="BZ61" i="19" s="1"/>
  <c r="CT61" i="19"/>
  <c r="CU61" i="19" s="1"/>
  <c r="CB61" i="19"/>
  <c r="CC61" i="19" s="1"/>
  <c r="ED61" i="19"/>
  <c r="EE61" i="19" s="1"/>
  <c r="EJ61" i="19"/>
  <c r="EK61" i="19" s="1"/>
  <c r="AI61" i="19"/>
  <c r="AJ61" i="19" s="1"/>
  <c r="DL61" i="19"/>
  <c r="DM61" i="19" s="1"/>
  <c r="W61" i="19"/>
  <c r="X61" i="19" s="1"/>
  <c r="DO61" i="19"/>
  <c r="DP61" i="19" s="1"/>
  <c r="BJ61" i="19"/>
  <c r="BK61" i="19" s="1"/>
  <c r="DU61" i="19"/>
  <c r="DV61" i="19" s="1"/>
  <c r="DC61" i="19"/>
  <c r="DD61" i="19" s="1"/>
  <c r="CW61" i="19"/>
  <c r="CX61" i="19" s="1"/>
  <c r="EM61" i="19"/>
  <c r="EN61" i="19" s="1"/>
  <c r="EP61" i="19"/>
  <c r="EQ61" i="19" s="1"/>
  <c r="EV61" i="19"/>
  <c r="EW61" i="19" s="1"/>
  <c r="CN61" i="19"/>
  <c r="CO61" i="19" s="1"/>
  <c r="AO61" i="19"/>
  <c r="AP61" i="19" s="1"/>
  <c r="BV61" i="19"/>
  <c r="BW61" i="19" s="1"/>
  <c r="DF61" i="19"/>
  <c r="DG61" i="19" s="1"/>
  <c r="AL61" i="19"/>
  <c r="AM61" i="19" s="1"/>
  <c r="EG61" i="19"/>
  <c r="EH61" i="19" s="1"/>
  <c r="BM61" i="19"/>
  <c r="BN61" i="19" s="1"/>
  <c r="CE61" i="19"/>
  <c r="CF61" i="19" s="1"/>
  <c r="BP61" i="19"/>
  <c r="BQ61" i="19" s="1"/>
  <c r="AX61" i="19"/>
  <c r="AY61" i="19" s="1"/>
  <c r="CZ61" i="19"/>
  <c r="DA61" i="19" s="1"/>
  <c r="N61" i="19"/>
  <c r="O61" i="19" s="1"/>
  <c r="BA61" i="19"/>
  <c r="BB61" i="19" s="1"/>
  <c r="T61" i="19"/>
  <c r="U61" i="19" s="1"/>
  <c r="DR61" i="19"/>
  <c r="DS61" i="19" s="1"/>
  <c r="Z61" i="19"/>
  <c r="AA61" i="19" s="1"/>
  <c r="ES61" i="19"/>
  <c r="ET61" i="19" s="1"/>
  <c r="FK61" i="19"/>
  <c r="FL61" i="19" s="1"/>
  <c r="R61" i="20"/>
  <c r="T61" i="20"/>
  <c r="O61" i="16"/>
  <c r="AF61" i="16" s="1"/>
  <c r="I61" i="16"/>
  <c r="V61" i="20" l="1"/>
  <c r="X61" i="20"/>
  <c r="AD61" i="20" s="1"/>
  <c r="AG61" i="20" s="1"/>
  <c r="S61" i="20"/>
  <c r="H62" i="16"/>
  <c r="L62" i="16" s="1"/>
  <c r="Z61" i="20"/>
  <c r="AE61" i="20" s="1"/>
  <c r="Y61" i="20" l="1"/>
  <c r="AA61" i="20" s="1"/>
  <c r="U61" i="20"/>
  <c r="O61" i="20"/>
  <c r="X62" i="16"/>
  <c r="W62" i="16"/>
  <c r="FT62" i="17"/>
  <c r="FS62" i="17"/>
  <c r="DQ62" i="17"/>
  <c r="H62" i="17"/>
  <c r="CM62" i="17"/>
  <c r="DU62" i="17"/>
  <c r="DE62" i="17"/>
  <c r="BG62" i="17"/>
  <c r="DR62" i="17"/>
  <c r="G62" i="17"/>
  <c r="CS62" i="17"/>
  <c r="AC62" i="17"/>
  <c r="BY62" i="17"/>
  <c r="DT62" i="17"/>
  <c r="DF62" i="17"/>
  <c r="BF62" i="17"/>
  <c r="AB62" i="17"/>
  <c r="BX62" i="17"/>
  <c r="T62" i="17"/>
  <c r="S62" i="17"/>
  <c r="CJ62" i="17"/>
  <c r="FM62" i="17"/>
  <c r="BA62" i="17"/>
  <c r="AI62" i="17"/>
  <c r="EY62" i="17"/>
  <c r="M62" i="17"/>
  <c r="CN62" i="17"/>
  <c r="AH62" i="17"/>
  <c r="AN62" i="17"/>
  <c r="CK62" i="17"/>
  <c r="AW62" i="17"/>
  <c r="AO62" i="17"/>
  <c r="FB62" i="17"/>
  <c r="ED62" i="17"/>
  <c r="CT62" i="17"/>
  <c r="BO62" i="17"/>
  <c r="EX62" i="17"/>
  <c r="BP62" i="17"/>
  <c r="AX62" i="17"/>
  <c r="FQ62" i="17"/>
  <c r="CV62" i="17"/>
  <c r="DH62" i="17"/>
  <c r="N62" i="17"/>
  <c r="BU62" i="17"/>
  <c r="CW62" i="17"/>
  <c r="FD62" i="17"/>
  <c r="FN62" i="17"/>
  <c r="BV62" i="17"/>
  <c r="FK62" i="17"/>
  <c r="FP62" i="17"/>
  <c r="EC62" i="17"/>
  <c r="FJ62" i="17"/>
  <c r="FE62" i="17"/>
  <c r="DI62" i="17"/>
  <c r="FA62" i="17"/>
  <c r="AZ62" i="17"/>
  <c r="Y62" i="17"/>
  <c r="CE62" i="17"/>
  <c r="CQ62" i="17"/>
  <c r="EA62" i="17"/>
  <c r="ES62" i="17"/>
  <c r="W62" i="17"/>
  <c r="Z62" i="17"/>
  <c r="CD62" i="17"/>
  <c r="CP62" i="17"/>
  <c r="DZ62" i="17"/>
  <c r="ER62" i="17"/>
  <c r="V62" i="17"/>
  <c r="DC62" i="17"/>
  <c r="EF62" i="17"/>
  <c r="BD62" i="17"/>
  <c r="DB62" i="17"/>
  <c r="EG62" i="17"/>
  <c r="BC62" i="17"/>
  <c r="FH62" i="17"/>
  <c r="K62" i="17"/>
  <c r="AF62" i="17"/>
  <c r="FG62" i="17"/>
  <c r="AU62" i="17"/>
  <c r="DW62" i="17"/>
  <c r="CB62" i="17"/>
  <c r="EU62" i="17"/>
  <c r="CG62" i="17"/>
  <c r="CA62" i="17"/>
  <c r="CZ62" i="17"/>
  <c r="AL62" i="17"/>
  <c r="BJ62" i="17"/>
  <c r="E62" i="17"/>
  <c r="BM62" i="17"/>
  <c r="AQ62" i="17"/>
  <c r="D62" i="17"/>
  <c r="J62" i="17"/>
  <c r="DX62" i="17"/>
  <c r="BS62" i="17"/>
  <c r="AE62" i="17"/>
  <c r="EV62" i="17"/>
  <c r="AT62" i="17"/>
  <c r="AR62" i="17"/>
  <c r="BR62" i="17"/>
  <c r="BL62" i="17"/>
  <c r="CY62" i="17"/>
  <c r="AK62" i="17"/>
  <c r="EL62" i="17"/>
  <c r="EI62" i="17"/>
  <c r="DK62" i="17"/>
  <c r="P62" i="17"/>
  <c r="EO62" i="17"/>
  <c r="Q62" i="17"/>
  <c r="EP62" i="17"/>
  <c r="CH62" i="17"/>
  <c r="DO62" i="17"/>
  <c r="EM62" i="17"/>
  <c r="EJ62" i="17"/>
  <c r="BI62" i="17"/>
  <c r="DL62" i="17"/>
  <c r="DN62" i="17"/>
  <c r="EE62" i="17" l="1"/>
  <c r="BT62" i="17"/>
  <c r="CF62" i="17"/>
  <c r="BH62" i="17"/>
  <c r="DS62" i="17"/>
  <c r="FL62" i="17"/>
  <c r="AJ62" i="17"/>
  <c r="FC62" i="17"/>
  <c r="ET62" i="17"/>
  <c r="AP62" i="17"/>
  <c r="EB62" i="17"/>
  <c r="AF61" i="20"/>
  <c r="FU62" i="17"/>
  <c r="EN62" i="17"/>
  <c r="AY62" i="17"/>
  <c r="DG62" i="17"/>
  <c r="AM62" i="17"/>
  <c r="AS62" i="17"/>
  <c r="BZ62" i="17"/>
  <c r="DA62" i="17"/>
  <c r="BK62" i="17"/>
  <c r="FI62" i="17"/>
  <c r="CR62" i="17"/>
  <c r="CX62" i="17"/>
  <c r="AD62" i="17"/>
  <c r="BE62" i="17"/>
  <c r="CC62" i="17"/>
  <c r="DD62" i="17"/>
  <c r="R62" i="16"/>
  <c r="AD62" i="16" s="1"/>
  <c r="DV62" i="17"/>
  <c r="BN62" i="17"/>
  <c r="DJ62" i="17"/>
  <c r="CO62" i="17"/>
  <c r="Q62" i="16"/>
  <c r="F62" i="17"/>
  <c r="AV62" i="17"/>
  <c r="D62" i="20"/>
  <c r="Y62" i="16"/>
  <c r="Z62" i="16"/>
  <c r="FR62" i="17"/>
  <c r="O62" i="17"/>
  <c r="EZ62" i="17"/>
  <c r="BQ62" i="17"/>
  <c r="EQ62" i="17"/>
  <c r="AG62" i="17"/>
  <c r="CI62" i="17"/>
  <c r="CU62" i="17"/>
  <c r="R62" i="17"/>
  <c r="EW62" i="17"/>
  <c r="EH62" i="17"/>
  <c r="FF62" i="17"/>
  <c r="FO62" i="17"/>
  <c r="I62" i="17"/>
  <c r="DM62" i="17"/>
  <c r="AA62" i="17"/>
  <c r="CL62" i="17"/>
  <c r="DP62" i="17"/>
  <c r="EK62" i="17"/>
  <c r="L62" i="17"/>
  <c r="DY62" i="17"/>
  <c r="X62" i="17"/>
  <c r="BB62" i="17"/>
  <c r="BW62" i="17"/>
  <c r="U62" i="17"/>
  <c r="AA62" i="16" l="1"/>
  <c r="V62" i="16"/>
  <c r="S62" i="16"/>
  <c r="U62" i="16" s="1"/>
  <c r="T62" i="16"/>
  <c r="K62" i="16"/>
  <c r="J62" i="20"/>
  <c r="E62" i="20"/>
  <c r="G62" i="20"/>
  <c r="P62" i="16"/>
  <c r="K62" i="20" l="1"/>
  <c r="M62" i="16"/>
  <c r="N62" i="16"/>
  <c r="AE62" i="16" s="1"/>
  <c r="AC62" i="16"/>
  <c r="AG62" i="16" s="1"/>
  <c r="F62" i="20"/>
  <c r="FS62" i="19"/>
  <c r="AZ62" i="19"/>
  <c r="EO62" i="19"/>
  <c r="CJ62" i="19"/>
  <c r="CD62" i="19"/>
  <c r="DT62" i="19"/>
  <c r="V62" i="19"/>
  <c r="BU62" i="19"/>
  <c r="FJ62" i="19"/>
  <c r="CV62" i="19"/>
  <c r="EX62" i="19"/>
  <c r="CA62" i="19"/>
  <c r="DE62" i="19"/>
  <c r="AB62" i="19"/>
  <c r="BF62" i="19"/>
  <c r="CG62" i="19"/>
  <c r="DH62" i="19"/>
  <c r="J62" i="19"/>
  <c r="ER62" i="19"/>
  <c r="BI62" i="19"/>
  <c r="BO62" i="19"/>
  <c r="BC62" i="19"/>
  <c r="FA62" i="19"/>
  <c r="EI62" i="19"/>
  <c r="CY62" i="19"/>
  <c r="S62" i="19"/>
  <c r="M62" i="19"/>
  <c r="DQ62" i="19"/>
  <c r="DZ62" i="19"/>
  <c r="DB62" i="19"/>
  <c r="CP62" i="19"/>
  <c r="AN62" i="19"/>
  <c r="EL62" i="19"/>
  <c r="G62" i="19"/>
  <c r="AW62" i="19"/>
  <c r="FM62" i="19"/>
  <c r="DN62" i="19"/>
  <c r="DW62" i="19"/>
  <c r="AK62" i="19"/>
  <c r="CM62" i="19"/>
  <c r="DK62" i="19"/>
  <c r="BL62" i="19"/>
  <c r="AT62" i="19"/>
  <c r="D62" i="19"/>
  <c r="CS62" i="19"/>
  <c r="EF62" i="19"/>
  <c r="BR62" i="19"/>
  <c r="FD62" i="19"/>
  <c r="AH62" i="19"/>
  <c r="BX62" i="19"/>
  <c r="EC62" i="19"/>
  <c r="EU62" i="19"/>
  <c r="AQ62" i="19"/>
  <c r="P62" i="19"/>
  <c r="FP62" i="19"/>
  <c r="Y62" i="19"/>
  <c r="AE62" i="19"/>
  <c r="FG62" i="19"/>
  <c r="Q62" i="20"/>
  <c r="H62" i="20" l="1"/>
  <c r="I62" i="20"/>
  <c r="T62" i="20"/>
  <c r="O62" i="16"/>
  <c r="AF62" i="16" s="1"/>
  <c r="I62" i="16"/>
  <c r="W62" i="20"/>
  <c r="FT62" i="19"/>
  <c r="FU62" i="19" s="1"/>
  <c r="ED62" i="19"/>
  <c r="EE62" i="19" s="1"/>
  <c r="Q62" i="19"/>
  <c r="R62" i="19" s="1"/>
  <c r="FQ62" i="19"/>
  <c r="FR62" i="19" s="1"/>
  <c r="BM62" i="19"/>
  <c r="BN62" i="19" s="1"/>
  <c r="K62" i="19"/>
  <c r="L62" i="19" s="1"/>
  <c r="Z62" i="19"/>
  <c r="AA62" i="19" s="1"/>
  <c r="DR62" i="19"/>
  <c r="DS62" i="19" s="1"/>
  <c r="FK62" i="19"/>
  <c r="FL62" i="19" s="1"/>
  <c r="BY62" i="19"/>
  <c r="BZ62" i="19" s="1"/>
  <c r="AL62" i="19"/>
  <c r="AM62" i="19" s="1"/>
  <c r="CZ62" i="19"/>
  <c r="DA62" i="19" s="1"/>
  <c r="T62" i="19"/>
  <c r="U62" i="19" s="1"/>
  <c r="EP62" i="19"/>
  <c r="EQ62" i="19" s="1"/>
  <c r="BP62" i="19"/>
  <c r="BQ62" i="19" s="1"/>
  <c r="CW62" i="19"/>
  <c r="CX62" i="19" s="1"/>
  <c r="ES62" i="19"/>
  <c r="ET62" i="19" s="1"/>
  <c r="BV62" i="19"/>
  <c r="BW62" i="19" s="1"/>
  <c r="CB62" i="19"/>
  <c r="CC62" i="19" s="1"/>
  <c r="DC62" i="19"/>
  <c r="DD62" i="19" s="1"/>
  <c r="FB62" i="19"/>
  <c r="FC62" i="19" s="1"/>
  <c r="AX62" i="19"/>
  <c r="AY62" i="19" s="1"/>
  <c r="EV62" i="19"/>
  <c r="EW62" i="19" s="1"/>
  <c r="BA62" i="19"/>
  <c r="BB62" i="19" s="1"/>
  <c r="AU62" i="19"/>
  <c r="AV62" i="19" s="1"/>
  <c r="CE62" i="19"/>
  <c r="CF62" i="19" s="1"/>
  <c r="W62" i="19"/>
  <c r="X62" i="19" s="1"/>
  <c r="EY62" i="19"/>
  <c r="EZ62" i="19" s="1"/>
  <c r="AO62" i="19"/>
  <c r="AP62" i="19" s="1"/>
  <c r="DF62" i="19"/>
  <c r="DG62" i="19" s="1"/>
  <c r="EM62" i="19"/>
  <c r="EN62" i="19" s="1"/>
  <c r="EG62" i="19"/>
  <c r="EH62" i="19" s="1"/>
  <c r="CK62" i="19"/>
  <c r="CL62" i="19" s="1"/>
  <c r="DU62" i="19"/>
  <c r="DV62" i="19" s="1"/>
  <c r="BD62" i="19"/>
  <c r="BE62" i="19" s="1"/>
  <c r="BJ62" i="19"/>
  <c r="BK62" i="19" s="1"/>
  <c r="EA62" i="19"/>
  <c r="EB62" i="19" s="1"/>
  <c r="N62" i="19"/>
  <c r="O62" i="19" s="1"/>
  <c r="CN62" i="19"/>
  <c r="CO62" i="19" s="1"/>
  <c r="EJ62" i="19"/>
  <c r="EK62" i="19" s="1"/>
  <c r="H62" i="19"/>
  <c r="I62" i="19" s="1"/>
  <c r="DL62" i="19"/>
  <c r="DM62" i="19" s="1"/>
  <c r="CQ62" i="19"/>
  <c r="CR62" i="19" s="1"/>
  <c r="AC62" i="19"/>
  <c r="AD62" i="19" s="1"/>
  <c r="AR62" i="19"/>
  <c r="AS62" i="19" s="1"/>
  <c r="DO62" i="19"/>
  <c r="DP62" i="19" s="1"/>
  <c r="BG62" i="19"/>
  <c r="BH62" i="19" s="1"/>
  <c r="DX62" i="19"/>
  <c r="DY62" i="19" s="1"/>
  <c r="E62" i="19"/>
  <c r="F62" i="19" s="1"/>
  <c r="CT62" i="19"/>
  <c r="CU62" i="19" s="1"/>
  <c r="FN62" i="19"/>
  <c r="FO62" i="19" s="1"/>
  <c r="BS62" i="19"/>
  <c r="BT62" i="19" s="1"/>
  <c r="FE62" i="19"/>
  <c r="FF62" i="19" s="1"/>
  <c r="AI62" i="19"/>
  <c r="AJ62" i="19" s="1"/>
  <c r="CH62" i="19"/>
  <c r="CI62" i="19" s="1"/>
  <c r="DI62" i="19"/>
  <c r="DJ62" i="19" s="1"/>
  <c r="AF62" i="19"/>
  <c r="AG62" i="19" s="1"/>
  <c r="FH62" i="19"/>
  <c r="FI62" i="19" s="1"/>
  <c r="R62" i="20"/>
  <c r="S62" i="20" s="1"/>
  <c r="U62" i="20" l="1"/>
  <c r="O62" i="20"/>
  <c r="X62" i="20"/>
  <c r="Y62" i="20" s="1"/>
  <c r="AA62" i="20" s="1"/>
  <c r="V62" i="20"/>
  <c r="H63" i="16"/>
  <c r="L63" i="16" s="1"/>
  <c r="Z62" i="20"/>
  <c r="AE62" i="20" s="1"/>
  <c r="AC62" i="20"/>
  <c r="AF62" i="20" l="1"/>
  <c r="AD62" i="20"/>
  <c r="AG62" i="20" s="1"/>
  <c r="X63" i="16"/>
  <c r="W63" i="16"/>
  <c r="FW63" i="17"/>
  <c r="FV63" i="17"/>
  <c r="EL63" i="17"/>
  <c r="DE63" i="17"/>
  <c r="CP63" i="17"/>
  <c r="FG63" i="17"/>
  <c r="ES63" i="17"/>
  <c r="CB63" i="17"/>
  <c r="CQ63" i="17"/>
  <c r="FS63" i="17"/>
  <c r="AX63" i="17"/>
  <c r="FJ63" i="17"/>
  <c r="AW63" i="17"/>
  <c r="CV63" i="17"/>
  <c r="FB63" i="17"/>
  <c r="CD63" i="17"/>
  <c r="AB63" i="17"/>
  <c r="FH63" i="17"/>
  <c r="CW63" i="17"/>
  <c r="DU63" i="17"/>
  <c r="BF63" i="17"/>
  <c r="AO63" i="17"/>
  <c r="AQ63" i="17"/>
  <c r="EM63" i="17"/>
  <c r="FT63" i="17"/>
  <c r="DF63" i="17"/>
  <c r="CA63" i="17"/>
  <c r="BM63" i="17"/>
  <c r="AH63" i="17"/>
  <c r="DT63" i="17"/>
  <c r="DC63" i="17"/>
  <c r="CE63" i="17"/>
  <c r="EC63" i="17"/>
  <c r="BI63" i="17"/>
  <c r="DZ63" i="17"/>
  <c r="ER63" i="17"/>
  <c r="FA63" i="17"/>
  <c r="DB63" i="17"/>
  <c r="EA63" i="17"/>
  <c r="FK63" i="17"/>
  <c r="AI63" i="17"/>
  <c r="AN63" i="17"/>
  <c r="BL63" i="17"/>
  <c r="DQ63" i="17"/>
  <c r="CY63" i="17"/>
  <c r="BJ63" i="17"/>
  <c r="BX63" i="17"/>
  <c r="BG63" i="17"/>
  <c r="AL63" i="17"/>
  <c r="BY63" i="17"/>
  <c r="BC63" i="17"/>
  <c r="AK63" i="17"/>
  <c r="BS63" i="17"/>
  <c r="DR63" i="17"/>
  <c r="ED63" i="17"/>
  <c r="BR63" i="17"/>
  <c r="BD63" i="17"/>
  <c r="AR63" i="17"/>
  <c r="CZ63" i="17"/>
  <c r="AC63" i="17"/>
  <c r="CK63" i="17"/>
  <c r="J63" i="17"/>
  <c r="BV63" i="17"/>
  <c r="DX63" i="17"/>
  <c r="E63" i="17"/>
  <c r="CT63" i="17"/>
  <c r="CJ63" i="17"/>
  <c r="T63" i="17"/>
  <c r="DW63" i="17"/>
  <c r="D63" i="17"/>
  <c r="CS63" i="17"/>
  <c r="K63" i="17"/>
  <c r="BA63" i="17"/>
  <c r="Q63" i="17"/>
  <c r="M63" i="17"/>
  <c r="AZ63" i="17"/>
  <c r="P63" i="17"/>
  <c r="CH63" i="17"/>
  <c r="EO63" i="17"/>
  <c r="EX63" i="17"/>
  <c r="DL63" i="17"/>
  <c r="BP63" i="17"/>
  <c r="Z63" i="17"/>
  <c r="DO63" i="17"/>
  <c r="CM63" i="17"/>
  <c r="BU63" i="17"/>
  <c r="AT63" i="17"/>
  <c r="BO63" i="17"/>
  <c r="FQ63" i="17"/>
  <c r="S63" i="17"/>
  <c r="N63" i="17"/>
  <c r="AU63" i="17"/>
  <c r="FE63" i="17"/>
  <c r="DH63" i="17"/>
  <c r="DK63" i="17"/>
  <c r="Y63" i="17"/>
  <c r="EP63" i="17"/>
  <c r="DI63" i="17"/>
  <c r="EY63" i="17"/>
  <c r="AE63" i="17"/>
  <c r="CG63" i="17"/>
  <c r="V63" i="17"/>
  <c r="FD63" i="17"/>
  <c r="EI63" i="17"/>
  <c r="DN63" i="17"/>
  <c r="W63" i="17"/>
  <c r="EG63" i="17"/>
  <c r="H63" i="17"/>
  <c r="EV63" i="17"/>
  <c r="FN63" i="17"/>
  <c r="CN63" i="17"/>
  <c r="FP63" i="17"/>
  <c r="AF63" i="17"/>
  <c r="EJ63" i="17"/>
  <c r="EF63" i="17"/>
  <c r="G63" i="17"/>
  <c r="EU63" i="17"/>
  <c r="FM63" i="17"/>
  <c r="BE63" i="17" l="1"/>
  <c r="CC63" i="17"/>
  <c r="AV63" i="17"/>
  <c r="EQ63" i="17"/>
  <c r="CL63" i="17"/>
  <c r="BN63" i="17"/>
  <c r="FX63" i="17"/>
  <c r="AA63" i="17"/>
  <c r="ET63" i="17"/>
  <c r="EW63" i="17"/>
  <c r="CX63" i="17"/>
  <c r="FL63" i="17"/>
  <c r="DM63" i="17"/>
  <c r="CU63" i="17"/>
  <c r="BZ63" i="17"/>
  <c r="O63" i="17"/>
  <c r="DD63" i="17"/>
  <c r="FO63" i="17"/>
  <c r="DJ63" i="17"/>
  <c r="BK63" i="17"/>
  <c r="FU63" i="17"/>
  <c r="DY63" i="17"/>
  <c r="EE63" i="17"/>
  <c r="EK63" i="17"/>
  <c r="BT63" i="17"/>
  <c r="DS63" i="17"/>
  <c r="EN63" i="17"/>
  <c r="BW63" i="17"/>
  <c r="L63" i="17"/>
  <c r="CO63" i="17"/>
  <c r="FC63" i="17"/>
  <c r="AY63" i="17"/>
  <c r="D63" i="20"/>
  <c r="Y63" i="16"/>
  <c r="Z63" i="16"/>
  <c r="E22" i="11"/>
  <c r="EB63" i="17"/>
  <c r="AS63" i="17"/>
  <c r="E21" i="11"/>
  <c r="Q63" i="16"/>
  <c r="F63" i="17"/>
  <c r="DA63" i="17"/>
  <c r="BH63" i="17"/>
  <c r="EZ63" i="17"/>
  <c r="I63" i="17"/>
  <c r="EH63" i="17"/>
  <c r="FI63" i="17"/>
  <c r="DP63" i="17"/>
  <c r="X63" i="17"/>
  <c r="R63" i="17"/>
  <c r="CR63" i="17"/>
  <c r="FF63" i="17"/>
  <c r="U63" i="17"/>
  <c r="AP63" i="17"/>
  <c r="DV63" i="17"/>
  <c r="CI63" i="17"/>
  <c r="R63" i="16"/>
  <c r="C21" i="11" s="1"/>
  <c r="AJ63" i="17"/>
  <c r="AD63" i="17"/>
  <c r="FR63" i="17"/>
  <c r="AG63" i="17"/>
  <c r="BQ63" i="17"/>
  <c r="BB63" i="17"/>
  <c r="AM63" i="17"/>
  <c r="CF63" i="17"/>
  <c r="DG63" i="17"/>
  <c r="E24" i="11" l="1"/>
  <c r="J63" i="20"/>
  <c r="E63" i="20"/>
  <c r="F63" i="20" s="1"/>
  <c r="G63" i="20"/>
  <c r="S63" i="16"/>
  <c r="U63" i="16" s="1"/>
  <c r="T63" i="16"/>
  <c r="K63" i="16"/>
  <c r="AA63" i="16"/>
  <c r="V63" i="16"/>
  <c r="P63" i="16"/>
  <c r="E25" i="11"/>
  <c r="AD63" i="16"/>
  <c r="H63" i="20" l="1"/>
  <c r="I63" i="20"/>
  <c r="E23" i="11"/>
  <c r="M63" i="16"/>
  <c r="N63" i="16"/>
  <c r="C22" i="11"/>
  <c r="C25" i="11" s="1"/>
  <c r="AC63" i="16"/>
  <c r="K63" i="20"/>
  <c r="AN63" i="16"/>
  <c r="K21" i="11" s="1"/>
  <c r="AI63" i="16"/>
  <c r="I21" i="11" s="1"/>
  <c r="G21" i="11"/>
  <c r="FV63" i="19"/>
  <c r="FP63" i="19"/>
  <c r="EF63" i="19"/>
  <c r="BL63" i="19"/>
  <c r="P63" i="19"/>
  <c r="BI63" i="19"/>
  <c r="FA63" i="19"/>
  <c r="AH63" i="19"/>
  <c r="EL63" i="19"/>
  <c r="BU63" i="19"/>
  <c r="CJ63" i="19"/>
  <c r="AE63" i="19"/>
  <c r="FS63" i="19"/>
  <c r="AN63" i="19"/>
  <c r="DK63" i="19"/>
  <c r="BC63" i="19"/>
  <c r="Y63" i="19"/>
  <c r="V63" i="19"/>
  <c r="BF63" i="19"/>
  <c r="EO63" i="19"/>
  <c r="DN63" i="19"/>
  <c r="G63" i="19"/>
  <c r="CV63" i="19"/>
  <c r="FJ63" i="19"/>
  <c r="BR63" i="19"/>
  <c r="FG63" i="19"/>
  <c r="EC63" i="19"/>
  <c r="EI63" i="19"/>
  <c r="FM63" i="19"/>
  <c r="CS63" i="19"/>
  <c r="DZ63" i="19"/>
  <c r="AZ63" i="19"/>
  <c r="EU63" i="19"/>
  <c r="DT63" i="19"/>
  <c r="CG63" i="19"/>
  <c r="FD63" i="19"/>
  <c r="DW63" i="19"/>
  <c r="DE63" i="19"/>
  <c r="EX63" i="19"/>
  <c r="J63" i="19"/>
  <c r="CA63" i="19"/>
  <c r="D63" i="19"/>
  <c r="CM63" i="19"/>
  <c r="AT63" i="19"/>
  <c r="CY63" i="19"/>
  <c r="DH63" i="19"/>
  <c r="ER63" i="19"/>
  <c r="AB63" i="19"/>
  <c r="M63" i="19"/>
  <c r="AK63" i="19"/>
  <c r="BX63" i="19"/>
  <c r="DQ63" i="19"/>
  <c r="DB63" i="19"/>
  <c r="S63" i="19"/>
  <c r="AW63" i="19"/>
  <c r="BO63" i="19"/>
  <c r="CD63" i="19"/>
  <c r="AQ63" i="19"/>
  <c r="CP63" i="19"/>
  <c r="Q63" i="20"/>
  <c r="FW63" i="19" l="1"/>
  <c r="FX63" i="19" s="1"/>
  <c r="DL63" i="19"/>
  <c r="DM63" i="19" s="1"/>
  <c r="Q63" i="19"/>
  <c r="R63" i="19" s="1"/>
  <c r="BD63" i="19"/>
  <c r="BE63" i="19" s="1"/>
  <c r="EG63" i="19"/>
  <c r="EH63" i="19" s="1"/>
  <c r="BM63" i="19"/>
  <c r="BN63" i="19" s="1"/>
  <c r="CW63" i="19"/>
  <c r="CX63" i="19" s="1"/>
  <c r="EM63" i="19"/>
  <c r="EN63" i="19" s="1"/>
  <c r="FE63" i="19"/>
  <c r="FF63" i="19" s="1"/>
  <c r="DX63" i="19"/>
  <c r="DY63" i="19" s="1"/>
  <c r="DF63" i="19"/>
  <c r="DG63" i="19" s="1"/>
  <c r="K63" i="19"/>
  <c r="L63" i="19" s="1"/>
  <c r="FQ63" i="19"/>
  <c r="FR63" i="19" s="1"/>
  <c r="EP63" i="19"/>
  <c r="EQ63" i="19" s="1"/>
  <c r="BJ63" i="19"/>
  <c r="BK63" i="19" s="1"/>
  <c r="DO63" i="19"/>
  <c r="DP63" i="19" s="1"/>
  <c r="FB63" i="19"/>
  <c r="FC63" i="19" s="1"/>
  <c r="Z63" i="19"/>
  <c r="AA63" i="19" s="1"/>
  <c r="AI63" i="19"/>
  <c r="AJ63" i="19" s="1"/>
  <c r="BV63" i="19"/>
  <c r="BW63" i="19" s="1"/>
  <c r="EY63" i="19"/>
  <c r="EZ63" i="19" s="1"/>
  <c r="H63" i="19"/>
  <c r="I63" i="19" s="1"/>
  <c r="BA63" i="19"/>
  <c r="BB63" i="19" s="1"/>
  <c r="DU63" i="19"/>
  <c r="DV63" i="19" s="1"/>
  <c r="FK63" i="19"/>
  <c r="FL63" i="19" s="1"/>
  <c r="AO63" i="19"/>
  <c r="AP63" i="19" s="1"/>
  <c r="FN63" i="19"/>
  <c r="FO63" i="19" s="1"/>
  <c r="CT63" i="19"/>
  <c r="CU63" i="19" s="1"/>
  <c r="EA63" i="19"/>
  <c r="EB63" i="19" s="1"/>
  <c r="EV63" i="19"/>
  <c r="EW63" i="19" s="1"/>
  <c r="CH63" i="19"/>
  <c r="CI63" i="19" s="1"/>
  <c r="CK63" i="19"/>
  <c r="CL63" i="19" s="1"/>
  <c r="ES63" i="19"/>
  <c r="ET63" i="19" s="1"/>
  <c r="AC63" i="19"/>
  <c r="AD63" i="19" s="1"/>
  <c r="CB63" i="19"/>
  <c r="CC63" i="19" s="1"/>
  <c r="BY63" i="19"/>
  <c r="BZ63" i="19" s="1"/>
  <c r="W63" i="19"/>
  <c r="X63" i="19" s="1"/>
  <c r="AX63" i="19"/>
  <c r="AY63" i="19" s="1"/>
  <c r="CE63" i="19"/>
  <c r="CF63" i="19" s="1"/>
  <c r="CN63" i="19"/>
  <c r="CO63" i="19" s="1"/>
  <c r="CZ63" i="19"/>
  <c r="DA63" i="19" s="1"/>
  <c r="DI63" i="19"/>
  <c r="DJ63" i="19" s="1"/>
  <c r="N63" i="19"/>
  <c r="O63" i="19" s="1"/>
  <c r="AL63" i="19"/>
  <c r="AM63" i="19" s="1"/>
  <c r="DR63" i="19"/>
  <c r="DS63" i="19" s="1"/>
  <c r="AF63" i="19"/>
  <c r="AG63" i="19" s="1"/>
  <c r="AU63" i="19"/>
  <c r="AV63" i="19" s="1"/>
  <c r="T63" i="19"/>
  <c r="U63" i="19" s="1"/>
  <c r="BP63" i="19"/>
  <c r="AR63" i="19"/>
  <c r="AS63" i="19" s="1"/>
  <c r="CQ63" i="19"/>
  <c r="CR63" i="19" s="1"/>
  <c r="E63" i="19"/>
  <c r="BS63" i="19"/>
  <c r="BT63" i="19" s="1"/>
  <c r="FT63" i="19"/>
  <c r="FU63" i="19" s="1"/>
  <c r="BG63" i="19"/>
  <c r="BH63" i="19" s="1"/>
  <c r="FH63" i="19"/>
  <c r="FI63" i="19" s="1"/>
  <c r="DC63" i="19"/>
  <c r="DD63" i="19" s="1"/>
  <c r="ED63" i="19"/>
  <c r="EE63" i="19" s="1"/>
  <c r="EJ63" i="19"/>
  <c r="EK63" i="19" s="1"/>
  <c r="R63" i="20"/>
  <c r="S63" i="20" s="1"/>
  <c r="BQ63" i="19"/>
  <c r="AG63" i="16"/>
  <c r="AM63" i="16"/>
  <c r="K22" i="11" s="1"/>
  <c r="G22" i="11"/>
  <c r="G25" i="11" s="1"/>
  <c r="AH63" i="16"/>
  <c r="I22" i="11" s="1"/>
  <c r="C24" i="11"/>
  <c r="AE63" i="16"/>
  <c r="O63" i="16"/>
  <c r="I63" i="16"/>
  <c r="W63" i="20"/>
  <c r="T63" i="20"/>
  <c r="X63" i="20" l="1"/>
  <c r="Y63" i="20" s="1"/>
  <c r="AA63" i="20" s="1"/>
  <c r="F63" i="19"/>
  <c r="V63" i="20" s="1"/>
  <c r="U63" i="20"/>
  <c r="O63" i="20"/>
  <c r="Z63" i="20"/>
  <c r="AE63" i="20" s="1"/>
  <c r="C23" i="11"/>
  <c r="AF63" i="16"/>
  <c r="AO63" i="16"/>
  <c r="K24" i="11" s="1"/>
  <c r="G24" i="11"/>
  <c r="AJ63" i="16"/>
  <c r="I24" i="11" s="1"/>
  <c r="AQ63" i="16"/>
  <c r="K25" i="11" s="1"/>
  <c r="AL63" i="16"/>
  <c r="I25" i="11" s="1"/>
  <c r="AC63" i="20"/>
  <c r="AD63" i="20" l="1"/>
  <c r="AI63" i="20" s="1"/>
  <c r="AT63" i="20"/>
  <c r="AJ63" i="20"/>
  <c r="AO63" i="20"/>
  <c r="AP63" i="16"/>
  <c r="K23" i="11" s="1"/>
  <c r="G23" i="11"/>
  <c r="AK63" i="16"/>
  <c r="I23" i="11" s="1"/>
  <c r="AR63" i="20"/>
  <c r="AM63" i="20"/>
  <c r="AH63" i="20"/>
  <c r="AF63" i="20"/>
  <c r="AS63" i="20" l="1"/>
  <c r="AG63" i="20"/>
  <c r="AQ63" i="20" s="1"/>
  <c r="AV63" i="20"/>
  <c r="AN63" i="20"/>
  <c r="AU63" i="20"/>
  <c r="AP63" i="20"/>
  <c r="AK63" i="20"/>
  <c r="AL63" i="20" l="1"/>
</calcChain>
</file>

<file path=xl/sharedStrings.xml><?xml version="1.0" encoding="utf-8"?>
<sst xmlns="http://schemas.openxmlformats.org/spreadsheetml/2006/main" count="1520" uniqueCount="414">
  <si>
    <t>Identification parameters</t>
  </si>
  <si>
    <t>Multipliers</t>
  </si>
  <si>
    <t>Mar</t>
  </si>
  <si>
    <t>Apr</t>
  </si>
  <si>
    <t>May</t>
  </si>
  <si>
    <t>Jul</t>
  </si>
  <si>
    <t>Aug</t>
  </si>
  <si>
    <t>Oct</t>
  </si>
  <si>
    <t>Nov</t>
  </si>
  <si>
    <t>Dec</t>
  </si>
  <si>
    <t>Jan</t>
  </si>
  <si>
    <t>Feb</t>
  </si>
  <si>
    <t>Version 2</t>
  </si>
  <si>
    <t>1. Actual program</t>
  </si>
  <si>
    <t>2. Hypothetical program</t>
  </si>
  <si>
    <t>Jun</t>
  </si>
  <si>
    <t>Country</t>
  </si>
  <si>
    <t>Target group</t>
  </si>
  <si>
    <t xml:space="preserve">Season </t>
  </si>
  <si>
    <r>
      <t xml:space="preserve">Are you estimating the impact of an actual vaccination program or a hypothetical vaccination program?   </t>
    </r>
    <r>
      <rPr>
        <i/>
        <sz val="14"/>
        <color theme="1"/>
        <rFont val="Aptos"/>
        <family val="2"/>
      </rPr>
      <t>(select one)</t>
    </r>
  </si>
  <si>
    <t>Vaccine effectiveness (VE)</t>
  </si>
  <si>
    <t>VE against hospitalization</t>
  </si>
  <si>
    <t>Estimate</t>
  </si>
  <si>
    <t>Lower CI</t>
  </si>
  <si>
    <t>Upper CI</t>
  </si>
  <si>
    <t xml:space="preserve">VE against mild illness </t>
  </si>
  <si>
    <t>Size of target group</t>
  </si>
  <si>
    <t>Ratio non-hospitalized / hospitalized infections</t>
  </si>
  <si>
    <t>Monthly vaccine coverage</t>
  </si>
  <si>
    <t>First month included in estimation</t>
  </si>
  <si>
    <t>Proportion of infections that were medically attended</t>
  </si>
  <si>
    <t>Sept</t>
  </si>
  <si>
    <t>Monthly number of hospitalizations</t>
  </si>
  <si>
    <t>Define model inputs</t>
  </si>
  <si>
    <t>mnth_coverage</t>
  </si>
  <si>
    <t>adjve_ill</t>
  </si>
  <si>
    <t>adjve_ill_lcl</t>
  </si>
  <si>
    <t>adjve_ill_ucl</t>
  </si>
  <si>
    <t>adjve_hosp</t>
  </si>
  <si>
    <t>adjve_hosp_lcl</t>
  </si>
  <si>
    <t>adjve_hosp_ucl</t>
  </si>
  <si>
    <t>scenario</t>
  </si>
  <si>
    <t>mult_ma</t>
  </si>
  <si>
    <t>mult_nonhosp</t>
  </si>
  <si>
    <t>target_pop_size</t>
  </si>
  <si>
    <t>mnth_hosp</t>
  </si>
  <si>
    <t>mult_deathhosp</t>
  </si>
  <si>
    <t>Season 2</t>
  </si>
  <si>
    <t xml:space="preserve">Season 3 </t>
  </si>
  <si>
    <t>Instructions</t>
  </si>
  <si>
    <t>Yellow cells with red borders = mandatory data inputs</t>
  </si>
  <si>
    <t>Yellow cells with black borders = optional data inputs</t>
  </si>
  <si>
    <t>2. Use dropdown to select whether you want to model: (1) an actual vaccination campaign OR (2) a hypothetical vaccination campaign.</t>
  </si>
  <si>
    <t>Inputs for vaccine coverage/deployment scenarios are on the "Scenarios" tab</t>
  </si>
  <si>
    <t>Scenarios</t>
  </si>
  <si>
    <t>Season 1</t>
  </si>
  <si>
    <t>Season 3</t>
  </si>
  <si>
    <t>Base</t>
  </si>
  <si>
    <t>Coverage 1</t>
  </si>
  <si>
    <t>Coverage 2</t>
  </si>
  <si>
    <t>Coverage 3</t>
  </si>
  <si>
    <t>Coverage 4</t>
  </si>
  <si>
    <t>Blue cells = do not change!</t>
  </si>
  <si>
    <t>Yellow cells = introduce different inputs</t>
  </si>
  <si>
    <t>Month</t>
  </si>
  <si>
    <t>Strategy 1</t>
  </si>
  <si>
    <t>Strategy 2</t>
  </si>
  <si>
    <t>Strategy 3</t>
  </si>
  <si>
    <t>Strategy 4</t>
  </si>
  <si>
    <t>Season total</t>
  </si>
  <si>
    <t>Blue cells = contain formulas, do not change!</t>
  </si>
  <si>
    <r>
      <t xml:space="preserve">7. For each month in the estimation, </t>
    </r>
    <r>
      <rPr>
        <b/>
        <sz val="16"/>
        <color theme="1"/>
        <rFont val="Aptos"/>
        <family val="2"/>
      </rPr>
      <t>input the actual or hypothesized vaccine coverage</t>
    </r>
    <r>
      <rPr>
        <sz val="16"/>
        <color theme="1"/>
        <rFont val="Aptos"/>
        <family val="2"/>
      </rPr>
      <t xml:space="preserve"> (% of target population vaccinated during the month) among the target population. </t>
    </r>
    <r>
      <rPr>
        <b/>
        <sz val="16"/>
        <color theme="1"/>
        <rFont val="Aptos"/>
        <family val="2"/>
      </rPr>
      <t>Season total should not exceed 100%</t>
    </r>
  </si>
  <si>
    <r>
      <t xml:space="preserve">3. Specify </t>
    </r>
    <r>
      <rPr>
        <b/>
        <sz val="16"/>
        <color theme="1"/>
        <rFont val="Aptos"/>
        <family val="2"/>
      </rPr>
      <t>number of months</t>
    </r>
    <r>
      <rPr>
        <sz val="16"/>
        <color theme="1"/>
        <rFont val="Aptos"/>
        <family val="2"/>
      </rPr>
      <t xml:space="preserve"> included in the estimation. </t>
    </r>
  </si>
  <si>
    <t>death_overall</t>
  </si>
  <si>
    <t>(Optional) Proportion of all influenza deaths occurring in hospital setting</t>
  </si>
  <si>
    <t>cov4_strategy4</t>
  </si>
  <si>
    <t>cov4_strategy3</t>
  </si>
  <si>
    <t>cov4_strategy2</t>
  </si>
  <si>
    <t>cov4_strategy1</t>
  </si>
  <si>
    <t>cov4_base</t>
  </si>
  <si>
    <t>cov3_strategy4</t>
  </si>
  <si>
    <t>cov3_strategy3</t>
  </si>
  <si>
    <t>cov3_strategy2</t>
  </si>
  <si>
    <t>cov3_strategy1</t>
  </si>
  <si>
    <t>cov3_base</t>
  </si>
  <si>
    <t>cov2_strategy4</t>
  </si>
  <si>
    <t>cov2_strategy3</t>
  </si>
  <si>
    <t>cov2_strategy2</t>
  </si>
  <si>
    <t>cov2_strategy1</t>
  </si>
  <si>
    <t>cov2_base</t>
  </si>
  <si>
    <t>cov1_strategy4</t>
  </si>
  <si>
    <t>cov1_strategy3</t>
  </si>
  <si>
    <t>cov1_strategy2</t>
  </si>
  <si>
    <t>cov1_strategy1</t>
  </si>
  <si>
    <t>cov1_base</t>
  </si>
  <si>
    <t>base_strategy4</t>
  </si>
  <si>
    <t>base_strategy3</t>
  </si>
  <si>
    <t>base_strategy2</t>
  </si>
  <si>
    <t>base_strategy1</t>
  </si>
  <si>
    <t>base_base</t>
  </si>
  <si>
    <t>Prevented fraction (95% CI)</t>
  </si>
  <si>
    <t>Program</t>
  </si>
  <si>
    <t>Presence of vaccine (95% CI)</t>
  </si>
  <si>
    <t>Outcomes</t>
  </si>
  <si>
    <t>Base strategy</t>
  </si>
  <si>
    <t>Coverage</t>
  </si>
  <si>
    <t>Averted medically attended illnesses</t>
  </si>
  <si>
    <t>Averted non-hospitalized illnesses</t>
  </si>
  <si>
    <t>Averted overall illnesses</t>
  </si>
  <si>
    <t>Averted hospitalized illnesses</t>
  </si>
  <si>
    <t>Prevented fraction (overall illnesses)</t>
  </si>
  <si>
    <t>YEAR 3: Tables with changes in coverage and deployment</t>
  </si>
  <si>
    <t>YEAR 2: Tables with changes in coverage and deployment</t>
  </si>
  <si>
    <t>YEAR 1: Tables with changes in coverage and deployment</t>
  </si>
  <si>
    <r>
      <t xml:space="preserve">4. Use dropdown to specify the </t>
    </r>
    <r>
      <rPr>
        <b/>
        <sz val="16"/>
        <color theme="1"/>
        <rFont val="Aptos"/>
        <family val="2"/>
      </rPr>
      <t>first month of the estimation</t>
    </r>
    <r>
      <rPr>
        <sz val="16"/>
        <color theme="1"/>
        <rFont val="Aptos"/>
        <family val="2"/>
      </rPr>
      <t>. NOTE:</t>
    </r>
    <r>
      <rPr>
        <sz val="16"/>
        <color theme="1"/>
        <rFont val="Aptos"/>
        <family val="2"/>
      </rPr>
      <t xml:space="preserve"> It is not necessary for the first month of estimation  to be the first month of the vaccination campaign (it is recommended to begin one or more months before the beginning of the campaign, especially if you want to see the advance effect of the campaign). </t>
    </r>
  </si>
  <si>
    <t>Absence of vaccine (95% CI)</t>
  </si>
  <si>
    <t>Season</t>
  </si>
  <si>
    <t>Population size</t>
  </si>
  <si>
    <t>Averted (95% CI)</t>
  </si>
  <si>
    <t>Non-hospitalized illnesses</t>
  </si>
  <si>
    <t>Hospitalized illnesses</t>
  </si>
  <si>
    <t>Medically-attended illnesses</t>
  </si>
  <si>
    <t>Overall illnesses</t>
  </si>
  <si>
    <t>1. Specify different vaccine coverage levels</t>
  </si>
  <si>
    <t>2. Specify different vaccine deployment (timing) strategies</t>
  </si>
  <si>
    <t>1. In the designated cells, enter country, season (if modeling multiple seasons, input the first season), target group, and size of target group (if modeling multiple seasons, input the average target group size across the seasons)</t>
  </si>
  <si>
    <r>
      <t xml:space="preserve">2. In the yellow cells, input different vaccine deployment (timing) strategies for each year/season, specified as the percentage of the total cumulative coverage achieved in the given month. For example, if coverage in a given month was 2%, and the annual/seasonal coverage was 10%, the percentage of the cumulative coverage would be 20% for that month. All months in the season should add up to 100%, which you can check using the summary percentage </t>
    </r>
    <r>
      <rPr>
        <b/>
        <sz val="16"/>
        <color rgb="FFFF0000"/>
        <rFont val="Aptos"/>
        <family val="2"/>
      </rPr>
      <t>in red</t>
    </r>
    <r>
      <rPr>
        <sz val="16"/>
        <color theme="1"/>
        <rFont val="Aptos"/>
        <family val="2"/>
      </rPr>
      <t xml:space="preserve"> on top of each column. You may enter up to 4 different deployment strategies</t>
    </r>
  </si>
  <si>
    <r>
      <t xml:space="preserve">5. </t>
    </r>
    <r>
      <rPr>
        <b/>
        <sz val="16"/>
        <color theme="1"/>
        <rFont val="Aptos"/>
        <family val="2"/>
      </rPr>
      <t>Specify inputs for VE</t>
    </r>
    <r>
      <rPr>
        <sz val="16"/>
        <color theme="1"/>
        <rFont val="Aptos"/>
        <family val="2"/>
      </rPr>
      <t xml:space="preserve"> against hospitalization and VE against mild illness. VE against hospitalization must be equal to or greater than VE against mild illness. If your inputs indicate VE against mild illness is higher than VE against hospitalization, choose the more reliable estimate and use the same point estimate and confidence intervlas for both inputs.</t>
    </r>
  </si>
  <si>
    <t>NNV (95% CI)</t>
  </si>
  <si>
    <t>NNV (overall illnesses)</t>
  </si>
  <si>
    <t>Tool to estimate averted illnesses from influenza vaccination</t>
  </si>
  <si>
    <t>Prevented Fraction</t>
  </si>
  <si>
    <t>Number Needed to Vaccinate</t>
  </si>
  <si>
    <t>Averted hospitalized deaths</t>
  </si>
  <si>
    <t>I would like to graph (select one):</t>
  </si>
  <si>
    <t>Chart 2 helper</t>
  </si>
  <si>
    <t>Chart 3 helper</t>
  </si>
  <si>
    <t>Chart 4 helper</t>
  </si>
  <si>
    <r>
      <t xml:space="preserve">How many months are included in estimation? </t>
    </r>
    <r>
      <rPr>
        <i/>
        <sz val="14"/>
        <color theme="1"/>
        <rFont val="Aptos"/>
        <family val="2"/>
      </rPr>
      <t>(min 12, max 48)</t>
    </r>
  </si>
  <si>
    <t>Season 0</t>
  </si>
  <si>
    <t>Season 4</t>
  </si>
  <si>
    <t>YEAR 4: Tables with changes in coverage and deployment</t>
  </si>
  <si>
    <t>Season-VE</t>
  </si>
  <si>
    <t>Starting VE</t>
  </si>
  <si>
    <t>Month since vaccination</t>
  </si>
  <si>
    <t>time-varying VE</t>
  </si>
  <si>
    <t>Average VE</t>
  </si>
  <si>
    <t>Abs difference</t>
  </si>
  <si>
    <t>Residual protection</t>
  </si>
  <si>
    <t>time-varying VE (%)</t>
  </si>
  <si>
    <t>Season 0: illness</t>
  </si>
  <si>
    <t>Season 0: hospitalization</t>
  </si>
  <si>
    <t>% returning to Susceptible</t>
  </si>
  <si>
    <t>Year</t>
  </si>
  <si>
    <t>Returning to Susceptible
(year 0 month 1)</t>
  </si>
  <si>
    <t>Returning to Susceptible
(year 0 month 2)</t>
  </si>
  <si>
    <t>Returning to Susceptible
(year 0 month 3)</t>
  </si>
  <si>
    <t>Returning to Susceptible
(year 0 month 4)</t>
  </si>
  <si>
    <t>Returning to Susceptible
(year 0 month 5)</t>
  </si>
  <si>
    <t>Returning to Susceptible
(year 0 month 6)</t>
  </si>
  <si>
    <t>Returning to Susceptible
(year 0 month 7)</t>
  </si>
  <si>
    <t>Returning to Susceptible
(year 0 month 8)</t>
  </si>
  <si>
    <t>Returning to Susceptible
(year 0 month 9)</t>
  </si>
  <si>
    <t>Returning to Susceptible
(year 0 month 10)</t>
  </si>
  <si>
    <t>Returning to Susceptible
(year 0 month 11)</t>
  </si>
  <si>
    <t>Returning to Susceptible
(year 0 month 12)</t>
  </si>
  <si>
    <t>Returning to Susceptible
(year 1 month 1)</t>
  </si>
  <si>
    <t>Returning to Susceptible
(year 1 month 2)</t>
  </si>
  <si>
    <t>Returning to Susceptible
(year 1 month 3)</t>
  </si>
  <si>
    <t>Returning to Susceptible
(year 1 month 4)</t>
  </si>
  <si>
    <t>Returning to Susceptible
(year 1 month 5)</t>
  </si>
  <si>
    <t>Returning to Susceptible
(year 1 month 6)</t>
  </si>
  <si>
    <t>Returning to Susceptible
(year 1 month 7)</t>
  </si>
  <si>
    <t>Returning to Susceptible
(year 1 month 8)</t>
  </si>
  <si>
    <t>Returning to Susceptible
(year 1 month 9)</t>
  </si>
  <si>
    <t>Returning to Susceptible
(year 1 month 10)</t>
  </si>
  <si>
    <t>Returning to Susceptible
(year 1 month 11)</t>
  </si>
  <si>
    <t>Returning to Susceptible
(year 1 month 12)</t>
  </si>
  <si>
    <t>Returning to Susceptible
(year 2 month 1)</t>
  </si>
  <si>
    <t>Returning to Susceptible
(year 2 month 2)</t>
  </si>
  <si>
    <t>Returning to Susceptible
(year 2 month 3)</t>
  </si>
  <si>
    <t>Returning to Susceptible
(year 2 month 4)</t>
  </si>
  <si>
    <t>Returning to Susceptible
(year 2 month 5)</t>
  </si>
  <si>
    <t>Returning to Susceptible
(year 2 month 6)</t>
  </si>
  <si>
    <t>Returning to Susceptible
(year 2 month 7)</t>
  </si>
  <si>
    <t>Returning to Susceptible
(year 2 month 8)</t>
  </si>
  <si>
    <t>Returning to Susceptible
(year 2 month 9)</t>
  </si>
  <si>
    <t>Returning to Susceptible
(year 2 month 10)</t>
  </si>
  <si>
    <t>Returning to Susceptible
(year 2 month 11)</t>
  </si>
  <si>
    <t>Returning to Susceptible
(year 2 month 12)</t>
  </si>
  <si>
    <t>Returning to Susceptible
(year 3 month 1)</t>
  </si>
  <si>
    <t>Returning to Susceptible
(year 3 month 2)</t>
  </si>
  <si>
    <t>Returning to Susceptible
(year 3 month 3)</t>
  </si>
  <si>
    <t>Returning to Susceptible
(year 3 month 4)</t>
  </si>
  <si>
    <t>Returning to Susceptible
(year 3 month 5)</t>
  </si>
  <si>
    <t>Returning to Susceptible
(year 3 month 6)</t>
  </si>
  <si>
    <t>Returning to Susceptible
(year 3 month 7)</t>
  </si>
  <si>
    <t>Returning to Susceptible
(year 3 month 8)</t>
  </si>
  <si>
    <t>Returning to Susceptible
(year 3 month 9)</t>
  </si>
  <si>
    <t>Returning to Susceptible
(year 3 month 10)</t>
  </si>
  <si>
    <t>Returning to Susceptible
(year 3 month 11)</t>
  </si>
  <si>
    <t>Returning to Susceptible
(year 3 month 12)</t>
  </si>
  <si>
    <t>Returning to Susceptible
(year 4 month 1)</t>
  </si>
  <si>
    <t>Returning to Susceptible
(year 4 month 2)</t>
  </si>
  <si>
    <t>Returning to Susceptible
(year 4 month 3)</t>
  </si>
  <si>
    <t>Returning to Susceptible
(year 4 month 4)</t>
  </si>
  <si>
    <t>Returning to Susceptible
(year 4 month 5)</t>
  </si>
  <si>
    <t>Returning to Susceptible
(year 4 month 6)</t>
  </si>
  <si>
    <t>Returning to Susceptible
(year 4 month 7)</t>
  </si>
  <si>
    <t>Returning to Susceptible
(year 4 month 8)</t>
  </si>
  <si>
    <t>Returning to Susceptible
(year 4 month 9)</t>
  </si>
  <si>
    <t>Returning to Susceptible
(year 4 month 10)</t>
  </si>
  <si>
    <t>Returning to Susceptible
(year 4 month 11)</t>
  </si>
  <si>
    <t>Returning to Susceptible
(year 4 month 12)</t>
  </si>
  <si>
    <t xml:space="preserve">Year </t>
  </si>
  <si>
    <t>Hospitalizations</t>
  </si>
  <si>
    <t>Susceptible</t>
  </si>
  <si>
    <t>Not effectively vaccinated  
(year 0 month 1)</t>
  </si>
  <si>
    <t>Not effectively vaccinated  
(year 0 month 2)</t>
  </si>
  <si>
    <t>Non-hospitalization</t>
  </si>
  <si>
    <t>Hospitalization</t>
  </si>
  <si>
    <t>Not effectively vaccinated  
(year 0 month 3)</t>
  </si>
  <si>
    <t>Not effectively vaccinated  
(year 0 month 4)</t>
  </si>
  <si>
    <t>Not effectively vaccinated  
(year 0 month 5)</t>
  </si>
  <si>
    <t>Not effectively vaccinated  
(year 0 month 6)</t>
  </si>
  <si>
    <t>Not effectively vaccinated  
(year 0 month 7)</t>
  </si>
  <si>
    <t>Not effectively vaccinated  
(year 0 month 8)</t>
  </si>
  <si>
    <t>Not effectively vaccinated  
(year 0 month 9)</t>
  </si>
  <si>
    <t>Not effectively vaccinated  
(year 0 month 10)</t>
  </si>
  <si>
    <t>Not effectively vaccinated  
(year 0 month 11)</t>
  </si>
  <si>
    <t>Not effectively vaccinated  
(year 0 month 12)</t>
  </si>
  <si>
    <t>Not effectively vaccinated  
(year 4 month 1)</t>
  </si>
  <si>
    <t>Not effectively vaccinated  
(year 4 month 2)</t>
  </si>
  <si>
    <t>Not effectively vaccinated  
(year 4 month 3)</t>
  </si>
  <si>
    <t>Not effectively vaccinated  
(year 4 month 4)</t>
  </si>
  <si>
    <t>Not effectively vaccinated  
(year 4 month 5)</t>
  </si>
  <si>
    <t>Not effectively vaccinated  
(year 4 month 6)</t>
  </si>
  <si>
    <t>Not effectively vaccinated  
(year 4 month 7)</t>
  </si>
  <si>
    <t>Not effectively vaccinated  
(year 4 month 8)</t>
  </si>
  <si>
    <t>Not effectively vaccinated  
(year 4 month 9)</t>
  </si>
  <si>
    <t>Not effectively vaccinated  
(year 4 month 10)</t>
  </si>
  <si>
    <t>Not effectively vaccinated  
(year 4 month 11)</t>
  </si>
  <si>
    <t>Not effectively vaccinated  
(year 4 month 12)</t>
  </si>
  <si>
    <t>Not effectively vaccinated  
(year 3 month 12)</t>
  </si>
  <si>
    <t>Not effectively vaccinated  
(year 3 month 1)</t>
  </si>
  <si>
    <t>Not effectively vaccinated  
(year 3 month 2)</t>
  </si>
  <si>
    <t>Not effectively vaccinated  
(year 3 month 3)</t>
  </si>
  <si>
    <t>Not effectively vaccinated  
(year 3 month 4)</t>
  </si>
  <si>
    <t>Not effectively vaccinated  
(year 3 month 5)</t>
  </si>
  <si>
    <t>Not effectively vaccinated  
(year 3 month 6)</t>
  </si>
  <si>
    <t>Not effectively vaccinated  
(year 3 month 7)</t>
  </si>
  <si>
    <t>Not effectively vaccinated  
(year 3 month 8)</t>
  </si>
  <si>
    <t>Not effectively vaccinated  
(year 3 month 9)</t>
  </si>
  <si>
    <t>Not effectively vaccinated  
(year 3 month 10)</t>
  </si>
  <si>
    <t>Not effectively vaccinated  
(year 3 month 11)</t>
  </si>
  <si>
    <t>Not effectively vaccinated  
(year 2 month 12)</t>
  </si>
  <si>
    <t>Not effectively vaccinated  
(year 2 month 1)</t>
  </si>
  <si>
    <t>Not effectively vaccinated  
(year 2 month 2)</t>
  </si>
  <si>
    <t>Not effectively vaccinated  
(year 2 month 3)</t>
  </si>
  <si>
    <t>Not effectively vaccinated  
(year 2 month 4)</t>
  </si>
  <si>
    <t>Not effectively vaccinated  
(year 2 month 5)</t>
  </si>
  <si>
    <t>Not effectively vaccinated  
(year 2 month 6)</t>
  </si>
  <si>
    <t>Not effectively vaccinated  
(year 2 month 7)</t>
  </si>
  <si>
    <t>Not effectively vaccinated  
(year 2 month 8)</t>
  </si>
  <si>
    <t>Not effectively vaccinated  
(year 2 month 9)</t>
  </si>
  <si>
    <t>Not effectively vaccinated  
(year 2 month 10)</t>
  </si>
  <si>
    <t>Not effectively vaccinated  
(year 2 month 11)</t>
  </si>
  <si>
    <t>Not effectively vaccinated  
(year 1 month 12)</t>
  </si>
  <si>
    <t>Not effectively vaccinated  
(year 1 month 1)</t>
  </si>
  <si>
    <t>Not effectively vaccinated  
(year 1 month 2)</t>
  </si>
  <si>
    <t>Not effectively vaccinated  
(year 1 month 3)</t>
  </si>
  <si>
    <t>Not effectively vaccinated  
(year 1 month 4)</t>
  </si>
  <si>
    <t>Not effectively vaccinated  
(year 1 month 5)</t>
  </si>
  <si>
    <t>Not effectively vaccinated  
(year 1 month 6)</t>
  </si>
  <si>
    <t>Not effectively vaccinated  
(year 1 month 7)</t>
  </si>
  <si>
    <t>Not effectively vaccinated  
(year 1 month 8)</t>
  </si>
  <si>
    <t>Not effectively vaccinated  
(year 1 month 9)</t>
  </si>
  <si>
    <t>Not effectively vaccinated  
(year 1 month 10)</t>
  </si>
  <si>
    <t>Not effectively vaccinated  
(year 1 month 11)</t>
  </si>
  <si>
    <t>Observed scenario of influenza circulation in absence of vaccination</t>
  </si>
  <si>
    <t>Vaccine estimations</t>
  </si>
  <si>
    <t>Hypothetical estimated scenario of influenza circulation in presence of vaccination</t>
  </si>
  <si>
    <t>Avoided events</t>
  </si>
  <si>
    <t>Prevented fraction</t>
  </si>
  <si>
    <t>NNV</t>
  </si>
  <si>
    <t>Total Population</t>
  </si>
  <si>
    <t>Non-hospitalizations</t>
  </si>
  <si>
    <t>Symptomatic illnesses</t>
  </si>
  <si>
    <t>Influenza-associated deaths</t>
  </si>
  <si>
    <t>Medically-attended infections</t>
  </si>
  <si>
    <t>Susceptible in absence of vaccine</t>
  </si>
  <si>
    <t xml:space="preserve"> incidence rate of hospitalized infections</t>
  </si>
  <si>
    <t>incidence rate of non-hospitalized infections</t>
  </si>
  <si>
    <t>Monthly effectively vaccinated</t>
  </si>
  <si>
    <t>Monthly not effectivley vaccianted</t>
  </si>
  <si>
    <t>Non-vaccinated Susceptible</t>
  </si>
  <si>
    <t>Effectively vaccianted returning to non-vaccianted Susceptible</t>
  </si>
  <si>
    <t>Non-vaccinated Hospitalizations</t>
  </si>
  <si>
    <t>Non-vaccinated Non-hospitalizations</t>
  </si>
  <si>
    <t>Non-vaccinated Symptomatic illnesses</t>
  </si>
  <si>
    <t>Non-vaccinated Influenza-associated deaths</t>
  </si>
  <si>
    <t>Non-vaccinated Medically-attended infections</t>
  </si>
  <si>
    <t>Not effectivley vaccinatd Susceptible</t>
  </si>
  <si>
    <t>Not effectively vaccinatd Hospitalizations</t>
  </si>
  <si>
    <t>Not effectively vaccinatd Non-hospitalizations</t>
  </si>
  <si>
    <t>Not effectively vaccinatd Symptomatic illnesses</t>
  </si>
  <si>
    <t>Not effectively vaccinatd Influenza-associated deaths</t>
  </si>
  <si>
    <t>Not effectively vaccinatd Medically-attended infections</t>
  </si>
  <si>
    <t>Influenza-sssociated deaths</t>
  </si>
  <si>
    <t>Overall infections</t>
  </si>
  <si>
    <t>Cumulative</t>
  </si>
  <si>
    <t>Observed scenario of influenza circulation in presence of vaccination</t>
  </si>
  <si>
    <t>Hypothetical estimated scenario of influenza circulation in absence of vaccination</t>
  </si>
  <si>
    <t>deployment</t>
  </si>
  <si>
    <t>seasonality</t>
  </si>
  <si>
    <r>
      <t xml:space="preserve">9. </t>
    </r>
    <r>
      <rPr>
        <b/>
        <sz val="16"/>
        <color theme="1"/>
        <rFont val="Aptos"/>
        <family val="2"/>
      </rPr>
      <t>Click the 'Run model' button</t>
    </r>
  </si>
  <si>
    <t>(Optional) Proportion of hospitalizations resulting in death</t>
  </si>
  <si>
    <r>
      <t xml:space="preserve">3. </t>
    </r>
    <r>
      <rPr>
        <b/>
        <sz val="16"/>
        <color theme="1"/>
        <rFont val="Aptos"/>
        <family val="2"/>
      </rPr>
      <t>Click the 'Run scenarios' button</t>
    </r>
  </si>
  <si>
    <r>
      <t>6.</t>
    </r>
    <r>
      <rPr>
        <b/>
        <sz val="16"/>
        <color theme="1"/>
        <rFont val="Aptos"/>
        <family val="2"/>
      </rPr>
      <t xml:space="preserve"> Specify multipliers:</t>
    </r>
    <r>
      <rPr>
        <sz val="16"/>
        <color theme="1"/>
        <rFont val="Aptos"/>
        <family val="2"/>
      </rPr>
      <t xml:space="preserve">
Ratio of non-hospitalized influenza infections to the number of influenza-associated hospitalizations
Proportion of influenza-associated infections that were medically attended
(Optional) Proportion of influenza hospitalizations resulting in death
(Optional) Proportion of all influenza deaths occurring in hospital setting
**If modelling multiple seasons, you may specify multipliers for each season, if available. 
If season-specific multipliers are not available, the same multipliers may be used for each season though it it is not necessary to enter these values again.</t>
    </r>
  </si>
  <si>
    <t>Hospitalized to non-hospitalized infections multiplier</t>
  </si>
  <si>
    <r>
      <t xml:space="preserve">8. For each month in the estimation, input the </t>
    </r>
    <r>
      <rPr>
        <b/>
        <sz val="16"/>
        <color theme="1"/>
        <rFont val="Aptos"/>
        <family val="2"/>
      </rPr>
      <t xml:space="preserve">number of hospitalizations </t>
    </r>
    <r>
      <rPr>
        <sz val="16"/>
        <color theme="1"/>
        <rFont val="Aptos"/>
        <family val="2"/>
      </rPr>
      <t>in the target population
**If the season total cell turns red, the annual infections input exceeds the target population and will produce invalid results. Please check hospitalized to non-hospitalized multiplier and monthly hospitalization inputs.</t>
    </r>
  </si>
  <si>
    <t xml:space="preserve">1. In the yellow cells, input different vaccine coverage levels for each season, specified as the annual cumulative coverage in the target group. For each coverage scenario, enter values for all seasons you are modeling. You may enter up to 4 different scenario coverage levels. The blue cells contain the cumulative coverage as specified on the "Inputs" sheet. </t>
  </si>
  <si>
    <t>year</t>
  </si>
  <si>
    <t>absence_hosp_mean</t>
  </si>
  <si>
    <t>absence_hosp_lcl</t>
  </si>
  <si>
    <t>absence_hosp_ucl</t>
  </si>
  <si>
    <t>absence_nohosp_mean</t>
  </si>
  <si>
    <t>absence_nohosp_lcl</t>
  </si>
  <si>
    <t>absence_nohosp_ucl</t>
  </si>
  <si>
    <t>absence_maill_mean</t>
  </si>
  <si>
    <t>absence_maill_lcl</t>
  </si>
  <si>
    <t>absence_maill_ucl</t>
  </si>
  <si>
    <t>absence_death_mean</t>
  </si>
  <si>
    <t>absence_death_lcl</t>
  </si>
  <si>
    <t>absence_death_ucl</t>
  </si>
  <si>
    <t>presence_hosp_mean</t>
  </si>
  <si>
    <t>presence_hosp_lcl</t>
  </si>
  <si>
    <t>presence_hosp_ucl</t>
  </si>
  <si>
    <t>presence_nohosp_mean</t>
  </si>
  <si>
    <t>presence_nohosp_lcl</t>
  </si>
  <si>
    <t>presence_nohosp_ucl</t>
  </si>
  <si>
    <t>presence_maill_mean</t>
  </si>
  <si>
    <t>presence_maill_lcl</t>
  </si>
  <si>
    <t>presence_maill_ucl</t>
  </si>
  <si>
    <t>presence_death_mean</t>
  </si>
  <si>
    <t>presence_death_lcl</t>
  </si>
  <si>
    <t>presence_death_ucl</t>
  </si>
  <si>
    <t>avert_hosp_mean</t>
  </si>
  <si>
    <t>avert_hosp_lcl</t>
  </si>
  <si>
    <t>avert_hosp_ucl</t>
  </si>
  <si>
    <t>avert_nohosp_mean</t>
  </si>
  <si>
    <t>avert_nohosp_lcl</t>
  </si>
  <si>
    <t>avert_nohosp_ucl</t>
  </si>
  <si>
    <t>avert_maill_mean</t>
  </si>
  <si>
    <t>avert_maill_lcl</t>
  </si>
  <si>
    <t>avert_maill_ucl</t>
  </si>
  <si>
    <t>avert_death_mean</t>
  </si>
  <si>
    <t>avert_death_lcl</t>
  </si>
  <si>
    <t>avert_death_ucl</t>
  </si>
  <si>
    <t>pf_hosp_mean</t>
  </si>
  <si>
    <t>pf_hosp_lcl</t>
  </si>
  <si>
    <t>pf_hosp_ucl</t>
  </si>
  <si>
    <t>pf_nohosp_mean</t>
  </si>
  <si>
    <t>pf_nohosp_lcl</t>
  </si>
  <si>
    <t>pf_nohosp_ucl</t>
  </si>
  <si>
    <t>pf_maill_mean</t>
  </si>
  <si>
    <t>pf_maill_lcl</t>
  </si>
  <si>
    <t>pf_maill_ucl</t>
  </si>
  <si>
    <t>pf_death_mean</t>
  </si>
  <si>
    <t>pf_death_lcl</t>
  </si>
  <si>
    <t>pf_death_ucl</t>
  </si>
  <si>
    <t>pf_overall_mean</t>
  </si>
  <si>
    <t>pf_overall_lcl</t>
  </si>
  <si>
    <t>pf_overall_ucl</t>
  </si>
  <si>
    <t>avert_overall_mean</t>
  </si>
  <si>
    <t>avert_overall_lcl</t>
  </si>
  <si>
    <t>avert_overall_ucl</t>
  </si>
  <si>
    <t>nnv_hosp_mean</t>
  </si>
  <si>
    <t>nnv_hosp_lcl</t>
  </si>
  <si>
    <t>nnv_hosp_ucl</t>
  </si>
  <si>
    <t>nnv_nohosp_mean</t>
  </si>
  <si>
    <t>nnv_nohosp_lcl</t>
  </si>
  <si>
    <t>nnv_nohosp_ucl</t>
  </si>
  <si>
    <t>nnv_maill_mean</t>
  </si>
  <si>
    <t>nnv_maill_lcl</t>
  </si>
  <si>
    <t>nnv_maill_ucl</t>
  </si>
  <si>
    <t>nnv_death_mean</t>
  </si>
  <si>
    <t>nnv_death_lcl</t>
  </si>
  <si>
    <t>nnv_death_ucl</t>
  </si>
  <si>
    <t>nnv_overall_mean</t>
  </si>
  <si>
    <t>nnv_overall_lcl</t>
  </si>
  <si>
    <t>nnv_overall_ucl</t>
  </si>
  <si>
    <t>absence_hosp_param</t>
  </si>
  <si>
    <t>presence_hosp_param</t>
  </si>
  <si>
    <t>avert_hosp_param</t>
  </si>
  <si>
    <t>absence_nohosp_param</t>
  </si>
  <si>
    <t>presence_nohosp_param</t>
  </si>
  <si>
    <t>avert_nohosp_param</t>
  </si>
  <si>
    <t>absence_maill_param</t>
  </si>
  <si>
    <t>presence_maill_param</t>
  </si>
  <si>
    <t>avert_maill_param</t>
  </si>
  <si>
    <t>absence_death_param</t>
  </si>
  <si>
    <t>presence_death_param</t>
  </si>
  <si>
    <t>avert_death_param</t>
  </si>
  <si>
    <t>pf_hosp_param</t>
  </si>
  <si>
    <t>pf_nohosp_param</t>
  </si>
  <si>
    <t>pf_maill_param</t>
  </si>
  <si>
    <t>pf_death_param</t>
  </si>
  <si>
    <t>pf_overall_param</t>
  </si>
  <si>
    <t>nnv_hosp_param</t>
  </si>
  <si>
    <t>nnv_nohosp_param</t>
  </si>
  <si>
    <t>nnv_maill_param</t>
  </si>
  <si>
    <t>nnv_death_param</t>
  </si>
  <si>
    <t>nnv_overall_param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</si>
</sst>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quot;??_);_(@_)"/>
    <numFmt numFmtId="165" formatCode="0.0%"/>
    <numFmt numFmtId="166" formatCode="0.00000"/>
    <numFmt numFmtId="167" formatCode="#,##0.00000"/>
    <numFmt numFmtId="168" formatCode="#,##0.0"/>
    <numFmt numFmtId="169" formatCode="#,##0.0000"/>
    <numFmt numFmtId="170" formatCode="0.0000"/>
    <numFmt numFmtId="171" formatCode="0.0000%"/>
    <numFmt numFmtId="172" formatCode="0.00000000000"/>
    <numFmt numFmtId="173" formatCode="0.0"/>
  </numFmts>
  <fonts count="23" x14ac:knownFonts="1">
    <font>
      <sz val="11"/>
      <color theme="1"/>
      <name val="Calibri"/>
      <family val="2"/>
      <scheme val="minor"/>
    </font>
    <font>
      <sz val="14"/>
      <color theme="1"/>
      <name val="Aptos"/>
      <family val="2"/>
    </font>
    <font>
      <sz val="14"/>
      <color theme="1"/>
      <name val="Calibri"/>
      <family val="2"/>
    </font>
    <font>
      <sz val="11"/>
      <color theme="1"/>
      <name val="Calibri"/>
      <family val="2"/>
    </font>
    <font>
      <sz val="16"/>
      <color theme="1"/>
      <name val="Aptos"/>
      <family val="2"/>
    </font>
    <font>
      <i/>
      <sz val="16"/>
      <color theme="1"/>
      <name val="Aptos"/>
      <family val="2"/>
    </font>
    <font>
      <sz val="11"/>
      <color theme="1"/>
      <name val="Aptos"/>
      <family val="2"/>
    </font>
    <font>
      <sz val="18"/>
      <color theme="1"/>
      <name val="Aptos"/>
      <family val="2"/>
    </font>
    <font>
      <b/>
      <sz val="14"/>
      <color theme="1"/>
      <name val="Aptos"/>
      <family val="2"/>
    </font>
    <font>
      <b/>
      <sz val="24"/>
      <color theme="1"/>
      <name val="Aptos"/>
      <family val="2"/>
    </font>
    <font>
      <sz val="24"/>
      <color theme="1"/>
      <name val="Aptos"/>
      <family val="2"/>
    </font>
    <font>
      <b/>
      <sz val="20"/>
      <color theme="1"/>
      <name val="Aptos"/>
      <family val="2"/>
    </font>
    <font>
      <b/>
      <sz val="12"/>
      <color theme="1"/>
      <name val="Aptos"/>
      <family val="2"/>
    </font>
    <font>
      <sz val="12"/>
      <color theme="1"/>
      <name val="Aptos"/>
      <family val="2"/>
    </font>
    <font>
      <sz val="11"/>
      <color rgb="FF000000"/>
      <name val="Calibri"/>
      <family val="2"/>
      <scheme val="minor"/>
    </font>
    <font>
      <b/>
      <sz val="11"/>
      <color theme="1"/>
      <name val="Calibri"/>
      <family val="2"/>
      <scheme val="minor"/>
    </font>
    <font>
      <b/>
      <sz val="16"/>
      <color theme="1"/>
      <name val="Calibri"/>
      <family val="2"/>
      <scheme val="minor"/>
    </font>
    <font>
      <b/>
      <sz val="16"/>
      <color theme="1"/>
      <name val="Aptos"/>
      <family val="2"/>
    </font>
    <font>
      <b/>
      <sz val="18"/>
      <color theme="1"/>
      <name val="Aptos"/>
      <family val="2"/>
    </font>
    <font>
      <b/>
      <sz val="16"/>
      <color rgb="FFFF0000"/>
      <name val="Aptos"/>
      <family val="2"/>
    </font>
    <font>
      <b/>
      <sz val="11"/>
      <color theme="1"/>
      <name val="Calibri"/>
      <family val="2"/>
    </font>
    <font>
      <sz val="16"/>
      <color theme="1"/>
      <name val="Calibri"/>
      <family val="2"/>
    </font>
    <font>
      <i/>
      <sz val="14"/>
      <color theme="1"/>
      <name val="Aptos"/>
      <family val="2"/>
    </font>
  </fonts>
  <fills count="1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7"/>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0" tint="-0.249977111117893"/>
        <bgColor indexed="64"/>
      </patternFill>
    </fill>
  </fills>
  <borders count="91">
    <border>
      <left/>
      <right/>
      <top/>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style="thin">
        <color indexed="64"/>
      </bottom>
      <diagonal/>
    </border>
    <border>
      <left style="thick">
        <color rgb="FFFF0000"/>
      </left>
      <right/>
      <top style="thick">
        <color rgb="FFFF0000"/>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bottom style="thin">
        <color indexed="64"/>
      </bottom>
      <diagonal/>
    </border>
    <border>
      <left/>
      <right style="thick">
        <color rgb="FFFF0000"/>
      </right>
      <top/>
      <bottom/>
      <diagonal/>
    </border>
    <border>
      <left style="thick">
        <color rgb="FFFF0000"/>
      </left>
      <right/>
      <top/>
      <bottom style="thick">
        <color rgb="FFFF0000"/>
      </bottom>
      <diagonal/>
    </border>
    <border>
      <left/>
      <right style="thick">
        <color rgb="FFFF0000"/>
      </right>
      <top/>
      <bottom style="thick">
        <color rgb="FFFF0000"/>
      </bottom>
      <diagonal/>
    </border>
    <border>
      <left/>
      <right style="thick">
        <color rgb="FFFF0000"/>
      </right>
      <top style="thick">
        <color rgb="FFFF0000"/>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medium">
        <color auto="1"/>
      </top>
      <bottom/>
      <diagonal/>
    </border>
    <border>
      <left/>
      <right style="thin">
        <color indexed="64"/>
      </right>
      <top style="medium">
        <color auto="1"/>
      </top>
      <bottom/>
      <diagonal/>
    </border>
    <border>
      <left style="thin">
        <color auto="1"/>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medium">
        <color auto="1"/>
      </top>
      <bottom/>
      <diagonal/>
    </border>
    <border>
      <left style="thin">
        <color indexed="64"/>
      </left>
      <right style="thin">
        <color indexed="64"/>
      </right>
      <top/>
      <bottom style="medium">
        <color indexed="64"/>
      </bottom>
      <diagonal/>
    </border>
    <border>
      <left/>
      <right/>
      <top style="medium">
        <color auto="1"/>
      </top>
      <bottom/>
      <diagonal/>
    </border>
    <border>
      <left/>
      <right/>
      <top/>
      <bottom style="medium">
        <color indexed="64"/>
      </bottom>
      <diagonal/>
    </border>
    <border>
      <left style="thin">
        <color indexed="64"/>
      </left>
      <right style="thin">
        <color indexed="64"/>
      </right>
      <top/>
      <bottom/>
      <diagonal/>
    </border>
    <border>
      <left/>
      <right style="thin">
        <color indexed="64"/>
      </right>
      <top/>
      <bottom/>
      <diagonal/>
    </border>
    <border>
      <left/>
      <right style="medium">
        <color indexed="64"/>
      </right>
      <top/>
      <bottom/>
      <diagonal/>
    </border>
    <border>
      <left style="thin">
        <color indexed="64"/>
      </left>
      <right/>
      <top/>
      <bottom/>
      <diagonal/>
    </border>
    <border>
      <left style="thin">
        <color theme="0" tint="-0.249977111117893"/>
      </left>
      <right/>
      <top style="thin">
        <color theme="0" tint="-0.249977111117893"/>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medium">
        <color indexed="64"/>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style="medium">
        <color indexed="64"/>
      </right>
      <top/>
      <bottom/>
      <diagonal/>
    </border>
    <border>
      <left style="thin">
        <color theme="0" tint="-0.249977111117893"/>
      </left>
      <right/>
      <top style="medium">
        <color indexed="64"/>
      </top>
      <bottom/>
      <diagonal/>
    </border>
    <border>
      <left style="thin">
        <color theme="0" tint="-0.249977111117893"/>
      </left>
      <right style="medium">
        <color indexed="64"/>
      </right>
      <top style="medium">
        <color indexed="64"/>
      </top>
      <bottom/>
      <diagonal/>
    </border>
    <border>
      <left style="thin">
        <color indexed="64"/>
      </left>
      <right style="medium">
        <color indexed="64"/>
      </right>
      <top/>
      <bottom style="thin">
        <color indexed="64"/>
      </bottom>
      <diagonal/>
    </border>
    <border>
      <left style="thin">
        <color theme="0" tint="-0.249977111117893"/>
      </left>
      <right/>
      <top/>
      <bottom style="thin">
        <color theme="0" tint="-0.24997711111789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theme="0" tint="-0.249977111117893"/>
      </left>
      <right/>
      <top style="thin">
        <color theme="0" tint="-0.249977111117893"/>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theme="0" tint="-0.249977111117893"/>
      </left>
      <right/>
      <top style="medium">
        <color theme="1"/>
      </top>
      <bottom style="thin">
        <color theme="0" tint="-0.249977111117893"/>
      </bottom>
      <diagonal/>
    </border>
    <border>
      <left style="medium">
        <color indexed="64"/>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indexed="64"/>
      </right>
      <top style="medium">
        <color theme="1"/>
      </top>
      <bottom style="thin">
        <color indexed="64"/>
      </bottom>
      <diagonal/>
    </border>
    <border>
      <left style="thin">
        <color auto="1"/>
      </left>
      <right/>
      <top style="medium">
        <color theme="1"/>
      </top>
      <bottom style="thin">
        <color auto="1"/>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theme="1"/>
      </right>
      <top/>
      <bottom style="thin">
        <color indexed="64"/>
      </bottom>
      <diagonal/>
    </border>
    <border>
      <left style="thin">
        <color theme="1"/>
      </left>
      <right/>
      <top style="thin">
        <color theme="1"/>
      </top>
      <bottom style="thin">
        <color theme="1"/>
      </bottom>
      <diagonal/>
    </border>
    <border>
      <left style="thin">
        <color theme="1"/>
      </left>
      <right style="thin">
        <color indexed="64"/>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thin">
        <color theme="1"/>
      </left>
      <right style="thin">
        <color indexed="64"/>
      </right>
      <top/>
      <bottom style="thin">
        <color indexed="64"/>
      </bottom>
      <diagonal/>
    </border>
    <border>
      <left style="thin">
        <color theme="1"/>
      </left>
      <right/>
      <top style="thin">
        <color indexed="64"/>
      </top>
      <bottom style="thin">
        <color indexed="64"/>
      </bottom>
      <diagonal/>
    </border>
    <border>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theme="1"/>
      </right>
      <top style="thin">
        <color theme="1"/>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
    <xf numFmtId="0" fontId="0" fillId="0" borderId="0"/>
  </cellStyleXfs>
  <cellXfs count="378">
    <xf numFmtId="0" fontId="0" fillId="0" borderId="0" xfId="0"/>
    <xf numFmtId="0" fontId="1" fillId="2" borderId="1" xfId="0" applyFont="1" applyFill="1" applyBorder="1" applyProtection="1">
      <protection locked="0"/>
    </xf>
    <xf numFmtId="0" fontId="1" fillId="2" borderId="1" xfId="0" applyFont="1" applyFill="1" applyBorder="1" applyAlignment="1" applyProtection="1">
      <alignment wrapText="1"/>
      <protection locked="0"/>
    </xf>
    <xf numFmtId="9" fontId="2" fillId="2" borderId="1" xfId="0" applyNumberFormat="1" applyFont="1" applyFill="1" applyBorder="1" applyProtection="1">
      <protection locked="0"/>
    </xf>
    <xf numFmtId="10" fontId="1" fillId="3" borderId="0" xfId="0" applyNumberFormat="1" applyFont="1" applyFill="1"/>
    <xf numFmtId="0" fontId="1" fillId="0" borderId="0" xfId="0" applyFont="1" applyProtection="1">
      <protection locked="0"/>
    </xf>
    <xf numFmtId="0" fontId="1" fillId="2" borderId="2" xfId="0" applyFont="1" applyFill="1" applyBorder="1" applyProtection="1">
      <protection locked="0"/>
    </xf>
    <xf numFmtId="0" fontId="3" fillId="4" borderId="0" xfId="0" applyFont="1" applyFill="1" applyAlignment="1" applyProtection="1">
      <alignment horizontal="center"/>
      <protection locked="0"/>
    </xf>
    <xf numFmtId="0" fontId="1" fillId="0" borderId="0" xfId="0" applyFont="1"/>
    <xf numFmtId="0" fontId="4" fillId="0" borderId="0" xfId="0" applyFont="1" applyAlignment="1">
      <alignment vertical="top" wrapText="1"/>
    </xf>
    <xf numFmtId="0" fontId="5" fillId="0" borderId="0" xfId="0" applyFont="1" applyAlignment="1">
      <alignment vertical="top" wrapText="1"/>
    </xf>
    <xf numFmtId="0" fontId="1" fillId="3" borderId="0" xfId="0" applyFont="1" applyFill="1"/>
    <xf numFmtId="2" fontId="1" fillId="2" borderId="1" xfId="0" applyNumberFormat="1" applyFont="1" applyFill="1" applyBorder="1"/>
    <xf numFmtId="0" fontId="4" fillId="0" borderId="0" xfId="0" applyFont="1" applyAlignment="1">
      <alignment horizontal="left" vertical="center"/>
    </xf>
    <xf numFmtId="0" fontId="6" fillId="2" borderId="3" xfId="0" applyFont="1" applyFill="1" applyBorder="1"/>
    <xf numFmtId="0" fontId="7" fillId="0" borderId="0" xfId="0" applyFont="1" applyProtection="1">
      <protection locked="0"/>
    </xf>
    <xf numFmtId="0" fontId="1" fillId="4" borderId="0" xfId="0" applyFont="1" applyFill="1" applyProtection="1">
      <protection locked="0"/>
    </xf>
    <xf numFmtId="0" fontId="6" fillId="2" borderId="4" xfId="0" applyFont="1" applyFill="1" applyBorder="1"/>
    <xf numFmtId="0" fontId="1" fillId="0" borderId="0" xfId="0" applyFont="1" applyAlignment="1">
      <alignment wrapText="1"/>
    </xf>
    <xf numFmtId="0" fontId="8" fillId="0" borderId="0" xfId="0" applyFont="1"/>
    <xf numFmtId="1" fontId="1" fillId="3" borderId="0" xfId="0" applyNumberFormat="1" applyFont="1" applyFill="1"/>
    <xf numFmtId="0" fontId="6" fillId="2" borderId="5" xfId="0" applyFont="1" applyFill="1" applyBorder="1"/>
    <xf numFmtId="9" fontId="1" fillId="2" borderId="1" xfId="0" applyNumberFormat="1" applyFont="1" applyFill="1" applyBorder="1"/>
    <xf numFmtId="0" fontId="1" fillId="2" borderId="6" xfId="0" applyFont="1" applyFill="1" applyBorder="1" applyProtection="1">
      <protection locked="0"/>
    </xf>
    <xf numFmtId="0" fontId="1" fillId="0" borderId="0" xfId="0" applyFont="1" applyAlignment="1">
      <alignment vertical="top" wrapText="1"/>
    </xf>
    <xf numFmtId="0" fontId="1" fillId="0" borderId="0" xfId="0" applyFont="1" applyAlignment="1">
      <alignment horizontal="right"/>
    </xf>
    <xf numFmtId="0" fontId="6" fillId="2" borderId="8" xfId="0" applyFont="1" applyFill="1" applyBorder="1"/>
    <xf numFmtId="0" fontId="4" fillId="0" borderId="0" xfId="0" applyFont="1" applyAlignment="1">
      <alignment vertical="center"/>
    </xf>
    <xf numFmtId="9" fontId="1" fillId="2" borderId="2" xfId="0" applyNumberFormat="1" applyFont="1" applyFill="1" applyBorder="1" applyProtection="1">
      <protection locked="0"/>
    </xf>
    <xf numFmtId="0" fontId="6" fillId="2" borderId="9" xfId="0" applyFont="1" applyFill="1" applyBorder="1"/>
    <xf numFmtId="0" fontId="4" fillId="0" borderId="0" xfId="0" applyFont="1" applyAlignment="1">
      <alignment vertical="center" wrapText="1"/>
    </xf>
    <xf numFmtId="1" fontId="1" fillId="2" borderId="1" xfId="0" applyNumberFormat="1" applyFont="1" applyFill="1" applyBorder="1" applyProtection="1">
      <protection locked="0"/>
    </xf>
    <xf numFmtId="0" fontId="4" fillId="0" borderId="0" xfId="0" applyFont="1"/>
    <xf numFmtId="164" fontId="1" fillId="2" borderId="1" xfId="0" applyNumberFormat="1" applyFont="1" applyFill="1" applyBorder="1" applyProtection="1">
      <protection locked="0"/>
    </xf>
    <xf numFmtId="0" fontId="10" fillId="0" borderId="0" xfId="0" applyFont="1" applyProtection="1">
      <protection locked="0"/>
    </xf>
    <xf numFmtId="0" fontId="5" fillId="0" borderId="0" xfId="0" applyFont="1" applyAlignment="1">
      <alignment vertical="top"/>
    </xf>
    <xf numFmtId="0" fontId="8" fillId="3" borderId="0" xfId="0" applyFont="1" applyFill="1"/>
    <xf numFmtId="0" fontId="3" fillId="4" borderId="0" xfId="0" applyFont="1" applyFill="1" applyProtection="1">
      <protection locked="0"/>
    </xf>
    <xf numFmtId="0" fontId="5" fillId="0" borderId="0" xfId="0" applyFont="1" applyAlignment="1">
      <alignment horizontal="left" vertical="top"/>
    </xf>
    <xf numFmtId="0" fontId="8" fillId="4" borderId="0" xfId="0" applyFont="1" applyFill="1"/>
    <xf numFmtId="0" fontId="6" fillId="0" borderId="0" xfId="0" applyFont="1" applyAlignment="1">
      <alignment horizontal="right"/>
    </xf>
    <xf numFmtId="0" fontId="4" fillId="5" borderId="0" xfId="0" applyFont="1" applyFill="1" applyAlignment="1">
      <alignment vertical="top" wrapText="1"/>
    </xf>
    <xf numFmtId="2" fontId="1" fillId="2" borderId="1" xfId="0" applyNumberFormat="1" applyFont="1" applyFill="1" applyBorder="1" applyProtection="1">
      <protection locked="0"/>
    </xf>
    <xf numFmtId="0" fontId="6" fillId="2" borderId="10" xfId="0" applyFont="1" applyFill="1" applyBorder="1"/>
    <xf numFmtId="0" fontId="2" fillId="0" borderId="0" xfId="0" applyFont="1" applyProtection="1">
      <protection locked="0"/>
    </xf>
    <xf numFmtId="9" fontId="1" fillId="2" borderId="6" xfId="0" applyNumberFormat="1" applyFont="1" applyFill="1" applyBorder="1" applyProtection="1">
      <protection locked="0"/>
    </xf>
    <xf numFmtId="0" fontId="11" fillId="0" borderId="0" xfId="0" applyFont="1" applyAlignment="1">
      <alignment vertical="center"/>
    </xf>
    <xf numFmtId="0" fontId="7" fillId="0" borderId="0" xfId="0" applyFont="1"/>
    <xf numFmtId="9" fontId="1" fillId="2" borderId="1" xfId="0" applyNumberFormat="1" applyFont="1" applyFill="1" applyBorder="1" applyProtection="1">
      <protection locked="0"/>
    </xf>
    <xf numFmtId="2" fontId="1" fillId="2" borderId="6" xfId="0" applyNumberFormat="1" applyFont="1" applyFill="1" applyBorder="1" applyProtection="1">
      <protection locked="0"/>
    </xf>
    <xf numFmtId="0" fontId="6" fillId="2" borderId="11" xfId="0" applyFont="1" applyFill="1" applyBorder="1"/>
    <xf numFmtId="0" fontId="6" fillId="2" borderId="12" xfId="0" applyFont="1" applyFill="1" applyBorder="1"/>
    <xf numFmtId="0" fontId="3" fillId="5" borderId="0" xfId="0" applyFont="1" applyFill="1"/>
    <xf numFmtId="0" fontId="12" fillId="5" borderId="0" xfId="0" applyFont="1" applyFill="1"/>
    <xf numFmtId="0" fontId="13" fillId="5" borderId="0" xfId="0" applyFont="1" applyFill="1"/>
    <xf numFmtId="0" fontId="13" fillId="5" borderId="0" xfId="0" applyFont="1" applyFill="1" applyAlignment="1">
      <alignment wrapText="1"/>
    </xf>
    <xf numFmtId="0" fontId="12" fillId="5" borderId="26" xfId="0" applyFont="1" applyFill="1" applyBorder="1"/>
    <xf numFmtId="0" fontId="12" fillId="5" borderId="26" xfId="0" applyFont="1" applyFill="1" applyBorder="1" applyAlignment="1">
      <alignment wrapText="1"/>
    </xf>
    <xf numFmtId="0" fontId="12" fillId="5" borderId="23" xfId="0" applyFont="1" applyFill="1" applyBorder="1" applyAlignment="1">
      <alignment wrapText="1"/>
    </xf>
    <xf numFmtId="0" fontId="12" fillId="5" borderId="22" xfId="0" applyFont="1" applyFill="1" applyBorder="1"/>
    <xf numFmtId="0" fontId="13" fillId="5" borderId="0" xfId="0" applyFont="1" applyFill="1" applyAlignment="1">
      <alignment horizontal="center" wrapText="1"/>
    </xf>
    <xf numFmtId="0" fontId="13" fillId="5" borderId="25" xfId="0" applyFont="1" applyFill="1" applyBorder="1" applyAlignment="1">
      <alignment horizontal="center" wrapText="1"/>
    </xf>
    <xf numFmtId="0" fontId="13" fillId="5" borderId="24" xfId="0" applyFont="1" applyFill="1" applyBorder="1" applyAlignment="1">
      <alignment horizontal="center" wrapText="1"/>
    </xf>
    <xf numFmtId="0" fontId="13" fillId="5" borderId="0" xfId="0" applyFont="1" applyFill="1" applyAlignment="1">
      <alignment horizontal="left"/>
    </xf>
    <xf numFmtId="164" fontId="13" fillId="5" borderId="24" xfId="0" applyNumberFormat="1" applyFont="1" applyFill="1" applyBorder="1" applyAlignment="1">
      <alignment horizontal="center" wrapText="1"/>
    </xf>
    <xf numFmtId="164" fontId="13" fillId="5" borderId="0" xfId="0" applyNumberFormat="1" applyFont="1" applyFill="1" applyAlignment="1">
      <alignment horizontal="center" wrapText="1"/>
    </xf>
    <xf numFmtId="164" fontId="13" fillId="5" borderId="25" xfId="0" applyNumberFormat="1" applyFont="1" applyFill="1" applyBorder="1" applyAlignment="1">
      <alignment horizontal="center" wrapText="1"/>
    </xf>
    <xf numFmtId="0" fontId="13" fillId="5" borderId="14" xfId="0" applyFont="1" applyFill="1" applyBorder="1" applyAlignment="1">
      <alignment horizontal="center" wrapText="1"/>
    </xf>
    <xf numFmtId="0" fontId="13" fillId="5" borderId="27" xfId="0" applyFont="1" applyFill="1" applyBorder="1" applyAlignment="1">
      <alignment horizontal="center" wrapText="1"/>
    </xf>
    <xf numFmtId="0" fontId="13" fillId="5" borderId="16" xfId="0" applyFont="1" applyFill="1" applyBorder="1" applyAlignment="1">
      <alignment horizontal="center" wrapText="1"/>
    </xf>
    <xf numFmtId="0" fontId="13" fillId="5" borderId="17" xfId="0" applyFont="1" applyFill="1" applyBorder="1" applyAlignment="1">
      <alignment horizontal="center" wrapText="1"/>
    </xf>
    <xf numFmtId="0" fontId="13" fillId="5" borderId="28" xfId="0" applyFont="1" applyFill="1" applyBorder="1" applyAlignment="1">
      <alignment horizontal="center" wrapText="1"/>
    </xf>
    <xf numFmtId="0" fontId="13" fillId="5" borderId="18" xfId="0" applyFont="1" applyFill="1" applyBorder="1" applyAlignment="1">
      <alignment horizontal="center" wrapText="1"/>
    </xf>
    <xf numFmtId="164" fontId="13" fillId="5" borderId="13" xfId="0" applyNumberFormat="1" applyFont="1" applyFill="1" applyBorder="1" applyAlignment="1">
      <alignment horizontal="center" wrapText="1"/>
    </xf>
    <xf numFmtId="164" fontId="13" fillId="5" borderId="29" xfId="0" applyNumberFormat="1" applyFont="1" applyFill="1" applyBorder="1" applyAlignment="1">
      <alignment horizontal="center" wrapText="1"/>
    </xf>
    <xf numFmtId="164" fontId="13" fillId="5" borderId="15" xfId="0" applyNumberFormat="1" applyFont="1" applyFill="1" applyBorder="1" applyAlignment="1">
      <alignment horizontal="center" wrapText="1"/>
    </xf>
    <xf numFmtId="165" fontId="13" fillId="5" borderId="13" xfId="0" applyNumberFormat="1" applyFont="1" applyFill="1" applyBorder="1" applyAlignment="1">
      <alignment horizontal="right" wrapText="1"/>
    </xf>
    <xf numFmtId="165" fontId="13" fillId="5" borderId="29" xfId="0" applyNumberFormat="1" applyFont="1" applyFill="1" applyBorder="1" applyAlignment="1">
      <alignment horizontal="right" wrapText="1"/>
    </xf>
    <xf numFmtId="165" fontId="13" fillId="5" borderId="15" xfId="0" applyNumberFormat="1" applyFont="1" applyFill="1" applyBorder="1" applyAlignment="1">
      <alignment horizontal="right" wrapText="1"/>
    </xf>
    <xf numFmtId="0" fontId="3" fillId="0" borderId="0" xfId="0" applyFont="1"/>
    <xf numFmtId="0" fontId="3" fillId="7" borderId="0" xfId="0" applyFont="1" applyFill="1"/>
    <xf numFmtId="0" fontId="3" fillId="0" borderId="0" xfId="0" applyFont="1" applyAlignment="1">
      <alignment wrapText="1"/>
    </xf>
    <xf numFmtId="0" fontId="14" fillId="0" borderId="0" xfId="0" applyFont="1" applyAlignment="1">
      <alignment vertical="center"/>
    </xf>
    <xf numFmtId="10" fontId="3" fillId="0" borderId="0" xfId="0" applyNumberFormat="1" applyFont="1"/>
    <xf numFmtId="2" fontId="3" fillId="0" borderId="0" xfId="0" applyNumberFormat="1" applyFont="1"/>
    <xf numFmtId="0" fontId="3" fillId="0" borderId="19" xfId="0" applyFont="1" applyBorder="1"/>
    <xf numFmtId="0" fontId="3" fillId="0" borderId="24" xfId="0" applyFont="1" applyBorder="1"/>
    <xf numFmtId="0" fontId="3" fillId="0" borderId="20" xfId="0" applyFont="1" applyBorder="1"/>
    <xf numFmtId="0" fontId="3" fillId="0" borderId="21" xfId="0" applyFont="1" applyBorder="1"/>
    <xf numFmtId="0" fontId="3" fillId="0" borderId="25" xfId="0" applyFont="1" applyBorder="1"/>
    <xf numFmtId="0" fontId="3" fillId="0" borderId="18" xfId="0" applyFont="1" applyBorder="1"/>
    <xf numFmtId="0" fontId="3" fillId="0" borderId="24" xfId="0" applyFont="1" applyBorder="1" applyAlignment="1">
      <alignment wrapText="1"/>
    </xf>
    <xf numFmtId="0" fontId="3" fillId="0" borderId="17" xfId="0" applyFont="1" applyBorder="1" applyAlignment="1">
      <alignment wrapText="1"/>
    </xf>
    <xf numFmtId="0" fontId="3" fillId="8" borderId="0" xfId="0" applyFont="1" applyFill="1"/>
    <xf numFmtId="0" fontId="3" fillId="8" borderId="28" xfId="0" applyFont="1" applyFill="1" applyBorder="1"/>
    <xf numFmtId="0" fontId="15" fillId="9" borderId="30" xfId="0" applyFont="1" applyFill="1" applyBorder="1" applyAlignment="1">
      <alignment horizontal="right" wrapText="1"/>
    </xf>
    <xf numFmtId="0" fontId="3" fillId="9" borderId="30" xfId="0" applyFont="1" applyFill="1" applyBorder="1" applyAlignment="1">
      <alignment horizontal="right"/>
    </xf>
    <xf numFmtId="3" fontId="3" fillId="0" borderId="31" xfId="0" applyNumberFormat="1" applyFont="1" applyBorder="1" applyProtection="1">
      <protection locked="0"/>
    </xf>
    <xf numFmtId="1" fontId="3" fillId="0" borderId="32" xfId="0" applyNumberFormat="1" applyFont="1" applyBorder="1" applyProtection="1">
      <protection locked="0"/>
    </xf>
    <xf numFmtId="166" fontId="3" fillId="0" borderId="32" xfId="0" applyNumberFormat="1" applyFont="1" applyBorder="1" applyProtection="1">
      <protection locked="0"/>
    </xf>
    <xf numFmtId="167" fontId="3" fillId="0" borderId="33" xfId="0" applyNumberFormat="1" applyFont="1" applyBorder="1" applyProtection="1">
      <protection locked="0"/>
    </xf>
    <xf numFmtId="10" fontId="3" fillId="5" borderId="31" xfId="0" applyNumberFormat="1" applyFont="1" applyFill="1" applyBorder="1" applyProtection="1">
      <protection locked="0"/>
    </xf>
    <xf numFmtId="2" fontId="3" fillId="0" borderId="32" xfId="0" applyNumberFormat="1" applyFont="1" applyBorder="1" applyProtection="1">
      <protection locked="0"/>
    </xf>
    <xf numFmtId="2" fontId="3" fillId="0" borderId="33" xfId="0" applyNumberFormat="1" applyFont="1" applyBorder="1" applyProtection="1">
      <protection locked="0"/>
    </xf>
    <xf numFmtId="168" fontId="3" fillId="5" borderId="31" xfId="0" applyNumberFormat="1" applyFont="1" applyFill="1" applyBorder="1"/>
    <xf numFmtId="4" fontId="3" fillId="5" borderId="32" xfId="0" applyNumberFormat="1" applyFont="1" applyFill="1" applyBorder="1"/>
    <xf numFmtId="169" fontId="3" fillId="5" borderId="32" xfId="0" applyNumberFormat="1" applyFont="1" applyFill="1" applyBorder="1"/>
    <xf numFmtId="3" fontId="3" fillId="5" borderId="33" xfId="0" applyNumberFormat="1" applyFont="1" applyFill="1" applyBorder="1"/>
    <xf numFmtId="1" fontId="3" fillId="5" borderId="31" xfId="0" applyNumberFormat="1" applyFont="1" applyFill="1" applyBorder="1" applyAlignment="1" applyProtection="1">
      <alignment wrapText="1"/>
      <protection locked="0"/>
    </xf>
    <xf numFmtId="170" fontId="3" fillId="5" borderId="32" xfId="0" applyNumberFormat="1" applyFont="1" applyFill="1" applyBorder="1" applyAlignment="1" applyProtection="1">
      <alignment wrapText="1"/>
      <protection locked="0"/>
    </xf>
    <xf numFmtId="166" fontId="3" fillId="5" borderId="32" xfId="0" applyNumberFormat="1" applyFont="1" applyFill="1" applyBorder="1" applyAlignment="1" applyProtection="1">
      <alignment wrapText="1"/>
      <protection locked="0"/>
    </xf>
    <xf numFmtId="10" fontId="15" fillId="10" borderId="34" xfId="0" applyNumberFormat="1" applyFont="1" applyFill="1" applyBorder="1"/>
    <xf numFmtId="10" fontId="15" fillId="10" borderId="35" xfId="0" applyNumberFormat="1" applyFont="1" applyFill="1" applyBorder="1"/>
    <xf numFmtId="3" fontId="15" fillId="10" borderId="6" xfId="0" applyNumberFormat="1" applyFont="1" applyFill="1" applyBorder="1"/>
    <xf numFmtId="0" fontId="3" fillId="0" borderId="0" xfId="0" applyFont="1" applyAlignment="1">
      <alignment horizontal="right"/>
    </xf>
    <xf numFmtId="2" fontId="3" fillId="0" borderId="2" xfId="0" applyNumberFormat="1" applyFont="1" applyBorder="1" applyProtection="1">
      <protection locked="0"/>
    </xf>
    <xf numFmtId="2" fontId="3" fillId="0" borderId="36" xfId="0" applyNumberFormat="1" applyFont="1" applyBorder="1" applyProtection="1">
      <protection locked="0"/>
    </xf>
    <xf numFmtId="10" fontId="3" fillId="5" borderId="37" xfId="0" applyNumberFormat="1" applyFont="1" applyFill="1" applyBorder="1" applyProtection="1">
      <protection locked="0"/>
    </xf>
    <xf numFmtId="0" fontId="15" fillId="9" borderId="38" xfId="0" applyFont="1" applyFill="1" applyBorder="1" applyAlignment="1">
      <alignment horizontal="left" wrapText="1"/>
    </xf>
    <xf numFmtId="0" fontId="15" fillId="11" borderId="20" xfId="0" applyFont="1" applyFill="1" applyBorder="1" applyAlignment="1">
      <alignment horizontal="center" wrapText="1"/>
    </xf>
    <xf numFmtId="0" fontId="15" fillId="11" borderId="0" xfId="0" applyFont="1" applyFill="1" applyAlignment="1">
      <alignment horizontal="center" wrapText="1"/>
    </xf>
    <xf numFmtId="0" fontId="15" fillId="11" borderId="28" xfId="0" applyFont="1" applyFill="1" applyBorder="1" applyAlignment="1">
      <alignment horizontal="center" wrapText="1"/>
    </xf>
    <xf numFmtId="0" fontId="15" fillId="2" borderId="39" xfId="0" applyFont="1" applyFill="1" applyBorder="1" applyAlignment="1">
      <alignment horizontal="center" wrapText="1"/>
    </xf>
    <xf numFmtId="0" fontId="15" fillId="2" borderId="40" xfId="0" applyFont="1" applyFill="1" applyBorder="1" applyAlignment="1">
      <alignment horizontal="center" wrapText="1"/>
    </xf>
    <xf numFmtId="0" fontId="15" fillId="2" borderId="41" xfId="0" applyFont="1" applyFill="1" applyBorder="1" applyAlignment="1">
      <alignment horizontal="center" wrapText="1"/>
    </xf>
    <xf numFmtId="0" fontId="15" fillId="12" borderId="19" xfId="0" applyFont="1" applyFill="1" applyBorder="1" applyAlignment="1">
      <alignment horizontal="center" wrapText="1"/>
    </xf>
    <xf numFmtId="0" fontId="15" fillId="12" borderId="42" xfId="0" applyFont="1" applyFill="1" applyBorder="1" applyAlignment="1">
      <alignment horizontal="center" wrapText="1"/>
    </xf>
    <xf numFmtId="0" fontId="15" fillId="12" borderId="43" xfId="0" applyFont="1" applyFill="1" applyBorder="1" applyAlignment="1">
      <alignment horizontal="center" wrapText="1"/>
    </xf>
    <xf numFmtId="0" fontId="15" fillId="13" borderId="37" xfId="0" applyFont="1" applyFill="1" applyBorder="1" applyAlignment="1">
      <alignment wrapText="1"/>
    </xf>
    <xf numFmtId="0" fontId="15" fillId="13" borderId="2" xfId="0" applyFont="1" applyFill="1" applyBorder="1" applyAlignment="1">
      <alignment wrapText="1"/>
    </xf>
    <xf numFmtId="0" fontId="15" fillId="9" borderId="38" xfId="0" applyFont="1" applyFill="1" applyBorder="1" applyAlignment="1">
      <alignment horizontal="right" wrapText="1"/>
    </xf>
    <xf numFmtId="0" fontId="3" fillId="9" borderId="38" xfId="0" applyFont="1" applyFill="1" applyBorder="1" applyAlignment="1">
      <alignment horizontal="right"/>
    </xf>
    <xf numFmtId="3" fontId="3" fillId="0" borderId="37" xfId="0" applyNumberFormat="1" applyFont="1" applyBorder="1" applyProtection="1">
      <protection locked="0"/>
    </xf>
    <xf numFmtId="1" fontId="3" fillId="0" borderId="2" xfId="0" applyNumberFormat="1" applyFont="1" applyBorder="1" applyProtection="1">
      <protection locked="0"/>
    </xf>
    <xf numFmtId="166" fontId="3" fillId="0" borderId="2" xfId="0" applyNumberFormat="1" applyFont="1" applyBorder="1" applyProtection="1">
      <protection locked="0"/>
    </xf>
    <xf numFmtId="167" fontId="3" fillId="0" borderId="36" xfId="0" applyNumberFormat="1" applyFont="1" applyBorder="1" applyProtection="1">
      <protection locked="0"/>
    </xf>
    <xf numFmtId="168" fontId="3" fillId="5" borderId="37" xfId="0" applyNumberFormat="1" applyFont="1" applyFill="1" applyBorder="1"/>
    <xf numFmtId="4" fontId="3" fillId="5" borderId="2" xfId="0" applyNumberFormat="1" applyFont="1" applyFill="1" applyBorder="1"/>
    <xf numFmtId="169" fontId="3" fillId="5" borderId="2" xfId="0" applyNumberFormat="1" applyFont="1" applyFill="1" applyBorder="1"/>
    <xf numFmtId="3" fontId="3" fillId="5" borderId="36" xfId="0" applyNumberFormat="1" applyFont="1" applyFill="1" applyBorder="1"/>
    <xf numFmtId="1" fontId="3" fillId="5" borderId="37" xfId="0" applyNumberFormat="1" applyFont="1" applyFill="1" applyBorder="1" applyAlignment="1" applyProtection="1">
      <alignment wrapText="1"/>
      <protection locked="0"/>
    </xf>
    <xf numFmtId="170" fontId="3" fillId="5" borderId="2" xfId="0" applyNumberFormat="1" applyFont="1" applyFill="1" applyBorder="1" applyAlignment="1" applyProtection="1">
      <alignment wrapText="1"/>
      <protection locked="0"/>
    </xf>
    <xf numFmtId="166" fontId="3" fillId="5" borderId="2" xfId="0" applyNumberFormat="1" applyFont="1" applyFill="1" applyBorder="1" applyAlignment="1" applyProtection="1">
      <alignment wrapText="1"/>
      <protection locked="0"/>
    </xf>
    <xf numFmtId="1" fontId="3" fillId="0" borderId="20" xfId="0" applyNumberFormat="1" applyFont="1" applyBorder="1"/>
    <xf numFmtId="1" fontId="3" fillId="0" borderId="0" xfId="0" applyNumberFormat="1" applyFont="1"/>
    <xf numFmtId="0" fontId="3" fillId="14" borderId="0" xfId="0" applyFont="1" applyFill="1"/>
    <xf numFmtId="0" fontId="3" fillId="14" borderId="28" xfId="0" applyFont="1" applyFill="1" applyBorder="1"/>
    <xf numFmtId="10" fontId="15" fillId="10" borderId="32" xfId="0" applyNumberFormat="1" applyFont="1" applyFill="1" applyBorder="1"/>
    <xf numFmtId="164" fontId="15" fillId="10" borderId="32" xfId="0" applyNumberFormat="1" applyFont="1" applyFill="1" applyBorder="1"/>
    <xf numFmtId="164" fontId="15" fillId="10" borderId="33" xfId="0" applyNumberFormat="1" applyFont="1" applyFill="1" applyBorder="1"/>
    <xf numFmtId="164" fontId="3" fillId="14" borderId="0" xfId="0" applyNumberFormat="1" applyFont="1" applyFill="1"/>
    <xf numFmtId="164" fontId="3" fillId="14" borderId="28" xfId="0" applyNumberFormat="1" applyFont="1" applyFill="1" applyBorder="1"/>
    <xf numFmtId="3" fontId="15" fillId="14" borderId="0" xfId="0" applyNumberFormat="1" applyFont="1" applyFill="1"/>
    <xf numFmtId="166" fontId="3" fillId="0" borderId="6" xfId="0" applyNumberFormat="1" applyFont="1" applyBorder="1" applyProtection="1">
      <protection locked="0"/>
    </xf>
    <xf numFmtId="3" fontId="3" fillId="5" borderId="44" xfId="0" applyNumberFormat="1" applyFont="1" applyFill="1" applyBorder="1"/>
    <xf numFmtId="169" fontId="3" fillId="5" borderId="6" xfId="0" applyNumberFormat="1" applyFont="1" applyFill="1" applyBorder="1"/>
    <xf numFmtId="1" fontId="3" fillId="0" borderId="21" xfId="0" applyNumberFormat="1" applyFont="1" applyBorder="1"/>
    <xf numFmtId="1" fontId="3" fillId="0" borderId="25" xfId="0" applyNumberFormat="1" applyFont="1" applyBorder="1"/>
    <xf numFmtId="0" fontId="15" fillId="9" borderId="45" xfId="0" applyFont="1" applyFill="1" applyBorder="1" applyAlignment="1">
      <alignment horizontal="right" wrapText="1"/>
    </xf>
    <xf numFmtId="0" fontId="3" fillId="9" borderId="45" xfId="0" applyFont="1" applyFill="1" applyBorder="1" applyAlignment="1">
      <alignment horizontal="right"/>
    </xf>
    <xf numFmtId="3" fontId="3" fillId="0" borderId="46" xfId="0" applyNumberFormat="1" applyFont="1" applyBorder="1" applyProtection="1">
      <protection locked="0"/>
    </xf>
    <xf numFmtId="1" fontId="3" fillId="0" borderId="6" xfId="0" applyNumberFormat="1" applyFont="1" applyBorder="1" applyProtection="1">
      <protection locked="0"/>
    </xf>
    <xf numFmtId="167" fontId="3" fillId="0" borderId="44" xfId="0" applyNumberFormat="1" applyFont="1" applyBorder="1" applyProtection="1">
      <protection locked="0"/>
    </xf>
    <xf numFmtId="10" fontId="3" fillId="5" borderId="46" xfId="0" applyNumberFormat="1" applyFont="1" applyFill="1" applyBorder="1" applyProtection="1">
      <protection locked="0"/>
    </xf>
    <xf numFmtId="2" fontId="3" fillId="0" borderId="6" xfId="0" applyNumberFormat="1" applyFont="1" applyBorder="1" applyProtection="1">
      <protection locked="0"/>
    </xf>
    <xf numFmtId="2" fontId="3" fillId="0" borderId="44" xfId="0" applyNumberFormat="1" applyFont="1" applyBorder="1" applyProtection="1">
      <protection locked="0"/>
    </xf>
    <xf numFmtId="168" fontId="3" fillId="5" borderId="46" xfId="0" applyNumberFormat="1" applyFont="1" applyFill="1" applyBorder="1"/>
    <xf numFmtId="4" fontId="3" fillId="5" borderId="6" xfId="0" applyNumberFormat="1" applyFont="1" applyFill="1" applyBorder="1"/>
    <xf numFmtId="1" fontId="3" fillId="5" borderId="46" xfId="0" applyNumberFormat="1" applyFont="1" applyFill="1" applyBorder="1" applyAlignment="1" applyProtection="1">
      <alignment wrapText="1"/>
      <protection locked="0"/>
    </xf>
    <xf numFmtId="170" fontId="3" fillId="5" borderId="6" xfId="0" applyNumberFormat="1" applyFont="1" applyFill="1" applyBorder="1" applyAlignment="1" applyProtection="1">
      <alignment wrapText="1"/>
      <protection locked="0"/>
    </xf>
    <xf numFmtId="166" fontId="3" fillId="5" borderId="6" xfId="0" applyNumberFormat="1" applyFont="1" applyFill="1" applyBorder="1" applyAlignment="1" applyProtection="1">
      <alignment wrapText="1"/>
      <protection locked="0"/>
    </xf>
    <xf numFmtId="0" fontId="15" fillId="11" borderId="52" xfId="0" applyFont="1" applyFill="1" applyBorder="1" applyAlignment="1">
      <alignment horizontal="center" wrapText="1"/>
    </xf>
    <xf numFmtId="0" fontId="15" fillId="11" borderId="53" xfId="0" applyFont="1" applyFill="1" applyBorder="1" applyAlignment="1">
      <alignment horizontal="center" wrapText="1"/>
    </xf>
    <xf numFmtId="0" fontId="15" fillId="11" borderId="54" xfId="0" applyFont="1" applyFill="1" applyBorder="1" applyAlignment="1">
      <alignment horizontal="center" wrapText="1"/>
    </xf>
    <xf numFmtId="0" fontId="15" fillId="12" borderId="52" xfId="0" applyFont="1" applyFill="1" applyBorder="1" applyAlignment="1">
      <alignment horizontal="center" wrapText="1"/>
    </xf>
    <xf numFmtId="0" fontId="15" fillId="12" borderId="53" xfId="0" applyFont="1" applyFill="1" applyBorder="1" applyAlignment="1">
      <alignment horizontal="center" wrapText="1"/>
    </xf>
    <xf numFmtId="0" fontId="15" fillId="12" borderId="54" xfId="0" applyFont="1" applyFill="1" applyBorder="1" applyAlignment="1">
      <alignment horizontal="center" wrapText="1"/>
    </xf>
    <xf numFmtId="171" fontId="3" fillId="5" borderId="46" xfId="0" applyNumberFormat="1" applyFont="1" applyFill="1" applyBorder="1" applyProtection="1">
      <protection locked="0"/>
    </xf>
    <xf numFmtId="0" fontId="3" fillId="0" borderId="6" xfId="0" applyFont="1" applyBorder="1" applyProtection="1">
      <protection locked="0"/>
    </xf>
    <xf numFmtId="0" fontId="3" fillId="0" borderId="44" xfId="0" applyFont="1" applyBorder="1" applyProtection="1">
      <protection locked="0"/>
    </xf>
    <xf numFmtId="1" fontId="3" fillId="0" borderId="46" xfId="0" applyNumberFormat="1" applyFont="1" applyBorder="1" applyProtection="1">
      <protection locked="0"/>
    </xf>
    <xf numFmtId="172" fontId="3" fillId="0" borderId="44" xfId="0" applyNumberFormat="1" applyFont="1" applyBorder="1" applyProtection="1">
      <protection locked="0"/>
    </xf>
    <xf numFmtId="173" fontId="3" fillId="0" borderId="46" xfId="0" applyNumberFormat="1" applyFont="1" applyBorder="1" applyProtection="1">
      <protection locked="0"/>
    </xf>
    <xf numFmtId="167" fontId="3" fillId="0" borderId="6" xfId="0" applyNumberFormat="1" applyFont="1" applyBorder="1" applyProtection="1">
      <protection locked="0"/>
    </xf>
    <xf numFmtId="2" fontId="3" fillId="5" borderId="6" xfId="0" applyNumberFormat="1" applyFont="1" applyFill="1" applyBorder="1" applyProtection="1">
      <protection locked="0"/>
    </xf>
    <xf numFmtId="170" fontId="3" fillId="0" borderId="6" xfId="0" applyNumberFormat="1" applyFont="1" applyBorder="1" applyProtection="1">
      <protection locked="0"/>
    </xf>
    <xf numFmtId="3" fontId="3" fillId="5" borderId="46" xfId="0" applyNumberFormat="1" applyFont="1" applyFill="1" applyBorder="1"/>
    <xf numFmtId="3" fontId="3" fillId="5" borderId="6" xfId="0" applyNumberFormat="1" applyFont="1" applyFill="1" applyBorder="1"/>
    <xf numFmtId="3" fontId="3" fillId="5" borderId="12" xfId="0" applyNumberFormat="1" applyFont="1" applyFill="1" applyBorder="1"/>
    <xf numFmtId="1" fontId="3" fillId="5" borderId="57" xfId="0" applyNumberFormat="1" applyFont="1" applyFill="1" applyBorder="1" applyAlignment="1" applyProtection="1">
      <alignment wrapText="1"/>
      <protection locked="0"/>
    </xf>
    <xf numFmtId="1" fontId="3" fillId="5" borderId="6" xfId="0" applyNumberFormat="1" applyFont="1" applyFill="1" applyBorder="1" applyAlignment="1" applyProtection="1">
      <alignment wrapText="1"/>
      <protection locked="0"/>
    </xf>
    <xf numFmtId="172" fontId="3" fillId="0" borderId="36" xfId="0" applyNumberFormat="1" applyFont="1" applyBorder="1" applyProtection="1">
      <protection locked="0"/>
    </xf>
    <xf numFmtId="173" fontId="3" fillId="0" borderId="37" xfId="0" applyNumberFormat="1" applyFont="1" applyBorder="1" applyProtection="1">
      <protection locked="0"/>
    </xf>
    <xf numFmtId="167" fontId="3" fillId="0" borderId="2" xfId="0" applyNumberFormat="1" applyFont="1" applyBorder="1" applyProtection="1">
      <protection locked="0"/>
    </xf>
    <xf numFmtId="2" fontId="3" fillId="5" borderId="2" xfId="0" applyNumberFormat="1" applyFont="1" applyFill="1" applyBorder="1" applyProtection="1">
      <protection locked="0"/>
    </xf>
    <xf numFmtId="170" fontId="3" fillId="0" borderId="2" xfId="0" applyNumberFormat="1" applyFont="1" applyBorder="1" applyProtection="1">
      <protection locked="0"/>
    </xf>
    <xf numFmtId="1" fontId="3" fillId="5" borderId="58" xfId="0" applyNumberFormat="1" applyFont="1" applyFill="1" applyBorder="1" applyAlignment="1" applyProtection="1">
      <alignment wrapText="1"/>
      <protection locked="0"/>
    </xf>
    <xf numFmtId="1" fontId="3" fillId="5" borderId="2" xfId="0" applyNumberFormat="1" applyFont="1" applyFill="1" applyBorder="1" applyAlignment="1" applyProtection="1">
      <alignment wrapText="1"/>
      <protection locked="0"/>
    </xf>
    <xf numFmtId="10" fontId="3" fillId="14" borderId="0" xfId="0" applyNumberFormat="1" applyFont="1" applyFill="1"/>
    <xf numFmtId="10" fontId="3" fillId="14" borderId="28" xfId="0" applyNumberFormat="1" applyFont="1" applyFill="1" applyBorder="1"/>
    <xf numFmtId="3" fontId="15" fillId="14" borderId="6" xfId="0" applyNumberFormat="1" applyFont="1" applyFill="1" applyBorder="1"/>
    <xf numFmtId="3" fontId="15" fillId="10" borderId="2" xfId="0" applyNumberFormat="1" applyFont="1" applyFill="1" applyBorder="1"/>
    <xf numFmtId="0" fontId="15" fillId="9" borderId="59" xfId="0" applyFont="1" applyFill="1" applyBorder="1" applyAlignment="1">
      <alignment horizontal="right" wrapText="1"/>
    </xf>
    <xf numFmtId="0" fontId="3" fillId="9" borderId="59" xfId="0" applyFont="1" applyFill="1" applyBorder="1" applyAlignment="1">
      <alignment horizontal="right"/>
    </xf>
    <xf numFmtId="3" fontId="3" fillId="0" borderId="60" xfId="0" applyNumberFormat="1" applyFont="1" applyBorder="1" applyProtection="1">
      <protection locked="0"/>
    </xf>
    <xf numFmtId="171" fontId="3" fillId="5" borderId="61" xfId="0" applyNumberFormat="1" applyFont="1" applyFill="1" applyBorder="1" applyProtection="1">
      <protection locked="0"/>
    </xf>
    <xf numFmtId="0" fontId="3" fillId="0" borderId="26" xfId="0" applyFont="1" applyBorder="1" applyProtection="1">
      <protection locked="0"/>
    </xf>
    <xf numFmtId="0" fontId="3" fillId="0" borderId="62" xfId="0" applyFont="1" applyBorder="1" applyProtection="1">
      <protection locked="0"/>
    </xf>
    <xf numFmtId="1" fontId="3" fillId="0" borderId="61" xfId="0" applyNumberFormat="1" applyFont="1" applyBorder="1" applyProtection="1">
      <protection locked="0"/>
    </xf>
    <xf numFmtId="172" fontId="3" fillId="0" borderId="63" xfId="0" applyNumberFormat="1" applyFont="1" applyBorder="1" applyProtection="1">
      <protection locked="0"/>
    </xf>
    <xf numFmtId="166" fontId="3" fillId="0" borderId="26" xfId="0" applyNumberFormat="1" applyFont="1" applyBorder="1" applyProtection="1">
      <protection locked="0"/>
    </xf>
    <xf numFmtId="167" fontId="3" fillId="0" borderId="64" xfId="0" applyNumberFormat="1" applyFont="1" applyBorder="1" applyProtection="1">
      <protection locked="0"/>
    </xf>
    <xf numFmtId="2" fontId="3" fillId="5" borderId="64" xfId="0" applyNumberFormat="1" applyFont="1" applyFill="1" applyBorder="1" applyProtection="1">
      <protection locked="0"/>
    </xf>
    <xf numFmtId="170" fontId="3" fillId="0" borderId="64" xfId="0" applyNumberFormat="1" applyFont="1" applyBorder="1" applyProtection="1">
      <protection locked="0"/>
    </xf>
    <xf numFmtId="3" fontId="3" fillId="5" borderId="62" xfId="0" applyNumberFormat="1" applyFont="1" applyFill="1" applyBorder="1"/>
    <xf numFmtId="3" fontId="3" fillId="5" borderId="61" xfId="0" applyNumberFormat="1" applyFont="1" applyFill="1" applyBorder="1"/>
    <xf numFmtId="169" fontId="3" fillId="5" borderId="26" xfId="0" applyNumberFormat="1" applyFont="1" applyFill="1" applyBorder="1"/>
    <xf numFmtId="169" fontId="3" fillId="5" borderId="64" xfId="0" applyNumberFormat="1" applyFont="1" applyFill="1" applyBorder="1"/>
    <xf numFmtId="3" fontId="3" fillId="5" borderId="26" xfId="0" applyNumberFormat="1" applyFont="1" applyFill="1" applyBorder="1"/>
    <xf numFmtId="3" fontId="3" fillId="5" borderId="29" xfId="0" applyNumberFormat="1" applyFont="1" applyFill="1" applyBorder="1"/>
    <xf numFmtId="1" fontId="3" fillId="5" borderId="64" xfId="0" applyNumberFormat="1" applyFont="1" applyFill="1" applyBorder="1" applyAlignment="1" applyProtection="1">
      <alignment wrapText="1"/>
      <protection locked="0"/>
    </xf>
    <xf numFmtId="1" fontId="3" fillId="5" borderId="26" xfId="0" applyNumberFormat="1" applyFont="1" applyFill="1" applyBorder="1" applyAlignment="1" applyProtection="1">
      <alignment wrapText="1"/>
      <protection locked="0"/>
    </xf>
    <xf numFmtId="0" fontId="15" fillId="9" borderId="65" xfId="0" applyFont="1" applyFill="1" applyBorder="1" applyAlignment="1">
      <alignment horizontal="right" wrapText="1"/>
    </xf>
    <xf numFmtId="0" fontId="3" fillId="9" borderId="65" xfId="0" applyFont="1" applyFill="1" applyBorder="1" applyAlignment="1">
      <alignment horizontal="right"/>
    </xf>
    <xf numFmtId="3" fontId="3" fillId="0" borderId="66" xfId="0" applyNumberFormat="1" applyFont="1" applyBorder="1" applyProtection="1">
      <protection locked="0"/>
    </xf>
    <xf numFmtId="171" fontId="3" fillId="5" borderId="66" xfId="0" applyNumberFormat="1" applyFont="1" applyFill="1" applyBorder="1" applyProtection="1">
      <protection locked="0"/>
    </xf>
    <xf numFmtId="0" fontId="3" fillId="0" borderId="67" xfId="0" applyFont="1" applyBorder="1" applyProtection="1">
      <protection locked="0"/>
    </xf>
    <xf numFmtId="0" fontId="3" fillId="0" borderId="68" xfId="0" applyFont="1" applyBorder="1" applyProtection="1">
      <protection locked="0"/>
    </xf>
    <xf numFmtId="1" fontId="3" fillId="0" borderId="66" xfId="0" applyNumberFormat="1" applyFont="1" applyBorder="1" applyProtection="1">
      <protection locked="0"/>
    </xf>
    <xf numFmtId="172" fontId="3" fillId="0" borderId="68" xfId="0" applyNumberFormat="1" applyFont="1" applyBorder="1" applyProtection="1">
      <protection locked="0"/>
    </xf>
    <xf numFmtId="166" fontId="3" fillId="0" borderId="67" xfId="0" applyNumberFormat="1" applyFont="1" applyBorder="1" applyProtection="1">
      <protection locked="0"/>
    </xf>
    <xf numFmtId="167" fontId="3" fillId="0" borderId="67" xfId="0" applyNumberFormat="1" applyFont="1" applyBorder="1" applyProtection="1">
      <protection locked="0"/>
    </xf>
    <xf numFmtId="2" fontId="3" fillId="5" borderId="67" xfId="0" applyNumberFormat="1" applyFont="1" applyFill="1" applyBorder="1" applyProtection="1">
      <protection locked="0"/>
    </xf>
    <xf numFmtId="170" fontId="3" fillId="0" borderId="67" xfId="0" applyNumberFormat="1" applyFont="1" applyBorder="1" applyProtection="1">
      <protection locked="0"/>
    </xf>
    <xf numFmtId="3" fontId="3" fillId="5" borderId="68" xfId="0" applyNumberFormat="1" applyFont="1" applyFill="1" applyBorder="1"/>
    <xf numFmtId="3" fontId="3" fillId="5" borderId="66" xfId="0" applyNumberFormat="1" applyFont="1" applyFill="1" applyBorder="1"/>
    <xf numFmtId="169" fontId="3" fillId="5" borderId="67" xfId="0" applyNumberFormat="1" applyFont="1" applyFill="1" applyBorder="1"/>
    <xf numFmtId="3" fontId="3" fillId="5" borderId="67" xfId="0" applyNumberFormat="1" applyFont="1" applyFill="1" applyBorder="1"/>
    <xf numFmtId="3" fontId="3" fillId="5" borderId="69" xfId="0" applyNumberFormat="1" applyFont="1" applyFill="1" applyBorder="1"/>
    <xf numFmtId="1" fontId="3" fillId="5" borderId="67" xfId="0" applyNumberFormat="1" applyFont="1" applyFill="1" applyBorder="1" applyAlignment="1" applyProtection="1">
      <alignment wrapText="1"/>
      <protection locked="0"/>
    </xf>
    <xf numFmtId="1" fontId="3" fillId="0" borderId="16" xfId="0" applyNumberFormat="1" applyFont="1" applyBorder="1"/>
    <xf numFmtId="10" fontId="15" fillId="10" borderId="33" xfId="0" applyNumberFormat="1" applyFont="1" applyFill="1" applyBorder="1"/>
    <xf numFmtId="0" fontId="15" fillId="11" borderId="70" xfId="0" applyFont="1" applyFill="1" applyBorder="1" applyAlignment="1">
      <alignment horizontal="center" wrapText="1"/>
    </xf>
    <xf numFmtId="1" fontId="3" fillId="5" borderId="71" xfId="0" applyNumberFormat="1" applyFont="1" applyFill="1" applyBorder="1" applyAlignment="1" applyProtection="1">
      <alignment wrapText="1"/>
      <protection locked="0"/>
    </xf>
    <xf numFmtId="1" fontId="3" fillId="5" borderId="72" xfId="0" applyNumberFormat="1" applyFont="1" applyFill="1" applyBorder="1" applyAlignment="1" applyProtection="1">
      <alignment wrapText="1"/>
      <protection locked="0"/>
    </xf>
    <xf numFmtId="173" fontId="3" fillId="0" borderId="31" xfId="0" applyNumberFormat="1" applyFont="1" applyBorder="1" applyProtection="1">
      <protection locked="0"/>
    </xf>
    <xf numFmtId="0" fontId="3" fillId="0" borderId="0" xfId="0" applyFont="1" applyProtection="1">
      <protection locked="0"/>
    </xf>
    <xf numFmtId="9" fontId="3" fillId="0" borderId="0" xfId="0" applyNumberFormat="1" applyFont="1" applyProtection="1">
      <protection locked="0"/>
    </xf>
    <xf numFmtId="10" fontId="3" fillId="0" borderId="0" xfId="0" applyNumberFormat="1" applyFont="1" applyProtection="1">
      <protection locked="0"/>
    </xf>
    <xf numFmtId="2" fontId="3" fillId="0" borderId="0" xfId="0" applyNumberFormat="1" applyFont="1" applyProtection="1">
      <protection locked="0"/>
    </xf>
    <xf numFmtId="0" fontId="17" fillId="5" borderId="0" xfId="0" applyFont="1" applyFill="1"/>
    <xf numFmtId="9" fontId="4" fillId="2" borderId="2" xfId="0" applyNumberFormat="1" applyFont="1" applyFill="1" applyBorder="1" applyProtection="1">
      <protection locked="0"/>
    </xf>
    <xf numFmtId="0" fontId="17" fillId="5" borderId="0" xfId="0" applyFont="1" applyFill="1" applyProtection="1">
      <protection locked="0"/>
    </xf>
    <xf numFmtId="0" fontId="3" fillId="5" borderId="0" xfId="0" applyFont="1" applyFill="1" applyProtection="1">
      <protection locked="0"/>
    </xf>
    <xf numFmtId="0" fontId="4" fillId="5" borderId="0" xfId="0" applyFont="1" applyFill="1" applyAlignment="1" applyProtection="1">
      <alignment vertical="top" wrapText="1"/>
      <protection locked="0"/>
    </xf>
    <xf numFmtId="0" fontId="6" fillId="5" borderId="0" xfId="0" applyFont="1" applyFill="1" applyProtection="1">
      <protection locked="0"/>
    </xf>
    <xf numFmtId="0" fontId="4" fillId="5" borderId="0" xfId="0" applyFont="1" applyFill="1" applyProtection="1">
      <protection locked="0"/>
    </xf>
    <xf numFmtId="0" fontId="11" fillId="5" borderId="0" xfId="0" applyFont="1" applyFill="1"/>
    <xf numFmtId="0" fontId="4" fillId="5" borderId="2" xfId="0" applyFont="1" applyFill="1" applyBorder="1"/>
    <xf numFmtId="0" fontId="17" fillId="5" borderId="2" xfId="0" applyFont="1" applyFill="1" applyBorder="1"/>
    <xf numFmtId="9" fontId="4" fillId="3" borderId="2" xfId="0" applyNumberFormat="1" applyFont="1" applyFill="1" applyBorder="1"/>
    <xf numFmtId="0" fontId="18" fillId="5" borderId="0" xfId="0" applyFont="1" applyFill="1"/>
    <xf numFmtId="0" fontId="17" fillId="3" borderId="2" xfId="0" applyFont="1" applyFill="1" applyBorder="1"/>
    <xf numFmtId="9" fontId="4" fillId="5" borderId="0" xfId="0" applyNumberFormat="1" applyFont="1" applyFill="1"/>
    <xf numFmtId="9" fontId="19" fillId="5" borderId="0" xfId="0" applyNumberFormat="1" applyFont="1" applyFill="1"/>
    <xf numFmtId="0" fontId="17" fillId="0" borderId="2" xfId="0" applyFont="1" applyBorder="1"/>
    <xf numFmtId="0" fontId="7" fillId="3" borderId="2" xfId="0" applyFont="1" applyFill="1" applyBorder="1"/>
    <xf numFmtId="0" fontId="7" fillId="2" borderId="2" xfId="0" applyFont="1" applyFill="1" applyBorder="1"/>
    <xf numFmtId="1" fontId="15" fillId="10" borderId="32" xfId="0" applyNumberFormat="1" applyFont="1" applyFill="1" applyBorder="1"/>
    <xf numFmtId="0" fontId="4" fillId="5" borderId="0" xfId="0" applyFont="1" applyFill="1"/>
    <xf numFmtId="9" fontId="17" fillId="16" borderId="6" xfId="0" applyNumberFormat="1" applyFont="1" applyFill="1" applyBorder="1"/>
    <xf numFmtId="9" fontId="17" fillId="16" borderId="74" xfId="0" applyNumberFormat="1" applyFont="1" applyFill="1" applyBorder="1"/>
    <xf numFmtId="0" fontId="17" fillId="17" borderId="75" xfId="0" applyFont="1" applyFill="1" applyBorder="1"/>
    <xf numFmtId="165" fontId="4" fillId="17" borderId="76" xfId="0" applyNumberFormat="1" applyFont="1" applyFill="1" applyBorder="1"/>
    <xf numFmtId="165" fontId="4" fillId="0" borderId="2" xfId="0" applyNumberFormat="1" applyFont="1" applyBorder="1"/>
    <xf numFmtId="165" fontId="4" fillId="0" borderId="77" xfId="0" applyNumberFormat="1" applyFont="1" applyBorder="1"/>
    <xf numFmtId="0" fontId="17" fillId="17" borderId="78" xfId="0" applyFont="1" applyFill="1" applyBorder="1"/>
    <xf numFmtId="0" fontId="17" fillId="16" borderId="75" xfId="0" applyFont="1" applyFill="1" applyBorder="1"/>
    <xf numFmtId="165" fontId="4" fillId="0" borderId="76" xfId="0" applyNumberFormat="1" applyFont="1" applyBorder="1"/>
    <xf numFmtId="0" fontId="17" fillId="16" borderId="78" xfId="0" applyFont="1" applyFill="1" applyBorder="1"/>
    <xf numFmtId="165" fontId="4" fillId="0" borderId="79" xfId="0" applyNumberFormat="1" applyFont="1" applyBorder="1"/>
    <xf numFmtId="165" fontId="4" fillId="0" borderId="80" xfId="0" applyNumberFormat="1" applyFont="1" applyBorder="1"/>
    <xf numFmtId="165" fontId="4" fillId="0" borderId="81" xfId="0" applyNumberFormat="1" applyFont="1" applyBorder="1"/>
    <xf numFmtId="1" fontId="4" fillId="17" borderId="76" xfId="0" applyNumberFormat="1" applyFont="1" applyFill="1" applyBorder="1"/>
    <xf numFmtId="1" fontId="4" fillId="0" borderId="2" xfId="0" applyNumberFormat="1" applyFont="1" applyBorder="1"/>
    <xf numFmtId="164" fontId="4" fillId="17" borderId="76" xfId="0" applyNumberFormat="1" applyFont="1" applyFill="1" applyBorder="1"/>
    <xf numFmtId="164" fontId="4" fillId="0" borderId="2" xfId="0" applyNumberFormat="1" applyFont="1" applyBorder="1"/>
    <xf numFmtId="164" fontId="4" fillId="0" borderId="77" xfId="0" applyNumberFormat="1" applyFont="1" applyBorder="1"/>
    <xf numFmtId="164" fontId="4" fillId="0" borderId="76" xfId="0" applyNumberFormat="1" applyFont="1" applyBorder="1"/>
    <xf numFmtId="1" fontId="4" fillId="0" borderId="77" xfId="0" applyNumberFormat="1" applyFont="1" applyBorder="1"/>
    <xf numFmtId="1" fontId="4" fillId="0" borderId="76" xfId="0" applyNumberFormat="1" applyFont="1" applyBorder="1"/>
    <xf numFmtId="1" fontId="4" fillId="0" borderId="79" xfId="0" applyNumberFormat="1" applyFont="1" applyBorder="1"/>
    <xf numFmtId="1" fontId="4" fillId="0" borderId="80" xfId="0" applyNumberFormat="1" applyFont="1" applyBorder="1"/>
    <xf numFmtId="1" fontId="4" fillId="0" borderId="81" xfId="0" applyNumberFormat="1" applyFont="1" applyBorder="1"/>
    <xf numFmtId="164" fontId="4" fillId="0" borderId="80" xfId="0" applyNumberFormat="1" applyFont="1" applyBorder="1"/>
    <xf numFmtId="164" fontId="4" fillId="0" borderId="81" xfId="0" applyNumberFormat="1" applyFont="1" applyBorder="1"/>
    <xf numFmtId="164" fontId="4" fillId="0" borderId="79" xfId="0" applyNumberFormat="1" applyFont="1" applyBorder="1"/>
    <xf numFmtId="0" fontId="20" fillId="5" borderId="0" xfId="0" applyFont="1" applyFill="1"/>
    <xf numFmtId="2" fontId="4" fillId="17" borderId="76" xfId="0" applyNumberFormat="1" applyFont="1" applyFill="1" applyBorder="1"/>
    <xf numFmtId="2" fontId="4" fillId="0" borderId="2" xfId="0" applyNumberFormat="1" applyFont="1" applyBorder="1"/>
    <xf numFmtId="2" fontId="4" fillId="0" borderId="77" xfId="0" applyNumberFormat="1" applyFont="1" applyBorder="1"/>
    <xf numFmtId="2" fontId="4" fillId="0" borderId="76" xfId="0" applyNumberFormat="1" applyFont="1" applyBorder="1"/>
    <xf numFmtId="2" fontId="4" fillId="0" borderId="79" xfId="0" applyNumberFormat="1" applyFont="1" applyBorder="1"/>
    <xf numFmtId="2" fontId="4" fillId="0" borderId="80" xfId="0" applyNumberFormat="1" applyFont="1" applyBorder="1"/>
    <xf numFmtId="2" fontId="4" fillId="0" borderId="81" xfId="0" applyNumberFormat="1" applyFont="1" applyBorder="1"/>
    <xf numFmtId="9" fontId="17" fillId="17" borderId="82" xfId="0" applyNumberFormat="1" applyFont="1" applyFill="1" applyBorder="1"/>
    <xf numFmtId="43" fontId="4" fillId="17" borderId="76" xfId="0" applyNumberFormat="1" applyFont="1" applyFill="1" applyBorder="1"/>
    <xf numFmtId="43" fontId="4" fillId="0" borderId="2" xfId="0" applyNumberFormat="1" applyFont="1" applyBorder="1"/>
    <xf numFmtId="43" fontId="4" fillId="0" borderId="77" xfId="0" applyNumberFormat="1" applyFont="1" applyBorder="1"/>
    <xf numFmtId="43" fontId="4" fillId="0" borderId="76" xfId="0" applyNumberFormat="1" applyFont="1" applyBorder="1"/>
    <xf numFmtId="0" fontId="21" fillId="5" borderId="0" xfId="0" applyFont="1" applyFill="1" applyProtection="1">
      <protection locked="0"/>
    </xf>
    <xf numFmtId="0" fontId="1" fillId="0" borderId="0" xfId="0" applyFont="1" applyAlignment="1">
      <alignment horizontal="left" vertical="top" wrapText="1"/>
    </xf>
    <xf numFmtId="0" fontId="9" fillId="0" borderId="0" xfId="0" applyFont="1" applyAlignment="1">
      <alignment horizontal="left" wrapText="1"/>
    </xf>
    <xf numFmtId="0" fontId="1" fillId="0" borderId="0" xfId="0" applyFont="1" applyAlignment="1">
      <alignment horizontal="left" vertical="center" wrapText="1"/>
    </xf>
    <xf numFmtId="0" fontId="1" fillId="0" borderId="0" xfId="0" applyFont="1" applyAlignment="1">
      <alignment horizontal="left"/>
    </xf>
    <xf numFmtId="0" fontId="1" fillId="0" borderId="7" xfId="0" applyFont="1" applyBorder="1" applyAlignment="1">
      <alignment horizontal="left"/>
    </xf>
    <xf numFmtId="0" fontId="1" fillId="0" borderId="0" xfId="0" applyFont="1" applyAlignment="1">
      <alignment horizontal="left" wrapText="1"/>
    </xf>
    <xf numFmtId="0" fontId="1" fillId="0" borderId="7" xfId="0" applyFont="1" applyBorder="1" applyAlignment="1">
      <alignment horizontal="left" wrapText="1"/>
    </xf>
    <xf numFmtId="0" fontId="4" fillId="0" borderId="0" xfId="0" applyFont="1" applyAlignment="1">
      <alignment horizontal="left" vertical="center" wrapText="1"/>
    </xf>
    <xf numFmtId="0" fontId="4" fillId="0" borderId="0" xfId="0" applyFont="1" applyAlignment="1">
      <alignment horizontal="left" vertical="center"/>
    </xf>
    <xf numFmtId="0" fontId="4" fillId="0" borderId="0" xfId="0" applyFont="1" applyAlignment="1">
      <alignment horizontal="left" vertical="top" wrapText="1"/>
    </xf>
    <xf numFmtId="0" fontId="6" fillId="3" borderId="0" xfId="0" applyFont="1" applyFill="1" applyAlignment="1">
      <alignment horizontal="center"/>
    </xf>
    <xf numFmtId="0" fontId="12" fillId="5" borderId="13" xfId="0" applyFont="1" applyFill="1" applyBorder="1" applyAlignment="1">
      <alignment horizontal="center" vertical="center" wrapText="1"/>
    </xf>
    <xf numFmtId="0" fontId="12" fillId="5" borderId="14" xfId="0" applyFont="1" applyFill="1" applyBorder="1" applyAlignment="1">
      <alignment horizontal="center" vertical="center" wrapText="1"/>
    </xf>
    <xf numFmtId="0" fontId="12" fillId="5" borderId="15" xfId="0" applyFont="1" applyFill="1" applyBorder="1" applyAlignment="1">
      <alignment horizontal="center" vertical="center" wrapText="1"/>
    </xf>
    <xf numFmtId="0" fontId="12" fillId="5" borderId="16" xfId="0" applyFont="1" applyFill="1" applyBorder="1" applyAlignment="1">
      <alignment horizontal="center" vertical="center" wrapText="1"/>
    </xf>
    <xf numFmtId="0" fontId="12" fillId="5" borderId="17" xfId="0" applyFont="1" applyFill="1" applyBorder="1" applyAlignment="1">
      <alignment horizontal="center" vertical="center" wrapText="1"/>
    </xf>
    <xf numFmtId="0" fontId="12" fillId="5" borderId="18" xfId="0" applyFont="1" applyFill="1" applyBorder="1" applyAlignment="1">
      <alignment horizontal="center" vertical="center" wrapText="1"/>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2" fillId="5" borderId="21" xfId="0" applyFont="1" applyFill="1" applyBorder="1" applyAlignment="1">
      <alignment horizontal="center" vertical="center"/>
    </xf>
    <xf numFmtId="0" fontId="12" fillId="6" borderId="19"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2" xfId="0" applyFont="1" applyFill="1" applyBorder="1" applyAlignment="1">
      <alignment horizontal="center" vertical="center" wrapText="1"/>
    </xf>
    <xf numFmtId="0" fontId="12" fillId="6" borderId="23" xfId="0" applyFont="1" applyFill="1" applyBorder="1" applyAlignment="1">
      <alignment horizontal="center" vertical="center" wrapText="1"/>
    </xf>
    <xf numFmtId="0" fontId="12" fillId="5" borderId="24" xfId="0" applyFont="1" applyFill="1" applyBorder="1" applyAlignment="1">
      <alignment horizontal="center" vertical="center" wrapText="1"/>
    </xf>
    <xf numFmtId="0" fontId="12" fillId="5" borderId="25" xfId="0" applyFont="1" applyFill="1" applyBorder="1" applyAlignment="1">
      <alignment horizontal="center" vertical="center" wrapText="1"/>
    </xf>
    <xf numFmtId="0" fontId="3" fillId="0" borderId="0" xfId="0" applyFont="1" applyAlignment="1">
      <alignment horizontal="center" wrapText="1"/>
    </xf>
    <xf numFmtId="0" fontId="3" fillId="0" borderId="0" xfId="0" applyFont="1" applyAlignment="1">
      <alignment horizontal="center"/>
    </xf>
    <xf numFmtId="0" fontId="15" fillId="13" borderId="47" xfId="0" applyFont="1" applyFill="1" applyBorder="1" applyAlignment="1">
      <alignment horizontal="center"/>
    </xf>
    <xf numFmtId="0" fontId="15" fillId="13" borderId="48" xfId="0" applyFont="1" applyFill="1" applyBorder="1" applyAlignment="1">
      <alignment horizontal="center"/>
    </xf>
    <xf numFmtId="0" fontId="15" fillId="13" borderId="49" xfId="0" applyFont="1" applyFill="1" applyBorder="1" applyAlignment="1">
      <alignment horizontal="center"/>
    </xf>
    <xf numFmtId="0" fontId="15" fillId="9" borderId="45" xfId="0" applyFont="1" applyFill="1" applyBorder="1" applyAlignment="1">
      <alignment horizontal="right"/>
    </xf>
    <xf numFmtId="0" fontId="15" fillId="9" borderId="50" xfId="0" applyFont="1" applyFill="1" applyBorder="1" applyAlignment="1">
      <alignment horizontal="right"/>
    </xf>
    <xf numFmtId="0" fontId="15" fillId="9" borderId="38" xfId="0" applyFont="1" applyFill="1" applyBorder="1" applyAlignment="1">
      <alignment horizontal="center" wrapText="1"/>
    </xf>
    <xf numFmtId="0" fontId="15" fillId="9" borderId="51" xfId="0" applyFont="1" applyFill="1" applyBorder="1" applyAlignment="1">
      <alignment horizontal="center" wrapText="1"/>
    </xf>
    <xf numFmtId="0" fontId="16" fillId="11" borderId="52" xfId="0" applyFont="1" applyFill="1" applyBorder="1" applyAlignment="1">
      <alignment horizontal="center"/>
    </xf>
    <xf numFmtId="0" fontId="16" fillId="11" borderId="53" xfId="0" applyFont="1" applyFill="1" applyBorder="1" applyAlignment="1">
      <alignment horizontal="center"/>
    </xf>
    <xf numFmtId="0" fontId="16" fillId="11" borderId="54" xfId="0" applyFont="1" applyFill="1" applyBorder="1" applyAlignment="1">
      <alignment horizontal="center"/>
    </xf>
    <xf numFmtId="0" fontId="15" fillId="2" borderId="52" xfId="0" applyFont="1" applyFill="1" applyBorder="1" applyAlignment="1">
      <alignment horizontal="center"/>
    </xf>
    <xf numFmtId="0" fontId="15" fillId="2" borderId="53" xfId="0" applyFont="1" applyFill="1" applyBorder="1" applyAlignment="1">
      <alignment horizontal="center"/>
    </xf>
    <xf numFmtId="0" fontId="15" fillId="2" borderId="54" xfId="0" applyFont="1" applyFill="1" applyBorder="1" applyAlignment="1">
      <alignment horizontal="center"/>
    </xf>
    <xf numFmtId="0" fontId="16" fillId="15" borderId="52" xfId="0" applyFont="1" applyFill="1" applyBorder="1" applyAlignment="1">
      <alignment horizontal="center"/>
    </xf>
    <xf numFmtId="0" fontId="16" fillId="15" borderId="53" xfId="0" applyFont="1" applyFill="1" applyBorder="1" applyAlignment="1">
      <alignment horizontal="center"/>
    </xf>
    <xf numFmtId="0" fontId="16" fillId="15" borderId="54" xfId="0" applyFont="1" applyFill="1" applyBorder="1" applyAlignment="1">
      <alignment horizontal="center"/>
    </xf>
    <xf numFmtId="0" fontId="15" fillId="13" borderId="55" xfId="0" applyFont="1" applyFill="1" applyBorder="1" applyAlignment="1">
      <alignment horizontal="center"/>
    </xf>
    <xf numFmtId="0" fontId="15" fillId="13" borderId="56" xfId="0" applyFont="1" applyFill="1" applyBorder="1" applyAlignment="1">
      <alignment horizontal="center"/>
    </xf>
    <xf numFmtId="0" fontId="15" fillId="9" borderId="38" xfId="0" applyFont="1" applyFill="1" applyBorder="1" applyAlignment="1">
      <alignment horizontal="right"/>
    </xf>
    <xf numFmtId="0" fontId="15" fillId="9" borderId="51" xfId="0" applyFont="1" applyFill="1" applyBorder="1" applyAlignment="1">
      <alignment horizontal="right"/>
    </xf>
    <xf numFmtId="0" fontId="16" fillId="11" borderId="19" xfId="0" applyFont="1" applyFill="1" applyBorder="1" applyAlignment="1">
      <alignment horizontal="center"/>
    </xf>
    <xf numFmtId="0" fontId="16" fillId="11" borderId="24" xfId="0" applyFont="1" applyFill="1" applyBorder="1" applyAlignment="1">
      <alignment horizontal="center"/>
    </xf>
    <xf numFmtId="0" fontId="16" fillId="11" borderId="17" xfId="0" applyFont="1" applyFill="1" applyBorder="1" applyAlignment="1">
      <alignment horizontal="center"/>
    </xf>
    <xf numFmtId="0" fontId="18" fillId="5" borderId="73" xfId="0" applyFont="1" applyFill="1" applyBorder="1" applyAlignment="1">
      <alignment horizontal="left"/>
    </xf>
    <xf numFmtId="0" fontId="7" fillId="5" borderId="29" xfId="0" applyFont="1" applyFill="1" applyBorder="1" applyAlignment="1">
      <alignment horizontal="left" vertical="top" wrapText="1"/>
    </xf>
    <xf numFmtId="0" fontId="7" fillId="5" borderId="0" xfId="0" applyFont="1" applyFill="1" applyAlignment="1">
      <alignment horizontal="left" vertical="top" wrapText="1"/>
    </xf>
    <xf numFmtId="0" fontId="7" fillId="5" borderId="27" xfId="0" applyFont="1" applyFill="1" applyBorder="1" applyAlignment="1">
      <alignment horizontal="left" vertical="top" wrapText="1"/>
    </xf>
    <xf numFmtId="0" fontId="4" fillId="5" borderId="0" xfId="0" applyFont="1" applyFill="1" applyAlignment="1">
      <alignment horizontal="left" vertical="top" wrapText="1"/>
    </xf>
    <xf numFmtId="0" fontId="17" fillId="16" borderId="83" xfId="0" applyFont="1" applyFill="1" applyBorder="1" applyAlignment="1">
      <alignment horizontal="center"/>
    </xf>
    <xf numFmtId="0" fontId="17" fillId="16" borderId="84" xfId="0" applyFont="1" applyFill="1" applyBorder="1" applyAlignment="1">
      <alignment horizontal="center"/>
    </xf>
    <xf numFmtId="0" fontId="17" fillId="16" borderId="85" xfId="0" applyFont="1" applyFill="1" applyBorder="1" applyAlignment="1">
      <alignment horizontal="center"/>
    </xf>
    <xf numFmtId="0" fontId="17" fillId="16" borderId="86" xfId="0" applyFont="1" applyFill="1" applyBorder="1" applyAlignment="1">
      <alignment horizontal="center"/>
    </xf>
    <xf numFmtId="0" fontId="17" fillId="16" borderId="87" xfId="0" applyFont="1" applyFill="1" applyBorder="1" applyAlignment="1">
      <alignment horizontal="center"/>
    </xf>
    <xf numFmtId="0" fontId="17" fillId="16" borderId="88" xfId="0" applyFont="1" applyFill="1" applyBorder="1" applyAlignment="1">
      <alignment horizontal="center"/>
    </xf>
    <xf numFmtId="0" fontId="17" fillId="18" borderId="0" xfId="0" applyFont="1" applyFill="1" applyAlignment="1">
      <alignment horizontal="center" vertical="center"/>
    </xf>
    <xf numFmtId="0" fontId="17" fillId="16" borderId="78" xfId="0" applyFont="1" applyFill="1" applyBorder="1" applyAlignment="1">
      <alignment horizontal="center"/>
    </xf>
    <xf numFmtId="0" fontId="17" fillId="16" borderId="75" xfId="0" applyFont="1" applyFill="1" applyBorder="1" applyAlignment="1">
      <alignment horizontal="center"/>
    </xf>
    <xf numFmtId="0" fontId="17" fillId="16" borderId="89" xfId="0" applyFont="1" applyFill="1" applyBorder="1" applyAlignment="1">
      <alignment horizontal="center"/>
    </xf>
    <xf numFmtId="0" fontId="17" fillId="16" borderId="90" xfId="0" applyFont="1" applyFill="1" applyBorder="1" applyAlignment="1">
      <alignment horizontal="center"/>
    </xf>
  </cellXfs>
  <cellStyles count="1">
    <cellStyle name="Normal" xfId="0" builtinId="0"/>
  </cellStyles>
  <dxfs count="65">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fgColor theme="0"/>
          <bgColor theme="0"/>
        </patternFill>
      </fill>
    </dxf>
    <dxf>
      <font>
        <color theme="0"/>
      </font>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right/>
        <top/>
        <bottom/>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Results'!$V$87</c:f>
          <c:strCache>
            <c:ptCount val="1"/>
            <c:pt idx="0">
              <c:v>Averted overall illnesses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Results'!$V$111:$V$115</c:f>
              <c:strCache>
                <c:ptCount val="1"/>
                <c:pt idx="0">
                  <c:v>Base strategy</c:v>
                </c:pt>
              </c:strCache>
            </c:strRef>
          </c:cat>
          <c:val>
            <c:numRef>
              <c:f>'Scenario Results'!$W$111:$W$115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2EDC-4B3B-A060-E822AF3C3998}"/>
            </c:ext>
          </c:extLst>
        </c:ser>
        <c:ser>
          <c:idx val="1"/>
          <c:order val="1"/>
          <c:tx>
            <c:strRef>
              <c:f>'Scenario Results'!$X$110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Results'!$V$111:$V$115</c:f>
              <c:strCache>
                <c:ptCount val="1"/>
                <c:pt idx="0">
                  <c:v>Base strategy</c:v>
                </c:pt>
              </c:strCache>
            </c:strRef>
          </c:cat>
          <c:val>
            <c:numRef>
              <c:f>'Scenario Results'!$X$111:$X$115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EDC-4B3B-A060-E822AF3C3998}"/>
            </c:ext>
          </c:extLst>
        </c:ser>
        <c:ser>
          <c:idx val="2"/>
          <c:order val="2"/>
          <c:tx>
            <c:strRef>
              <c:f>'Scenario Results'!$Y$110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Results'!$V$111:$V$115</c:f>
              <c:strCache>
                <c:ptCount val="1"/>
                <c:pt idx="0">
                  <c:v>Base strategy</c:v>
                </c:pt>
              </c:strCache>
            </c:strRef>
          </c:cat>
          <c:val>
            <c:numRef>
              <c:f>'Scenario Results'!$Y$111:$Y$115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EDC-4B3B-A060-E822AF3C3998}"/>
            </c:ext>
          </c:extLst>
        </c:ser>
        <c:ser>
          <c:idx val="3"/>
          <c:order val="3"/>
          <c:tx>
            <c:strRef>
              <c:f>'Scenario Results'!$Z$110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Results'!$V$111:$V$115</c:f>
              <c:strCache>
                <c:ptCount val="1"/>
                <c:pt idx="0">
                  <c:v>Base strategy</c:v>
                </c:pt>
              </c:strCache>
            </c:strRef>
          </c:cat>
          <c:val>
            <c:numRef>
              <c:f>'Scenario Results'!$Z$111:$Z$115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EDC-4B3B-A060-E822AF3C3998}"/>
            </c:ext>
          </c:extLst>
        </c:ser>
        <c:ser>
          <c:idx val="4"/>
          <c:order val="4"/>
          <c:tx>
            <c:strRef>
              <c:f>'Scenario Results'!$AA$110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Results'!$V$111:$V$115</c:f>
              <c:strCache>
                <c:ptCount val="1"/>
                <c:pt idx="0">
                  <c:v>Base strategy</c:v>
                </c:pt>
              </c:strCache>
            </c:strRef>
          </c:cat>
          <c:val>
            <c:numRef>
              <c:f>'Scenario Results'!$AA$111:$AA$115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EDC-4B3B-A060-E822AF3C3998}"/>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Results'!$V$66</c:f>
          <c:strCache>
            <c:ptCount val="1"/>
            <c:pt idx="0">
              <c:v>Prevented Fraction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Results'!$V$6:$V$10</c:f>
              <c:strCache>
                <c:ptCount val="1"/>
                <c:pt idx="0">
                  <c:v>Base strategy</c:v>
                </c:pt>
              </c:strCache>
            </c:strRef>
          </c:cat>
          <c:val>
            <c:numRef>
              <c:f>'Scenario Results'!$W$6:$W$10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4EB1-4E2A-AD95-DC79BA0E815E}"/>
            </c:ext>
          </c:extLst>
        </c:ser>
        <c:ser>
          <c:idx val="1"/>
          <c:order val="1"/>
          <c:tx>
            <c:strRef>
              <c:f>'Scenario Results'!$X$5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Results'!$V$6:$V$10</c:f>
              <c:strCache>
                <c:ptCount val="1"/>
                <c:pt idx="0">
                  <c:v>Base strategy</c:v>
                </c:pt>
              </c:strCache>
            </c:strRef>
          </c:cat>
          <c:val>
            <c:numRef>
              <c:f>'Scenario Results'!$X$6:$X$10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4EB1-4E2A-AD95-DC79BA0E815E}"/>
            </c:ext>
          </c:extLst>
        </c:ser>
        <c:ser>
          <c:idx val="2"/>
          <c:order val="2"/>
          <c:tx>
            <c:strRef>
              <c:f>'Scenario Results'!$Y$5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Results'!$V$6:$V$10</c:f>
              <c:strCache>
                <c:ptCount val="1"/>
                <c:pt idx="0">
                  <c:v>Base strategy</c:v>
                </c:pt>
              </c:strCache>
            </c:strRef>
          </c:cat>
          <c:val>
            <c:numRef>
              <c:f>'Scenario Results'!$Y$6:$Y$10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4EB1-4E2A-AD95-DC79BA0E815E}"/>
            </c:ext>
          </c:extLst>
        </c:ser>
        <c:ser>
          <c:idx val="3"/>
          <c:order val="3"/>
          <c:tx>
            <c:strRef>
              <c:f>'Scenario Results'!$Z$5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Results'!$V$6:$V$10</c:f>
              <c:strCache>
                <c:ptCount val="1"/>
                <c:pt idx="0">
                  <c:v>Base strategy</c:v>
                </c:pt>
              </c:strCache>
            </c:strRef>
          </c:cat>
          <c:val>
            <c:numRef>
              <c:f>'Scenario Results'!$Z$6:$Z$10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4EB1-4E2A-AD95-DC79BA0E815E}"/>
            </c:ext>
          </c:extLst>
        </c:ser>
        <c:ser>
          <c:idx val="4"/>
          <c:order val="4"/>
          <c:tx>
            <c:strRef>
              <c:f>'Scenario Results'!$AA$5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Results'!$V$6:$V$10</c:f>
              <c:strCache>
                <c:ptCount val="1"/>
                <c:pt idx="0">
                  <c:v>Base strategy</c:v>
                </c:pt>
              </c:strCache>
            </c:strRef>
          </c:cat>
          <c:val>
            <c:numRef>
              <c:f>'Scenario Results'!$AA$6:$AA$10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4EB1-4E2A-AD95-DC79BA0E815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Results'!$O$87</c:f>
          <c:strCache>
            <c:ptCount val="1"/>
            <c:pt idx="0">
              <c:v>Averted overall illnesses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Results'!$O$111:$O$115</c:f>
              <c:strCache>
                <c:ptCount val="1"/>
                <c:pt idx="0">
                  <c:v>Base strategy</c:v>
                </c:pt>
              </c:strCache>
            </c:strRef>
          </c:cat>
          <c:val>
            <c:numRef>
              <c:f>'Scenario Results'!$P$111:$P$115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987A-4D01-B1B0-B3BB3F487F29}"/>
            </c:ext>
          </c:extLst>
        </c:ser>
        <c:ser>
          <c:idx val="1"/>
          <c:order val="1"/>
          <c:tx>
            <c:strRef>
              <c:f>'Scenario Results'!$Q$110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Results'!$O$111:$O$115</c:f>
              <c:strCache>
                <c:ptCount val="1"/>
                <c:pt idx="0">
                  <c:v>Base strategy</c:v>
                </c:pt>
              </c:strCache>
            </c:strRef>
          </c:cat>
          <c:val>
            <c:numRef>
              <c:f>'Scenario Results'!$Q$111:$Q$115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987A-4D01-B1B0-B3BB3F487F29}"/>
            </c:ext>
          </c:extLst>
        </c:ser>
        <c:ser>
          <c:idx val="2"/>
          <c:order val="2"/>
          <c:tx>
            <c:strRef>
              <c:f>'Scenario Results'!$R$110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Results'!$O$111:$O$115</c:f>
              <c:strCache>
                <c:ptCount val="1"/>
                <c:pt idx="0">
                  <c:v>Base strategy</c:v>
                </c:pt>
              </c:strCache>
            </c:strRef>
          </c:cat>
          <c:val>
            <c:numRef>
              <c:f>'Scenario Results'!$R$111:$R$115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987A-4D01-B1B0-B3BB3F487F29}"/>
            </c:ext>
          </c:extLst>
        </c:ser>
        <c:ser>
          <c:idx val="3"/>
          <c:order val="3"/>
          <c:tx>
            <c:strRef>
              <c:f>'Scenario Results'!$S$110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Results'!$O$111:$O$115</c:f>
              <c:strCache>
                <c:ptCount val="1"/>
                <c:pt idx="0">
                  <c:v>Base strategy</c:v>
                </c:pt>
              </c:strCache>
            </c:strRef>
          </c:cat>
          <c:val>
            <c:numRef>
              <c:f>'Scenario Results'!$S$111:$S$115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987A-4D01-B1B0-B3BB3F487F29}"/>
            </c:ext>
          </c:extLst>
        </c:ser>
        <c:ser>
          <c:idx val="4"/>
          <c:order val="4"/>
          <c:tx>
            <c:strRef>
              <c:f>'Scenario Results'!$T$110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Results'!$O$111:$O$115</c:f>
              <c:strCache>
                <c:ptCount val="1"/>
                <c:pt idx="0">
                  <c:v>Base strategy</c:v>
                </c:pt>
              </c:strCache>
            </c:strRef>
          </c:cat>
          <c:val>
            <c:numRef>
              <c:f>'Scenario Results'!$T$111:$T$115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987A-4D01-B1B0-B3BB3F487F29}"/>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Results'!$O$66</c:f>
          <c:strCache>
            <c:ptCount val="1"/>
            <c:pt idx="0">
              <c:v>Prevented Fraction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Results'!$O$6:$O$10</c:f>
              <c:strCache>
                <c:ptCount val="1"/>
                <c:pt idx="0">
                  <c:v>Base strategy</c:v>
                </c:pt>
              </c:strCache>
            </c:strRef>
          </c:cat>
          <c:val>
            <c:numRef>
              <c:f>'Scenario Results'!$P$6:$P$10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59EE-47FB-8A98-FC4CBA5AE10E}"/>
            </c:ext>
          </c:extLst>
        </c:ser>
        <c:ser>
          <c:idx val="1"/>
          <c:order val="1"/>
          <c:tx>
            <c:strRef>
              <c:f>'Scenario Results'!$Q$5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Results'!$O$6:$O$10</c:f>
              <c:strCache>
                <c:ptCount val="1"/>
                <c:pt idx="0">
                  <c:v>Base strategy</c:v>
                </c:pt>
              </c:strCache>
            </c:strRef>
          </c:cat>
          <c:val>
            <c:numRef>
              <c:f>'Scenario Results'!$Q$6:$Q$10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59EE-47FB-8A98-FC4CBA5AE10E}"/>
            </c:ext>
          </c:extLst>
        </c:ser>
        <c:ser>
          <c:idx val="2"/>
          <c:order val="2"/>
          <c:tx>
            <c:strRef>
              <c:f>'Scenario Results'!$R$5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Results'!$O$6:$O$10</c:f>
              <c:strCache>
                <c:ptCount val="1"/>
                <c:pt idx="0">
                  <c:v>Base strategy</c:v>
                </c:pt>
              </c:strCache>
            </c:strRef>
          </c:cat>
          <c:val>
            <c:numRef>
              <c:f>'Scenario Results'!$R$6:$R$10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59EE-47FB-8A98-FC4CBA5AE10E}"/>
            </c:ext>
          </c:extLst>
        </c:ser>
        <c:ser>
          <c:idx val="3"/>
          <c:order val="3"/>
          <c:tx>
            <c:strRef>
              <c:f>'Scenario Results'!$S$5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Results'!$O$6:$O$10</c:f>
              <c:strCache>
                <c:ptCount val="1"/>
                <c:pt idx="0">
                  <c:v>Base strategy</c:v>
                </c:pt>
              </c:strCache>
            </c:strRef>
          </c:cat>
          <c:val>
            <c:numRef>
              <c:f>'Scenario Results'!$S$6:$S$10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59EE-47FB-8A98-FC4CBA5AE10E}"/>
            </c:ext>
          </c:extLst>
        </c:ser>
        <c:ser>
          <c:idx val="4"/>
          <c:order val="4"/>
          <c:tx>
            <c:strRef>
              <c:f>'Scenario Results'!$T$5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Results'!$O$6:$O$10</c:f>
              <c:strCache>
                <c:ptCount val="1"/>
                <c:pt idx="0">
                  <c:v>Base strategy</c:v>
                </c:pt>
              </c:strCache>
            </c:strRef>
          </c:cat>
          <c:val>
            <c:numRef>
              <c:f>'Scenario Results'!$T$6:$T$10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59EE-47FB-8A98-FC4CBA5AE10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Results'!$H$87</c:f>
          <c:strCache>
            <c:ptCount val="1"/>
            <c:pt idx="0">
              <c:v>Averted overall illnesses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Results'!$H$111:$H$115</c:f>
              <c:strCache>
                <c:ptCount val="1"/>
                <c:pt idx="0">
                  <c:v>Base strategy</c:v>
                </c:pt>
              </c:strCache>
            </c:strRef>
          </c:cat>
          <c:val>
            <c:numRef>
              <c:f>'Scenario Results'!$I$111:$I$115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3183-449E-A2FF-D1A54237A184}"/>
            </c:ext>
          </c:extLst>
        </c:ser>
        <c:ser>
          <c:idx val="1"/>
          <c:order val="1"/>
          <c:tx>
            <c:strRef>
              <c:f>'Scenario Results'!$J$110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Results'!$H$111:$H$115</c:f>
              <c:strCache>
                <c:ptCount val="1"/>
                <c:pt idx="0">
                  <c:v>Base strategy</c:v>
                </c:pt>
              </c:strCache>
            </c:strRef>
          </c:cat>
          <c:val>
            <c:numRef>
              <c:f>'Scenario Results'!$J$111:$J$115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183-449E-A2FF-D1A54237A184}"/>
            </c:ext>
          </c:extLst>
        </c:ser>
        <c:ser>
          <c:idx val="2"/>
          <c:order val="2"/>
          <c:tx>
            <c:strRef>
              <c:f>'Scenario Results'!$K$110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Results'!$H$111:$H$115</c:f>
              <c:strCache>
                <c:ptCount val="1"/>
                <c:pt idx="0">
                  <c:v>Base strategy</c:v>
                </c:pt>
              </c:strCache>
            </c:strRef>
          </c:cat>
          <c:val>
            <c:numRef>
              <c:f>'Scenario Results'!$K$111:$K$115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183-449E-A2FF-D1A54237A184}"/>
            </c:ext>
          </c:extLst>
        </c:ser>
        <c:ser>
          <c:idx val="3"/>
          <c:order val="3"/>
          <c:tx>
            <c:strRef>
              <c:f>'Scenario Results'!$L$110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Results'!$H$111:$H$115</c:f>
              <c:strCache>
                <c:ptCount val="1"/>
                <c:pt idx="0">
                  <c:v>Base strategy</c:v>
                </c:pt>
              </c:strCache>
            </c:strRef>
          </c:cat>
          <c:val>
            <c:numRef>
              <c:f>'Scenario Results'!$L$111:$L$115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3183-449E-A2FF-D1A54237A184}"/>
            </c:ext>
          </c:extLst>
        </c:ser>
        <c:ser>
          <c:idx val="4"/>
          <c:order val="4"/>
          <c:tx>
            <c:strRef>
              <c:f>'Scenario Results'!$M$110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Results'!$H$111:$H$115</c:f>
              <c:strCache>
                <c:ptCount val="1"/>
                <c:pt idx="0">
                  <c:v>Base strategy</c:v>
                </c:pt>
              </c:strCache>
            </c:strRef>
          </c:cat>
          <c:val>
            <c:numRef>
              <c:f>'Scenario Results'!$M$111:$M$115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3183-449E-A2FF-D1A54237A184}"/>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Results'!$H$66</c:f>
          <c:strCache>
            <c:ptCount val="1"/>
            <c:pt idx="0">
              <c:v>Prevented Fraction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Results'!$H$6:$H$10</c:f>
              <c:strCache>
                <c:ptCount val="1"/>
                <c:pt idx="0">
                  <c:v>Base strategy</c:v>
                </c:pt>
              </c:strCache>
            </c:strRef>
          </c:cat>
          <c:val>
            <c:numRef>
              <c:f>'Scenario Results'!$I$6:$I$10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2C61-4645-82E9-49573700814A}"/>
            </c:ext>
          </c:extLst>
        </c:ser>
        <c:ser>
          <c:idx val="1"/>
          <c:order val="1"/>
          <c:tx>
            <c:strRef>
              <c:f>'Scenario Results'!$J$5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Results'!$H$6:$H$10</c:f>
              <c:strCache>
                <c:ptCount val="1"/>
                <c:pt idx="0">
                  <c:v>Base strategy</c:v>
                </c:pt>
              </c:strCache>
            </c:strRef>
          </c:cat>
          <c:val>
            <c:numRef>
              <c:f>'Scenario Results'!$J$6:$J$10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C61-4645-82E9-49573700814A}"/>
            </c:ext>
          </c:extLst>
        </c:ser>
        <c:ser>
          <c:idx val="2"/>
          <c:order val="2"/>
          <c:tx>
            <c:strRef>
              <c:f>'Scenario Results'!$K$5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Results'!$H$6:$H$10</c:f>
              <c:strCache>
                <c:ptCount val="1"/>
                <c:pt idx="0">
                  <c:v>Base strategy</c:v>
                </c:pt>
              </c:strCache>
            </c:strRef>
          </c:cat>
          <c:val>
            <c:numRef>
              <c:f>'Scenario Results'!$K$6:$K$10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C61-4645-82E9-49573700814A}"/>
            </c:ext>
          </c:extLst>
        </c:ser>
        <c:ser>
          <c:idx val="3"/>
          <c:order val="3"/>
          <c:tx>
            <c:strRef>
              <c:f>'Scenario Results'!$L$5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Results'!$H$6:$H$10</c:f>
              <c:strCache>
                <c:ptCount val="1"/>
                <c:pt idx="0">
                  <c:v>Base strategy</c:v>
                </c:pt>
              </c:strCache>
            </c:strRef>
          </c:cat>
          <c:val>
            <c:numRef>
              <c:f>'Scenario Results'!$L$6:$L$10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C61-4645-82E9-49573700814A}"/>
            </c:ext>
          </c:extLst>
        </c:ser>
        <c:ser>
          <c:idx val="4"/>
          <c:order val="4"/>
          <c:tx>
            <c:strRef>
              <c:f>'Scenario Results'!$M$5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Results'!$H$6:$H$10</c:f>
              <c:strCache>
                <c:ptCount val="1"/>
                <c:pt idx="0">
                  <c:v>Base strategy</c:v>
                </c:pt>
              </c:strCache>
            </c:strRef>
          </c:cat>
          <c:val>
            <c:numRef>
              <c:f>'Scenario Results'!$M$6:$M$10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C61-4645-82E9-49573700814A}"/>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Results'!$A$87</c:f>
          <c:strCache>
            <c:ptCount val="1"/>
            <c:pt idx="0">
              <c:v>Averted overall illnesses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Results'!$A$111:$A$115</c:f>
              <c:strCache>
                <c:ptCount val="1"/>
                <c:pt idx="0">
                  <c:v>Base strategy</c:v>
                </c:pt>
              </c:strCache>
            </c:strRef>
          </c:cat>
          <c:val>
            <c:numRef>
              <c:f>'Scenario Results'!$B$111:$B$115</c:f>
              <c:numCache>
                <c:formatCode>_(* #,##0_);_(* \(#,##0\);_(* "-"??_);_(@_)</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BB04-4003-9A4A-018281589FBB}"/>
            </c:ext>
          </c:extLst>
        </c:ser>
        <c:ser>
          <c:idx val="1"/>
          <c:order val="1"/>
          <c:tx>
            <c:strRef>
              <c:f>'Scenario Results'!$C$110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Results'!$A$111:$A$115</c:f>
              <c:strCache>
                <c:ptCount val="1"/>
                <c:pt idx="0">
                  <c:v>Base strategy</c:v>
                </c:pt>
              </c:strCache>
            </c:strRef>
          </c:cat>
          <c:val>
            <c:numRef>
              <c:f>'Scenario Results'!$C$111:$C$115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BB04-4003-9A4A-018281589FBB}"/>
            </c:ext>
          </c:extLst>
        </c:ser>
        <c:ser>
          <c:idx val="2"/>
          <c:order val="2"/>
          <c:tx>
            <c:strRef>
              <c:f>'Scenario Results'!$D$110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Results'!$A$111:$A$115</c:f>
              <c:strCache>
                <c:ptCount val="1"/>
                <c:pt idx="0">
                  <c:v>Base strategy</c:v>
                </c:pt>
              </c:strCache>
            </c:strRef>
          </c:cat>
          <c:val>
            <c:numRef>
              <c:f>'Scenario Results'!$D$111:$D$115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BB04-4003-9A4A-018281589FBB}"/>
            </c:ext>
          </c:extLst>
        </c:ser>
        <c:ser>
          <c:idx val="3"/>
          <c:order val="3"/>
          <c:tx>
            <c:strRef>
              <c:f>'Scenario Results'!$E$110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Results'!$A$111:$A$115</c:f>
              <c:strCache>
                <c:ptCount val="1"/>
                <c:pt idx="0">
                  <c:v>Base strategy</c:v>
                </c:pt>
              </c:strCache>
            </c:strRef>
          </c:cat>
          <c:val>
            <c:numRef>
              <c:f>'Scenario Results'!$E$111:$E$115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C85C-49D6-93F0-12BF1EDAEB1B}"/>
            </c:ext>
          </c:extLst>
        </c:ser>
        <c:ser>
          <c:idx val="4"/>
          <c:order val="4"/>
          <c:tx>
            <c:strRef>
              <c:f>'Scenario Results'!$F$110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Results'!$A$111:$A$115</c:f>
              <c:strCache>
                <c:ptCount val="1"/>
                <c:pt idx="0">
                  <c:v>Base strategy</c:v>
                </c:pt>
              </c:strCache>
            </c:strRef>
          </c:cat>
          <c:val>
            <c:numRef>
              <c:f>'Scenario Results'!$F$111:$F$115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C85C-49D6-93F0-12BF1EDAEB1B}"/>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Results'!$A$66</c:f>
          <c:strCache>
            <c:ptCount val="1"/>
            <c:pt idx="0">
              <c:v>Prevented Fraction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Results'!$A$6:$A$10</c:f>
              <c:strCache>
                <c:ptCount val="1"/>
                <c:pt idx="0">
                  <c:v>Base strategy</c:v>
                </c:pt>
              </c:strCache>
            </c:strRef>
          </c:cat>
          <c:val>
            <c:numRef>
              <c:f>'Scenario Results'!$B$6:$B$10</c:f>
              <c:numCache>
                <c:formatCode>0.0%</c:formatCode>
                <c:ptCount val="5"/>
                <c:pt idx="0">
                  <c:v>0</c:v>
                </c:pt>
                <c:pt idx="1">
                  <c:v>#N/A</c:v>
                </c:pt>
                <c:pt idx="2">
                  <c:v>#N/A</c:v>
                </c:pt>
                <c:pt idx="3">
                  <c:v>#N/A</c:v>
                </c:pt>
                <c:pt idx="4">
                  <c:v>#N/A</c:v>
                </c:pt>
              </c:numCache>
            </c:numRef>
          </c:val>
          <c:smooth val="0"/>
          <c:extLst>
            <c:ext xmlns:c16="http://schemas.microsoft.com/office/drawing/2014/chart" uri="{C3380CC4-5D6E-409C-BE32-E72D297353CC}">
              <c16:uniqueId val="{00000000-3D6C-4C7B-A624-D38CEB0D1EB9}"/>
            </c:ext>
          </c:extLst>
        </c:ser>
        <c:ser>
          <c:idx val="1"/>
          <c:order val="1"/>
          <c:tx>
            <c:strRef>
              <c:f>'Scenario Results'!$C$5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Results'!$A$6:$A$10</c:f>
              <c:strCache>
                <c:ptCount val="1"/>
                <c:pt idx="0">
                  <c:v>Base strategy</c:v>
                </c:pt>
              </c:strCache>
            </c:strRef>
          </c:cat>
          <c:val>
            <c:numRef>
              <c:f>'Scenario Results'!$C$6:$C$10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D6C-4C7B-A624-D38CEB0D1EB9}"/>
            </c:ext>
          </c:extLst>
        </c:ser>
        <c:ser>
          <c:idx val="2"/>
          <c:order val="2"/>
          <c:tx>
            <c:strRef>
              <c:f>'Scenario Results'!$D$5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Results'!$A$6:$A$10</c:f>
              <c:strCache>
                <c:ptCount val="1"/>
                <c:pt idx="0">
                  <c:v>Base strategy</c:v>
                </c:pt>
              </c:strCache>
            </c:strRef>
          </c:cat>
          <c:val>
            <c:numRef>
              <c:f>'Scenario Results'!$D$6:$D$10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D6C-4C7B-A624-D38CEB0D1EB9}"/>
            </c:ext>
          </c:extLst>
        </c:ser>
        <c:ser>
          <c:idx val="3"/>
          <c:order val="3"/>
          <c:tx>
            <c:strRef>
              <c:f>'Scenario Results'!$E$5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Results'!$A$6:$A$10</c:f>
              <c:strCache>
                <c:ptCount val="1"/>
                <c:pt idx="0">
                  <c:v>Base strategy</c:v>
                </c:pt>
              </c:strCache>
            </c:strRef>
          </c:cat>
          <c:val>
            <c:numRef>
              <c:f>'Scenario Results'!$E$6:$E$10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E251-43C2-879C-0AE93CECA614}"/>
            </c:ext>
          </c:extLst>
        </c:ser>
        <c:ser>
          <c:idx val="4"/>
          <c:order val="4"/>
          <c:tx>
            <c:strRef>
              <c:f>'Scenario Results'!$F$5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Results'!$A$6:$A$10</c:f>
              <c:strCache>
                <c:ptCount val="1"/>
                <c:pt idx="0">
                  <c:v>Base strategy</c:v>
                </c:pt>
              </c:strCache>
            </c:strRef>
          </c:cat>
          <c:val>
            <c:numRef>
              <c:f>'Scenario Results'!$F$6:$F$10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E-E251-43C2-879C-0AE93CECA614}"/>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20</xdr:col>
      <xdr:colOff>0</xdr:colOff>
      <xdr:row>8</xdr:row>
      <xdr:rowOff>0</xdr:rowOff>
    </xdr:from>
    <xdr:to>
      <xdr:col>20</xdr:col>
      <xdr:colOff>304800</xdr:colOff>
      <xdr:row>9</xdr:row>
      <xdr:rowOff>171450</xdr:rowOff>
    </xdr:to>
    <xdr:sp macro="" textlink="">
      <xdr:nvSpPr>
        <xdr:cNvPr id="1027" name="AutoShape 3" descr="Paho And Who Logos - PAHO and WHO Logos for Health Organizations - CleanPNG  / KissPNG">
          <a:extLst>
            <a:ext uri="{FF2B5EF4-FFF2-40B4-BE49-F238E27FC236}">
              <a16:creationId xmlns:a16="http://schemas.microsoft.com/office/drawing/2014/main" id="{3EE4B3B6-AF18-8145-9888-50D3FE9A807F}"/>
            </a:ext>
          </a:extLst>
        </xdr:cNvPr>
        <xdr:cNvSpPr>
          <a:spLocks noChangeAspect="1" noChangeArrowheads="1"/>
        </xdr:cNvSpPr>
      </xdr:nvSpPr>
      <xdr:spPr bwMode="auto">
        <a:xfrm>
          <a:off x="14700250" y="212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341843</xdr:colOff>
      <xdr:row>5</xdr:row>
      <xdr:rowOff>68792</xdr:rowOff>
    </xdr:from>
    <xdr:to>
      <xdr:col>18</xdr:col>
      <xdr:colOff>679186</xdr:colOff>
      <xdr:row>7</xdr:row>
      <xdr:rowOff>443707</xdr:rowOff>
    </xdr:to>
    <xdr:sp macro="[0]!Clear_content" textlink="">
      <xdr:nvSpPr>
        <xdr:cNvPr id="7" name="TextBox 6">
          <a:extLst>
            <a:ext uri="{FF2B5EF4-FFF2-40B4-BE49-F238E27FC236}">
              <a16:creationId xmlns:a16="http://schemas.microsoft.com/office/drawing/2014/main" id="{6CD2AF08-513E-773A-6418-BBDD90CC9D70}"/>
            </a:ext>
          </a:extLst>
        </xdr:cNvPr>
        <xdr:cNvSpPr txBox="1"/>
      </xdr:nvSpPr>
      <xdr:spPr>
        <a:xfrm>
          <a:off x="12724343" y="1851328"/>
          <a:ext cx="2432843" cy="742308"/>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latin typeface="Aptos" panose="020B0004020202020204" pitchFamily="34" charset="0"/>
            </a:rPr>
            <a:t>Clear inputs</a:t>
          </a:r>
        </a:p>
      </xdr:txBody>
    </xdr:sp>
    <xdr:clientData/>
  </xdr:twoCellAnchor>
  <xdr:twoCellAnchor>
    <xdr:from>
      <xdr:col>15</xdr:col>
      <xdr:colOff>438150</xdr:colOff>
      <xdr:row>18</xdr:row>
      <xdr:rowOff>133350</xdr:rowOff>
    </xdr:from>
    <xdr:to>
      <xdr:col>18</xdr:col>
      <xdr:colOff>657225</xdr:colOff>
      <xdr:row>19</xdr:row>
      <xdr:rowOff>228600</xdr:rowOff>
    </xdr:to>
    <xdr:sp macro="" textlink="">
      <xdr:nvSpPr>
        <xdr:cNvPr id="1028"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657225</xdr:colOff>
      <xdr:row>19</xdr:row>
      <xdr:rowOff>228600</xdr:rowOff>
    </xdr:to>
    <xdr:sp macro="" textlink="">
      <xdr:nvSpPr>
        <xdr:cNvPr id="2" name="Button 4" hidden="1">
          <a:extLst>
            <a:ext uri="{63B3BB69-23CF-44E3-9099-C40C66FF867C}">
              <a14:compatExt xmlns:a14="http://schemas.microsoft.com/office/drawing/2010/main" spid="_x0000_s1028"/>
            </a:ext>
            <a:ext uri="{FF2B5EF4-FFF2-40B4-BE49-F238E27FC236}">
              <a16:creationId xmlns:a16="http://schemas.microsoft.com/office/drawing/2014/main" id="{1C70DB26-8590-F417-4EE2-5D701D1B884E}"/>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660400</xdr:colOff>
      <xdr:row>19</xdr:row>
      <xdr:rowOff>228600</xdr:rowOff>
    </xdr:to>
    <xdr:sp macro="" textlink="">
      <xdr:nvSpPr>
        <xdr:cNvPr id="3"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408214</xdr:colOff>
      <xdr:row>18</xdr:row>
      <xdr:rowOff>40819</xdr:rowOff>
    </xdr:from>
    <xdr:to>
      <xdr:col>18</xdr:col>
      <xdr:colOff>789214</xdr:colOff>
      <xdr:row>18</xdr:row>
      <xdr:rowOff>802823</xdr:rowOff>
    </xdr:to>
    <xdr:sp macro="[0]!SolveStartingVE" textlink="">
      <xdr:nvSpPr>
        <xdr:cNvPr id="5" name="Rectangle 4">
          <a:extLst>
            <a:ext uri="{FF2B5EF4-FFF2-40B4-BE49-F238E27FC236}">
              <a16:creationId xmlns:a16="http://schemas.microsoft.com/office/drawing/2014/main" id="{45A539E1-FE7B-0953-147D-CC551C374D52}"/>
            </a:ext>
          </a:extLst>
        </xdr:cNvPr>
        <xdr:cNvSpPr/>
      </xdr:nvSpPr>
      <xdr:spPr>
        <a:xfrm>
          <a:off x="12790714" y="5578926"/>
          <a:ext cx="2476500" cy="762004"/>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latin typeface="Apos"/>
            </a:rPr>
            <a:t>Run</a:t>
          </a:r>
          <a:r>
            <a:rPr lang="en-US" sz="2000" b="1">
              <a:latin typeface="Apos"/>
            </a:rPr>
            <a:t> model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406400</xdr:colOff>
      <xdr:row>0</xdr:row>
      <xdr:rowOff>76200</xdr:rowOff>
    </xdr:from>
    <xdr:to>
      <xdr:col>7</xdr:col>
      <xdr:colOff>266700</xdr:colOff>
      <xdr:row>0</xdr:row>
      <xdr:rowOff>711200</xdr:rowOff>
    </xdr:to>
    <xdr:sp macro="" textlink="">
      <xdr:nvSpPr>
        <xdr:cNvPr id="12289" name="Button 1" hidden="1">
          <a:extLst>
            <a:ext uri="{63B3BB69-23CF-44E3-9099-C40C66FF867C}">
              <a14:compatExt xmlns:a14="http://schemas.microsoft.com/office/drawing/2010/main"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Scenarios</a:t>
          </a:r>
        </a:p>
      </xdr:txBody>
    </xdr:sp>
    <xdr:clientData fPrintsWithSheet="0"/>
  </xdr:twoCellAnchor>
  <xdr:twoCellAnchor>
    <xdr:from>
      <xdr:col>4</xdr:col>
      <xdr:colOff>934357</xdr:colOff>
      <xdr:row>0</xdr:row>
      <xdr:rowOff>45357</xdr:rowOff>
    </xdr:from>
    <xdr:to>
      <xdr:col>7</xdr:col>
      <xdr:colOff>290286</xdr:colOff>
      <xdr:row>0</xdr:row>
      <xdr:rowOff>771072</xdr:rowOff>
    </xdr:to>
    <xdr:sp macro="[0]!Run_Scenarios" textlink="">
      <xdr:nvSpPr>
        <xdr:cNvPr id="3" name="Rectangle 2">
          <a:extLst>
            <a:ext uri="{FF2B5EF4-FFF2-40B4-BE49-F238E27FC236}">
              <a16:creationId xmlns:a16="http://schemas.microsoft.com/office/drawing/2014/main" id="{F2C417CA-C31F-4028-9EEB-6CBEF7A0B54B}"/>
            </a:ext>
          </a:extLst>
        </xdr:cNvPr>
        <xdr:cNvSpPr/>
      </xdr:nvSpPr>
      <xdr:spPr>
        <a:xfrm>
          <a:off x="4544786" y="45357"/>
          <a:ext cx="2458357" cy="725715"/>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Apos"/>
            </a:rPr>
            <a:t>Run scenarios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95250</xdr:colOff>
      <xdr:row>87</xdr:row>
      <xdr:rowOff>136071</xdr:rowOff>
    </xdr:from>
    <xdr:to>
      <xdr:col>26</xdr:col>
      <xdr:colOff>762000</xdr:colOff>
      <xdr:row>104</xdr:row>
      <xdr:rowOff>146957</xdr:rowOff>
    </xdr:to>
    <xdr:graphicFrame macro="">
      <xdr:nvGraphicFramePr>
        <xdr:cNvPr id="3" name="Chart 8" hidden="1">
          <a:extLst>
            <a:ext uri="{FF2B5EF4-FFF2-40B4-BE49-F238E27FC236}">
              <a16:creationId xmlns:a16="http://schemas.microsoft.com/office/drawing/2014/main" id="{077F02F6-CB38-406C-A1EA-8AE847314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47625</xdr:colOff>
      <xdr:row>66</xdr:row>
      <xdr:rowOff>127000</xdr:rowOff>
    </xdr:from>
    <xdr:to>
      <xdr:col>26</xdr:col>
      <xdr:colOff>904876</xdr:colOff>
      <xdr:row>84</xdr:row>
      <xdr:rowOff>81280</xdr:rowOff>
    </xdr:to>
    <xdr:graphicFrame macro="">
      <xdr:nvGraphicFramePr>
        <xdr:cNvPr id="2" name="Chart 7" hidden="1">
          <a:extLst>
            <a:ext uri="{FF2B5EF4-FFF2-40B4-BE49-F238E27FC236}">
              <a16:creationId xmlns:a16="http://schemas.microsoft.com/office/drawing/2014/main" id="{72D94309-D2F6-460F-9839-1FE805FC9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95250</xdr:colOff>
      <xdr:row>87</xdr:row>
      <xdr:rowOff>136071</xdr:rowOff>
    </xdr:from>
    <xdr:to>
      <xdr:col>19</xdr:col>
      <xdr:colOff>762000</xdr:colOff>
      <xdr:row>104</xdr:row>
      <xdr:rowOff>146957</xdr:rowOff>
    </xdr:to>
    <xdr:graphicFrame macro="">
      <xdr:nvGraphicFramePr>
        <xdr:cNvPr id="9" name="Chart 6" hidden="1">
          <a:extLst>
            <a:ext uri="{FF2B5EF4-FFF2-40B4-BE49-F238E27FC236}">
              <a16:creationId xmlns:a16="http://schemas.microsoft.com/office/drawing/2014/main" id="{1EF925CF-7459-445B-BECE-6359F6C4C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xdr:colOff>
      <xdr:row>66</xdr:row>
      <xdr:rowOff>127000</xdr:rowOff>
    </xdr:from>
    <xdr:to>
      <xdr:col>19</xdr:col>
      <xdr:colOff>904876</xdr:colOff>
      <xdr:row>84</xdr:row>
      <xdr:rowOff>81280</xdr:rowOff>
    </xdr:to>
    <xdr:graphicFrame macro="">
      <xdr:nvGraphicFramePr>
        <xdr:cNvPr id="7" name="Chart 5" hidden="1">
          <a:extLst>
            <a:ext uri="{FF2B5EF4-FFF2-40B4-BE49-F238E27FC236}">
              <a16:creationId xmlns:a16="http://schemas.microsoft.com/office/drawing/2014/main" id="{CB733348-7E7D-4DD7-B528-01DEA5CD4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87</xdr:row>
      <xdr:rowOff>136071</xdr:rowOff>
    </xdr:from>
    <xdr:to>
      <xdr:col>12</xdr:col>
      <xdr:colOff>666750</xdr:colOff>
      <xdr:row>104</xdr:row>
      <xdr:rowOff>146957</xdr:rowOff>
    </xdr:to>
    <xdr:graphicFrame macro="">
      <xdr:nvGraphicFramePr>
        <xdr:cNvPr id="8" name="Chart 4" hidden="1">
          <a:extLst>
            <a:ext uri="{FF2B5EF4-FFF2-40B4-BE49-F238E27FC236}">
              <a16:creationId xmlns:a16="http://schemas.microsoft.com/office/drawing/2014/main" id="{22B0BB8E-3A38-47EA-A652-9A93C89AD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47624</xdr:colOff>
      <xdr:row>66</xdr:row>
      <xdr:rowOff>127000</xdr:rowOff>
    </xdr:from>
    <xdr:to>
      <xdr:col>12</xdr:col>
      <xdr:colOff>904875</xdr:colOff>
      <xdr:row>84</xdr:row>
      <xdr:rowOff>81280</xdr:rowOff>
    </xdr:to>
    <xdr:graphicFrame macro="">
      <xdr:nvGraphicFramePr>
        <xdr:cNvPr id="6" name="Chart 3" hidden="1">
          <a:extLst>
            <a:ext uri="{FF2B5EF4-FFF2-40B4-BE49-F238E27FC236}">
              <a16:creationId xmlns:a16="http://schemas.microsoft.com/office/drawing/2014/main" id="{406C90DE-BBE8-46EF-A42A-6659A2874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108857</xdr:colOff>
      <xdr:row>87</xdr:row>
      <xdr:rowOff>136071</xdr:rowOff>
    </xdr:from>
    <xdr:to>
      <xdr:col>5</xdr:col>
      <xdr:colOff>775607</xdr:colOff>
      <xdr:row>104</xdr:row>
      <xdr:rowOff>146957</xdr:rowOff>
    </xdr:to>
    <xdr:graphicFrame macro="">
      <xdr:nvGraphicFramePr>
        <xdr:cNvPr id="4" name="Chart 2">
          <a:extLst>
            <a:ext uri="{FF2B5EF4-FFF2-40B4-BE49-F238E27FC236}">
              <a16:creationId xmlns:a16="http://schemas.microsoft.com/office/drawing/2014/main" id="{4B237DB2-CC4E-4FDB-B69B-534A9B3DE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74838</xdr:colOff>
      <xdr:row>66</xdr:row>
      <xdr:rowOff>127000</xdr:rowOff>
    </xdr:from>
    <xdr:to>
      <xdr:col>5</xdr:col>
      <xdr:colOff>938894</xdr:colOff>
      <xdr:row>84</xdr:row>
      <xdr:rowOff>83458</xdr:rowOff>
    </xdr:to>
    <xdr:graphicFrame macro="">
      <xdr:nvGraphicFramePr>
        <xdr:cNvPr id="5" name="Chart 1">
          <a:extLst>
            <a:ext uri="{FF2B5EF4-FFF2-40B4-BE49-F238E27FC236}">
              <a16:creationId xmlns:a16="http://schemas.microsoft.com/office/drawing/2014/main" id="{40D787E5-12AC-1A12-7474-F1287E21A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2"/>
  <sheetViews>
    <sheetView workbookViewId="0">
      <selection activeCell="K7" sqref="K7"/>
    </sheetView>
  </sheetViews>
  <sheetFormatPr defaultColWidth="10.90625" defaultRowHeight="14.5" x14ac:dyDescent="0.35"/>
  <sheetData>
    <row r="1" spans="1:12" x14ac:dyDescent="0.35">
      <c r="A1" t="s">
        <v>13</v>
      </c>
      <c r="D1" t="s">
        <v>10</v>
      </c>
      <c r="F1" t="s">
        <v>131</v>
      </c>
      <c r="H1" t="s">
        <v>109</v>
      </c>
      <c r="L1">
        <v>1</v>
      </c>
    </row>
    <row r="2" spans="1:12" x14ac:dyDescent="0.35">
      <c r="A2" t="s">
        <v>14</v>
      </c>
      <c r="D2" t="s">
        <v>11</v>
      </c>
      <c r="F2" t="s">
        <v>132</v>
      </c>
      <c r="H2" t="s">
        <v>108</v>
      </c>
      <c r="L2">
        <v>1</v>
      </c>
    </row>
    <row r="3" spans="1:12" x14ac:dyDescent="0.35">
      <c r="D3" t="s">
        <v>2</v>
      </c>
      <c r="H3" t="s">
        <v>107</v>
      </c>
    </row>
    <row r="4" spans="1:12" x14ac:dyDescent="0.35">
      <c r="D4" t="s">
        <v>3</v>
      </c>
      <c r="H4" t="s">
        <v>106</v>
      </c>
    </row>
    <row r="5" spans="1:12" x14ac:dyDescent="0.35">
      <c r="D5" t="s">
        <v>4</v>
      </c>
      <c r="H5" t="s">
        <v>133</v>
      </c>
    </row>
    <row r="6" spans="1:12" x14ac:dyDescent="0.35">
      <c r="D6" t="s">
        <v>15</v>
      </c>
    </row>
    <row r="7" spans="1:12" x14ac:dyDescent="0.35">
      <c r="D7" t="s">
        <v>5</v>
      </c>
    </row>
    <row r="8" spans="1:12" x14ac:dyDescent="0.35">
      <c r="D8" t="s">
        <v>6</v>
      </c>
    </row>
    <row r="9" spans="1:12" x14ac:dyDescent="0.35">
      <c r="D9" t="s">
        <v>31</v>
      </c>
    </row>
    <row r="10" spans="1:12" x14ac:dyDescent="0.35">
      <c r="D10" t="s">
        <v>7</v>
      </c>
    </row>
    <row r="11" spans="1:12" x14ac:dyDescent="0.35">
      <c r="D11" t="s">
        <v>8</v>
      </c>
    </row>
    <row r="12" spans="1:12" x14ac:dyDescent="0.35">
      <c r="D12" t="s">
        <v>9</v>
      </c>
    </row>
  </sheetData>
  <sheetProtection sheet="1" objects="1" scenarios="1"/>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95"/>
  <sheetViews>
    <sheetView showGridLines="0" tabSelected="1" topLeftCell="A3" zoomScale="70" zoomScaleNormal="70" workbookViewId="0">
      <selection activeCell="J78" sqref="J78"/>
    </sheetView>
  </sheetViews>
  <sheetFormatPr defaultColWidth="10.90625" defaultRowHeight="14.5" x14ac:dyDescent="0.35"/>
  <cols>
    <col min="1" max="1" width="30.54296875" customWidth="1"/>
    <col min="2" max="2" width="20.7265625" customWidth="1"/>
    <col min="3" max="3" width="4.1796875" customWidth="1"/>
    <col min="4" max="4" width="14.54296875" customWidth="1"/>
    <col min="5" max="5" width="5" customWidth="1"/>
    <col min="6" max="6" width="17.1796875" customWidth="1"/>
    <col min="7" max="7" width="13.453125" customWidth="1"/>
    <col min="8" max="8" width="5.7265625" hidden="1" customWidth="1"/>
    <col min="16" max="16" width="11.1796875" customWidth="1"/>
    <col min="17" max="17" width="8.7265625" customWidth="1"/>
    <col min="19" max="19" width="12.26953125" customWidth="1"/>
    <col min="20" max="20" width="4.453125" customWidth="1"/>
    <col min="21" max="21" width="5.54296875" customWidth="1"/>
    <col min="26" max="26" width="5.453125" customWidth="1"/>
    <col min="39" max="39" width="19.1796875" customWidth="1"/>
  </cols>
  <sheetData>
    <row r="1" spans="1:42" ht="61.5" customHeight="1" x14ac:dyDescent="0.7">
      <c r="A1" s="312" t="s">
        <v>130</v>
      </c>
      <c r="B1" s="312"/>
      <c r="C1" s="312"/>
      <c r="D1" s="312"/>
      <c r="E1" s="312"/>
      <c r="F1" s="312"/>
      <c r="G1" s="312"/>
      <c r="H1" s="34"/>
      <c r="I1" s="34"/>
      <c r="J1" s="5"/>
      <c r="K1" s="34"/>
      <c r="L1" s="34"/>
      <c r="M1" s="34"/>
      <c r="N1" s="34"/>
      <c r="O1" s="34"/>
      <c r="P1" s="34"/>
      <c r="Q1" s="34"/>
      <c r="U1" s="7"/>
      <c r="V1" s="46" t="s">
        <v>49</v>
      </c>
    </row>
    <row r="2" spans="1:42" ht="23.5" customHeight="1" x14ac:dyDescent="0.55000000000000004">
      <c r="A2" s="47" t="s">
        <v>12</v>
      </c>
      <c r="U2" s="37"/>
      <c r="V2" s="14"/>
      <c r="W2" s="43"/>
      <c r="X2" s="313" t="s">
        <v>50</v>
      </c>
      <c r="Y2" s="313"/>
      <c r="Z2" s="313"/>
      <c r="AA2" s="313"/>
      <c r="AB2" s="313"/>
      <c r="AD2" s="17"/>
      <c r="AE2" s="21"/>
      <c r="AF2" s="313" t="s">
        <v>51</v>
      </c>
      <c r="AG2" s="313"/>
      <c r="AH2" s="313"/>
      <c r="AI2" s="313"/>
      <c r="AJ2" s="313"/>
      <c r="AK2" s="321"/>
      <c r="AL2" s="321"/>
      <c r="AM2" s="316" t="s">
        <v>70</v>
      </c>
      <c r="AN2" s="316"/>
      <c r="AO2" s="316"/>
      <c r="AP2" s="316"/>
    </row>
    <row r="3" spans="1:42" ht="24.65" customHeight="1" x14ac:dyDescent="0.55000000000000004">
      <c r="A3" s="15"/>
      <c r="U3" s="37"/>
      <c r="V3" s="26"/>
      <c r="W3" s="29"/>
      <c r="X3" s="313"/>
      <c r="Y3" s="313"/>
      <c r="Z3" s="313"/>
      <c r="AA3" s="313"/>
      <c r="AB3" s="313"/>
      <c r="AD3" s="51"/>
      <c r="AE3" s="50"/>
      <c r="AF3" s="313"/>
      <c r="AG3" s="313"/>
      <c r="AH3" s="313"/>
      <c r="AI3" s="313"/>
      <c r="AJ3" s="313"/>
      <c r="AK3" s="321"/>
      <c r="AL3" s="321"/>
      <c r="AM3" s="316"/>
      <c r="AN3" s="316"/>
      <c r="AO3" s="316"/>
      <c r="AP3" s="316"/>
    </row>
    <row r="4" spans="1:42" ht="18.649999999999999" customHeight="1" x14ac:dyDescent="0.45">
      <c r="A4" s="39" t="s">
        <v>0</v>
      </c>
      <c r="B4" s="37"/>
      <c r="C4" s="37"/>
      <c r="D4" s="37"/>
      <c r="E4" s="37"/>
      <c r="F4" s="37"/>
      <c r="G4" s="37"/>
      <c r="H4" s="37"/>
      <c r="I4" s="37"/>
      <c r="J4" s="16"/>
      <c r="K4" s="37"/>
      <c r="L4" s="37"/>
      <c r="M4" s="37"/>
      <c r="N4" s="37"/>
      <c r="O4" s="37"/>
      <c r="P4" s="37"/>
      <c r="Q4" s="37"/>
      <c r="R4" s="37"/>
      <c r="S4" s="37"/>
      <c r="T4" s="37"/>
      <c r="U4" s="37"/>
    </row>
    <row r="5" spans="1:42" ht="14.5" customHeight="1" x14ac:dyDescent="0.55000000000000004">
      <c r="A5" s="15"/>
      <c r="U5" s="37"/>
    </row>
    <row r="6" spans="1:42" ht="18.649999999999999" customHeight="1" x14ac:dyDescent="0.45">
      <c r="A6" s="8" t="s">
        <v>16</v>
      </c>
      <c r="B6" s="1"/>
      <c r="D6" s="314" t="s">
        <v>18</v>
      </c>
      <c r="E6" s="315"/>
      <c r="F6" s="1"/>
      <c r="U6" s="16"/>
      <c r="V6" s="318" t="s">
        <v>125</v>
      </c>
      <c r="W6" s="318"/>
      <c r="X6" s="318"/>
      <c r="Y6" s="318"/>
      <c r="Z6" s="318"/>
      <c r="AA6" s="318"/>
      <c r="AB6" s="318"/>
      <c r="AC6" s="318"/>
      <c r="AD6" s="318"/>
      <c r="AE6" s="318"/>
      <c r="AF6" s="318"/>
      <c r="AG6" s="318"/>
      <c r="AH6" s="318"/>
      <c r="AI6" s="318"/>
      <c r="AJ6" s="318"/>
      <c r="AK6" s="318"/>
      <c r="AL6" s="318"/>
      <c r="AM6" s="318"/>
    </row>
    <row r="7" spans="1:42" ht="10.5" customHeight="1" x14ac:dyDescent="0.45">
      <c r="U7" s="16"/>
      <c r="V7" s="318"/>
      <c r="W7" s="318"/>
      <c r="X7" s="318"/>
      <c r="Y7" s="318"/>
      <c r="Z7" s="318"/>
      <c r="AA7" s="318"/>
      <c r="AB7" s="318"/>
      <c r="AC7" s="318"/>
      <c r="AD7" s="318"/>
      <c r="AE7" s="318"/>
      <c r="AF7" s="318"/>
      <c r="AG7" s="318"/>
      <c r="AH7" s="318"/>
      <c r="AI7" s="318"/>
      <c r="AJ7" s="318"/>
      <c r="AK7" s="318"/>
      <c r="AL7" s="318"/>
      <c r="AM7" s="318"/>
    </row>
    <row r="8" spans="1:42" ht="39.65" customHeight="1" x14ac:dyDescent="0.45">
      <c r="A8" s="8" t="s">
        <v>17</v>
      </c>
      <c r="B8" s="1"/>
      <c r="D8" s="316" t="s">
        <v>26</v>
      </c>
      <c r="E8" s="317"/>
      <c r="F8" s="33"/>
      <c r="U8" s="16"/>
      <c r="V8" s="318"/>
      <c r="W8" s="318"/>
      <c r="X8" s="318"/>
      <c r="Y8" s="318"/>
      <c r="Z8" s="318"/>
      <c r="AA8" s="318"/>
      <c r="AB8" s="318"/>
      <c r="AC8" s="318"/>
      <c r="AD8" s="318"/>
      <c r="AE8" s="318"/>
      <c r="AF8" s="318"/>
      <c r="AG8" s="318"/>
      <c r="AH8" s="318"/>
      <c r="AI8" s="318"/>
      <c r="AJ8" s="318"/>
      <c r="AK8" s="318"/>
      <c r="AL8" s="318"/>
      <c r="AM8" s="318"/>
    </row>
    <row r="9" spans="1:42" ht="10.5" customHeight="1" x14ac:dyDescent="0.45">
      <c r="U9" s="16"/>
      <c r="V9" s="318"/>
      <c r="W9" s="318"/>
      <c r="X9" s="318"/>
      <c r="Y9" s="318"/>
      <c r="Z9" s="318"/>
      <c r="AA9" s="318"/>
      <c r="AB9" s="318"/>
      <c r="AC9" s="318"/>
      <c r="AD9" s="318"/>
      <c r="AE9" s="318"/>
      <c r="AF9" s="318"/>
      <c r="AG9" s="318"/>
      <c r="AH9" s="318"/>
      <c r="AI9" s="318"/>
      <c r="AJ9" s="318"/>
      <c r="AK9" s="318"/>
      <c r="AL9" s="318"/>
      <c r="AM9" s="318"/>
    </row>
    <row r="10" spans="1:42" ht="43.5" customHeight="1" x14ac:dyDescent="0.45">
      <c r="A10" s="316" t="s">
        <v>19</v>
      </c>
      <c r="B10" s="316"/>
      <c r="C10" s="316"/>
      <c r="D10" s="316"/>
      <c r="E10" s="316"/>
      <c r="F10" s="2"/>
      <c r="U10" s="16"/>
      <c r="V10" s="319" t="s">
        <v>52</v>
      </c>
      <c r="W10" s="319"/>
      <c r="X10" s="319"/>
      <c r="Y10" s="319"/>
      <c r="Z10" s="319"/>
      <c r="AA10" s="319"/>
      <c r="AB10" s="319"/>
      <c r="AC10" s="319"/>
      <c r="AD10" s="319"/>
      <c r="AE10" s="319"/>
      <c r="AF10" s="319"/>
      <c r="AG10" s="319"/>
      <c r="AH10" s="319"/>
      <c r="AI10" s="319"/>
      <c r="AJ10" s="319"/>
      <c r="AK10" s="319"/>
      <c r="AL10" s="319"/>
      <c r="AM10" s="319"/>
    </row>
    <row r="11" spans="1:42" ht="11.5" customHeight="1" x14ac:dyDescent="0.45">
      <c r="U11" s="16"/>
      <c r="V11" s="319"/>
      <c r="W11" s="319"/>
      <c r="X11" s="319"/>
      <c r="Y11" s="319"/>
      <c r="Z11" s="319"/>
      <c r="AA11" s="319"/>
      <c r="AB11" s="319"/>
      <c r="AC11" s="319"/>
      <c r="AD11" s="319"/>
      <c r="AE11" s="319"/>
      <c r="AF11" s="319"/>
      <c r="AG11" s="319"/>
      <c r="AH11" s="319"/>
      <c r="AI11" s="319"/>
      <c r="AJ11" s="319"/>
      <c r="AK11" s="319"/>
      <c r="AL11" s="319"/>
      <c r="AM11" s="319"/>
    </row>
    <row r="12" spans="1:42" ht="54" customHeight="1" x14ac:dyDescent="0.5">
      <c r="A12" s="18" t="s">
        <v>138</v>
      </c>
      <c r="B12" s="1"/>
      <c r="U12" s="16"/>
      <c r="V12" s="27" t="s">
        <v>72</v>
      </c>
      <c r="W12" s="32"/>
      <c r="X12" s="32"/>
      <c r="Y12" s="32"/>
      <c r="Z12" s="32"/>
      <c r="AA12" s="32"/>
      <c r="AB12" s="32"/>
      <c r="AC12" s="32"/>
      <c r="AD12" s="32"/>
      <c r="AE12" s="32"/>
      <c r="AF12" s="32"/>
      <c r="AG12" s="32"/>
      <c r="AH12" s="32"/>
      <c r="AI12" s="32"/>
      <c r="AJ12" s="32"/>
      <c r="AK12" s="32"/>
      <c r="AL12" s="32"/>
      <c r="AM12" s="32"/>
    </row>
    <row r="13" spans="1:42" ht="11.5" customHeight="1" x14ac:dyDescent="0.5">
      <c r="U13" s="16"/>
      <c r="V13" s="32"/>
      <c r="W13" s="32"/>
      <c r="X13" s="32"/>
      <c r="Y13" s="32"/>
      <c r="Z13" s="32"/>
      <c r="AA13" s="32"/>
      <c r="AB13" s="32"/>
      <c r="AC13" s="32"/>
      <c r="AD13" s="32"/>
      <c r="AE13" s="32"/>
      <c r="AF13" s="32"/>
      <c r="AG13" s="32"/>
      <c r="AH13" s="32"/>
      <c r="AI13" s="32"/>
      <c r="AJ13" s="32"/>
      <c r="AK13" s="32"/>
      <c r="AL13" s="32"/>
      <c r="AM13" s="32"/>
    </row>
    <row r="14" spans="1:42" ht="38.5" customHeight="1" x14ac:dyDescent="0.45">
      <c r="A14" s="18" t="s">
        <v>29</v>
      </c>
      <c r="B14" s="1"/>
      <c r="U14" s="16"/>
      <c r="V14" s="320" t="s">
        <v>114</v>
      </c>
      <c r="W14" s="320"/>
      <c r="X14" s="320"/>
      <c r="Y14" s="320"/>
      <c r="Z14" s="320"/>
      <c r="AA14" s="320"/>
      <c r="AB14" s="320"/>
      <c r="AC14" s="320"/>
      <c r="AD14" s="320"/>
      <c r="AE14" s="320"/>
      <c r="AF14" s="320"/>
      <c r="AG14" s="320"/>
      <c r="AH14" s="320"/>
      <c r="AI14" s="320"/>
      <c r="AJ14" s="320"/>
      <c r="AK14" s="320"/>
      <c r="AL14" s="320"/>
      <c r="AM14" s="320"/>
    </row>
    <row r="15" spans="1:42" ht="11.15" customHeight="1" x14ac:dyDescent="0.45">
      <c r="U15" s="16"/>
      <c r="V15" s="320"/>
      <c r="W15" s="320"/>
      <c r="X15" s="320"/>
      <c r="Y15" s="320"/>
      <c r="Z15" s="320"/>
      <c r="AA15" s="320"/>
      <c r="AB15" s="320"/>
      <c r="AC15" s="320"/>
      <c r="AD15" s="320"/>
      <c r="AE15" s="320"/>
      <c r="AF15" s="320"/>
      <c r="AG15" s="320"/>
      <c r="AH15" s="320"/>
      <c r="AI15" s="320"/>
      <c r="AJ15" s="320"/>
      <c r="AK15" s="320"/>
      <c r="AL15" s="320"/>
      <c r="AM15" s="320"/>
    </row>
    <row r="16" spans="1:42" ht="18.649999999999999" customHeight="1" x14ac:dyDescent="0.45">
      <c r="U16" s="16"/>
      <c r="V16" s="320"/>
      <c r="W16" s="320"/>
      <c r="X16" s="320"/>
      <c r="Y16" s="320"/>
      <c r="Z16" s="320"/>
      <c r="AA16" s="320"/>
      <c r="AB16" s="320"/>
      <c r="AC16" s="320"/>
      <c r="AD16" s="320"/>
      <c r="AE16" s="320"/>
      <c r="AF16" s="320"/>
      <c r="AG16" s="320"/>
      <c r="AH16" s="320"/>
      <c r="AI16" s="320"/>
      <c r="AJ16" s="320"/>
      <c r="AK16" s="320"/>
      <c r="AL16" s="320"/>
      <c r="AM16" s="320"/>
    </row>
    <row r="17" spans="1:39" ht="10.5" customHeight="1" x14ac:dyDescent="0.45">
      <c r="J17" s="44"/>
      <c r="U17" s="37"/>
    </row>
    <row r="18" spans="1:39" ht="18" customHeight="1" x14ac:dyDescent="0.45">
      <c r="A18" s="39" t="s">
        <v>33</v>
      </c>
      <c r="B18" s="37"/>
      <c r="C18" s="37"/>
      <c r="D18" s="37"/>
      <c r="E18" s="37"/>
      <c r="F18" s="37"/>
      <c r="G18" s="37"/>
      <c r="H18" s="37"/>
      <c r="I18" s="37"/>
      <c r="J18" s="37"/>
      <c r="K18" s="37"/>
      <c r="L18" s="37"/>
      <c r="M18" s="37"/>
      <c r="N18" s="37"/>
      <c r="O18" s="37"/>
      <c r="P18" s="37"/>
      <c r="Q18" s="37"/>
      <c r="R18" s="37"/>
      <c r="S18" s="37"/>
      <c r="T18" s="37"/>
      <c r="U18" s="37"/>
      <c r="V18" s="318" t="s">
        <v>127</v>
      </c>
      <c r="W18" s="318"/>
      <c r="X18" s="318"/>
      <c r="Y18" s="318"/>
      <c r="Z18" s="318"/>
      <c r="AA18" s="318"/>
      <c r="AB18" s="318"/>
      <c r="AC18" s="318"/>
      <c r="AD18" s="318"/>
      <c r="AE18" s="318"/>
      <c r="AF18" s="318"/>
      <c r="AG18" s="318"/>
      <c r="AH18" s="318"/>
      <c r="AI18" s="318"/>
      <c r="AJ18" s="318"/>
      <c r="AK18" s="318"/>
      <c r="AL18" s="318"/>
      <c r="AM18" s="318"/>
    </row>
    <row r="19" spans="1:39" ht="63.75" customHeight="1" x14ac:dyDescent="0.45">
      <c r="J19" s="44"/>
      <c r="U19" s="37"/>
      <c r="V19" s="318"/>
      <c r="W19" s="318"/>
      <c r="X19" s="318"/>
      <c r="Y19" s="318"/>
      <c r="Z19" s="318"/>
      <c r="AA19" s="318"/>
      <c r="AB19" s="318"/>
      <c r="AC19" s="318"/>
      <c r="AD19" s="318"/>
      <c r="AE19" s="318"/>
      <c r="AF19" s="318"/>
      <c r="AG19" s="318"/>
      <c r="AH19" s="318"/>
      <c r="AI19" s="318"/>
      <c r="AJ19" s="318"/>
      <c r="AK19" s="318"/>
      <c r="AL19" s="318"/>
      <c r="AM19" s="318"/>
    </row>
    <row r="20" spans="1:39" ht="0" hidden="1" customHeight="1" x14ac:dyDescent="0.45">
      <c r="A20" s="36" t="s">
        <v>139</v>
      </c>
      <c r="J20" s="44"/>
      <c r="U20" s="37"/>
      <c r="V20" s="30"/>
      <c r="W20" s="30"/>
      <c r="X20" s="30"/>
      <c r="Y20" s="30"/>
      <c r="Z20" s="30"/>
      <c r="AA20" s="30"/>
      <c r="AB20" s="30"/>
      <c r="AC20" s="30"/>
      <c r="AD20" s="30"/>
      <c r="AE20" s="30"/>
      <c r="AF20" s="30"/>
      <c r="AG20" s="30"/>
      <c r="AH20" s="30"/>
      <c r="AI20" s="30"/>
      <c r="AJ20" s="30"/>
      <c r="AK20" s="30"/>
      <c r="AL20" s="30"/>
      <c r="AM20" s="30"/>
    </row>
    <row r="21" spans="1:39" ht="0" hidden="1" customHeight="1" x14ac:dyDescent="0.45">
      <c r="A21" s="19" t="s">
        <v>20</v>
      </c>
      <c r="I21" s="19" t="s">
        <v>28</v>
      </c>
      <c r="O21" s="19" t="s">
        <v>32</v>
      </c>
      <c r="U21" s="16"/>
      <c r="W21" s="30"/>
      <c r="X21" s="30"/>
      <c r="Y21" s="30"/>
      <c r="Z21" s="30"/>
      <c r="AA21" s="30"/>
      <c r="AB21" s="30"/>
      <c r="AC21" s="30"/>
      <c r="AD21" s="30"/>
      <c r="AE21" s="30"/>
      <c r="AF21" s="30"/>
      <c r="AG21" s="30"/>
      <c r="AH21" s="30"/>
      <c r="AI21" s="30"/>
      <c r="AJ21" s="30"/>
      <c r="AK21" s="30"/>
      <c r="AL21" s="30"/>
      <c r="AM21" s="30"/>
    </row>
    <row r="22" spans="1:39" ht="0" hidden="1" customHeight="1" x14ac:dyDescent="0.45">
      <c r="B22" s="5"/>
      <c r="D22" s="5"/>
      <c r="F22" s="5"/>
      <c r="H22" s="5">
        <f t="shared" ref="H22:H33" si="0">IF(ROW()-ROW($H$36)+1&lt;=$B$12, ROW()-ROW($H$36)+2, "")</f>
        <v>-12</v>
      </c>
      <c r="I22" s="11">
        <f>$B$14</f>
        <v>0</v>
      </c>
      <c r="J22" s="22">
        <f>IFERROR(IF($F$10&lt;&gt;"1. Actual program", 0, IF($B$12&lt;13, J36, IF($B$12&lt;25, AVERAGE(Export!O14,Export!O26)*AVERAGE(Inputs!M$47,Inputs!M$59), IF($B$12&lt;37, AVERAGE(Export!O14,Export!O26,Export!O38)*AVERAGE(Inputs!M$47,Inputs!M$59,Inputs!M$71), AVERAGE(Export!O14,Export!O26,Export!O38,Export!O50)*AVERAGE(Inputs!M$47,Inputs!M$59,Inputs!M$71,Inputs!M$83))))), "")</f>
        <v>0</v>
      </c>
      <c r="O22" s="11">
        <f>I22</f>
        <v>0</v>
      </c>
      <c r="P22" s="12">
        <f>IFERROR(IF($B$12&lt;13, P36, IF($B$12&lt;25, AVERAGE(Export!P14,Export!P26)*AVERAGE(Inputs!S$47,Inputs!S$59), IF($B$12&lt;37, AVERAGE(Export!P14,Export!P26,Export!P38)*AVERAGE(Inputs!S$47,Inputs!S$59,Inputs!S$71), AVERAGE(Export!P14,Export!P26,Export!P38,Export!P50)*AVERAGE(Inputs!S$47,Inputs!S$59,Inputs!S$71,Inputs!S$83)))), "")</f>
        <v>0</v>
      </c>
      <c r="U22" s="16"/>
      <c r="W22" s="30"/>
      <c r="X22" s="30"/>
      <c r="Y22" s="30"/>
      <c r="Z22" s="30"/>
      <c r="AA22" s="30"/>
      <c r="AB22" s="30"/>
      <c r="AC22" s="30"/>
      <c r="AD22" s="30"/>
      <c r="AE22" s="30"/>
      <c r="AF22" s="30"/>
      <c r="AG22" s="30"/>
      <c r="AH22" s="30"/>
      <c r="AI22" s="30"/>
      <c r="AJ22" s="30"/>
      <c r="AK22" s="30"/>
      <c r="AL22" s="30"/>
      <c r="AM22" s="30"/>
    </row>
    <row r="23" spans="1:39" ht="0" hidden="1" customHeight="1" x14ac:dyDescent="0.45">
      <c r="A23" s="8" t="s">
        <v>21</v>
      </c>
      <c r="B23" s="48" t="str">
        <f>IFERROR(AVERAGE(B37,B51,B63,B75),"")</f>
        <v/>
      </c>
      <c r="D23" s="48" t="str">
        <f>IFERROR(AVERAGE(D37,D51,D63,D75),"")</f>
        <v/>
      </c>
      <c r="E23" s="5"/>
      <c r="F23" s="48" t="str">
        <f>IFERROR(AVERAGE(F37,F51,F63,F75),"")</f>
        <v/>
      </c>
      <c r="H23" s="5">
        <f t="shared" si="0"/>
        <v>-11</v>
      </c>
      <c r="I23" s="11">
        <f>IF(I22="Jan","Feb",IF(I22="Feb","Mar",IF(I22="Mar","Apr",IF(I22="Apr","May",IF(I22="May","Jun",IF(I22="Jun","Jul",IF(I22="Jul","Aug",IF(I22="Aug","Sep",IF(I22="Sep","Oct",IF(I22="Oct","Nov",IF(I22="Nov","Dec",IF(I22="Dec","Jan",0))))))))))))</f>
        <v>0</v>
      </c>
      <c r="J23" s="22">
        <f>IFERROR(IF($F$10&lt;&gt;"1. Actual program", 0, IF($B$12&lt;13, J37, IF($B$12&lt;25, AVERAGE(Export!O15,Export!O27)*AVERAGE(Inputs!M$47,Inputs!M$59), IF($B$12&lt;37, AVERAGE(Export!O15,Export!O27,Export!O39)*AVERAGE(Inputs!M$47,Inputs!M$59,Inputs!M$71), AVERAGE(Export!O15,Export!O27,Export!O39,Export!O51)*AVERAGE(Inputs!M$47,Inputs!M$59,Inputs!M$71,Inputs!M$83))))), "")</f>
        <v>0</v>
      </c>
      <c r="O23" s="11">
        <f t="shared" ref="O23:O33" si="1">I23</f>
        <v>0</v>
      </c>
      <c r="P23" s="12">
        <f>IFERROR(IF($B$12&lt;13, P37, IF($B$12&lt;25, AVERAGE(Export!P15,Export!P27)*AVERAGE(Inputs!S$47,Inputs!S$59), IF($B$12&lt;37, AVERAGE(Export!P15,Export!P27,Export!P39)*AVERAGE(Inputs!S$47,Inputs!S$59,Inputs!S$71), AVERAGE(Export!P15,Export!P27,Export!P39,Export!P51)*AVERAGE(Inputs!S$47,Inputs!S$59,Inputs!S$71,Inputs!S$83)))), "")</f>
        <v>0</v>
      </c>
      <c r="U23" s="16"/>
      <c r="W23" s="30"/>
      <c r="X23" s="30"/>
      <c r="Y23" s="30"/>
      <c r="Z23" s="30"/>
      <c r="AA23" s="30"/>
      <c r="AB23" s="30"/>
      <c r="AC23" s="30"/>
      <c r="AD23" s="30"/>
      <c r="AE23" s="30"/>
      <c r="AF23" s="30"/>
      <c r="AG23" s="30"/>
      <c r="AH23" s="30"/>
      <c r="AI23" s="30"/>
      <c r="AJ23" s="30"/>
      <c r="AK23" s="30"/>
      <c r="AL23" s="30"/>
      <c r="AM23" s="30"/>
    </row>
    <row r="24" spans="1:39" ht="0" hidden="1" customHeight="1" x14ac:dyDescent="0.45">
      <c r="A24" s="8" t="s">
        <v>25</v>
      </c>
      <c r="B24" s="48" t="str">
        <f>IFERROR(AVERAGE(B38,B52,B64,B76),"")</f>
        <v/>
      </c>
      <c r="D24" s="48" t="str">
        <f>IFERROR(AVERAGE(D38,D52,D64,D76),"")</f>
        <v/>
      </c>
      <c r="E24" s="5"/>
      <c r="F24" s="48" t="str">
        <f>IFERROR(AVERAGE(F38,F52,F64,F76),"")</f>
        <v/>
      </c>
      <c r="H24" s="5">
        <f t="shared" si="0"/>
        <v>-10</v>
      </c>
      <c r="I24" s="11">
        <f t="shared" ref="I24:I33" si="2">IF(I23="Jan","Feb",IF(I23="Feb","Mar",IF(I23="Mar","Apr",IF(I23="Apr","May",IF(I23="May","Jun",IF(I23="Jun","Jul",IF(I23="Jul","Aug",IF(I23="Aug","Sep",IF(I23="Sep","Oct",IF(I23="Oct","Nov",IF(I23="Nov","Dec",IF(I23="Dec","Jan",0))))))))))))</f>
        <v>0</v>
      </c>
      <c r="J24" s="22">
        <f>IFERROR(IF($F$10&lt;&gt;"1. Actual program", 0, IF($B$12&lt;13, J38, IF($B$12&lt;25, AVERAGE(Export!O16,Export!O28)*AVERAGE(Inputs!M$47,Inputs!M$59), IF($B$12&lt;37, AVERAGE(Export!O16,Export!O28,Export!O40)*AVERAGE(Inputs!M$47,Inputs!M$59,Inputs!M$71), AVERAGE(Export!O16,Export!O28,Export!O40,Export!O52)*AVERAGE(Inputs!M$47,Inputs!M$59,Inputs!M$71,Inputs!M$83))))), "")</f>
        <v>0</v>
      </c>
      <c r="O24" s="11">
        <f t="shared" si="1"/>
        <v>0</v>
      </c>
      <c r="P24" s="12">
        <f>IFERROR(IF($B$12&lt;13, P38, IF($B$12&lt;25, AVERAGE(Export!P16,Export!P28)*AVERAGE(Inputs!S$47,Inputs!S$59), IF($B$12&lt;37, AVERAGE(Export!P16,Export!P28,Export!P40)*AVERAGE(Inputs!S$47,Inputs!S$59,Inputs!S$71), AVERAGE(Export!P16,Export!P28,Export!P40,Export!P52)*AVERAGE(Inputs!S$47,Inputs!S$59,Inputs!S$71,Inputs!S$83)))), "")</f>
        <v>0</v>
      </c>
      <c r="U24" s="16"/>
      <c r="W24" s="30"/>
      <c r="X24" s="30"/>
      <c r="Y24" s="30"/>
      <c r="Z24" s="30"/>
      <c r="AA24" s="30"/>
      <c r="AB24" s="30"/>
      <c r="AC24" s="30"/>
      <c r="AD24" s="30"/>
      <c r="AE24" s="30"/>
      <c r="AF24" s="30"/>
      <c r="AG24" s="30"/>
      <c r="AH24" s="30"/>
      <c r="AI24" s="30"/>
      <c r="AJ24" s="30"/>
      <c r="AK24" s="30"/>
      <c r="AL24" s="30"/>
      <c r="AM24" s="30"/>
    </row>
    <row r="25" spans="1:39" ht="0" hidden="1" customHeight="1" x14ac:dyDescent="0.45">
      <c r="H25" s="5">
        <f t="shared" si="0"/>
        <v>-9</v>
      </c>
      <c r="I25" s="11">
        <f t="shared" si="2"/>
        <v>0</v>
      </c>
      <c r="J25" s="22">
        <f>IFERROR(IF($F$10&lt;&gt;"1. Actual program", 0, IF($B$12&lt;13, J39, IF($B$12&lt;25, AVERAGE(Export!O17,Export!O29)*AVERAGE(Inputs!M$47,Inputs!M$59), IF($B$12&lt;37, AVERAGE(Export!O17,Export!O29,Export!O41)*AVERAGE(Inputs!M$47,Inputs!M$59,Inputs!M$71), AVERAGE(Export!O17,Export!O29,Export!O41,Export!O53)*AVERAGE(Inputs!M$47,Inputs!M$59,Inputs!M$71,Inputs!M$83))))), "")</f>
        <v>0</v>
      </c>
      <c r="O25" s="11">
        <f t="shared" si="1"/>
        <v>0</v>
      </c>
      <c r="P25" s="12">
        <f>IFERROR(IF($B$12&lt;13, P39, IF($B$12&lt;25, AVERAGE(Export!P17,Export!P29)*AVERAGE(Inputs!S$47,Inputs!S$59), IF($B$12&lt;37, AVERAGE(Export!P17,Export!P29,Export!P41)*AVERAGE(Inputs!S$47,Inputs!S$59,Inputs!S$71), AVERAGE(Export!P17,Export!P29,Export!P41,Export!P53)*AVERAGE(Inputs!S$47,Inputs!S$59,Inputs!S$71,Inputs!S$83)))), "")</f>
        <v>0</v>
      </c>
      <c r="U25" s="16"/>
      <c r="W25" s="30"/>
      <c r="X25" s="30"/>
      <c r="Y25" s="30"/>
      <c r="Z25" s="30"/>
      <c r="AA25" s="30"/>
      <c r="AB25" s="30"/>
      <c r="AC25" s="30"/>
      <c r="AD25" s="30"/>
      <c r="AE25" s="30"/>
      <c r="AF25" s="30"/>
      <c r="AG25" s="30"/>
      <c r="AH25" s="30"/>
      <c r="AI25" s="30"/>
      <c r="AJ25" s="30"/>
      <c r="AK25" s="30"/>
      <c r="AL25" s="30"/>
      <c r="AM25" s="30"/>
    </row>
    <row r="26" spans="1:39" ht="0" hidden="1" customHeight="1" x14ac:dyDescent="0.45">
      <c r="A26" s="19" t="s">
        <v>1</v>
      </c>
      <c r="H26" s="5">
        <f t="shared" si="0"/>
        <v>-8</v>
      </c>
      <c r="I26" s="11">
        <f t="shared" si="2"/>
        <v>0</v>
      </c>
      <c r="J26" s="22">
        <f>IFERROR(IF($F$10&lt;&gt;"1. Actual program", 0, IF($B$12&lt;13, J40, IF($B$12&lt;25, AVERAGE(Export!O18,Export!O30)*AVERAGE(Inputs!M$47,Inputs!M$59), IF($B$12&lt;37, AVERAGE(Export!O18,Export!O30,Export!O42)*AVERAGE(Inputs!M$47,Inputs!M$59,Inputs!M$71), AVERAGE(Export!O18,Export!O30,Export!O42,Export!O54)*AVERAGE(Inputs!M$47,Inputs!M$59,Inputs!M$71,Inputs!M$83))))), "")</f>
        <v>0</v>
      </c>
      <c r="O26" s="11">
        <f t="shared" si="1"/>
        <v>0</v>
      </c>
      <c r="P26" s="12">
        <f>IFERROR(IF($B$12&lt;13, P40, IF($B$12&lt;25, AVERAGE(Export!P18,Export!P30)*AVERAGE(Inputs!S$47,Inputs!S$59), IF($B$12&lt;37, AVERAGE(Export!P18,Export!P30,Export!P42)*AVERAGE(Inputs!S$47,Inputs!S$59,Inputs!S$71), AVERAGE(Export!P18,Export!P30,Export!P42,Export!P54)*AVERAGE(Inputs!S$47,Inputs!S$59,Inputs!S$71,Inputs!S$83)))), "")</f>
        <v>0</v>
      </c>
      <c r="U26" s="16"/>
      <c r="W26" s="30"/>
      <c r="X26" s="30"/>
      <c r="Y26" s="30"/>
      <c r="Z26" s="30"/>
      <c r="AA26" s="30"/>
      <c r="AB26" s="30"/>
      <c r="AC26" s="30"/>
      <c r="AD26" s="30"/>
      <c r="AE26" s="30"/>
      <c r="AF26" s="30"/>
      <c r="AG26" s="30"/>
      <c r="AH26" s="30"/>
      <c r="AI26" s="30"/>
      <c r="AJ26" s="30"/>
      <c r="AK26" s="30"/>
      <c r="AL26" s="30"/>
      <c r="AM26" s="30"/>
    </row>
    <row r="27" spans="1:39" ht="0" hidden="1" customHeight="1" x14ac:dyDescent="0.45">
      <c r="A27" s="313" t="s">
        <v>27</v>
      </c>
      <c r="B27" s="313"/>
      <c r="C27" s="313"/>
      <c r="D27" s="313"/>
      <c r="F27" s="42" t="str">
        <f>IFERROR(AVERAGE(F41,F55,F67,F79),"")</f>
        <v/>
      </c>
      <c r="H27" s="5">
        <f t="shared" si="0"/>
        <v>-7</v>
      </c>
      <c r="I27" s="11">
        <f t="shared" si="2"/>
        <v>0</v>
      </c>
      <c r="J27" s="22">
        <f>IFERROR(IF($F$10&lt;&gt;"1. Actual program", 0, IF($B$12&lt;13, J41, IF($B$12&lt;25, AVERAGE(Export!O19,Export!O31)*AVERAGE(Inputs!M$47,Inputs!M$59), IF($B$12&lt;37, AVERAGE(Export!O19,Export!O31,Export!O43)*AVERAGE(Inputs!M$47,Inputs!M$59,Inputs!M$71), AVERAGE(Export!O19,Export!O31,Export!O43,Export!O55)*AVERAGE(Inputs!M$47,Inputs!M$59,Inputs!M$71,Inputs!M$83))))), "")</f>
        <v>0</v>
      </c>
      <c r="O27" s="11">
        <f t="shared" si="1"/>
        <v>0</v>
      </c>
      <c r="P27" s="12">
        <f>IFERROR(IF($B$12&lt;13, P41, IF($B$12&lt;25, AVERAGE(Export!P19,Export!P31)*AVERAGE(Inputs!S$47,Inputs!S$59), IF($B$12&lt;37, AVERAGE(Export!P19,Export!P31,Export!P43)*AVERAGE(Inputs!S$47,Inputs!S$59,Inputs!S$71), AVERAGE(Export!P19,Export!P31,Export!P43,Export!P55)*AVERAGE(Inputs!S$47,Inputs!S$59,Inputs!S$71,Inputs!S$83)))), "")</f>
        <v>0</v>
      </c>
      <c r="U27" s="16"/>
      <c r="W27" s="30"/>
      <c r="X27" s="30"/>
      <c r="Y27" s="30"/>
      <c r="Z27" s="30"/>
      <c r="AA27" s="30"/>
      <c r="AB27" s="30"/>
      <c r="AC27" s="30"/>
      <c r="AD27" s="30"/>
      <c r="AE27" s="30"/>
      <c r="AF27" s="30"/>
      <c r="AG27" s="30"/>
      <c r="AH27" s="30"/>
      <c r="AI27" s="30"/>
      <c r="AJ27" s="30"/>
      <c r="AK27" s="30"/>
      <c r="AL27" s="30"/>
      <c r="AM27" s="30"/>
    </row>
    <row r="28" spans="1:39" ht="0" hidden="1" customHeight="1" x14ac:dyDescent="0.45">
      <c r="A28" s="313" t="s">
        <v>30</v>
      </c>
      <c r="B28" s="313"/>
      <c r="C28" s="313"/>
      <c r="D28" s="313"/>
      <c r="F28" s="42" t="str">
        <f>IFERROR(AVERAGE(F42,F56,F68,F80),"")</f>
        <v/>
      </c>
      <c r="H28" s="5">
        <f t="shared" si="0"/>
        <v>-6</v>
      </c>
      <c r="I28" s="11">
        <f t="shared" si="2"/>
        <v>0</v>
      </c>
      <c r="J28" s="22">
        <f>IFERROR(IF($F$10&lt;&gt;"1. Actual program", 0, IF($B$12&lt;13, J42, IF($B$12&lt;25, AVERAGE(Export!O20,Export!O32)*AVERAGE(Inputs!M$47,Inputs!M$59), IF($B$12&lt;37, AVERAGE(Export!O20,Export!O32,Export!O44)*AVERAGE(Inputs!M$47,Inputs!M$59,Inputs!M$71), AVERAGE(Export!O20,Export!O32,Export!O44,Export!O56)*AVERAGE(Inputs!M$47,Inputs!M$59,Inputs!M$71,Inputs!M$83))))), "")</f>
        <v>0</v>
      </c>
      <c r="O28" s="11">
        <f t="shared" si="1"/>
        <v>0</v>
      </c>
      <c r="P28" s="12">
        <f>IFERROR(IF($B$12&lt;13, P42, IF($B$12&lt;25, AVERAGE(Export!P20,Export!P32)*AVERAGE(Inputs!S$47,Inputs!S$59), IF($B$12&lt;37, AVERAGE(Export!P20,Export!P32,Export!P44)*AVERAGE(Inputs!S$47,Inputs!S$59,Inputs!S$71), AVERAGE(Export!P20,Export!P32,Export!P44,Export!P56)*AVERAGE(Inputs!S$47,Inputs!S$59,Inputs!S$71,Inputs!S$83)))), "")</f>
        <v>0</v>
      </c>
      <c r="U28" s="16"/>
      <c r="W28" s="30"/>
      <c r="X28" s="30"/>
      <c r="Y28" s="30"/>
      <c r="Z28" s="30"/>
      <c r="AA28" s="30"/>
      <c r="AB28" s="30"/>
      <c r="AC28" s="30"/>
      <c r="AD28" s="30"/>
      <c r="AE28" s="30"/>
      <c r="AF28" s="30"/>
      <c r="AG28" s="30"/>
      <c r="AH28" s="30"/>
      <c r="AI28" s="30"/>
      <c r="AJ28" s="30"/>
      <c r="AK28" s="30"/>
      <c r="AL28" s="30"/>
      <c r="AM28" s="30"/>
    </row>
    <row r="29" spans="1:39" ht="0" hidden="1" customHeight="1" x14ac:dyDescent="0.45">
      <c r="A29" s="313" t="s">
        <v>316</v>
      </c>
      <c r="B29" s="313"/>
      <c r="C29" s="313"/>
      <c r="D29" s="313"/>
      <c r="F29" s="49" t="str">
        <f>IFERROR(AVERAGE(F43,F57,F69,F81),"")</f>
        <v/>
      </c>
      <c r="H29" s="5">
        <f t="shared" si="0"/>
        <v>-5</v>
      </c>
      <c r="I29" s="11">
        <f t="shared" si="2"/>
        <v>0</v>
      </c>
      <c r="J29" s="22">
        <f>IFERROR(IF($F$10&lt;&gt;"1. Actual program", 0, IF($B$12&lt;13, J43, IF($B$12&lt;25, AVERAGE(Export!O21,Export!O33)*AVERAGE(Inputs!M$47,Inputs!M$59), IF($B$12&lt;37, AVERAGE(Export!O21,Export!O33,Export!O45)*AVERAGE(Inputs!M$47,Inputs!M$59,Inputs!M$71), AVERAGE(Export!O21,Export!O33,Export!O45,Export!O57)*AVERAGE(Inputs!M$47,Inputs!M$59,Inputs!M$71,Inputs!M$83))))), "")</f>
        <v>0</v>
      </c>
      <c r="O29" s="11">
        <f t="shared" si="1"/>
        <v>0</v>
      </c>
      <c r="P29" s="12">
        <f>IFERROR(IF($B$12&lt;13, P43, IF($B$12&lt;25, AVERAGE(Export!P21,Export!P33)*AVERAGE(Inputs!S$47,Inputs!S$59), IF($B$12&lt;37, AVERAGE(Export!P21,Export!P33,Export!P45)*AVERAGE(Inputs!S$47,Inputs!S$59,Inputs!S$71), AVERAGE(Export!P21,Export!P33,Export!P45,Export!P57)*AVERAGE(Inputs!S$47,Inputs!S$59,Inputs!S$71,Inputs!S$83)))), "")</f>
        <v>0</v>
      </c>
      <c r="U29" s="16"/>
      <c r="W29" s="30"/>
      <c r="X29" s="30"/>
      <c r="Y29" s="30"/>
      <c r="Z29" s="30"/>
      <c r="AA29" s="30"/>
      <c r="AB29" s="30"/>
      <c r="AC29" s="30"/>
      <c r="AD29" s="30"/>
      <c r="AE29" s="30"/>
      <c r="AF29" s="30"/>
      <c r="AG29" s="30"/>
      <c r="AH29" s="30"/>
      <c r="AI29" s="30"/>
      <c r="AJ29" s="30"/>
      <c r="AK29" s="30"/>
      <c r="AL29" s="30"/>
      <c r="AM29" s="30"/>
    </row>
    <row r="30" spans="1:39" ht="0" hidden="1" customHeight="1" x14ac:dyDescent="0.45">
      <c r="A30" s="311" t="s">
        <v>74</v>
      </c>
      <c r="B30" s="311"/>
      <c r="C30" s="311"/>
      <c r="D30" s="311"/>
      <c r="F30" s="49" t="str">
        <f>IFERROR(AVERAGE(F44,F58,F70,F82),"")</f>
        <v/>
      </c>
      <c r="H30" s="5">
        <f t="shared" si="0"/>
        <v>-4</v>
      </c>
      <c r="I30" s="11">
        <f t="shared" si="2"/>
        <v>0</v>
      </c>
      <c r="J30" s="22">
        <f>IFERROR(IF($F$10&lt;&gt;"1. Actual program", 0, IF($B$12&lt;13, J44, IF($B$12&lt;25, AVERAGE(Export!O22,Export!O34)*AVERAGE(Inputs!M$47,Inputs!M$59), IF($B$12&lt;37, AVERAGE(Export!O22,Export!O34,Export!O46)*AVERAGE(Inputs!M$47,Inputs!M$59,Inputs!M$71), AVERAGE(Export!O22,Export!O34,Export!O46,Export!O58)*AVERAGE(Inputs!M$47,Inputs!M$59,Inputs!M$71,Inputs!M$83))))), "")</f>
        <v>0</v>
      </c>
      <c r="O30" s="11">
        <f t="shared" si="1"/>
        <v>0</v>
      </c>
      <c r="P30" s="12">
        <f>IFERROR(IF($B$12&lt;13, P44, IF($B$12&lt;25, AVERAGE(Export!P22,Export!P34)*AVERAGE(Inputs!S$47,Inputs!S$59), IF($B$12&lt;37, AVERAGE(Export!P22,Export!P34,Export!P46)*AVERAGE(Inputs!S$47,Inputs!S$59,Inputs!S$71), AVERAGE(Export!P22,Export!P34,Export!P46,Export!P58)*AVERAGE(Inputs!S$47,Inputs!S$59,Inputs!S$71,Inputs!S$83)))), "")</f>
        <v>0</v>
      </c>
      <c r="U30" s="16"/>
      <c r="W30" s="30"/>
      <c r="X30" s="30"/>
      <c r="Y30" s="30"/>
      <c r="Z30" s="30"/>
      <c r="AA30" s="30"/>
      <c r="AB30" s="30"/>
      <c r="AC30" s="30"/>
      <c r="AD30" s="30"/>
      <c r="AE30" s="30"/>
      <c r="AF30" s="30"/>
      <c r="AG30" s="30"/>
      <c r="AH30" s="30"/>
      <c r="AI30" s="30"/>
      <c r="AJ30" s="30"/>
      <c r="AK30" s="30"/>
      <c r="AL30" s="30"/>
      <c r="AM30" s="30"/>
    </row>
    <row r="31" spans="1:39" ht="0" hidden="1" customHeight="1" x14ac:dyDescent="0.45">
      <c r="A31" s="311"/>
      <c r="B31" s="311"/>
      <c r="C31" s="311"/>
      <c r="D31" s="311"/>
      <c r="H31" s="5">
        <f t="shared" si="0"/>
        <v>-3</v>
      </c>
      <c r="I31" s="11">
        <f t="shared" si="2"/>
        <v>0</v>
      </c>
      <c r="J31" s="22">
        <f>IFERROR(IF($F$10&lt;&gt;"1. Actual program", 0, IF($B$12&lt;13, J45, IF($B$12&lt;25, AVERAGE(Export!O23,Export!O35)*AVERAGE(Inputs!M$47,Inputs!M$59), IF($B$12&lt;37, AVERAGE(Export!O23,Export!O35,Export!O47)*AVERAGE(Inputs!M$47,Inputs!M$59,Inputs!M$71), AVERAGE(Export!O23,Export!O35,Export!O47,Export!O59)*AVERAGE(Inputs!M$47,Inputs!M$59,Inputs!M$71,Inputs!M$83))))), "")</f>
        <v>0</v>
      </c>
      <c r="O31" s="11">
        <f t="shared" si="1"/>
        <v>0</v>
      </c>
      <c r="P31" s="12">
        <f>IFERROR(IF($B$12&lt;13, P45, IF($B$12&lt;25, AVERAGE(Export!P23,Export!P35)*AVERAGE(Inputs!S$47,Inputs!S$59), IF($B$12&lt;37, AVERAGE(Export!P23,Export!P35,Export!P47)*AVERAGE(Inputs!S$47,Inputs!S$59,Inputs!S$71), AVERAGE(Export!P23,Export!P35,Export!P47,Export!P59)*AVERAGE(Inputs!S$47,Inputs!S$59,Inputs!S$71,Inputs!S$83)))), "")</f>
        <v>0</v>
      </c>
      <c r="U31" s="16"/>
      <c r="W31" s="9"/>
      <c r="X31" s="9"/>
      <c r="Y31" s="9"/>
      <c r="Z31" s="9"/>
      <c r="AA31" s="9"/>
      <c r="AB31" s="9"/>
      <c r="AC31" s="9"/>
      <c r="AD31" s="9"/>
      <c r="AE31" s="9"/>
      <c r="AF31" s="9"/>
      <c r="AG31" s="9"/>
      <c r="AH31" s="9"/>
      <c r="AI31" s="9"/>
      <c r="AJ31" s="9"/>
      <c r="AK31" s="9"/>
      <c r="AL31" s="9"/>
      <c r="AM31" s="9"/>
    </row>
    <row r="32" spans="1:39" ht="0" hidden="1" customHeight="1" x14ac:dyDescent="0.45">
      <c r="H32" s="5">
        <f t="shared" si="0"/>
        <v>-2</v>
      </c>
      <c r="I32" s="11">
        <f t="shared" si="2"/>
        <v>0</v>
      </c>
      <c r="J32" s="22">
        <f>IFERROR(IF($F$10&lt;&gt;"1. Actual program", 0, IF($B$12&lt;13, J46, IF($B$12&lt;25, AVERAGE(Export!O24,Export!O36)*AVERAGE(Inputs!M$47,Inputs!M$59), IF($B$12&lt;37, AVERAGE(Export!O24,Export!O36,Export!O48)*AVERAGE(Inputs!M$47,Inputs!M$59,Inputs!M$71), AVERAGE(Export!O24,Export!O36,Export!O48,Export!O60)*AVERAGE(Inputs!M$47,Inputs!M$59,Inputs!M$71,Inputs!M$83))))), "")</f>
        <v>0</v>
      </c>
      <c r="O32" s="11">
        <f t="shared" si="1"/>
        <v>0</v>
      </c>
      <c r="P32" s="12">
        <f>IFERROR(IF($B$12&lt;13, P46, IF($B$12&lt;25, AVERAGE(Export!P24,Export!P36)*AVERAGE(Inputs!S$47,Inputs!S$59), IF($B$12&lt;37, AVERAGE(Export!P24,Export!P36,Export!P48)*AVERAGE(Inputs!S$47,Inputs!S$59,Inputs!S$71), AVERAGE(Export!P24,Export!P36,Export!P48,Export!P60)*AVERAGE(Inputs!S$47,Inputs!S$59,Inputs!S$71,Inputs!S$83)))), "")</f>
        <v>0</v>
      </c>
      <c r="U32" s="16"/>
      <c r="W32" s="9"/>
      <c r="X32" s="9"/>
      <c r="Y32" s="9"/>
      <c r="Z32" s="9"/>
      <c r="AA32" s="9"/>
      <c r="AB32" s="9"/>
      <c r="AC32" s="9"/>
      <c r="AD32" s="9"/>
      <c r="AE32" s="9"/>
      <c r="AF32" s="9"/>
      <c r="AG32" s="9"/>
      <c r="AH32" s="9"/>
      <c r="AI32" s="9"/>
      <c r="AJ32" s="9"/>
      <c r="AK32" s="9"/>
      <c r="AL32" s="9"/>
      <c r="AM32" s="9"/>
    </row>
    <row r="33" spans="1:39" ht="0" hidden="1" customHeight="1" x14ac:dyDescent="0.45">
      <c r="H33" s="5">
        <f t="shared" si="0"/>
        <v>-1</v>
      </c>
      <c r="I33" s="11">
        <f t="shared" si="2"/>
        <v>0</v>
      </c>
      <c r="J33" s="22">
        <f>IFERROR(IF($F$10&lt;&gt;"1. Actual program", 0, IF($B$12&lt;13, J47, IF($B$12&lt;25, AVERAGE(Export!O25,Export!O37)*AVERAGE(Inputs!M$47,Inputs!M$59), IF($B$12&lt;37, AVERAGE(Export!O25,Export!O37,Export!O49)*AVERAGE(Inputs!M$47,Inputs!M$59,Inputs!M$71), AVERAGE(Export!O25,Export!O37,Export!O49,Export!O61)*AVERAGE(Inputs!M$47,Inputs!M$59,Inputs!M$71,Inputs!M$83))))), "")</f>
        <v>0</v>
      </c>
      <c r="L33" s="25" t="s">
        <v>69</v>
      </c>
      <c r="M33" s="4">
        <f>SUM(J22:J33)</f>
        <v>0</v>
      </c>
      <c r="O33" s="11">
        <f t="shared" si="1"/>
        <v>0</v>
      </c>
      <c r="P33" s="12">
        <f>IFERROR(IF($B$12&lt;13, P47, IF($B$12&lt;25, AVERAGE(Export!P25,Export!P37)*AVERAGE(Inputs!S$47,Inputs!S$59), IF($B$12&lt;37, AVERAGE(Export!P25,Export!P37,Export!P49)*AVERAGE(Inputs!S$47,Inputs!S$59,Inputs!S$71), AVERAGE(Export!P25,Export!P37,Export!P49,Export!P61)*AVERAGE(Inputs!S$47,Inputs!S$59,Inputs!S$71,Inputs!S$83)))), "")</f>
        <v>0</v>
      </c>
      <c r="R33" s="25" t="s">
        <v>69</v>
      </c>
      <c r="S33" s="20">
        <f>SUM(P22:P33)</f>
        <v>0</v>
      </c>
      <c r="U33" s="16"/>
      <c r="W33" s="9"/>
      <c r="X33" s="9"/>
      <c r="Y33" s="9"/>
      <c r="Z33" s="9"/>
      <c r="AA33" s="9"/>
      <c r="AB33" s="9"/>
      <c r="AC33" s="9"/>
      <c r="AD33" s="9"/>
      <c r="AE33" s="9"/>
      <c r="AF33" s="9"/>
      <c r="AG33" s="9"/>
      <c r="AH33" s="9"/>
      <c r="AI33" s="9"/>
      <c r="AJ33" s="9"/>
      <c r="AK33" s="9"/>
      <c r="AL33" s="9"/>
      <c r="AM33" s="9"/>
    </row>
    <row r="34" spans="1:39" ht="19.5" customHeight="1" x14ac:dyDescent="0.45">
      <c r="A34" s="36" t="s">
        <v>55</v>
      </c>
      <c r="H34" s="5"/>
      <c r="U34" s="16"/>
      <c r="W34" s="13"/>
      <c r="X34" s="13"/>
      <c r="Y34" s="13"/>
      <c r="Z34" s="13"/>
      <c r="AA34" s="13"/>
      <c r="AB34" s="13"/>
      <c r="AC34" s="13"/>
      <c r="AD34" s="13"/>
      <c r="AE34" s="13"/>
      <c r="AF34" s="13"/>
      <c r="AG34" s="13"/>
      <c r="AH34" s="13"/>
      <c r="AI34" s="13"/>
      <c r="AJ34" s="13"/>
      <c r="AK34" s="13"/>
      <c r="AL34" s="13"/>
      <c r="AM34" s="13"/>
    </row>
    <row r="35" spans="1:39" ht="23.15" customHeight="1" x14ac:dyDescent="0.45">
      <c r="A35" s="19" t="s">
        <v>20</v>
      </c>
      <c r="I35" s="19" t="s">
        <v>28</v>
      </c>
      <c r="O35" s="19" t="s">
        <v>32</v>
      </c>
      <c r="U35" s="16"/>
      <c r="V35" s="318" t="s">
        <v>318</v>
      </c>
      <c r="W35" s="318"/>
      <c r="X35" s="318"/>
      <c r="Y35" s="318"/>
      <c r="Z35" s="318"/>
      <c r="AA35" s="318"/>
      <c r="AB35" s="318"/>
      <c r="AC35" s="318"/>
      <c r="AD35" s="318"/>
      <c r="AE35" s="318"/>
      <c r="AF35" s="318"/>
      <c r="AG35" s="318"/>
      <c r="AH35" s="318"/>
      <c r="AI35" s="318"/>
      <c r="AJ35" s="318"/>
      <c r="AK35" s="318"/>
      <c r="AL35" s="318"/>
      <c r="AM35" s="318"/>
    </row>
    <row r="36" spans="1:39" ht="22" customHeight="1" x14ac:dyDescent="0.45">
      <c r="B36" s="5" t="s">
        <v>22</v>
      </c>
      <c r="D36" s="5" t="s">
        <v>23</v>
      </c>
      <c r="F36" s="5" t="s">
        <v>24</v>
      </c>
      <c r="H36" s="5" t="str">
        <f t="shared" ref="H36:H83" si="3">IF(ROW()-ROW($H$36)+1&lt;=$B$12, ROW()-ROW($H$36)+1, "")</f>
        <v/>
      </c>
      <c r="I36" s="11">
        <f>$B$14</f>
        <v>0</v>
      </c>
      <c r="J36" s="48"/>
      <c r="O36" s="11">
        <f>I36</f>
        <v>0</v>
      </c>
      <c r="P36" s="31"/>
      <c r="U36" s="16"/>
      <c r="V36" s="318"/>
      <c r="W36" s="318"/>
      <c r="X36" s="318"/>
      <c r="Y36" s="318"/>
      <c r="Z36" s="318"/>
      <c r="AA36" s="318"/>
      <c r="AB36" s="318"/>
      <c r="AC36" s="318"/>
      <c r="AD36" s="318"/>
      <c r="AE36" s="318"/>
      <c r="AF36" s="318"/>
      <c r="AG36" s="318"/>
      <c r="AH36" s="318"/>
      <c r="AI36" s="318"/>
      <c r="AJ36" s="318"/>
      <c r="AK36" s="318"/>
      <c r="AL36" s="318"/>
      <c r="AM36" s="318"/>
    </row>
    <row r="37" spans="1:39" ht="18.649999999999999" customHeight="1" x14ac:dyDescent="0.45">
      <c r="A37" s="8" t="s">
        <v>21</v>
      </c>
      <c r="B37" s="48"/>
      <c r="D37" s="48"/>
      <c r="E37" s="5"/>
      <c r="F37" s="48"/>
      <c r="H37" s="5" t="str">
        <f t="shared" si="3"/>
        <v/>
      </c>
      <c r="I37" s="11">
        <f>IF(I36="Jan","Feb",IF(I36="Feb","Mar",IF(I36="Mar","Apr",IF(I36="Apr","May",IF(I36="May","Jun",IF(I36="Jun","Jul",IF(I36="Jul","Aug",IF(I36="Aug","Sep",IF(I36="Sep","Oct",IF(I36="Oct","Nov",IF(I36="Nov","Dec",IF(I36="Dec","Jan",0))))))))))))</f>
        <v>0</v>
      </c>
      <c r="J37" s="48"/>
      <c r="O37" s="11">
        <f t="shared" ref="O37:O83" si="4">I37</f>
        <v>0</v>
      </c>
      <c r="P37" s="31"/>
      <c r="U37" s="16"/>
      <c r="V37" s="318"/>
      <c r="W37" s="318"/>
      <c r="X37" s="318"/>
      <c r="Y37" s="318"/>
      <c r="Z37" s="318"/>
      <c r="AA37" s="318"/>
      <c r="AB37" s="318"/>
      <c r="AC37" s="318"/>
      <c r="AD37" s="318"/>
      <c r="AE37" s="318"/>
      <c r="AF37" s="318"/>
      <c r="AG37" s="318"/>
      <c r="AH37" s="318"/>
      <c r="AI37" s="318"/>
      <c r="AJ37" s="318"/>
      <c r="AK37" s="318"/>
      <c r="AL37" s="318"/>
      <c r="AM37" s="318"/>
    </row>
    <row r="38" spans="1:39" ht="18.649999999999999" customHeight="1" x14ac:dyDescent="0.45">
      <c r="A38" s="8" t="s">
        <v>25</v>
      </c>
      <c r="B38" s="48"/>
      <c r="D38" s="48"/>
      <c r="E38" s="5"/>
      <c r="F38" s="48"/>
      <c r="H38" s="5" t="str">
        <f t="shared" si="3"/>
        <v/>
      </c>
      <c r="I38" s="11">
        <f t="shared" ref="I38:I47" si="5">IF(I37="Jan","Feb",IF(I37="Feb","Mar",IF(I37="Mar","Apr",IF(I37="Apr","May",IF(I37="May","Jun",IF(I37="Jun","Jul",IF(I37="Jul","Aug",IF(I37="Aug","Sep",IF(I37="Sep","Oct",IF(I37="Oct","Nov",IF(I37="Nov","Dec",IF(I37="Dec","Jan",0))))))))))))</f>
        <v>0</v>
      </c>
      <c r="J38" s="48"/>
      <c r="O38" s="11">
        <f t="shared" si="4"/>
        <v>0</v>
      </c>
      <c r="P38" s="31"/>
      <c r="U38" s="16"/>
      <c r="V38" s="318"/>
      <c r="W38" s="318"/>
      <c r="X38" s="318"/>
      <c r="Y38" s="318"/>
      <c r="Z38" s="318"/>
      <c r="AA38" s="318"/>
      <c r="AB38" s="318"/>
      <c r="AC38" s="318"/>
      <c r="AD38" s="318"/>
      <c r="AE38" s="318"/>
      <c r="AF38" s="318"/>
      <c r="AG38" s="318"/>
      <c r="AH38" s="318"/>
      <c r="AI38" s="318"/>
      <c r="AJ38" s="318"/>
      <c r="AK38" s="318"/>
      <c r="AL38" s="318"/>
      <c r="AM38" s="318"/>
    </row>
    <row r="39" spans="1:39" ht="19.5" customHeight="1" x14ac:dyDescent="0.45">
      <c r="H39" s="5" t="str">
        <f t="shared" si="3"/>
        <v/>
      </c>
      <c r="I39" s="11">
        <f t="shared" si="5"/>
        <v>0</v>
      </c>
      <c r="J39" s="48"/>
      <c r="O39" s="11">
        <f t="shared" si="4"/>
        <v>0</v>
      </c>
      <c r="P39" s="31"/>
      <c r="U39" s="16"/>
      <c r="V39" s="318"/>
      <c r="W39" s="318"/>
      <c r="X39" s="318"/>
      <c r="Y39" s="318"/>
      <c r="Z39" s="318"/>
      <c r="AA39" s="318"/>
      <c r="AB39" s="318"/>
      <c r="AC39" s="318"/>
      <c r="AD39" s="318"/>
      <c r="AE39" s="318"/>
      <c r="AF39" s="318"/>
      <c r="AG39" s="318"/>
      <c r="AH39" s="318"/>
      <c r="AI39" s="318"/>
      <c r="AJ39" s="318"/>
      <c r="AK39" s="318"/>
      <c r="AL39" s="318"/>
      <c r="AM39" s="318"/>
    </row>
    <row r="40" spans="1:39" ht="19.5" customHeight="1" x14ac:dyDescent="0.45">
      <c r="A40" s="19" t="s">
        <v>1</v>
      </c>
      <c r="H40" s="5" t="str">
        <f t="shared" si="3"/>
        <v/>
      </c>
      <c r="I40" s="11">
        <f t="shared" si="5"/>
        <v>0</v>
      </c>
      <c r="J40" s="48"/>
      <c r="O40" s="11">
        <f t="shared" si="4"/>
        <v>0</v>
      </c>
      <c r="P40" s="31"/>
      <c r="U40" s="16"/>
      <c r="V40" s="318"/>
      <c r="W40" s="318"/>
      <c r="X40" s="318"/>
      <c r="Y40" s="318"/>
      <c r="Z40" s="318"/>
      <c r="AA40" s="318"/>
      <c r="AB40" s="318"/>
      <c r="AC40" s="318"/>
      <c r="AD40" s="318"/>
      <c r="AE40" s="318"/>
      <c r="AF40" s="318"/>
      <c r="AG40" s="318"/>
      <c r="AH40" s="318"/>
      <c r="AI40" s="318"/>
      <c r="AJ40" s="318"/>
      <c r="AK40" s="318"/>
      <c r="AL40" s="318"/>
      <c r="AM40" s="318"/>
    </row>
    <row r="41" spans="1:39" ht="19.5" customHeight="1" x14ac:dyDescent="0.45">
      <c r="A41" s="313" t="s">
        <v>319</v>
      </c>
      <c r="B41" s="313"/>
      <c r="C41" s="313"/>
      <c r="D41" s="313"/>
      <c r="F41" s="1"/>
      <c r="H41" s="5" t="str">
        <f t="shared" si="3"/>
        <v/>
      </c>
      <c r="I41" s="11">
        <f t="shared" si="5"/>
        <v>0</v>
      </c>
      <c r="J41" s="48"/>
      <c r="O41" s="11">
        <f t="shared" si="4"/>
        <v>0</v>
      </c>
      <c r="P41" s="31"/>
      <c r="U41" s="16"/>
      <c r="V41" s="318"/>
      <c r="W41" s="318"/>
      <c r="X41" s="318"/>
      <c r="Y41" s="318"/>
      <c r="Z41" s="318"/>
      <c r="AA41" s="318"/>
      <c r="AB41" s="318"/>
      <c r="AC41" s="318"/>
      <c r="AD41" s="318"/>
      <c r="AE41" s="318"/>
      <c r="AF41" s="318"/>
      <c r="AG41" s="318"/>
      <c r="AH41" s="318"/>
      <c r="AI41" s="318"/>
      <c r="AJ41" s="318"/>
      <c r="AK41" s="318"/>
      <c r="AL41" s="318"/>
      <c r="AM41" s="318"/>
    </row>
    <row r="42" spans="1:39" ht="19.5" customHeight="1" x14ac:dyDescent="0.45">
      <c r="A42" s="313" t="s">
        <v>30</v>
      </c>
      <c r="B42" s="313"/>
      <c r="C42" s="313"/>
      <c r="D42" s="313"/>
      <c r="F42" s="1"/>
      <c r="H42" s="5" t="str">
        <f t="shared" si="3"/>
        <v/>
      </c>
      <c r="I42" s="11">
        <f t="shared" si="5"/>
        <v>0</v>
      </c>
      <c r="J42" s="48"/>
      <c r="O42" s="11">
        <f t="shared" si="4"/>
        <v>0</v>
      </c>
      <c r="P42" s="31"/>
      <c r="U42" s="16"/>
      <c r="V42" s="318"/>
      <c r="W42" s="318"/>
      <c r="X42" s="318"/>
      <c r="Y42" s="318"/>
      <c r="Z42" s="318"/>
      <c r="AA42" s="318"/>
      <c r="AB42" s="318"/>
      <c r="AC42" s="318"/>
      <c r="AD42" s="318"/>
      <c r="AE42" s="318"/>
      <c r="AF42" s="318"/>
      <c r="AG42" s="318"/>
      <c r="AH42" s="318"/>
      <c r="AI42" s="318"/>
      <c r="AJ42" s="318"/>
      <c r="AK42" s="318"/>
      <c r="AL42" s="318"/>
      <c r="AM42" s="318"/>
    </row>
    <row r="43" spans="1:39" ht="19.5" customHeight="1" x14ac:dyDescent="0.45">
      <c r="A43" s="313" t="s">
        <v>316</v>
      </c>
      <c r="B43" s="313"/>
      <c r="C43" s="313"/>
      <c r="D43" s="313"/>
      <c r="F43" s="23"/>
      <c r="H43" s="5" t="str">
        <f t="shared" si="3"/>
        <v/>
      </c>
      <c r="I43" s="11">
        <f t="shared" si="5"/>
        <v>0</v>
      </c>
      <c r="J43" s="48"/>
      <c r="O43" s="11">
        <f t="shared" si="4"/>
        <v>0</v>
      </c>
      <c r="P43" s="31"/>
      <c r="U43" s="16"/>
      <c r="V43" s="30"/>
      <c r="W43" s="35"/>
      <c r="X43" s="35"/>
      <c r="Y43" s="35"/>
      <c r="Z43" s="35"/>
      <c r="AA43" s="35"/>
      <c r="AB43" s="35"/>
      <c r="AC43" s="35"/>
      <c r="AD43" s="35"/>
      <c r="AE43" s="35"/>
      <c r="AF43" s="35"/>
      <c r="AG43" s="35"/>
      <c r="AH43" s="35"/>
      <c r="AI43" s="35"/>
      <c r="AJ43" s="35"/>
      <c r="AK43" s="35"/>
      <c r="AL43" s="35"/>
      <c r="AM43" s="35"/>
    </row>
    <row r="44" spans="1:39" ht="19.5" customHeight="1" x14ac:dyDescent="0.45">
      <c r="A44" s="311" t="s">
        <v>74</v>
      </c>
      <c r="B44" s="311"/>
      <c r="C44" s="311"/>
      <c r="D44" s="311"/>
      <c r="F44" s="23"/>
      <c r="H44" s="5" t="str">
        <f t="shared" si="3"/>
        <v/>
      </c>
      <c r="I44" s="11">
        <f t="shared" si="5"/>
        <v>0</v>
      </c>
      <c r="J44" s="48"/>
      <c r="O44" s="11">
        <f t="shared" si="4"/>
        <v>0</v>
      </c>
      <c r="P44" s="31"/>
      <c r="U44" s="16"/>
      <c r="V44" s="320" t="s">
        <v>71</v>
      </c>
      <c r="W44" s="320"/>
      <c r="X44" s="320"/>
      <c r="Y44" s="320"/>
      <c r="Z44" s="320"/>
      <c r="AA44" s="320"/>
      <c r="AB44" s="320"/>
      <c r="AC44" s="320"/>
      <c r="AD44" s="320"/>
      <c r="AE44" s="320"/>
      <c r="AF44" s="320"/>
      <c r="AG44" s="320"/>
      <c r="AH44" s="320"/>
      <c r="AI44" s="320"/>
      <c r="AJ44" s="320"/>
      <c r="AK44" s="320"/>
      <c r="AL44" s="320"/>
      <c r="AM44" s="320"/>
    </row>
    <row r="45" spans="1:39" ht="19.5" customHeight="1" x14ac:dyDescent="0.45">
      <c r="A45" s="311"/>
      <c r="B45" s="311"/>
      <c r="C45" s="311"/>
      <c r="D45" s="311"/>
      <c r="H45" s="5" t="str">
        <f t="shared" si="3"/>
        <v/>
      </c>
      <c r="I45" s="11">
        <f t="shared" si="5"/>
        <v>0</v>
      </c>
      <c r="J45" s="48"/>
      <c r="O45" s="11">
        <f t="shared" si="4"/>
        <v>0</v>
      </c>
      <c r="P45" s="31"/>
      <c r="U45" s="16"/>
      <c r="V45" s="320"/>
      <c r="W45" s="320"/>
      <c r="X45" s="320"/>
      <c r="Y45" s="320"/>
      <c r="Z45" s="320"/>
      <c r="AA45" s="320"/>
      <c r="AB45" s="320"/>
      <c r="AC45" s="320"/>
      <c r="AD45" s="320"/>
      <c r="AE45" s="320"/>
      <c r="AF45" s="320"/>
      <c r="AG45" s="320"/>
      <c r="AH45" s="320"/>
      <c r="AI45" s="320"/>
      <c r="AJ45" s="320"/>
      <c r="AK45" s="320"/>
      <c r="AL45" s="320"/>
      <c r="AM45" s="320"/>
    </row>
    <row r="46" spans="1:39" ht="19.5" customHeight="1" x14ac:dyDescent="0.45">
      <c r="H46" s="5" t="str">
        <f t="shared" si="3"/>
        <v/>
      </c>
      <c r="I46" s="11">
        <f t="shared" si="5"/>
        <v>0</v>
      </c>
      <c r="J46" s="48"/>
      <c r="O46" s="11">
        <f t="shared" si="4"/>
        <v>0</v>
      </c>
      <c r="P46" s="31"/>
      <c r="U46" s="16"/>
      <c r="V46" s="320"/>
      <c r="W46" s="320"/>
      <c r="X46" s="320"/>
      <c r="Y46" s="320"/>
      <c r="Z46" s="320"/>
      <c r="AA46" s="320"/>
      <c r="AB46" s="320"/>
      <c r="AC46" s="320"/>
      <c r="AD46" s="320"/>
      <c r="AE46" s="320"/>
      <c r="AF46" s="320"/>
      <c r="AG46" s="320"/>
      <c r="AH46" s="320"/>
      <c r="AI46" s="320"/>
      <c r="AJ46" s="320"/>
      <c r="AK46" s="320"/>
      <c r="AL46" s="320"/>
      <c r="AM46" s="320"/>
    </row>
    <row r="47" spans="1:39" ht="19.5" customHeight="1" x14ac:dyDescent="0.45">
      <c r="H47" s="5" t="str">
        <f t="shared" si="3"/>
        <v/>
      </c>
      <c r="I47" s="11">
        <f t="shared" si="5"/>
        <v>0</v>
      </c>
      <c r="J47" s="48"/>
      <c r="L47" s="25" t="s">
        <v>69</v>
      </c>
      <c r="M47" s="4">
        <f>SUM(J36:J47)</f>
        <v>0</v>
      </c>
      <c r="O47" s="11">
        <f t="shared" si="4"/>
        <v>0</v>
      </c>
      <c r="P47" s="31"/>
      <c r="R47" s="25" t="s">
        <v>69</v>
      </c>
      <c r="S47" s="20">
        <f>SUM(P36:P47)</f>
        <v>0</v>
      </c>
      <c r="U47" s="16"/>
      <c r="V47" s="318" t="s">
        <v>320</v>
      </c>
      <c r="W47" s="318"/>
      <c r="X47" s="318"/>
      <c r="Y47" s="318"/>
      <c r="Z47" s="318"/>
      <c r="AA47" s="318"/>
      <c r="AB47" s="318"/>
      <c r="AC47" s="318"/>
      <c r="AD47" s="318"/>
      <c r="AE47" s="318"/>
      <c r="AF47" s="318"/>
      <c r="AG47" s="318"/>
      <c r="AH47" s="318"/>
      <c r="AI47" s="318"/>
      <c r="AJ47" s="318"/>
      <c r="AK47" s="318"/>
      <c r="AL47" s="318"/>
      <c r="AM47" s="318"/>
    </row>
    <row r="48" spans="1:39" ht="19.5" customHeight="1" x14ac:dyDescent="0.45">
      <c r="A48" s="36" t="s">
        <v>47</v>
      </c>
      <c r="H48" s="5" t="str">
        <f t="shared" si="3"/>
        <v/>
      </c>
      <c r="I48" s="11" t="str">
        <f t="shared" ref="I48:I59" si="6">IF(H48="","",IF(I47="Jan","Feb",IF(I47="Feb","Mar",IF(I47="Mar","Apr",IF(I47="Apr","May",IF(I47="May","Jun",IF(I47="Jun","Jul",IF(I47="Jul","Aug",IF(I47="Aug","Sep",IF(I47="Sep","Oct",IF(I47="Oct","Nov",IF(I47="Nov","Dec",IF(I47="Dec","Jan",0)))))))))))))</f>
        <v/>
      </c>
      <c r="J48" s="3"/>
      <c r="L48" s="25"/>
      <c r="O48" s="11" t="str">
        <f t="shared" si="4"/>
        <v/>
      </c>
      <c r="P48" s="31"/>
      <c r="U48" s="16"/>
      <c r="V48" s="318"/>
      <c r="W48" s="318"/>
      <c r="X48" s="318"/>
      <c r="Y48" s="318"/>
      <c r="Z48" s="318"/>
      <c r="AA48" s="318"/>
      <c r="AB48" s="318"/>
      <c r="AC48" s="318"/>
      <c r="AD48" s="318"/>
      <c r="AE48" s="318"/>
      <c r="AF48" s="318"/>
      <c r="AG48" s="318"/>
      <c r="AH48" s="318"/>
      <c r="AI48" s="318"/>
      <c r="AJ48" s="318"/>
      <c r="AK48" s="318"/>
      <c r="AL48" s="318"/>
      <c r="AM48" s="318"/>
    </row>
    <row r="49" spans="1:39" ht="19" customHeight="1" x14ac:dyDescent="0.45">
      <c r="A49" s="19" t="s">
        <v>20</v>
      </c>
      <c r="H49" s="5" t="str">
        <f t="shared" si="3"/>
        <v/>
      </c>
      <c r="I49" s="11" t="str">
        <f t="shared" si="6"/>
        <v/>
      </c>
      <c r="J49" s="48"/>
      <c r="L49" s="25"/>
      <c r="O49" s="11" t="str">
        <f t="shared" si="4"/>
        <v/>
      </c>
      <c r="P49" s="31"/>
      <c r="U49" s="16"/>
      <c r="V49" s="318"/>
      <c r="W49" s="318"/>
      <c r="X49" s="318"/>
      <c r="Y49" s="318"/>
      <c r="Z49" s="318"/>
      <c r="AA49" s="318"/>
      <c r="AB49" s="318"/>
      <c r="AC49" s="318"/>
      <c r="AD49" s="318"/>
      <c r="AE49" s="318"/>
      <c r="AF49" s="318"/>
      <c r="AG49" s="318"/>
      <c r="AH49" s="318"/>
      <c r="AI49" s="318"/>
      <c r="AJ49" s="318"/>
      <c r="AK49" s="318"/>
      <c r="AL49" s="318"/>
      <c r="AM49" s="318"/>
    </row>
    <row r="50" spans="1:39" ht="22" customHeight="1" x14ac:dyDescent="0.45">
      <c r="B50" s="5" t="s">
        <v>22</v>
      </c>
      <c r="D50" s="5" t="s">
        <v>23</v>
      </c>
      <c r="F50" s="5" t="s">
        <v>24</v>
      </c>
      <c r="H50" s="5" t="str">
        <f t="shared" si="3"/>
        <v/>
      </c>
      <c r="I50" s="11" t="str">
        <f t="shared" si="6"/>
        <v/>
      </c>
      <c r="J50" s="48"/>
      <c r="L50" s="25"/>
      <c r="O50" s="11" t="str">
        <f t="shared" si="4"/>
        <v/>
      </c>
      <c r="P50" s="31"/>
      <c r="U50" s="16"/>
    </row>
    <row r="51" spans="1:39" ht="22" customHeight="1" x14ac:dyDescent="0.45">
      <c r="A51" s="8" t="s">
        <v>21</v>
      </c>
      <c r="B51" s="28"/>
      <c r="D51" s="28"/>
      <c r="E51" s="5"/>
      <c r="F51" s="28"/>
      <c r="H51" s="5" t="str">
        <f t="shared" si="3"/>
        <v/>
      </c>
      <c r="I51" s="11" t="str">
        <f t="shared" si="6"/>
        <v/>
      </c>
      <c r="J51" s="48"/>
      <c r="L51" s="25"/>
      <c r="O51" s="11" t="str">
        <f t="shared" si="4"/>
        <v/>
      </c>
      <c r="P51" s="31"/>
      <c r="U51" s="16"/>
      <c r="V51" s="320" t="s">
        <v>315</v>
      </c>
      <c r="W51" s="320"/>
      <c r="X51" s="320"/>
      <c r="Y51" s="320"/>
      <c r="Z51" s="320"/>
      <c r="AA51" s="320"/>
      <c r="AB51" s="320"/>
      <c r="AC51" s="320"/>
      <c r="AD51" s="320"/>
      <c r="AE51" s="320"/>
      <c r="AF51" s="320"/>
      <c r="AG51" s="320"/>
      <c r="AH51" s="320"/>
      <c r="AI51" s="320"/>
      <c r="AJ51" s="320"/>
      <c r="AK51" s="320"/>
      <c r="AL51" s="320"/>
      <c r="AM51" s="320"/>
    </row>
    <row r="52" spans="1:39" ht="20.25" customHeight="1" x14ac:dyDescent="0.45">
      <c r="A52" s="8" t="s">
        <v>25</v>
      </c>
      <c r="B52" s="28"/>
      <c r="D52" s="45"/>
      <c r="E52" s="5"/>
      <c r="F52" s="28"/>
      <c r="H52" s="5" t="str">
        <f t="shared" si="3"/>
        <v/>
      </c>
      <c r="I52" s="11" t="str">
        <f t="shared" si="6"/>
        <v/>
      </c>
      <c r="J52" s="48"/>
      <c r="L52" s="25"/>
      <c r="O52" s="11" t="str">
        <f t="shared" si="4"/>
        <v/>
      </c>
      <c r="P52" s="31"/>
      <c r="U52" s="16"/>
      <c r="V52" s="9"/>
      <c r="W52" s="9"/>
      <c r="X52" s="9"/>
      <c r="Y52" s="9"/>
      <c r="Z52" s="9"/>
      <c r="AA52" s="9"/>
      <c r="AB52" s="9"/>
      <c r="AC52" s="9"/>
      <c r="AD52" s="9"/>
      <c r="AE52" s="9"/>
      <c r="AF52" s="9"/>
      <c r="AG52" s="9"/>
      <c r="AH52" s="9"/>
      <c r="AI52" s="9"/>
      <c r="AJ52" s="9"/>
      <c r="AK52" s="9"/>
      <c r="AL52" s="9"/>
      <c r="AM52" s="9"/>
    </row>
    <row r="53" spans="1:39" ht="20.25" customHeight="1" x14ac:dyDescent="0.45">
      <c r="H53" s="5" t="str">
        <f t="shared" si="3"/>
        <v/>
      </c>
      <c r="I53" s="11" t="str">
        <f t="shared" si="6"/>
        <v/>
      </c>
      <c r="J53" s="48"/>
      <c r="L53" s="25"/>
      <c r="O53" s="11" t="str">
        <f t="shared" si="4"/>
        <v/>
      </c>
      <c r="P53" s="31"/>
      <c r="U53" s="16"/>
      <c r="V53" s="38" t="s">
        <v>53</v>
      </c>
      <c r="W53" s="9"/>
      <c r="X53" s="9"/>
      <c r="Y53" s="9"/>
      <c r="Z53" s="9"/>
      <c r="AA53" s="9"/>
      <c r="AB53" s="9"/>
      <c r="AC53" s="9"/>
      <c r="AD53" s="9"/>
      <c r="AE53" s="9"/>
      <c r="AF53" s="9"/>
      <c r="AG53" s="9"/>
      <c r="AH53" s="9"/>
      <c r="AI53" s="9"/>
      <c r="AJ53" s="9"/>
      <c r="AK53" s="9"/>
      <c r="AL53" s="9"/>
      <c r="AM53" s="9"/>
    </row>
    <row r="54" spans="1:39" ht="20.25" customHeight="1" x14ac:dyDescent="0.45">
      <c r="A54" s="19" t="s">
        <v>1</v>
      </c>
      <c r="B54" s="8"/>
      <c r="C54" s="8"/>
      <c r="D54" s="8"/>
      <c r="E54" s="5"/>
      <c r="F54" s="5"/>
      <c r="H54" s="5" t="str">
        <f t="shared" si="3"/>
        <v/>
      </c>
      <c r="I54" s="11" t="str">
        <f t="shared" si="6"/>
        <v/>
      </c>
      <c r="J54" s="48"/>
      <c r="L54" s="40"/>
      <c r="O54" s="11" t="str">
        <f t="shared" si="4"/>
        <v/>
      </c>
      <c r="P54" s="31"/>
      <c r="U54" s="37"/>
      <c r="W54" s="38"/>
      <c r="X54" s="38"/>
      <c r="Y54" s="38"/>
      <c r="Z54" s="38"/>
      <c r="AA54" s="38"/>
      <c r="AB54" s="38"/>
      <c r="AC54" s="38"/>
      <c r="AD54" s="38"/>
      <c r="AE54" s="38"/>
      <c r="AF54" s="38"/>
      <c r="AG54" s="38"/>
      <c r="AH54" s="38"/>
      <c r="AI54" s="38"/>
      <c r="AJ54" s="38"/>
      <c r="AK54" s="38"/>
      <c r="AL54" s="38"/>
      <c r="AM54" s="38"/>
    </row>
    <row r="55" spans="1:39" ht="21.65" customHeight="1" x14ac:dyDescent="0.45">
      <c r="A55" s="313" t="s">
        <v>319</v>
      </c>
      <c r="B55" s="313"/>
      <c r="C55" s="313"/>
      <c r="D55" s="313"/>
      <c r="E55" s="5"/>
      <c r="F55" s="6"/>
      <c r="H55" s="5" t="str">
        <f t="shared" si="3"/>
        <v/>
      </c>
      <c r="I55" s="11" t="str">
        <f t="shared" si="6"/>
        <v/>
      </c>
      <c r="J55" s="48"/>
      <c r="L55" s="40"/>
      <c r="O55" s="11" t="str">
        <f t="shared" si="4"/>
        <v/>
      </c>
      <c r="P55" s="31"/>
      <c r="U55" s="37"/>
      <c r="V55" s="10"/>
    </row>
    <row r="56" spans="1:39" ht="18.649999999999999" customHeight="1" x14ac:dyDescent="0.45">
      <c r="A56" s="313" t="s">
        <v>30</v>
      </c>
      <c r="B56" s="313"/>
      <c r="C56" s="313"/>
      <c r="D56" s="313"/>
      <c r="E56" s="5"/>
      <c r="F56" s="6"/>
      <c r="H56" s="5" t="str">
        <f t="shared" si="3"/>
        <v/>
      </c>
      <c r="I56" s="11" t="str">
        <f t="shared" si="6"/>
        <v/>
      </c>
      <c r="J56" s="48"/>
      <c r="L56" s="40"/>
      <c r="O56" s="11" t="str">
        <f t="shared" si="4"/>
        <v/>
      </c>
      <c r="P56" s="31"/>
      <c r="U56" s="37"/>
      <c r="V56" s="10"/>
    </row>
    <row r="57" spans="1:39" ht="18.649999999999999" customHeight="1" x14ac:dyDescent="0.45">
      <c r="A57" s="313" t="s">
        <v>316</v>
      </c>
      <c r="B57" s="313"/>
      <c r="C57" s="313"/>
      <c r="D57" s="313"/>
      <c r="E57" s="5"/>
      <c r="F57" s="6"/>
      <c r="H57" s="5" t="str">
        <f t="shared" si="3"/>
        <v/>
      </c>
      <c r="I57" s="11" t="str">
        <f t="shared" si="6"/>
        <v/>
      </c>
      <c r="J57" s="48"/>
      <c r="L57" s="40"/>
      <c r="O57" s="11" t="str">
        <f t="shared" si="4"/>
        <v/>
      </c>
      <c r="P57" s="31"/>
      <c r="U57" s="37"/>
    </row>
    <row r="58" spans="1:39" ht="19.5" customHeight="1" x14ac:dyDescent="0.45">
      <c r="A58" s="311" t="s">
        <v>74</v>
      </c>
      <c r="B58" s="311"/>
      <c r="C58" s="311"/>
      <c r="D58" s="311"/>
      <c r="F58" s="6"/>
      <c r="H58" s="5" t="str">
        <f t="shared" si="3"/>
        <v/>
      </c>
      <c r="I58" s="11" t="str">
        <f t="shared" si="6"/>
        <v/>
      </c>
      <c r="J58" s="48"/>
      <c r="L58" s="40"/>
      <c r="O58" s="11" t="str">
        <f t="shared" si="4"/>
        <v/>
      </c>
      <c r="P58" s="31"/>
      <c r="U58" s="37"/>
    </row>
    <row r="59" spans="1:39" ht="18.649999999999999" customHeight="1" x14ac:dyDescent="0.45">
      <c r="A59" s="311"/>
      <c r="B59" s="311"/>
      <c r="C59" s="311"/>
      <c r="D59" s="311"/>
      <c r="H59" s="5" t="str">
        <f t="shared" si="3"/>
        <v/>
      </c>
      <c r="I59" s="11" t="str">
        <f t="shared" si="6"/>
        <v/>
      </c>
      <c r="J59" s="48"/>
      <c r="L59" s="25" t="s">
        <v>69</v>
      </c>
      <c r="M59" s="4">
        <f>SUM(J48:J59)</f>
        <v>0</v>
      </c>
      <c r="O59" s="11" t="str">
        <f t="shared" si="4"/>
        <v/>
      </c>
      <c r="P59" s="31"/>
      <c r="Q59" s="8"/>
      <c r="R59" s="25" t="s">
        <v>69</v>
      </c>
      <c r="S59" s="20">
        <f>SUM(P48:P59)</f>
        <v>0</v>
      </c>
      <c r="U59" s="37"/>
    </row>
    <row r="60" spans="1:39" ht="19" customHeight="1" x14ac:dyDescent="0.45">
      <c r="A60" s="36" t="s">
        <v>48</v>
      </c>
      <c r="H60" s="5" t="str">
        <f t="shared" si="3"/>
        <v/>
      </c>
      <c r="I60" s="11" t="str">
        <f t="shared" ref="I60:I83" si="7">IF(H60="","",IF(I59="Jan","Feb",IF(I59="Feb","Mar",IF(I59="Mar","Apr",IF(I59="Apr","May",IF(I59="May","Jun",IF(I59="Jun","Jul",IF(I59="Jul","Aug",IF(I59="Aug","Sep",IF(I59="Sep","Oct",IF(I59="Oct","Nov",IF(I59="Nov","Dec",IF(I59="Dec","Jan",0)))))))))))))</f>
        <v/>
      </c>
      <c r="J60" s="48"/>
      <c r="L60" s="40"/>
      <c r="O60" s="11" t="str">
        <f t="shared" si="4"/>
        <v/>
      </c>
      <c r="P60" s="31"/>
      <c r="U60" s="37"/>
    </row>
    <row r="61" spans="1:39" ht="19" customHeight="1" x14ac:dyDescent="0.45">
      <c r="A61" s="19" t="s">
        <v>20</v>
      </c>
      <c r="B61" s="5"/>
      <c r="C61" s="5"/>
      <c r="D61" s="5"/>
      <c r="E61" s="5"/>
      <c r="F61" s="5"/>
      <c r="H61" s="5" t="str">
        <f t="shared" si="3"/>
        <v/>
      </c>
      <c r="I61" s="11" t="str">
        <f t="shared" si="7"/>
        <v/>
      </c>
      <c r="J61" s="48"/>
      <c r="L61" s="40"/>
      <c r="O61" s="11" t="str">
        <f t="shared" si="4"/>
        <v/>
      </c>
      <c r="P61" s="31"/>
      <c r="U61" s="37"/>
    </row>
    <row r="62" spans="1:39" ht="18.649999999999999" customHeight="1" x14ac:dyDescent="0.45">
      <c r="A62" s="8"/>
      <c r="B62" s="5" t="s">
        <v>22</v>
      </c>
      <c r="C62" s="5"/>
      <c r="D62" s="5" t="s">
        <v>23</v>
      </c>
      <c r="E62" s="5"/>
      <c r="F62" s="5" t="s">
        <v>24</v>
      </c>
      <c r="H62" s="5" t="str">
        <f t="shared" si="3"/>
        <v/>
      </c>
      <c r="I62" s="11" t="str">
        <f t="shared" si="7"/>
        <v/>
      </c>
      <c r="J62" s="48"/>
      <c r="L62" s="40"/>
      <c r="O62" s="11" t="str">
        <f t="shared" si="4"/>
        <v/>
      </c>
      <c r="P62" s="31"/>
      <c r="U62" s="37"/>
    </row>
    <row r="63" spans="1:39" ht="18.649999999999999" customHeight="1" x14ac:dyDescent="0.45">
      <c r="A63" s="8" t="s">
        <v>21</v>
      </c>
      <c r="B63" s="28"/>
      <c r="C63" s="5"/>
      <c r="D63" s="28"/>
      <c r="E63" s="5"/>
      <c r="F63" s="28"/>
      <c r="H63" s="5" t="str">
        <f t="shared" si="3"/>
        <v/>
      </c>
      <c r="I63" s="11" t="str">
        <f t="shared" si="7"/>
        <v/>
      </c>
      <c r="J63" s="48"/>
      <c r="L63" s="40"/>
      <c r="O63" s="11" t="str">
        <f t="shared" si="4"/>
        <v/>
      </c>
      <c r="P63" s="31"/>
      <c r="U63" s="37"/>
    </row>
    <row r="64" spans="1:39" ht="18.649999999999999" customHeight="1" x14ac:dyDescent="0.45">
      <c r="A64" s="8" t="s">
        <v>25</v>
      </c>
      <c r="B64" s="28"/>
      <c r="C64" s="5"/>
      <c r="D64" s="45"/>
      <c r="E64" s="5"/>
      <c r="F64" s="28"/>
      <c r="H64" s="5" t="str">
        <f t="shared" si="3"/>
        <v/>
      </c>
      <c r="I64" s="11" t="str">
        <f t="shared" si="7"/>
        <v/>
      </c>
      <c r="J64" s="48"/>
      <c r="L64" s="40"/>
      <c r="O64" s="11" t="str">
        <f t="shared" si="4"/>
        <v/>
      </c>
      <c r="P64" s="31"/>
      <c r="U64" s="37"/>
      <c r="V64" s="9"/>
      <c r="W64" s="9"/>
      <c r="X64" s="9"/>
      <c r="Y64" s="9"/>
      <c r="Z64" s="9"/>
      <c r="AA64" s="9"/>
      <c r="AB64" s="9"/>
      <c r="AC64" s="9"/>
      <c r="AD64" s="9"/>
      <c r="AE64" s="9"/>
      <c r="AF64" s="9"/>
      <c r="AG64" s="9"/>
      <c r="AH64" s="9"/>
      <c r="AI64" s="9"/>
      <c r="AJ64" s="9"/>
      <c r="AK64" s="9"/>
      <c r="AL64" s="9"/>
      <c r="AM64" s="9"/>
    </row>
    <row r="65" spans="1:39" ht="18.649999999999999" customHeight="1" x14ac:dyDescent="0.45">
      <c r="A65" s="5"/>
      <c r="B65" s="5"/>
      <c r="C65" s="5"/>
      <c r="D65" s="5"/>
      <c r="E65" s="5"/>
      <c r="F65" s="5"/>
      <c r="H65" s="5" t="str">
        <f t="shared" si="3"/>
        <v/>
      </c>
      <c r="I65" s="11" t="str">
        <f t="shared" si="7"/>
        <v/>
      </c>
      <c r="J65" s="48"/>
      <c r="L65" s="40"/>
      <c r="O65" s="11" t="str">
        <f t="shared" si="4"/>
        <v/>
      </c>
      <c r="P65" s="31"/>
      <c r="U65" s="37"/>
      <c r="V65" s="9"/>
      <c r="W65" s="9"/>
      <c r="X65" s="9"/>
      <c r="Y65" s="9"/>
      <c r="Z65" s="9"/>
      <c r="AA65" s="9"/>
      <c r="AB65" s="9"/>
      <c r="AC65" s="9"/>
      <c r="AD65" s="9"/>
      <c r="AE65" s="9"/>
      <c r="AF65" s="9"/>
      <c r="AG65" s="9"/>
      <c r="AH65" s="9"/>
      <c r="AI65" s="9"/>
      <c r="AJ65" s="9"/>
      <c r="AK65" s="9"/>
      <c r="AL65" s="9"/>
      <c r="AM65" s="9"/>
    </row>
    <row r="66" spans="1:39" ht="19" customHeight="1" x14ac:dyDescent="0.45">
      <c r="A66" s="19" t="s">
        <v>1</v>
      </c>
      <c r="B66" s="8"/>
      <c r="C66" s="8"/>
      <c r="D66" s="8"/>
      <c r="E66" s="5"/>
      <c r="F66" s="5"/>
      <c r="H66" s="5" t="str">
        <f t="shared" si="3"/>
        <v/>
      </c>
      <c r="I66" s="11" t="str">
        <f t="shared" si="7"/>
        <v/>
      </c>
      <c r="J66" s="48"/>
      <c r="L66" s="40"/>
      <c r="O66" s="11" t="str">
        <f t="shared" si="4"/>
        <v/>
      </c>
      <c r="P66" s="31"/>
      <c r="U66" s="37"/>
      <c r="V66" s="9"/>
      <c r="W66" s="9"/>
      <c r="X66" s="9"/>
      <c r="Y66" s="9"/>
      <c r="Z66" s="9"/>
      <c r="AA66" s="9"/>
      <c r="AB66" s="9"/>
      <c r="AC66" s="9"/>
      <c r="AD66" s="9"/>
      <c r="AE66" s="9"/>
      <c r="AF66" s="9"/>
      <c r="AG66" s="9"/>
      <c r="AH66" s="9"/>
      <c r="AI66" s="9"/>
      <c r="AJ66" s="9"/>
      <c r="AK66" s="9"/>
      <c r="AL66" s="9"/>
      <c r="AM66" s="9"/>
    </row>
    <row r="67" spans="1:39" ht="19.5" customHeight="1" x14ac:dyDescent="0.45">
      <c r="A67" s="313" t="s">
        <v>319</v>
      </c>
      <c r="B67" s="313"/>
      <c r="C67" s="313"/>
      <c r="D67" s="313"/>
      <c r="E67" s="5"/>
      <c r="F67" s="6"/>
      <c r="H67" s="5" t="str">
        <f t="shared" si="3"/>
        <v/>
      </c>
      <c r="I67" s="11" t="str">
        <f t="shared" si="7"/>
        <v/>
      </c>
      <c r="J67" s="48"/>
      <c r="L67" s="40"/>
      <c r="O67" s="11" t="str">
        <f t="shared" si="4"/>
        <v/>
      </c>
      <c r="P67" s="31"/>
      <c r="U67" s="37"/>
      <c r="V67" s="9"/>
      <c r="W67" s="9"/>
      <c r="X67" s="9"/>
      <c r="Y67" s="9"/>
      <c r="Z67" s="9"/>
      <c r="AA67" s="9"/>
      <c r="AB67" s="9"/>
      <c r="AC67" s="9"/>
      <c r="AD67" s="9"/>
      <c r="AE67" s="9"/>
      <c r="AF67" s="9"/>
      <c r="AG67" s="9"/>
      <c r="AH67" s="9"/>
      <c r="AI67" s="9"/>
      <c r="AJ67" s="9"/>
      <c r="AK67" s="9"/>
      <c r="AL67" s="9"/>
      <c r="AM67" s="9"/>
    </row>
    <row r="68" spans="1:39" ht="19.5" customHeight="1" x14ac:dyDescent="0.45">
      <c r="A68" s="313" t="s">
        <v>30</v>
      </c>
      <c r="B68" s="313"/>
      <c r="C68" s="313"/>
      <c r="D68" s="313"/>
      <c r="E68" s="5"/>
      <c r="F68" s="6"/>
      <c r="H68" s="5" t="str">
        <f t="shared" si="3"/>
        <v/>
      </c>
      <c r="I68" s="11" t="str">
        <f t="shared" si="7"/>
        <v/>
      </c>
      <c r="J68" s="48"/>
      <c r="L68" s="40"/>
      <c r="O68" s="11" t="str">
        <f t="shared" si="4"/>
        <v/>
      </c>
      <c r="P68" s="31"/>
      <c r="U68" s="37"/>
      <c r="V68" s="9"/>
      <c r="W68" s="9"/>
      <c r="X68" s="9"/>
      <c r="Y68" s="9"/>
      <c r="Z68" s="9"/>
      <c r="AA68" s="9"/>
      <c r="AB68" s="9"/>
      <c r="AC68" s="9"/>
      <c r="AD68" s="9"/>
      <c r="AE68" s="9"/>
      <c r="AF68" s="9"/>
      <c r="AG68" s="9"/>
      <c r="AH68" s="9"/>
      <c r="AI68" s="9"/>
      <c r="AJ68" s="9"/>
      <c r="AK68" s="9"/>
      <c r="AL68" s="9"/>
      <c r="AM68" s="9"/>
    </row>
    <row r="69" spans="1:39" ht="19.5" customHeight="1" x14ac:dyDescent="0.45">
      <c r="A69" s="313" t="s">
        <v>316</v>
      </c>
      <c r="B69" s="313"/>
      <c r="C69" s="313"/>
      <c r="D69" s="313"/>
      <c r="E69" s="5"/>
      <c r="F69" s="6"/>
      <c r="H69" s="5" t="str">
        <f t="shared" si="3"/>
        <v/>
      </c>
      <c r="I69" s="11" t="str">
        <f t="shared" si="7"/>
        <v/>
      </c>
      <c r="J69" s="48"/>
      <c r="L69" s="40"/>
      <c r="O69" s="11" t="str">
        <f t="shared" si="4"/>
        <v/>
      </c>
      <c r="P69" s="31"/>
      <c r="U69" s="37"/>
      <c r="V69" s="9"/>
      <c r="W69" s="9"/>
      <c r="X69" s="9"/>
      <c r="Y69" s="9"/>
      <c r="Z69" s="9"/>
      <c r="AA69" s="9"/>
      <c r="AB69" s="9"/>
      <c r="AC69" s="9"/>
      <c r="AD69" s="9"/>
      <c r="AE69" s="9"/>
      <c r="AF69" s="9"/>
      <c r="AG69" s="9"/>
      <c r="AH69" s="9"/>
      <c r="AI69" s="9"/>
      <c r="AJ69" s="9"/>
      <c r="AK69" s="9"/>
      <c r="AL69" s="9"/>
      <c r="AM69" s="9"/>
    </row>
    <row r="70" spans="1:39" ht="19.5" customHeight="1" x14ac:dyDescent="0.45">
      <c r="A70" s="311" t="s">
        <v>74</v>
      </c>
      <c r="B70" s="311"/>
      <c r="C70" s="311"/>
      <c r="D70" s="311"/>
      <c r="F70" s="6"/>
      <c r="H70" s="5" t="str">
        <f t="shared" si="3"/>
        <v/>
      </c>
      <c r="I70" s="11" t="str">
        <f t="shared" si="7"/>
        <v/>
      </c>
      <c r="J70" s="48"/>
      <c r="L70" s="40"/>
      <c r="O70" s="11" t="str">
        <f t="shared" si="4"/>
        <v/>
      </c>
      <c r="P70" s="31"/>
      <c r="U70" s="37"/>
      <c r="V70" s="9"/>
      <c r="W70" s="9"/>
      <c r="X70" s="9"/>
      <c r="Y70" s="9"/>
      <c r="Z70" s="9"/>
      <c r="AA70" s="9"/>
      <c r="AB70" s="9"/>
      <c r="AC70" s="9"/>
      <c r="AD70" s="9"/>
      <c r="AE70" s="9"/>
      <c r="AF70" s="9"/>
      <c r="AG70" s="9"/>
      <c r="AH70" s="9"/>
      <c r="AI70" s="9"/>
      <c r="AJ70" s="9"/>
      <c r="AK70" s="9"/>
      <c r="AL70" s="9"/>
      <c r="AM70" s="9"/>
    </row>
    <row r="71" spans="1:39" ht="18.649999999999999" customHeight="1" x14ac:dyDescent="0.45">
      <c r="A71" s="311"/>
      <c r="B71" s="311"/>
      <c r="C71" s="311"/>
      <c r="D71" s="311"/>
      <c r="H71" s="5" t="str">
        <f t="shared" si="3"/>
        <v/>
      </c>
      <c r="I71" s="11" t="str">
        <f t="shared" si="7"/>
        <v/>
      </c>
      <c r="J71" s="48"/>
      <c r="L71" s="25" t="s">
        <v>69</v>
      </c>
      <c r="M71" s="4">
        <f>SUM(J60:J71)</f>
        <v>0</v>
      </c>
      <c r="O71" s="11" t="str">
        <f t="shared" si="4"/>
        <v/>
      </c>
      <c r="P71" s="31"/>
      <c r="Q71" s="8"/>
      <c r="R71" s="25" t="s">
        <v>69</v>
      </c>
      <c r="S71" s="20">
        <f>SUM(P60:P71)</f>
        <v>0</v>
      </c>
      <c r="U71" s="37"/>
      <c r="V71" s="9"/>
      <c r="W71" s="9"/>
      <c r="X71" s="9"/>
      <c r="Y71" s="9"/>
      <c r="Z71" s="9"/>
      <c r="AA71" s="9"/>
      <c r="AB71" s="9"/>
      <c r="AC71" s="9"/>
      <c r="AD71" s="9"/>
      <c r="AE71" s="9"/>
      <c r="AF71" s="9"/>
      <c r="AG71" s="9"/>
      <c r="AH71" s="9"/>
      <c r="AI71" s="9"/>
      <c r="AJ71" s="9"/>
      <c r="AK71" s="9"/>
      <c r="AL71" s="9"/>
      <c r="AM71" s="9"/>
    </row>
    <row r="72" spans="1:39" ht="18" customHeight="1" x14ac:dyDescent="0.45">
      <c r="A72" s="36" t="s">
        <v>140</v>
      </c>
      <c r="H72" s="5" t="str">
        <f t="shared" si="3"/>
        <v/>
      </c>
      <c r="I72" s="11" t="str">
        <f t="shared" si="7"/>
        <v/>
      </c>
      <c r="J72" s="48"/>
      <c r="L72" s="40"/>
      <c r="O72" s="11" t="str">
        <f t="shared" si="4"/>
        <v/>
      </c>
      <c r="P72" s="31"/>
      <c r="U72" s="37"/>
      <c r="V72" s="9"/>
      <c r="W72" s="9"/>
      <c r="X72" s="9"/>
      <c r="Y72" s="9"/>
      <c r="Z72" s="9"/>
      <c r="AA72" s="9"/>
      <c r="AB72" s="9"/>
      <c r="AC72" s="9"/>
      <c r="AD72" s="9"/>
      <c r="AE72" s="9"/>
      <c r="AF72" s="9"/>
      <c r="AG72" s="9"/>
      <c r="AH72" s="9"/>
      <c r="AI72" s="9"/>
      <c r="AJ72" s="9"/>
      <c r="AK72" s="9"/>
      <c r="AL72" s="9"/>
      <c r="AM72" s="9"/>
    </row>
    <row r="73" spans="1:39" ht="17.5" customHeight="1" x14ac:dyDescent="0.45">
      <c r="A73" s="19" t="s">
        <v>20</v>
      </c>
      <c r="B73" s="5"/>
      <c r="C73" s="5"/>
      <c r="D73" s="5"/>
      <c r="E73" s="5"/>
      <c r="F73" s="5"/>
      <c r="H73" s="5" t="str">
        <f t="shared" si="3"/>
        <v/>
      </c>
      <c r="I73" s="11" t="str">
        <f t="shared" si="7"/>
        <v/>
      </c>
      <c r="J73" s="48"/>
      <c r="L73" s="40"/>
      <c r="O73" s="11" t="str">
        <f t="shared" si="4"/>
        <v/>
      </c>
      <c r="P73" s="31"/>
      <c r="U73" s="37"/>
    </row>
    <row r="74" spans="1:39" ht="17.5" customHeight="1" x14ac:dyDescent="0.45">
      <c r="A74" s="8"/>
      <c r="B74" s="5" t="s">
        <v>22</v>
      </c>
      <c r="C74" s="5"/>
      <c r="D74" s="5" t="s">
        <v>23</v>
      </c>
      <c r="E74" s="5"/>
      <c r="F74" s="5" t="s">
        <v>24</v>
      </c>
      <c r="H74" s="5" t="str">
        <f t="shared" si="3"/>
        <v/>
      </c>
      <c r="I74" s="11" t="str">
        <f t="shared" si="7"/>
        <v/>
      </c>
      <c r="J74" s="48"/>
      <c r="L74" s="40"/>
      <c r="O74" s="11" t="str">
        <f t="shared" si="4"/>
        <v/>
      </c>
      <c r="P74" s="31"/>
      <c r="U74" s="37"/>
    </row>
    <row r="75" spans="1:39" ht="17.5" customHeight="1" x14ac:dyDescent="0.45">
      <c r="A75" s="8" t="s">
        <v>21</v>
      </c>
      <c r="B75" s="28"/>
      <c r="C75" s="5"/>
      <c r="D75" s="28"/>
      <c r="E75" s="5"/>
      <c r="F75" s="28"/>
      <c r="H75" s="5" t="str">
        <f t="shared" si="3"/>
        <v/>
      </c>
      <c r="I75" s="11" t="str">
        <f t="shared" si="7"/>
        <v/>
      </c>
      <c r="J75" s="48"/>
      <c r="L75" s="40"/>
      <c r="O75" s="11" t="str">
        <f t="shared" si="4"/>
        <v/>
      </c>
      <c r="P75" s="31"/>
      <c r="U75" s="37"/>
    </row>
    <row r="76" spans="1:39" ht="17.5" customHeight="1" x14ac:dyDescent="0.45">
      <c r="A76" s="8" t="s">
        <v>25</v>
      </c>
      <c r="B76" s="28"/>
      <c r="C76" s="5"/>
      <c r="D76" s="45"/>
      <c r="E76" s="5"/>
      <c r="F76" s="28"/>
      <c r="H76" s="5" t="str">
        <f t="shared" si="3"/>
        <v/>
      </c>
      <c r="I76" s="11" t="str">
        <f t="shared" si="7"/>
        <v/>
      </c>
      <c r="J76" s="48"/>
      <c r="L76" s="40"/>
      <c r="O76" s="11" t="str">
        <f t="shared" si="4"/>
        <v/>
      </c>
      <c r="P76" s="31"/>
      <c r="U76" s="37"/>
    </row>
    <row r="77" spans="1:39" ht="17.5" customHeight="1" x14ac:dyDescent="0.45">
      <c r="A77" s="5"/>
      <c r="B77" s="5"/>
      <c r="C77" s="5"/>
      <c r="D77" s="5"/>
      <c r="E77" s="5"/>
      <c r="F77" s="5"/>
      <c r="H77" s="5" t="str">
        <f t="shared" si="3"/>
        <v/>
      </c>
      <c r="I77" s="11" t="str">
        <f t="shared" si="7"/>
        <v/>
      </c>
      <c r="J77" s="48"/>
      <c r="L77" s="40"/>
      <c r="O77" s="11" t="str">
        <f t="shared" si="4"/>
        <v/>
      </c>
      <c r="P77" s="31"/>
      <c r="U77" s="37"/>
      <c r="AA77" s="41"/>
    </row>
    <row r="78" spans="1:39" ht="17.5" customHeight="1" x14ac:dyDescent="0.45">
      <c r="A78" s="19" t="s">
        <v>1</v>
      </c>
      <c r="B78" s="8"/>
      <c r="C78" s="8"/>
      <c r="D78" s="8"/>
      <c r="E78" s="5"/>
      <c r="F78" s="5"/>
      <c r="H78" s="5" t="str">
        <f t="shared" si="3"/>
        <v/>
      </c>
      <c r="I78" s="11" t="str">
        <f t="shared" si="7"/>
        <v/>
      </c>
      <c r="J78" s="48"/>
      <c r="L78" s="40"/>
      <c r="O78" s="11" t="str">
        <f t="shared" si="4"/>
        <v/>
      </c>
      <c r="P78" s="31"/>
      <c r="U78" s="37"/>
    </row>
    <row r="79" spans="1:39" ht="17.5" customHeight="1" x14ac:dyDescent="0.45">
      <c r="A79" s="313" t="s">
        <v>319</v>
      </c>
      <c r="B79" s="313"/>
      <c r="C79" s="313"/>
      <c r="D79" s="313"/>
      <c r="E79" s="5"/>
      <c r="F79" s="6"/>
      <c r="H79" s="5" t="str">
        <f t="shared" si="3"/>
        <v/>
      </c>
      <c r="I79" s="11" t="str">
        <f t="shared" si="7"/>
        <v/>
      </c>
      <c r="J79" s="48"/>
      <c r="L79" s="40"/>
      <c r="O79" s="11" t="str">
        <f t="shared" si="4"/>
        <v/>
      </c>
      <c r="P79" s="31"/>
      <c r="U79" s="37"/>
    </row>
    <row r="80" spans="1:39" ht="17.5" customHeight="1" x14ac:dyDescent="0.45">
      <c r="A80" s="313" t="s">
        <v>30</v>
      </c>
      <c r="B80" s="313"/>
      <c r="C80" s="313"/>
      <c r="D80" s="313"/>
      <c r="E80" s="5"/>
      <c r="F80" s="6"/>
      <c r="H80" s="5" t="str">
        <f t="shared" si="3"/>
        <v/>
      </c>
      <c r="I80" s="11" t="str">
        <f t="shared" si="7"/>
        <v/>
      </c>
      <c r="J80" s="48"/>
      <c r="L80" s="40"/>
      <c r="O80" s="11" t="str">
        <f t="shared" si="4"/>
        <v/>
      </c>
      <c r="P80" s="31"/>
      <c r="U80" s="37"/>
    </row>
    <row r="81" spans="1:21" ht="17.5" customHeight="1" x14ac:dyDescent="0.45">
      <c r="A81" s="313" t="s">
        <v>316</v>
      </c>
      <c r="B81" s="313"/>
      <c r="C81" s="313"/>
      <c r="D81" s="313"/>
      <c r="E81" s="5"/>
      <c r="F81" s="6"/>
      <c r="H81" s="5" t="str">
        <f t="shared" si="3"/>
        <v/>
      </c>
      <c r="I81" s="11" t="str">
        <f t="shared" si="7"/>
        <v/>
      </c>
      <c r="J81" s="48"/>
      <c r="L81" s="40"/>
      <c r="O81" s="11" t="str">
        <f t="shared" si="4"/>
        <v/>
      </c>
      <c r="P81" s="31"/>
      <c r="U81" s="37"/>
    </row>
    <row r="82" spans="1:21" ht="17.5" customHeight="1" x14ac:dyDescent="0.45">
      <c r="A82" s="311" t="s">
        <v>74</v>
      </c>
      <c r="B82" s="311"/>
      <c r="C82" s="311"/>
      <c r="D82" s="311"/>
      <c r="F82" s="6"/>
      <c r="H82" s="5" t="str">
        <f t="shared" si="3"/>
        <v/>
      </c>
      <c r="I82" s="11" t="str">
        <f t="shared" si="7"/>
        <v/>
      </c>
      <c r="J82" s="48"/>
      <c r="L82" s="40"/>
      <c r="O82" s="11" t="str">
        <f t="shared" si="4"/>
        <v/>
      </c>
      <c r="P82" s="31"/>
      <c r="U82" s="37"/>
    </row>
    <row r="83" spans="1:21" ht="17.5" customHeight="1" x14ac:dyDescent="0.45">
      <c r="A83" s="311"/>
      <c r="B83" s="311"/>
      <c r="C83" s="311"/>
      <c r="D83" s="311"/>
      <c r="H83" s="5" t="str">
        <f t="shared" si="3"/>
        <v/>
      </c>
      <c r="I83" s="11" t="str">
        <f t="shared" si="7"/>
        <v/>
      </c>
      <c r="J83" s="48"/>
      <c r="L83" s="25" t="s">
        <v>69</v>
      </c>
      <c r="M83" s="4">
        <f>SUM(J72:J83)</f>
        <v>0</v>
      </c>
      <c r="O83" s="11" t="str">
        <f t="shared" si="4"/>
        <v/>
      </c>
      <c r="P83" s="31"/>
      <c r="Q83" s="8"/>
      <c r="R83" s="25" t="s">
        <v>69</v>
      </c>
      <c r="S83" s="20">
        <f>SUM(P72:P83)</f>
        <v>0</v>
      </c>
      <c r="U83" s="37"/>
    </row>
    <row r="84" spans="1:21" ht="17.5" customHeight="1" x14ac:dyDescent="0.45">
      <c r="A84" s="24"/>
      <c r="B84" s="24"/>
      <c r="C84" s="24"/>
      <c r="D84" s="24"/>
      <c r="H84" s="5"/>
      <c r="I84" s="5"/>
      <c r="U84" s="37"/>
    </row>
    <row r="85" spans="1:21" ht="17.5" customHeight="1" x14ac:dyDescent="0.45">
      <c r="H85" s="5" t="str">
        <f>IF(ROW()-ROW($H$36)+1&lt;=$B$12, ROW()-ROW($H$36)+1, "")</f>
        <v/>
      </c>
      <c r="U85" s="37"/>
    </row>
    <row r="86" spans="1:21" x14ac:dyDescent="0.35">
      <c r="U86" s="37"/>
    </row>
    <row r="87" spans="1:21" x14ac:dyDescent="0.35">
      <c r="U87" s="37"/>
    </row>
    <row r="88" spans="1:21" x14ac:dyDescent="0.35">
      <c r="U88" s="37"/>
    </row>
    <row r="89" spans="1:21" x14ac:dyDescent="0.35">
      <c r="U89" s="37"/>
    </row>
    <row r="90" spans="1:21" x14ac:dyDescent="0.35">
      <c r="U90" s="37"/>
    </row>
    <row r="91" spans="1:21" x14ac:dyDescent="0.35">
      <c r="U91" s="37"/>
    </row>
    <row r="92" spans="1:21" x14ac:dyDescent="0.35">
      <c r="U92" s="37"/>
    </row>
    <row r="93" spans="1:21" x14ac:dyDescent="0.35">
      <c r="U93" s="37"/>
    </row>
    <row r="94" spans="1:21" x14ac:dyDescent="0.35">
      <c r="U94" s="37"/>
    </row>
    <row r="95" spans="1:21" x14ac:dyDescent="0.35">
      <c r="U95" s="37"/>
    </row>
  </sheetData>
  <sheetProtection sheet="1" objects="1" scenarios="1" selectLockedCells="1"/>
  <mergeCells count="36">
    <mergeCell ref="V47:AM49"/>
    <mergeCell ref="A80:D80"/>
    <mergeCell ref="A81:D81"/>
    <mergeCell ref="V35:AM42"/>
    <mergeCell ref="V44:AM46"/>
    <mergeCell ref="V51:AM51"/>
    <mergeCell ref="A58:D59"/>
    <mergeCell ref="A70:D71"/>
    <mergeCell ref="A79:D79"/>
    <mergeCell ref="A68:D68"/>
    <mergeCell ref="A69:D69"/>
    <mergeCell ref="A55:D55"/>
    <mergeCell ref="A56:D56"/>
    <mergeCell ref="A57:D57"/>
    <mergeCell ref="A67:D67"/>
    <mergeCell ref="A27:D27"/>
    <mergeCell ref="A28:D28"/>
    <mergeCell ref="A29:D29"/>
    <mergeCell ref="A30:D31"/>
    <mergeCell ref="A44:D45"/>
    <mergeCell ref="A82:D83"/>
    <mergeCell ref="A1:G1"/>
    <mergeCell ref="X2:AB3"/>
    <mergeCell ref="A43:D43"/>
    <mergeCell ref="D6:E6"/>
    <mergeCell ref="D8:E8"/>
    <mergeCell ref="A10:E10"/>
    <mergeCell ref="A41:D41"/>
    <mergeCell ref="A42:D42"/>
    <mergeCell ref="V6:AM9"/>
    <mergeCell ref="V10:AM11"/>
    <mergeCell ref="V14:AM16"/>
    <mergeCell ref="AF2:AJ3"/>
    <mergeCell ref="AK2:AL3"/>
    <mergeCell ref="AM2:AP3"/>
    <mergeCell ref="V18:AM19"/>
  </mergeCells>
  <conditionalFormatting sqref="A48:F82">
    <cfRule type="expression" dxfId="64" priority="23">
      <formula>$B$12&lt;=12</formula>
    </cfRule>
  </conditionalFormatting>
  <conditionalFormatting sqref="L59:M83">
    <cfRule type="expression" dxfId="63" priority="20">
      <formula>$B$12&lt;=12</formula>
    </cfRule>
  </conditionalFormatting>
  <conditionalFormatting sqref="R59:S83">
    <cfRule type="expression" dxfId="62" priority="22">
      <formula>$B$12&lt;=12</formula>
    </cfRule>
  </conditionalFormatting>
  <conditionalFormatting sqref="J48:J83">
    <cfRule type="expression" dxfId="61" priority="45">
      <formula>LEN($I48)=0</formula>
    </cfRule>
  </conditionalFormatting>
  <conditionalFormatting sqref="P48:P83">
    <cfRule type="expression" dxfId="60" priority="54">
      <formula>LEN($O48)=0</formula>
    </cfRule>
  </conditionalFormatting>
  <conditionalFormatting sqref="A60:F82">
    <cfRule type="expression" dxfId="59" priority="26">
      <formula>$B$12&lt;=24</formula>
    </cfRule>
  </conditionalFormatting>
  <conditionalFormatting sqref="L71:M83">
    <cfRule type="expression" dxfId="58" priority="24">
      <formula>$B$12&lt;=24</formula>
    </cfRule>
  </conditionalFormatting>
  <conditionalFormatting sqref="R71:S83">
    <cfRule type="expression" dxfId="57" priority="25">
      <formula>$B$12&lt;=24</formula>
    </cfRule>
  </conditionalFormatting>
  <conditionalFormatting sqref="L83:M83">
    <cfRule type="expression" dxfId="56" priority="27">
      <formula>$B$12&lt;=36</formula>
    </cfRule>
  </conditionalFormatting>
  <conditionalFormatting sqref="R83:S83">
    <cfRule type="expression" dxfId="55" priority="28">
      <formula>$B$12&lt;=36</formula>
    </cfRule>
  </conditionalFormatting>
  <conditionalFormatting sqref="A72:F82">
    <cfRule type="expression" dxfId="54" priority="29">
      <formula>$B$12&lt;=36</formula>
    </cfRule>
  </conditionalFormatting>
  <conditionalFormatting sqref="I48:I83 O48:O83">
    <cfRule type="expression" dxfId="53" priority="30">
      <formula>LEN($H48)=0</formula>
    </cfRule>
  </conditionalFormatting>
  <conditionalFormatting sqref="A30:F30">
    <cfRule type="expression" dxfId="52" priority="6">
      <formula>$F$29=""</formula>
    </cfRule>
  </conditionalFormatting>
  <conditionalFormatting sqref="F58">
    <cfRule type="expression" dxfId="51" priority="10">
      <formula>$F$57=""</formula>
    </cfRule>
  </conditionalFormatting>
  <conditionalFormatting sqref="A82:E82">
    <cfRule type="expression" dxfId="50" priority="15">
      <formula>$F$81=""</formula>
    </cfRule>
  </conditionalFormatting>
  <conditionalFormatting sqref="A44:E44">
    <cfRule type="expression" dxfId="49" priority="7">
      <formula>$F$43=""</formula>
    </cfRule>
  </conditionalFormatting>
  <conditionalFormatting sqref="A58:E58">
    <cfRule type="expression" dxfId="48" priority="9">
      <formula>$F$57=""</formula>
    </cfRule>
  </conditionalFormatting>
  <conditionalFormatting sqref="A70:E70">
    <cfRule type="expression" dxfId="47" priority="12">
      <formula>$F$69=""</formula>
    </cfRule>
  </conditionalFormatting>
  <conditionalFormatting sqref="F44">
    <cfRule type="expression" dxfId="46" priority="8">
      <formula>$F$43=""</formula>
    </cfRule>
  </conditionalFormatting>
  <conditionalFormatting sqref="F70">
    <cfRule type="expression" dxfId="45" priority="13">
      <formula>$F$69=""</formula>
    </cfRule>
  </conditionalFormatting>
  <conditionalFormatting sqref="F82">
    <cfRule type="expression" dxfId="44" priority="17">
      <formula>$F$81=""</formula>
    </cfRule>
  </conditionalFormatting>
  <conditionalFormatting sqref="S47">
    <cfRule type="expression" dxfId="43" priority="1">
      <formula>AND($S$47*$F$41+$S$47&gt;=$F$8, $S$47&gt;0)</formula>
    </cfRule>
  </conditionalFormatting>
  <conditionalFormatting sqref="S59">
    <cfRule type="expression" dxfId="42" priority="2">
      <formula>AND(IF($F$55&lt;&gt;"",$S$59*(1+$F$55)&gt;=$F$8,$S$59*(1+$F$41)&gt;=$F$8), $S$59&gt;0)</formula>
    </cfRule>
  </conditionalFormatting>
  <conditionalFormatting sqref="S71">
    <cfRule type="expression" dxfId="41" priority="3">
      <formula>AND(IF($F$67&lt;&gt;"",$S$71*(1+$F$67)&gt;=$F$8,IF($F$55&lt;&gt;"",$S$71*(1+$F$55)&gt;=$F$8,$S$71*(1+$F$41)&gt;=$F$8)), $S$71&gt;0)</formula>
    </cfRule>
  </conditionalFormatting>
  <conditionalFormatting sqref="S83">
    <cfRule type="expression" dxfId="40" priority="4">
      <formula>AND(IF($F$79&lt;&gt;"",$S$83*(1+$F$79)&gt;=$F$8,IF($F$67&lt;&gt;"",$S$83*(1+$F$67)&gt;=$F$8,IF($F$55&lt;&gt;"",$S$83*(1+$F$55)&gt;=$F$8,$S$83*(1+$F$41)&gt;=$F$8))), $S$83&gt;0)</formula>
    </cfRule>
  </conditionalFormatting>
  <dataValidations count="19">
    <dataValidation type="decimal" allowBlank="1" showInputMessage="1" showErrorMessage="1" error="Must enter value between -100% and 100%" sqref="E23:E24 C23:C24 C37:C38 E37:E38" xr:uid="{4191376F-3123-48A6-9541-0B38BE31A045}">
      <formula1>-1</formula1>
      <formula2>1</formula2>
    </dataValidation>
    <dataValidation type="decimal" allowBlank="1" showInputMessage="1" showErrorMessage="1" error="Value must be between 0 and 1" sqref="F42:F44 F56" xr:uid="{6D1FEC74-7A3C-4C74-AE13-6564AE29B6EF}">
      <formula1>0</formula1>
      <formula2>1</formula2>
    </dataValidation>
    <dataValidation type="decimal" allowBlank="1" showInputMessage="1" showErrorMessage="1" error="Value must be between -100% and 100%" sqref="E63:E64 E51:E52 B51:C52 B63:C64 B75:C76 E75:E76" xr:uid="{0C3F6E87-CA46-4831-9264-D77A8D6CFE53}">
      <formula1>-1</formula1>
      <formula2>1</formula2>
    </dataValidation>
    <dataValidation type="decimal" allowBlank="1" showInputMessage="1" showErrorMessage="1" error="Value must be betwen 0 and 1" sqref="F80 F68" xr:uid="{D65A3E71-5C1D-4E11-9D26-59A1279ADF59}">
      <formula1>0</formula1>
      <formula2>1</formula2>
    </dataValidation>
    <dataValidation type="decimal" allowBlank="1" showInputMessage="1" showErrorMessage="1" error="Value must be between 0% and 100%" sqref="J36:J83" xr:uid="{DA8306B5-081E-4DCA-8873-E1821BF4D35A}">
      <formula1>0</formula1>
      <formula2>1</formula2>
    </dataValidation>
    <dataValidation type="custom" allowBlank="1" showInputMessage="1" showErrorMessage="1" errorTitle="Invalid Input" error="VE against hospitalization must be ≥ VE against mild illness. Enter values with %." sqref="B37 B23:B24 D23:D24 F23:F24" xr:uid="{B1218FEC-0FDE-46DA-B502-03EE3B68F9FE}">
      <formula1>B23&gt;=B24</formula1>
    </dataValidation>
    <dataValidation type="custom" allowBlank="1" showInputMessage="1" showErrorMessage="1" errorTitle="Invalid Input" error="VE against hospitalization must be ≥ VE against mild illness. Enter values with %." sqref="B38" xr:uid="{394F54F8-8B54-4E9B-9A56-362B543496F3}">
      <formula1>B37&gt;=B38</formula1>
    </dataValidation>
    <dataValidation type="whole" allowBlank="1" showInputMessage="1" showErrorMessage="1" error="Please enter a value between 12 and 48." sqref="B12" xr:uid="{65D5B440-5DE4-4817-9DB9-1D9326DA969F}">
      <formula1>12</formula1>
      <formula2>48</formula2>
    </dataValidation>
    <dataValidation allowBlank="1" showInputMessage="1" showErrorMessage="1" error="Value must be between 0% and 100%" sqref="J22:J33 P22:P33" xr:uid="{6BFD78F5-AF5D-4221-BC52-16CD21827457}"/>
    <dataValidation allowBlank="1" showInputMessage="1" showErrorMessage="1" error="Value must be between 0 and 1" sqref="F30" xr:uid="{D36069F0-9DF3-46AF-8F2E-CBEA518831CE}"/>
    <dataValidation allowBlank="1" showInputMessage="1" showErrorMessage="1" errorTitle="Invalid Input" error="VE against hospitalization must be ≥ VE against mild illness. Enter values with %." sqref="F27" xr:uid="{0F71F91A-C2DB-4CB3-8AD8-BB6D2513208B}"/>
    <dataValidation type="decimal" allowBlank="1" showInputMessage="1" showErrorMessage="1" errorTitle="Invalid Input" error="VE against hospitalization must be ≥ VE against mild illness. Enter values with %." sqref="F28:F29" xr:uid="{FF59B652-7FB3-4C8E-A2F1-222B9B6534D6}">
      <formula1>0</formula1>
      <formula2>1</formula2>
    </dataValidation>
    <dataValidation type="custom" allowBlank="1" showInputMessage="1" showErrorMessage="1" error="The lower CI for VE must be less than the VE estimate, and VE values must lie between −100% and 100%." sqref="D63:D64 D37:D38 D51:D52 D75:D76" xr:uid="{46028071-08E4-4F2F-8396-97A8E2526547}">
      <formula1>AND(D37&lt;B37, D37&gt;=-1)</formula1>
    </dataValidation>
    <dataValidation type="custom" allowBlank="1" showInputMessage="1" showErrorMessage="1" error="The upper CI for VE must be greater than the VE estimate, and VE values must lie between −100% and 100%." sqref="F63:F64 F51:F52 F75:F76 F37:F38" xr:uid="{345EC059-53A0-46BE-AD17-AFC44CE394CA}">
      <formula1>AND(F37&gt;B37, F37&lt;=1)</formula1>
    </dataValidation>
    <dataValidation type="decimal" allowBlank="1" showInputMessage="1" showErrorMessage="1" error="Vaccine coverage can't exceed 100%" sqref="M47 M59 M71 M83" xr:uid="{815E9DB8-5EDF-479B-A0E9-85C94CBC69B5}">
      <formula1>0</formula1>
      <formula2>1</formula2>
    </dataValidation>
    <dataValidation type="custom" showInputMessage="1" showErrorMessage="1" error="Value must be between 0 and 1. The Season 1 death multiplier must be filled in first." sqref="F57" xr:uid="{1386C888-B970-40C0-AB26-205DCD355E76}">
      <formula1>OR(F57="", AND(F57&gt;=0,F57&lt;=1,F43&lt;&gt;""))</formula1>
    </dataValidation>
    <dataValidation type="custom" showInputMessage="1" showErrorMessage="1" error="Value must be between 0 and 1. The Season 1 death multiplier must be filled in first." sqref="F69:F70" xr:uid="{BD3E4F23-AEE3-4E40-AF05-0461900F8361}">
      <formula1>OR(F69="", AND(F69&gt;=0, F69&lt;=1, F43&lt;&gt;""))</formula1>
    </dataValidation>
    <dataValidation type="custom" showInputMessage="1" showErrorMessage="1" error="Value must be between 0 and 1. The Season 1 death multiplier must be filled in first." sqref="F81:F82" xr:uid="{6BB1D5AA-4994-4C77-AE87-8B550E764927}">
      <formula1>OR(F81="", AND(F81&gt;=0, F81&lt;=1, F43&lt;&gt;""))</formula1>
    </dataValidation>
    <dataValidation type="custom" showInputMessage="1" showErrorMessage="1" error="Value must be between 0 and 1. The Season 1 death multiplier must be filled in first." sqref="F58" xr:uid="{67A790EC-357C-4E25-903E-C4BF7F084085}">
      <formula1>OR(F58="", AND(F58&gt;=0, F58&lt;=1, F44&lt;&gt;""))</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9A6C5C-BAA7-41BD-9B8B-AAC6E195348D}">
          <x14:formula1>
            <xm:f>Selections!$A$1:$A$2</xm:f>
          </x14:formula1>
          <xm:sqref>F10</xm:sqref>
        </x14:dataValidation>
        <x14:dataValidation type="list" allowBlank="1" showInputMessage="1" showErrorMessage="1" xr:uid="{AA8A0DF3-4B03-4B57-93CD-F35B2A409677}">
          <x14:formula1>
            <xm:f>Selections!$D$1:$D$12</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sheetPr>
  <dimension ref="A1:AU90"/>
  <sheetViews>
    <sheetView topLeftCell="B1" zoomScale="85" zoomScaleNormal="85" workbookViewId="0">
      <selection activeCell="H29" sqref="H29"/>
    </sheetView>
  </sheetViews>
  <sheetFormatPr defaultColWidth="10.90625" defaultRowHeight="14.5" x14ac:dyDescent="0.35"/>
  <cols>
    <col min="1" max="1" width="16.26953125" customWidth="1"/>
    <col min="2" max="2" width="31.1796875" customWidth="1"/>
    <col min="3" max="3" width="10.7265625" customWidth="1"/>
    <col min="4" max="4" width="20.7265625" customWidth="1"/>
    <col min="5" max="5" width="10.54296875" customWidth="1"/>
    <col min="6" max="6" width="20.54296875" customWidth="1"/>
    <col min="7" max="7" width="12.54296875" customWidth="1"/>
    <col min="8" max="8" width="20.54296875" customWidth="1"/>
    <col min="9" max="9" width="10.54296875" customWidth="1"/>
    <col min="10" max="10" width="20.54296875" customWidth="1"/>
    <col min="11" max="11" width="10.54296875" customWidth="1"/>
    <col min="12" max="12" width="20.54296875" customWidth="1"/>
    <col min="13" max="13" width="1.54296875" customWidth="1"/>
    <col min="14" max="14" width="8.54296875" customWidth="1"/>
    <col min="15" max="15" width="1.54296875" customWidth="1"/>
    <col min="16" max="16" width="8.54296875" customWidth="1"/>
    <col min="17" max="17" width="1.54296875" customWidth="1"/>
    <col min="18" max="18" width="8.54296875" customWidth="1"/>
    <col min="19" max="19" width="1.54296875" customWidth="1"/>
    <col min="20" max="20" width="8.54296875" customWidth="1"/>
    <col min="21" max="21" width="1.54296875" customWidth="1"/>
    <col min="22" max="22" width="8.54296875" customWidth="1"/>
    <col min="23" max="23" width="1.54296875" customWidth="1"/>
    <col min="24" max="24" width="8.54296875" customWidth="1"/>
    <col min="25" max="25" width="1.54296875" customWidth="1"/>
    <col min="26" max="26" width="8.54296875" customWidth="1"/>
    <col min="27" max="27" width="1.54296875" customWidth="1"/>
    <col min="28" max="28" width="8.54296875" customWidth="1"/>
    <col min="29" max="29" width="1.54296875" customWidth="1"/>
    <col min="30" max="30" width="8.54296875" customWidth="1"/>
    <col min="31" max="31" width="1.54296875" customWidth="1"/>
    <col min="32" max="32" width="8.54296875" customWidth="1"/>
    <col min="33" max="33" width="1.54296875" customWidth="1"/>
    <col min="34" max="34" width="16" customWidth="1"/>
    <col min="35" max="36" width="27.81640625" customWidth="1"/>
    <col min="37" max="37" width="23.1796875" customWidth="1"/>
    <col min="38" max="38" width="8.54296875" customWidth="1"/>
    <col min="39" max="39" width="1.54296875" customWidth="1"/>
    <col min="40" max="40" width="8.54296875" customWidth="1"/>
    <col min="41" max="41" width="1.54296875" customWidth="1"/>
    <col min="42" max="42" width="8.54296875" customWidth="1"/>
    <col min="43" max="43" width="1.54296875" customWidth="1"/>
    <col min="44" max="44" width="8.54296875" customWidth="1"/>
    <col min="45" max="45" width="1.54296875" customWidth="1"/>
    <col min="46" max="46" width="8.54296875" customWidth="1"/>
    <col min="47" max="47" width="1.54296875" customWidth="1"/>
    <col min="48" max="48" width="8.54296875" customWidth="1"/>
    <col min="49" max="49" width="1.54296875" customWidth="1"/>
    <col min="50" max="50" width="8.54296875" customWidth="1"/>
    <col min="51" max="51" width="1.54296875" customWidth="1"/>
    <col min="52" max="52" width="8.54296875" customWidth="1"/>
    <col min="53" max="53" width="1.54296875" customWidth="1"/>
    <col min="54" max="54" width="8.54296875" customWidth="1"/>
    <col min="55" max="55" width="1.54296875" customWidth="1"/>
    <col min="56" max="56" width="8.54296875" customWidth="1"/>
    <col min="57" max="57" width="1.54296875" customWidth="1"/>
    <col min="58" max="58" width="8.54296875" customWidth="1"/>
    <col min="59" max="59" width="1.54296875" customWidth="1"/>
    <col min="60" max="60" width="8.54296875" customWidth="1"/>
    <col min="61" max="61" width="1.54296875" customWidth="1"/>
    <col min="62" max="62" width="8.54296875" customWidth="1"/>
    <col min="63" max="63" width="1.54296875" customWidth="1"/>
    <col min="64" max="64" width="8.54296875" customWidth="1"/>
    <col min="65" max="65" width="1.54296875" customWidth="1"/>
    <col min="66" max="66" width="8.54296875" customWidth="1"/>
    <col min="67" max="67" width="1.54296875" customWidth="1"/>
    <col min="68" max="68" width="8.54296875" customWidth="1"/>
    <col min="69" max="69" width="1.54296875" customWidth="1"/>
    <col min="70" max="70" width="8.54296875" customWidth="1"/>
    <col min="71" max="71" width="1.54296875" customWidth="1"/>
    <col min="72" max="72" width="8.54296875" customWidth="1"/>
    <col min="73" max="73" width="1.54296875" customWidth="1"/>
    <col min="74" max="74" width="8.54296875" customWidth="1"/>
    <col min="75" max="75" width="1.54296875" customWidth="1"/>
    <col min="76" max="76" width="8.54296875" customWidth="1"/>
    <col min="77" max="77" width="1.54296875" customWidth="1"/>
    <col min="78" max="78" width="8.54296875" customWidth="1"/>
    <col min="79" max="79" width="1.54296875" customWidth="1"/>
  </cols>
  <sheetData>
    <row r="1" spans="1:47" ht="20.149999999999999" customHeight="1" x14ac:dyDescent="0.4">
      <c r="A1" s="53" t="s">
        <v>17</v>
      </c>
      <c r="B1" s="54">
        <f>Inputs!B8</f>
        <v>0</v>
      </c>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row>
    <row r="2" spans="1:47" ht="20.149999999999999" customHeight="1" x14ac:dyDescent="0.4">
      <c r="A2" s="53" t="s">
        <v>117</v>
      </c>
      <c r="B2" s="63">
        <f>Inputs!F8</f>
        <v>0</v>
      </c>
      <c r="C2" s="52"/>
      <c r="D2" s="52"/>
      <c r="E2" s="52"/>
      <c r="F2" s="52"/>
      <c r="G2" s="52"/>
      <c r="H2" s="52"/>
      <c r="I2" s="52"/>
      <c r="J2" s="52"/>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c r="AL2" s="52"/>
      <c r="AM2" s="52"/>
      <c r="AN2" s="52"/>
      <c r="AO2" s="52"/>
      <c r="AP2" s="52"/>
      <c r="AQ2" s="52"/>
      <c r="AR2" s="52"/>
      <c r="AS2" s="52"/>
      <c r="AT2" s="52"/>
      <c r="AU2" s="52"/>
    </row>
    <row r="3" spans="1:47" ht="20.149999999999999" customHeight="1" x14ac:dyDescent="0.4">
      <c r="A3" s="53" t="s">
        <v>101</v>
      </c>
      <c r="B3" s="54">
        <f>Inputs!F10</f>
        <v>0</v>
      </c>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row>
    <row r="4" spans="1:47" ht="14.5" customHeight="1" x14ac:dyDescent="0.35">
      <c r="A4" s="331" t="s">
        <v>116</v>
      </c>
      <c r="B4" s="333" t="s">
        <v>103</v>
      </c>
      <c r="C4" s="322" t="s">
        <v>102</v>
      </c>
      <c r="D4" s="335"/>
      <c r="E4" s="322" t="s">
        <v>115</v>
      </c>
      <c r="F4" s="323"/>
      <c r="G4" s="322" t="s">
        <v>118</v>
      </c>
      <c r="H4" s="323"/>
      <c r="I4" s="322" t="s">
        <v>100</v>
      </c>
      <c r="J4" s="323"/>
      <c r="K4" s="322" t="s">
        <v>128</v>
      </c>
      <c r="L4" s="326"/>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row>
    <row r="5" spans="1:47" ht="14.5" customHeight="1" x14ac:dyDescent="0.35">
      <c r="A5" s="332"/>
      <c r="B5" s="334"/>
      <c r="C5" s="324"/>
      <c r="D5" s="336"/>
      <c r="E5" s="324"/>
      <c r="F5" s="325"/>
      <c r="G5" s="324"/>
      <c r="H5" s="325"/>
      <c r="I5" s="324"/>
      <c r="J5" s="325"/>
      <c r="K5" s="324"/>
      <c r="L5" s="327"/>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row>
    <row r="6" spans="1:47" ht="30" customHeight="1" x14ac:dyDescent="0.4">
      <c r="A6" s="329">
        <f>IF(Inputs!F6&lt;&gt;"",Inputs!F6,1)</f>
        <v>1</v>
      </c>
      <c r="B6" s="56" t="s">
        <v>119</v>
      </c>
      <c r="C6" s="64" t="e">
        <f>IF(RunFlag=1, IF(Inputs!$F$10="1. Actual program",SUM('Current vaccine model'!L16:L27,'Current vaccine model'!R16:R27),SUM('Hypothetical vaccine model'!R16:R27,'Hypothetical vaccine model'!X16:X27)), NA())</f>
        <v>#DIV/0!</v>
      </c>
      <c r="D6" s="62" t="str">
        <f>IF(RunFlag=1, "(" &amp; TEXT(ROUND('R Output'!R2, 0), "#,##0") &amp; "-" &amp; TEXT(ROUND('R Output'!S2, 0), "#,##0") &amp; ")", NA())</f>
        <v>(0-0)</v>
      </c>
      <c r="E6" s="73" t="e">
        <f>IF(RunFlag=1, IF(Inputs!$F$10="1. Actual program",SUM('Current vaccine model'!X16:X27),SUM('Hypothetical vaccine model'!E16:E27)), NA())</f>
        <v>#VALUE!</v>
      </c>
      <c r="F6" s="67" t="str">
        <f>IF(RunFlag=1, "(" &amp; TEXT(ROUND('R Output'!F2, 0), "#,##0") &amp; "-" &amp; TEXT(ROUND('R Output'!G2, 0), "#,##0") &amp; ")", NA())</f>
        <v>(0-0)</v>
      </c>
      <c r="G6" s="64" t="e">
        <f>IF(RunFlag=1, IF(Inputs!$F$10="1. Actual program",SUM('Current vaccine model'!AD16:AD27),SUM('Hypothetical vaccine model'!AD16:AD27)), NA())</f>
        <v>#VALUE!</v>
      </c>
      <c r="H6" s="62" t="str">
        <f>IF(RunFlag=1, "(" &amp; TEXT(ROUND('R Output'!AD2, 0), "#,##0") &amp; "-" &amp; TEXT(ROUND('R Output'!AE2, 0), "#,##0") &amp; ")", NA())</f>
        <v>(0-0)</v>
      </c>
      <c r="I6" s="76" t="e">
        <f>IF(RunFlag=1, IF(Inputs!$F$10="1. Actual program",'Current vaccine model'!AI27,'Hypothetical vaccine model'!AI27), NA())</f>
        <v>#VALUE!</v>
      </c>
      <c r="J6" s="67" t="str">
        <f>IF(RunFlag=1, "("&amp;TEXT(ROUND('R Output'!AP2,4),"0.0%")&amp;"-"&amp;TEXT(ROUND('R Output'!AQ2,4),"0.0%")&amp;")", NA())</f>
        <v>(0.0%-0.0%)</v>
      </c>
      <c r="K6" s="73" t="e">
        <f>IF(RunFlag=1, IF(Inputs!$F$10="1. Actual program",'Current vaccine model'!AN27,'Hypothetical vaccine model'!AN27), NA())</f>
        <v>#VALUE!</v>
      </c>
      <c r="L6" s="70" t="str">
        <f>IF(RunFlag=1, "("&amp;TEXT(ROUND('R Output'!BH2,4),"#,##0")&amp;"-"&amp;TEXT(ROUND('R Output'!BI2,4),"#,##0")&amp;")", NA())</f>
        <v>(0-0)</v>
      </c>
      <c r="M6" s="52"/>
      <c r="N6" s="52"/>
      <c r="O6" s="52"/>
      <c r="P6" s="52"/>
      <c r="Q6" s="52"/>
      <c r="R6" s="52"/>
      <c r="S6" s="52"/>
      <c r="T6" s="52"/>
      <c r="U6" s="52"/>
      <c r="V6" s="52"/>
      <c r="W6" s="52"/>
      <c r="X6" s="52"/>
      <c r="Y6" s="52"/>
      <c r="Z6" s="52"/>
      <c r="AA6" s="52"/>
      <c r="AB6" s="52"/>
      <c r="AC6" s="52"/>
      <c r="AD6" s="52"/>
      <c r="AE6" s="52"/>
      <c r="AF6" s="52"/>
      <c r="AG6" s="52"/>
      <c r="AH6" s="52"/>
      <c r="AI6" s="52"/>
      <c r="AJ6" s="52"/>
      <c r="AK6" s="52"/>
      <c r="AL6" s="55"/>
      <c r="AM6" s="55"/>
      <c r="AN6" s="55"/>
      <c r="AO6" s="55"/>
      <c r="AP6" s="55"/>
      <c r="AQ6" s="55"/>
      <c r="AR6" s="55"/>
      <c r="AS6" s="55"/>
      <c r="AT6" s="55"/>
      <c r="AU6" s="52"/>
    </row>
    <row r="7" spans="1:47" ht="30" customHeight="1" x14ac:dyDescent="0.4">
      <c r="A7" s="329"/>
      <c r="B7" s="57" t="s">
        <v>120</v>
      </c>
      <c r="C7" s="65" t="e">
        <f>IF(RunFlag=1, IF(Inputs!$F$10="1. Actual program",SUM('Current vaccine model'!K16:K27,'Current vaccine model'!Q16:Q27),SUM('Hypothetical vaccine model'!Q16:Q27,'Hypothetical vaccine model'!W16:W27)), NA())</f>
        <v>#DIV/0!</v>
      </c>
      <c r="D7" s="60" t="str">
        <f>IF(RunFlag=1, "(" &amp; TEXT(ROUND('R Output'!O2, 0), "#,##0") &amp; "-" &amp; TEXT(ROUND('R Output'!P2, 0), "#,##0") &amp; ")",NA())</f>
        <v>(0-0)</v>
      </c>
      <c r="E7" s="74">
        <f>IF(RunFlag=1, IF(Inputs!$F$10="1. Actual program",SUM('Current vaccine model'!W16:W27),SUM('Hypothetical vaccine model'!D16:D27)), NA())</f>
        <v>0</v>
      </c>
      <c r="F7" s="68" t="str">
        <f>IF(RunFlag=1, "(" &amp; TEXT(ROUND('R Output'!C2, 0), "#,##0") &amp; "-" &amp; TEXT(ROUND('R Output'!D2, 0), "#,##0") &amp; ")", NA())</f>
        <v>(0-0)</v>
      </c>
      <c r="G7" s="65" t="e">
        <f>IF(RunFlag=1, IF(Inputs!$F$10="1. Actual program",SUM('Current vaccine model'!AC16:AC27),SUM('Hypothetical vaccine model'!AC16:AC27)), NA())</f>
        <v>#VALUE!</v>
      </c>
      <c r="H7" s="60" t="str">
        <f>IF(RunFlag=1, "(" &amp; TEXT(ROUND('R Output'!AA2, 0), "#,##0") &amp; "-" &amp; TEXT(ROUND('R Output'!AB2, 0), "#,##0") &amp; ")", NA())</f>
        <v>(0-0)</v>
      </c>
      <c r="I7" s="77" t="e">
        <f>IF(RunFlag=1, IF(Inputs!$F$10="1. Actual program",'Current vaccine model'!AH27,'Hypothetical vaccine model'!AH27), NA())</f>
        <v>#VALUE!</v>
      </c>
      <c r="J7" s="68" t="str">
        <f>IF(RunFlag=1, "("&amp;TEXT(ROUND('R Output'!AM2,4),"0.0%")&amp;"-"&amp;TEXT(ROUND('R Output'!AN2,4),"0.0%")&amp;")", NA())</f>
        <v>(0.0%-0.0%)</v>
      </c>
      <c r="K7" s="74" t="e">
        <f>IF(RunFlag=1, IF(Inputs!$F$10="1. Actual program",'Current vaccine model'!AM27,'Hypothetical vaccine model'!AM27), NA())</f>
        <v>#VALUE!</v>
      </c>
      <c r="L7" s="71" t="str">
        <f>IF(RunFlag=1, "("&amp;TEXT(ROUND('R Output'!BE2,4),"#,##0")&amp;"-"&amp;TEXT(ROUND('R Output'!BF2,4),"#,##0")&amp;")", NA())</f>
        <v>(0-0)</v>
      </c>
      <c r="M7" s="52"/>
      <c r="N7" s="52"/>
      <c r="O7" s="52"/>
      <c r="P7" s="52"/>
      <c r="Q7" s="52"/>
      <c r="R7" s="52"/>
      <c r="S7" s="52"/>
      <c r="T7" s="52"/>
      <c r="U7" s="52"/>
      <c r="V7" s="52"/>
      <c r="W7" s="52"/>
      <c r="X7" s="52"/>
      <c r="Y7" s="52"/>
      <c r="Z7" s="52"/>
      <c r="AA7" s="52"/>
      <c r="AB7" s="52"/>
      <c r="AC7" s="52"/>
      <c r="AD7" s="52"/>
      <c r="AE7" s="52"/>
      <c r="AF7" s="55"/>
      <c r="AG7" s="55"/>
      <c r="AH7" s="52"/>
      <c r="AI7" s="52"/>
      <c r="AJ7" s="52"/>
      <c r="AK7" s="52"/>
      <c r="AL7" s="55"/>
      <c r="AM7" s="55"/>
      <c r="AN7" s="55"/>
      <c r="AO7" s="55"/>
      <c r="AP7" s="55"/>
      <c r="AQ7" s="55"/>
      <c r="AR7" s="55"/>
      <c r="AS7" s="55"/>
      <c r="AT7" s="55"/>
      <c r="AU7" s="52"/>
    </row>
    <row r="8" spans="1:47" ht="30" customHeight="1" x14ac:dyDescent="0.4">
      <c r="A8" s="329"/>
      <c r="B8" s="57" t="s">
        <v>121</v>
      </c>
      <c r="C8" s="65" t="e">
        <f>IF(RunFlag=1, IF(Inputs!$F$10="1. Actual program",SUM('Current vaccine model'!O16:O27,'Current vaccine model'!U16:U27),SUM('Hypothetical vaccine model'!U16:U27,'Hypothetical vaccine model'!AA16:AA27)), NA())</f>
        <v>#DIV/0!</v>
      </c>
      <c r="D8" s="60" t="str">
        <f>IF(RunFlag=1, "(" &amp; TEXT(ROUND('R Output'!U2, 0), "#,##0") &amp; "-" &amp; TEXT(ROUND('R Output'!V2, 0), "#,##0") &amp; ")", NA())</f>
        <v>(0-0)</v>
      </c>
      <c r="E8" s="74" t="e">
        <f>IF(RunFlag=1, IF(Inputs!$F$10="1. Actual program",SUM('Current vaccine model'!AA16:AA27),SUM('Hypothetical vaccine model'!H16:H27)), NA())</f>
        <v>#VALUE!</v>
      </c>
      <c r="F8" s="68" t="str">
        <f>IF(RunFlag=1, "(" &amp; TEXT(ROUND('R Output'!I2, 0), "#,##0") &amp; "-" &amp; TEXT(ROUND('R Output'!J2, 0), "#,##0") &amp; ")", NA())</f>
        <v>(0-0)</v>
      </c>
      <c r="G8" s="65" t="e">
        <f>IF(RunFlag=1, IF(Inputs!$F$10="1. Actual program",SUM('Current vaccine model'!AF16:AF27),SUM('Hypothetical vaccine model'!AF16:AF27)), NA())</f>
        <v>#VALUE!</v>
      </c>
      <c r="H8" s="60" t="str">
        <f>IF(RunFlag=1, "(" &amp; TEXT(ROUND('R Output'!AG2, 0), "#,##0") &amp; "-" &amp; TEXT(ROUND('R Output'!AH2, 0), "#,##0") &amp; ")", NA())</f>
        <v>(0-0)</v>
      </c>
      <c r="I8" s="77" t="e">
        <f>IF(RunFlag=1, IF(Inputs!$F$10="1. Actual program",'Current vaccine model'!AK27,'Hypothetical vaccine model'!AK27), NA())</f>
        <v>#VALUE!</v>
      </c>
      <c r="J8" s="68" t="str">
        <f>IF(RunFlag=1, "("&amp;TEXT(ROUND('R Output'!AS2,4),"0.0%")&amp;"-"&amp;TEXT(ROUND('R Output'!AT2,4),"0.0%")&amp;")", NA())</f>
        <v>(0.0%-0.0%)</v>
      </c>
      <c r="K8" s="74" t="e">
        <f>IF(RunFlag=1, IF(Inputs!$F$10="1. Actual program",'Current vaccine model'!AP27,'Hypothetical vaccine model'!AP27), NA())</f>
        <v>#VALUE!</v>
      </c>
      <c r="L8" s="71" t="str">
        <f>IF(RunFlag=1, "("&amp;TEXT(ROUND('R Output'!BK2,4),"#,##0")&amp;"-"&amp;TEXT(ROUND('R Output'!BL2,4),"#,##0")&amp;")", NA())</f>
        <v>(0-0)</v>
      </c>
      <c r="M8" s="52"/>
      <c r="N8" s="52"/>
      <c r="O8" s="52"/>
      <c r="P8" s="52"/>
      <c r="Q8" s="52"/>
      <c r="R8" s="52"/>
      <c r="S8" s="52"/>
      <c r="T8" s="52"/>
      <c r="U8" s="52"/>
      <c r="V8" s="52"/>
      <c r="W8" s="52"/>
      <c r="X8" s="52"/>
      <c r="Y8" s="52"/>
      <c r="Z8" s="52"/>
      <c r="AA8" s="52"/>
      <c r="AB8" s="52"/>
      <c r="AC8" s="52"/>
      <c r="AD8" s="52"/>
      <c r="AE8" s="52"/>
      <c r="AF8" s="55"/>
      <c r="AG8" s="55"/>
      <c r="AH8" s="52"/>
      <c r="AI8" s="52"/>
      <c r="AJ8" s="52"/>
      <c r="AK8" s="52"/>
      <c r="AL8" s="55"/>
      <c r="AM8" s="55"/>
      <c r="AN8" s="55"/>
      <c r="AO8" s="55"/>
      <c r="AP8" s="55"/>
      <c r="AQ8" s="55"/>
      <c r="AR8" s="55"/>
      <c r="AS8" s="55"/>
      <c r="AT8" s="55"/>
      <c r="AU8" s="52"/>
    </row>
    <row r="9" spans="1:47" ht="30" customHeight="1" x14ac:dyDescent="0.4">
      <c r="A9" s="329"/>
      <c r="B9" s="56" t="str">
        <f>IF(Inputs!F44&lt;&gt;"", "Deaths", "Hospitalized deaths")</f>
        <v>Hospitalized deaths</v>
      </c>
      <c r="C9" s="65" t="e">
        <f>IF(RunFlag=1, IF(Inputs!$F$10="1. Actual program",SUM('Current vaccine model'!N16:N27,'Current vaccine model'!T16:T27),SUM('Hypothetical vaccine model'!T16:T27,'Hypothetical vaccine model'!Z16:Z27)), NA())</f>
        <v>#DIV/0!</v>
      </c>
      <c r="D9" s="60" t="str">
        <f>IF(RunFlag=1, "(" &amp; TEXT(ROUND('R Output'!X2, 0), "#,##0") &amp; "-" &amp; TEXT(ROUND('R Output'!Y2, 0), "#,##0") &amp; ")", NA())</f>
        <v>(0-0)</v>
      </c>
      <c r="E9" s="74" t="e">
        <f>IF(RunFlag=1, IF(Inputs!$F$10="1. Actual program",SUM('Current vaccine model'!Z16:Z27),SUM('Hypothetical vaccine model'!G16:G27)), NA())</f>
        <v>#VALUE!</v>
      </c>
      <c r="F9" s="68" t="str">
        <f>IF(RunFlag=1, "(" &amp; TEXT(ROUND('R Output'!L2, 0), "#,##0") &amp; "-" &amp; TEXT(ROUND('R Output'!M2, 0), "#,##0") &amp; ")", NA())</f>
        <v>(0-0)</v>
      </c>
      <c r="G9" s="65" t="e">
        <f>IF(RunFlag=1, IF(Inputs!$F$10="1. Actual program",SUM('Current vaccine model'!AE16:AE27),SUM('Hypothetical vaccine model'!AE16:AE27)), NA())</f>
        <v>#VALUE!</v>
      </c>
      <c r="H9" s="60" t="str">
        <f>IF(RunFlag=1, "(" &amp; TEXT(ROUND('R Output'!AJ2, 0), "#,##0") &amp; "-" &amp; TEXT(ROUND('R Output'!AK2, 0), "#,##0") &amp; ")", NA())</f>
        <v>(0-0)</v>
      </c>
      <c r="I9" s="77" t="e">
        <f>IF(RunFlag=1, IF(Inputs!$F$10="1. Actual program",'Current vaccine model'!AJ27,'Hypothetical vaccine model'!AJ27), NA())</f>
        <v>#VALUE!</v>
      </c>
      <c r="J9" s="68" t="str">
        <f>IF(RunFlag=1, "("&amp;TEXT(ROUND('R Output'!AV2,4),"0.0%")&amp;"-"&amp;TEXT(ROUND('R Output'!AW2,4),"0.0%")&amp;")", NA())</f>
        <v>(0.0%-0.0%)</v>
      </c>
      <c r="K9" s="74" t="e">
        <f>IF(RunFlag=1, IF(Inputs!$F$10="1. Actual program",'Current vaccine model'!AO27,'Hypothetical vaccine model'!AO27), NA())</f>
        <v>#VALUE!</v>
      </c>
      <c r="L9" s="71" t="str">
        <f>IF(RunFlag=1, "("&amp;TEXT(ROUND('R Output'!BN2,4),"#,##0")&amp;"-"&amp;TEXT(ROUND('R Output'!BO2,4),"#,##0")&amp;")", NA())</f>
        <v>(0-0)</v>
      </c>
      <c r="M9" s="52"/>
      <c r="N9" s="52"/>
      <c r="O9" s="52"/>
      <c r="P9" s="52"/>
      <c r="Q9" s="52"/>
      <c r="R9" s="52"/>
      <c r="S9" s="52"/>
      <c r="T9" s="52"/>
      <c r="U9" s="52"/>
      <c r="V9" s="52"/>
      <c r="W9" s="52"/>
      <c r="X9" s="52"/>
      <c r="Y9" s="52"/>
      <c r="Z9" s="52"/>
      <c r="AA9" s="52"/>
      <c r="AB9" s="52"/>
      <c r="AC9" s="52"/>
      <c r="AD9" s="52"/>
      <c r="AE9" s="52"/>
      <c r="AF9" s="55"/>
      <c r="AG9" s="55"/>
      <c r="AH9" s="52"/>
      <c r="AI9" s="52"/>
      <c r="AJ9" s="52"/>
      <c r="AK9" s="52"/>
      <c r="AL9" s="55"/>
      <c r="AM9" s="55"/>
      <c r="AN9" s="55"/>
      <c r="AO9" s="55"/>
      <c r="AP9" s="55"/>
      <c r="AQ9" s="55"/>
      <c r="AR9" s="55"/>
      <c r="AS9" s="55"/>
      <c r="AT9" s="55"/>
      <c r="AU9" s="52"/>
    </row>
    <row r="10" spans="1:47" ht="30" customHeight="1" x14ac:dyDescent="0.4">
      <c r="A10" s="330"/>
      <c r="B10" s="58" t="s">
        <v>122</v>
      </c>
      <c r="C10" s="66" t="e">
        <f>IF(RunFlag=1, C6+C7, NA())</f>
        <v>#DIV/0!</v>
      </c>
      <c r="D10" s="61" t="str">
        <f>IF(RunFlag=1, "(" &amp; TEXT(ROUND('R Output'!R2 +'R Output'!O2, 0), "#,##0") &amp; " -" &amp; TEXT(ROUND('R Output'!S2+'R Output'!P2, 0), "#,##0") &amp; ")", NA())</f>
        <v>(0 -0)</v>
      </c>
      <c r="E10" s="75" t="e">
        <f>IF(RunFlag=1, E6+E7, NA())</f>
        <v>#VALUE!</v>
      </c>
      <c r="F10" s="69" t="str">
        <f>IF(RunFlag=1, "(" &amp; TEXT(ROUND('R Output'!F2 +'R Output'!C2, 0), "#,##0") &amp; " -" &amp; TEXT(ROUND('R Output'!G2+'R Output'!D2, 0), "#,##0") &amp; ")", NA())</f>
        <v>(0 -0)</v>
      </c>
      <c r="G10" s="66" t="e">
        <f>IF(RunFlag=1, G6+G7, NA())</f>
        <v>#VALUE!</v>
      </c>
      <c r="H10" s="61" t="str">
        <f>IF(RunFlag=1, "(" &amp; TEXT(ROUND('R Output'!BB2, 0), "#,##0") &amp; " -" &amp; TEXT(ROUND('R Output'!BC2, 0), "#,##0") &amp; ")", NA())</f>
        <v>(0 -0)</v>
      </c>
      <c r="I10" s="77" t="e">
        <f>IF(RunFlag=1, IF(Inputs!$F$10="1. Actual program",'Current vaccine model'!AL27,'Hypothetical vaccine model'!AL27), NA())</f>
        <v>#VALUE!</v>
      </c>
      <c r="J10" s="69" t="str">
        <f>IF(RunFlag=1, "("&amp;TEXT(ROUND('R Output'!AY2,4),"0.0%")&amp;"-"&amp;TEXT(ROUND('R Output'!AZ2,4),"0.0%")&amp;")", NA())</f>
        <v>(0.0%-0.0%)</v>
      </c>
      <c r="K10" s="74" t="e">
        <f>IF(RunFlag=1, IF(Inputs!$F$10="1. Actual program",'Current vaccine model'!AQ27,'Hypothetical vaccine model'!AQ27), NA())</f>
        <v>#VALUE!</v>
      </c>
      <c r="L10" s="72" t="str">
        <f>IF(RunFlag=1, "("&amp;TEXT(ROUND('R Output'!BQ2,4),"#,##0")&amp;"-"&amp;TEXT(ROUND('R Output'!BR2,4),"#,##0")&amp;")", NA())</f>
        <v>(0-0)</v>
      </c>
      <c r="M10" s="52"/>
      <c r="N10" s="52"/>
      <c r="O10" s="52"/>
      <c r="P10" s="52"/>
      <c r="Q10" s="52"/>
      <c r="R10" s="52"/>
      <c r="S10" s="52"/>
      <c r="T10" s="52"/>
      <c r="U10" s="52"/>
      <c r="V10" s="52"/>
      <c r="W10" s="52"/>
      <c r="X10" s="52"/>
      <c r="Y10" s="52"/>
      <c r="Z10" s="52"/>
      <c r="AA10" s="52"/>
      <c r="AB10" s="52"/>
      <c r="AC10" s="52"/>
      <c r="AD10" s="52"/>
      <c r="AE10" s="52"/>
      <c r="AF10" s="55"/>
      <c r="AG10" s="55"/>
      <c r="AH10" s="52"/>
      <c r="AI10" s="52"/>
      <c r="AJ10" s="52"/>
      <c r="AK10" s="52"/>
      <c r="AL10" s="55"/>
      <c r="AM10" s="55"/>
      <c r="AN10" s="55"/>
      <c r="AO10" s="55"/>
      <c r="AP10" s="55"/>
      <c r="AQ10" s="55"/>
      <c r="AR10" s="55"/>
      <c r="AS10" s="55"/>
      <c r="AT10" s="55"/>
      <c r="AU10" s="52"/>
    </row>
    <row r="11" spans="1:47" ht="30" customHeight="1" x14ac:dyDescent="0.4">
      <c r="A11" s="328">
        <f>A6+1</f>
        <v>2</v>
      </c>
      <c r="B11" s="59" t="s">
        <v>119</v>
      </c>
      <c r="C11" s="64" t="e">
        <f>IF(RunFlag=1, IF(Inputs!$F$10="1. Actual program",SUM('Current vaccine model'!L28:L39,'Current vaccine model'!R28:R39),SUM('Hypothetical vaccine model'!R28:R39,'Hypothetical vaccine model'!X28:X39)), NA())</f>
        <v>#DIV/0!</v>
      </c>
      <c r="D11" s="62" t="str">
        <f>IF(RunFlag=1, "(" &amp; TEXT(ROUND('R Output'!R3, 0), "#,##0") &amp; "-" &amp; TEXT(ROUND('R Output'!S3, 0), "#,##0") &amp; ")", NA())</f>
        <v>(0-0)</v>
      </c>
      <c r="E11" s="73" t="e">
        <f>IF(RunFlag=1, IF(Inputs!$F$10="1. Actual program",SUM('Current vaccine model'!X28:X39),SUM('Hypothetical vaccine model'!E28:E39)), NA())</f>
        <v>#VALUE!</v>
      </c>
      <c r="F11" s="67" t="str">
        <f>IF(RunFlag=1, "(" &amp; TEXT(ROUND('R Output'!F3, 0), "#,##0") &amp; "-" &amp; TEXT(ROUND('R Output'!G3, 0), "#,##0") &amp; ")", NA())</f>
        <v>(0-0)</v>
      </c>
      <c r="G11" s="64" t="e">
        <f>IF(RunFlag=1, IF(Inputs!$F$10="1. Actual program",SUM('Current vaccine model'!AD28:AD39),SUM('Hypothetical vaccine model'!AD28:AD39)), NA())</f>
        <v>#VALUE!</v>
      </c>
      <c r="H11" s="62" t="str">
        <f>IF(RunFlag=1, "(" &amp; TEXT(ROUND('R Output'!AD3, 0), "#,##0") &amp; "-" &amp; TEXT(ROUND('R Output'!AE3, 0), "#,##0") &amp; ")", NA())</f>
        <v>(0-0)</v>
      </c>
      <c r="I11" s="76" t="e">
        <f>IF(RunFlag=1, IF(Inputs!$F$10="1. Actual program",'Current vaccine model'!AI39,'Hypothetical vaccine model'!AI39), NA())</f>
        <v>#VALUE!</v>
      </c>
      <c r="J11" s="67" t="str">
        <f>IF(RunFlag=1, "("&amp;TEXT(ROUND('R Output'!AP3,4),"0.0%")&amp;"-"&amp;TEXT(ROUND('R Output'!AQ3,4),"0.0%")&amp;")", NA())</f>
        <v>(0.0%-0.0%)</v>
      </c>
      <c r="K11" s="73" t="e">
        <f>IF(RunFlag=1, IF(Inputs!$F$10="1. Actual program",'Current vaccine model'!AN39,'Hypothetical vaccine model'!AN39), NA())</f>
        <v>#VALUE!</v>
      </c>
      <c r="L11" s="70" t="str">
        <f>IF(RunFlag=1, "("&amp;TEXT(ROUND('R Output'!BH3,4),"#,##0")&amp;"-"&amp;TEXT(ROUND('R Output'!BI3,4),"#,##0")&amp;")", NA())</f>
        <v>(0-0)</v>
      </c>
      <c r="M11" s="52"/>
      <c r="N11" s="52"/>
      <c r="O11" s="52"/>
      <c r="P11" s="52"/>
      <c r="Q11" s="52"/>
      <c r="R11" s="52"/>
      <c r="S11" s="52"/>
      <c r="T11" s="52"/>
      <c r="U11" s="52"/>
      <c r="V11" s="52"/>
      <c r="W11" s="52"/>
      <c r="X11" s="52"/>
      <c r="Y11" s="52"/>
      <c r="Z11" s="52"/>
      <c r="AA11" s="52"/>
      <c r="AB11" s="52"/>
      <c r="AC11" s="52"/>
      <c r="AD11" s="52"/>
      <c r="AE11" s="52"/>
      <c r="AF11" s="55"/>
      <c r="AG11" s="55"/>
      <c r="AH11" s="52"/>
      <c r="AI11" s="52"/>
      <c r="AJ11" s="52"/>
      <c r="AK11" s="52"/>
      <c r="AL11" s="55"/>
      <c r="AM11" s="55"/>
      <c r="AN11" s="55"/>
      <c r="AO11" s="55"/>
      <c r="AP11" s="55"/>
      <c r="AQ11" s="55"/>
      <c r="AR11" s="55"/>
      <c r="AS11" s="55"/>
      <c r="AT11" s="55"/>
      <c r="AU11" s="52"/>
    </row>
    <row r="12" spans="1:47" ht="30" customHeight="1" x14ac:dyDescent="0.4">
      <c r="A12" s="329"/>
      <c r="B12" s="57" t="s">
        <v>120</v>
      </c>
      <c r="C12" s="65" t="e">
        <f>IF(RunFlag=1, IF(Inputs!$F$10="1. Actual program",SUM('Current vaccine model'!K28:K39,'Current vaccine model'!Q28:Q39),SUM('Hypothetical vaccine model'!Q28:Q39,'Hypothetical vaccine model'!W28:W39)), NA())</f>
        <v>#DIV/0!</v>
      </c>
      <c r="D12" s="60" t="str">
        <f>IF(RunFlag=1, "(" &amp; TEXT(ROUND('R Output'!O3, 0), "#,##0") &amp; "-" &amp; TEXT(ROUND('R Output'!P3, 0), "#,##0") &amp; ")", NA())</f>
        <v>(0-0)</v>
      </c>
      <c r="E12" s="74">
        <f>IF(RunFlag=1, IF(Inputs!$F$10="1. Actual program",SUM('Current vaccine model'!W28:W39),SUM('Hypothetical vaccine model'!D28:D39)),NA())</f>
        <v>0</v>
      </c>
      <c r="F12" s="68" t="str">
        <f>IF(RunFlag=1, "(" &amp; TEXT(ROUND('R Output'!C3, 0), "#,##0") &amp; "-" &amp; TEXT(ROUND('R Output'!D3, 0), "#,##0") &amp; " )", NA())</f>
        <v>(0-0 )</v>
      </c>
      <c r="G12" s="65" t="e">
        <f>IF(RunFlag=1, IF(Inputs!$F$10="1. Actual program",SUM('Current vaccine model'!AC28:AC39),SUM('Hypothetical vaccine model'!AC28:AC39)), NA())</f>
        <v>#VALUE!</v>
      </c>
      <c r="H12" s="60" t="str">
        <f>IF(RunFlag=1, "(" &amp; TEXT(ROUND('R Output'!AA3, 0), "#,##0") &amp; "-" &amp; TEXT(ROUND('R Output'!AB3, 0), "#,##0") &amp; ")", NA())</f>
        <v>(0-0)</v>
      </c>
      <c r="I12" s="77" t="e">
        <f>IF(RunFlag=1, IF(Inputs!$F$10="1. Actual program",'Current vaccine model'!AH39,'Hypothetical vaccine model'!AH39), NA())</f>
        <v>#VALUE!</v>
      </c>
      <c r="J12" s="68" t="str">
        <f>IF(RunFlag=1, "("&amp;TEXT(ROUND('R Output'!AM3,4),"0.0%")&amp;"-"&amp;TEXT(ROUND('R Output'!AN3,4),"0.0%")&amp;")", NA())</f>
        <v>(0.0%-0.0%)</v>
      </c>
      <c r="K12" s="74" t="e">
        <f>IF(RunFlag=1, IF(Inputs!$F$10="1. Actual program",'Current vaccine model'!AM39,'Hypothetical vaccine model'!AM39), NA())</f>
        <v>#VALUE!</v>
      </c>
      <c r="L12" s="71" t="str">
        <f>IF(RunFlag=1, "("&amp;TEXT(ROUND('R Output'!BE3,4),"#,##0")&amp;"-"&amp;TEXT(ROUND('R Output'!BF3,4),"#,##0")&amp;")", NA())</f>
        <v>(0-0)</v>
      </c>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row>
    <row r="13" spans="1:47" ht="30" customHeight="1" x14ac:dyDescent="0.4">
      <c r="A13" s="329"/>
      <c r="B13" s="57" t="s">
        <v>121</v>
      </c>
      <c r="C13" s="65" t="e">
        <f>IF(RunFlag=1, IF(Inputs!$F$10="1. Actual program",SUM('Current vaccine model'!O28:O39,'Current vaccine model'!U28:U39),SUM('Hypothetical vaccine model'!U28:U39,'Hypothetical vaccine model'!AA28:AA39)), NA())</f>
        <v>#DIV/0!</v>
      </c>
      <c r="D13" s="60" t="str">
        <f>IF(RunFlag=1, "(" &amp; TEXT(ROUND('R Output'!U3, 0), "#,##0") &amp; "-" &amp; TEXT(ROUND('R Output'!V3, 0), "#,##0") &amp; ")", NA())</f>
        <v>(0-0)</v>
      </c>
      <c r="E13" s="74" t="e">
        <f>IF(RunFlag=1, IF(Inputs!$F$10="1. Actual program",SUM('Current vaccine model'!AA28:AA39),SUM('Hypothetical vaccine model'!H28:H39)), NA())</f>
        <v>#VALUE!</v>
      </c>
      <c r="F13" s="68" t="str">
        <f>IF(RunFlag=1, "(" &amp; TEXT(ROUND('R Output'!I3, 0), "#,##0") &amp; "-" &amp; TEXT(ROUND('R Output'!J3, 0), "#,##0") &amp; ")", NA())</f>
        <v>(0-0)</v>
      </c>
      <c r="G13" s="65" t="e">
        <f>IF(RunFlag=1, IF(Inputs!$F$10="1. Actual program",SUM('Current vaccine model'!AF28:AF39),SUM('Hypothetical vaccine model'!AF28:AF39)), NA())</f>
        <v>#VALUE!</v>
      </c>
      <c r="H13" s="60" t="str">
        <f>IF(RunFlag=1, "(" &amp; TEXT(ROUND('R Output'!AG3, 0), "#,##0") &amp; "-" &amp; TEXT(ROUND('R Output'!AH3, 0), "#,##0") &amp; ")", NA())</f>
        <v>(0-0)</v>
      </c>
      <c r="I13" s="77" t="e">
        <f>IF(RunFlag=1, IF(Inputs!$F$10="1. Actual program",'Current vaccine model'!AK39,'Hypothetical vaccine model'!AK39), NA())</f>
        <v>#VALUE!</v>
      </c>
      <c r="J13" s="68" t="str">
        <f>IF(RunFlag=1, "("&amp;TEXT(ROUND('R Output'!AS3,4),"0.0%")&amp;"-"&amp;TEXT(ROUND('R Output'!AT3,4),"0.0%")&amp;")", NA())</f>
        <v>(0.0%-0.0%)</v>
      </c>
      <c r="K13" s="74" t="e">
        <f>IF(RunFlag=1, IF(Inputs!$F$10="1. Actual program",'Current vaccine model'!AP39,'Hypothetical vaccine model'!AP39), NA())</f>
        <v>#VALUE!</v>
      </c>
      <c r="L13" s="71" t="str">
        <f>IF(RunFlag=1, "("&amp;TEXT(ROUND('R Output'!BK3,4),"#,##0")&amp;"-"&amp;TEXT(ROUND('R Output'!BL3,4),"#,##0")&amp;")", NA())</f>
        <v>(0-0)</v>
      </c>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row>
    <row r="14" spans="1:47" ht="30" customHeight="1" x14ac:dyDescent="0.4">
      <c r="A14" s="329"/>
      <c r="B14" s="56" t="str">
        <f>IF(Inputs!F44&lt;&gt;"", "Deaths", "Hospitalized deaths")</f>
        <v>Hospitalized deaths</v>
      </c>
      <c r="C14" s="65" t="e">
        <f>IF(RunFlag=1, IF(Inputs!$F$10="1. Actual program",SUM('Current vaccine model'!N28:N39,'Current vaccine model'!T28:T39),SUM('Hypothetical vaccine model'!T28:T39,'Hypothetical vaccine model'!Z28:Z39)), NA())</f>
        <v>#DIV/0!</v>
      </c>
      <c r="D14" s="60" t="str">
        <f>IF(RunFlag=1, "(" &amp; TEXT(ROUND('R Output'!X3, 0), "#,##0") &amp; "-" &amp; TEXT(ROUND('R Output'!Y3, 0), "#,##0") &amp; ")", NA())</f>
        <v>(0-0)</v>
      </c>
      <c r="E14" s="74" t="e">
        <f>IF(RunFlag=1, IF(Inputs!$F$10="1. Actual program",SUM('Current vaccine model'!Z28:Z39),SUM('Hypothetical vaccine model'!G28:G39)), NA())</f>
        <v>#VALUE!</v>
      </c>
      <c r="F14" s="68" t="str">
        <f>IF(RunFlag=1, "(" &amp; TEXT(ROUND('R Output'!L3, 0), "#,##0") &amp; "-" &amp; TEXT(ROUND('R Output'!M3, 0), "#,##0") &amp; ")", NA())</f>
        <v>(0-0)</v>
      </c>
      <c r="G14" s="65" t="e">
        <f>IF(RunFlag=1, IF(Inputs!$F$10="1. Actual program",SUM('Current vaccine model'!AE28:AE39),SUM('Hypothetical vaccine model'!AE28:AE39)), NA())</f>
        <v>#VALUE!</v>
      </c>
      <c r="H14" s="60" t="str">
        <f>IF(RunFlag=1, "(" &amp; TEXT(ROUND('R Output'!AJ3, 0), "#,##0") &amp; "-" &amp; TEXT(ROUND('R Output'!AK3, 0), "#,##0") &amp; ")", NA())</f>
        <v>(0-0)</v>
      </c>
      <c r="I14" s="77" t="e">
        <f>IF(RunFlag=1, IF(Inputs!$F$10="1. Actual program",'Current vaccine model'!AJ39,'Hypothetical vaccine model'!AJ39), NA())</f>
        <v>#VALUE!</v>
      </c>
      <c r="J14" s="68" t="str">
        <f>IF(RunFlag=1, "("&amp;TEXT(ROUND('R Output'!AV3,4),"0.0%")&amp;"-"&amp;TEXT(ROUND('R Output'!AW3,4),"0.0%")&amp;")", NA())</f>
        <v>(0.0%-0.0%)</v>
      </c>
      <c r="K14" s="74" t="e">
        <f>IF(RunFlag=1, IF(Inputs!$F$10="1. Actual program",'Current vaccine model'!AO39,'Hypothetical vaccine model'!AO39), NA())</f>
        <v>#VALUE!</v>
      </c>
      <c r="L14" s="71" t="str">
        <f>IF(RunFlag=1, "("&amp;TEXT(ROUND('R Output'!BN3,4),"#,##0")&amp;"-"&amp;TEXT(ROUND('R Output'!BO3,4),"#,##0")&amp;")", NA())</f>
        <v>(0-0)</v>
      </c>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row>
    <row r="15" spans="1:47" ht="30" customHeight="1" x14ac:dyDescent="0.4">
      <c r="A15" s="330"/>
      <c r="B15" s="58" t="s">
        <v>122</v>
      </c>
      <c r="C15" s="66" t="e">
        <f>IF(RunFlag=1, C11+C12, NA())</f>
        <v>#DIV/0!</v>
      </c>
      <c r="D15" s="61" t="str">
        <f>IF(RunFlag=1, "(" &amp; TEXT(ROUND('R Output'!R3 +'R Output'!O3, 0), "#,##0") &amp; "-" &amp; TEXT(ROUND('R Output'!S3+'R Output'!P3, 0), "#,##0") &amp; ")", NA())</f>
        <v>(0-0)</v>
      </c>
      <c r="E15" s="75" t="e">
        <f>IF(RunFlag=1, E11+E12, NA())</f>
        <v>#VALUE!</v>
      </c>
      <c r="F15" s="69" t="str">
        <f>IF(RunFlag=1, "(" &amp; TEXT(ROUND('R Output'!F3 +'R Output'!C3, 0), "#,##0") &amp; " -" &amp; TEXT(ROUND('R Output'!G3+'R Output'!D3, 0), "#,##0") &amp; ")", NA())</f>
        <v>(0 -0)</v>
      </c>
      <c r="G15" s="66" t="e">
        <f>IF(RunFlag=1, G11+G12, NA())</f>
        <v>#VALUE!</v>
      </c>
      <c r="H15" s="61" t="str">
        <f>IF(RunFlag=1, "(" &amp; TEXT(ROUND('R Output'!BB3, 0), "#,##0") &amp; " -" &amp; TEXT(ROUND('R Output'!BC3, 0), "#,##0") &amp; ")", NA())</f>
        <v>(0 -0)</v>
      </c>
      <c r="I15" s="77" t="e">
        <f>IF(RunFlag=1, IF(Inputs!$F$10="1. Actual program",'Current vaccine model'!AL39,'Hypothetical vaccine model'!AL39), NA())</f>
        <v>#VALUE!</v>
      </c>
      <c r="J15" s="69" t="str">
        <f>IF(RunFlag=1, "("&amp;TEXT(ROUND('R Output'!AY3,4),"0.0%")&amp;"-"&amp;TEXT(ROUND('R Output'!AZ3,4),"0.0%")&amp;")", NA())</f>
        <v>(0.0%-0.0%)</v>
      </c>
      <c r="K15" s="74" t="e">
        <f>IF(RunFlag=1, IF(Inputs!$F$10="1. Actual program",'Current vaccine model'!AQ39,'Hypothetical vaccine model'!AQ39), NA())</f>
        <v>#VALUE!</v>
      </c>
      <c r="L15" s="72" t="str">
        <f>IF(RunFlag=1, "("&amp;TEXT(ROUND('R Output'!BQ3,4),"#,##0")&amp;"-"&amp;TEXT(ROUND('R Output'!BR3,4),"#,##0")&amp;")", NA())</f>
        <v>(0-0)</v>
      </c>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row>
    <row r="16" spans="1:47" ht="30" customHeight="1" x14ac:dyDescent="0.4">
      <c r="A16" s="328">
        <f>A11+1</f>
        <v>3</v>
      </c>
      <c r="B16" s="59" t="s">
        <v>119</v>
      </c>
      <c r="C16" s="64" t="e">
        <f>IF(RunFlag=1, IF(Inputs!$F$10="1. Actual program",SUM('Current vaccine model'!L40:L51,'Current vaccine model'!R40:R51),SUM('Hypothetical vaccine model'!R40:R51,'Hypothetical vaccine model'!X40:X51)), NA())</f>
        <v>#DIV/0!</v>
      </c>
      <c r="D16" s="60" t="str">
        <f>IF(RunFlag=1, "(" &amp; TEXT(ROUND('R Output'!R4, 0), "#,##0") &amp; "-" &amp; TEXT(ROUND('R Output'!S4, 0), "#,##0") &amp; ")", NA())</f>
        <v>(0-0)</v>
      </c>
      <c r="E16" s="73" t="e">
        <f>IF(RunFlag=1, IF(Inputs!$F$10="1. Actual program",SUM('Current vaccine model'!X40:X51),SUM('Hypothetical vaccine model'!E40:E51)), NA())</f>
        <v>#VALUE!</v>
      </c>
      <c r="F16" s="68" t="str">
        <f>IF(RunFlag=1, "(" &amp; TEXT(ROUND('R Output'!F4, 0), "#,##0") &amp; "-" &amp; TEXT(ROUND('R Output'!G4, 0), "#,##0") &amp; ")", NA())</f>
        <v>(0-0)</v>
      </c>
      <c r="G16" s="64" t="e">
        <f>IF(RunFlag=1, IF(Inputs!$F$10="1. Actual program",SUM('Current vaccine model'!AD40:AD51),SUM('Hypothetical vaccine model'!AD40:AD51)), NA())</f>
        <v>#VALUE!</v>
      </c>
      <c r="H16" s="60" t="str">
        <f>IF(RunFlag=1, "(" &amp; TEXT(ROUND('R Output'!AD4, 0), "#,##0") &amp; "-" &amp; TEXT(ROUND('R Output'!AE4, 0), "#,##0") &amp; ")", NA())</f>
        <v>(0-0)</v>
      </c>
      <c r="I16" s="76" t="e">
        <f>IF(RunFlag=1, IF(Inputs!$F$10="1. Actual program",'Current vaccine model'!AI51,'Hypothetical vaccine model'!AI51), NA())</f>
        <v>#VALUE!</v>
      </c>
      <c r="J16" s="67" t="str">
        <f>IF(RunFlag=1, "("&amp;TEXT(ROUND('R Output'!AP4,4),"0.0%")&amp;"-"&amp;TEXT(ROUND('R Output'!AQ4,4),"0.0%")&amp;")", NA())</f>
        <v>(0.0%-0.0%)</v>
      </c>
      <c r="K16" s="73" t="e">
        <f>IF(RunFlag=1, IF(Inputs!$F$10="1. Actual program",'Current vaccine model'!AN51,'Hypothetical vaccine model'!AN51), NA())</f>
        <v>#VALUE!</v>
      </c>
      <c r="L16" s="70" t="str">
        <f>IF(RunFlag=1, "("&amp;TEXT(ROUND('R Output'!BH4,4),"#,##0")&amp;"-"&amp;TEXT(ROUND('R Output'!BI4,4),"#,##0")&amp;")", NA())</f>
        <v>(0-0)</v>
      </c>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row>
    <row r="17" spans="1:47" ht="30" customHeight="1" x14ac:dyDescent="0.4">
      <c r="A17" s="329"/>
      <c r="B17" s="57" t="s">
        <v>120</v>
      </c>
      <c r="C17" s="65" t="e">
        <f>IF(RunFlag=1, IF(Inputs!$F$10="1. Actual program",SUM('Current vaccine model'!K40:K51,'Current vaccine model'!Q40:Q51),SUM('Hypothetical vaccine model'!Q40:Q51,'Hypothetical vaccine model'!W40:W51)), NA())</f>
        <v>#DIV/0!</v>
      </c>
      <c r="D17" s="60" t="str">
        <f>IF(RunFlag=1, "(" &amp; TEXT(ROUND('R Output'!O4, 0), "#,##0") &amp; "-" &amp; TEXT(ROUND('R Output'!P4, 0), "#,##0") &amp; ")", NA())</f>
        <v>(0-0)</v>
      </c>
      <c r="E17" s="74">
        <f>IF(RunFlag=1, IF(Inputs!$F$10="1. Actual program",SUM('Current vaccine model'!W40:W51),SUM('Hypothetical vaccine model'!D40:D51)), NA())</f>
        <v>0</v>
      </c>
      <c r="F17" s="68" t="str">
        <f>IF(RunFlag=1, "(" &amp; TEXT(ROUND('R Output'!C4, 0), "#,##0") &amp; "-" &amp; TEXT(ROUND('R Output'!D4, 0), "#,##0") &amp; ")", NA())</f>
        <v>(0-0)</v>
      </c>
      <c r="G17" s="65" t="e">
        <f>IF(RunFlag=1, IF(Inputs!$F$10="1. Actual program",SUM('Current vaccine model'!AC40:AC51),SUM('Hypothetical vaccine model'!AC40:AC51)), NA())</f>
        <v>#VALUE!</v>
      </c>
      <c r="H17" s="60" t="str">
        <f>IF(RunFlag=1, "(" &amp; TEXT(ROUND('R Output'!AA4, 0), "#,##0") &amp; "-" &amp; TEXT(ROUND('R Output'!AB4, 0), "#,##0") &amp; ")", NA())</f>
        <v>(0-0)</v>
      </c>
      <c r="I17" s="77" t="e">
        <f>IF(RunFlag=1, IF(Inputs!$F$10="1. Actual program",'Current vaccine model'!AH51,'Hypothetical vaccine model'!AH51), NA())</f>
        <v>#VALUE!</v>
      </c>
      <c r="J17" s="68" t="str">
        <f>IF(RunFlag=1, "("&amp;TEXT(ROUND('R Output'!AM4,4),"0.0%")&amp;"-"&amp;TEXT(ROUND('R Output'!AN4,4),"0.0%")&amp;")", NA())</f>
        <v>(0.0%-0.0%)</v>
      </c>
      <c r="K17" s="74" t="e">
        <f>IF(RunFlag=1, IF(Inputs!$F$10="1. Actual program",'Current vaccine model'!AM51,'Hypothetical vaccine model'!AM51), NA())</f>
        <v>#VALUE!</v>
      </c>
      <c r="L17" s="71" t="str">
        <f>IF(RunFlag=1, "("&amp;TEXT(ROUND('R Output'!BE4,4),"#,##0")&amp;"-"&amp;TEXT(ROUND('R Output'!BF4,4),"#,##0")&amp;")", NA())</f>
        <v>(0-0)</v>
      </c>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row>
    <row r="18" spans="1:47" ht="30" customHeight="1" x14ac:dyDescent="0.4">
      <c r="A18" s="329"/>
      <c r="B18" s="57" t="s">
        <v>121</v>
      </c>
      <c r="C18" s="65" t="e">
        <f>IF(RunFlag=1, IF(Inputs!$F$10="1. Actual program",SUM('Current vaccine model'!O40:O51,'Current vaccine model'!U40:U51),SUM('Hypothetical vaccine model'!U40:U51,'Hypothetical vaccine model'!AA40:AA51)), NA())</f>
        <v>#DIV/0!</v>
      </c>
      <c r="D18" s="60" t="str">
        <f>IF(RunFlag=1, "(" &amp; TEXT(ROUND('R Output'!U4, 0), "#,##0") &amp; "-" &amp; TEXT(ROUND('R Output'!V4, 0), "#,##0") &amp; ")", NA())</f>
        <v>(0-0)</v>
      </c>
      <c r="E18" s="74" t="e">
        <f>IF(RunFlag=1, IF(Inputs!$F$10="1. Actual program",SUM('Current vaccine model'!AA40:AA51),SUM('Hypothetical vaccine model'!H40:H51)), NA())</f>
        <v>#VALUE!</v>
      </c>
      <c r="F18" s="68" t="str">
        <f>IF(RunFlag=1, "(" &amp; TEXT(ROUND('R Output'!I4, 0), "#,##0") &amp; "-" &amp; TEXT(ROUND('R Output'!J4, 0), "#,##0") &amp; ")", NA())</f>
        <v>(0-0)</v>
      </c>
      <c r="G18" s="65" t="e">
        <f>IF(RunFlag=1, IF(Inputs!$F$10="1. Actual program",SUM('Current vaccine model'!AF40:AF51),SUM('Hypothetical vaccine model'!AF40:AF51)), NA())</f>
        <v>#VALUE!</v>
      </c>
      <c r="H18" s="60" t="str">
        <f>IF(RunFlag=1, "(" &amp; TEXT(ROUND('R Output'!AG4, 0), "#,##0") &amp; "-" &amp; TEXT(ROUND('R Output'!AH4, 0), "#,##0") &amp; ")", NA())</f>
        <v>(0-0)</v>
      </c>
      <c r="I18" s="77" t="e">
        <f>IF(RunFlag=1, IF(Inputs!$F$10="1. Actual program",'Current vaccine model'!AK51,'Hypothetical vaccine model'!AK51), NA())</f>
        <v>#VALUE!</v>
      </c>
      <c r="J18" s="68" t="str">
        <f>IF(RunFlag=1, "("&amp;TEXT(ROUND('R Output'!AS4,4),"0.0%")&amp;"-"&amp;TEXT(ROUND('R Output'!AT4,4),"0.0%")&amp;")", NA())</f>
        <v>(0.0%-0.0%)</v>
      </c>
      <c r="K18" s="74" t="e">
        <f>IF(RunFlag=1, IF(Inputs!$F$10="1. Actual program",'Current vaccine model'!AP51,'Hypothetical vaccine model'!AP51), NA())</f>
        <v>#VALUE!</v>
      </c>
      <c r="L18" s="71" t="str">
        <f>IF(RunFlag=1, "("&amp;TEXT(ROUND('R Output'!BK4,4),"#,##0")&amp;"-"&amp;TEXT(ROUND('R Output'!BL4,4),"#,##0")&amp;")", NA())</f>
        <v>(0-0)</v>
      </c>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row>
    <row r="19" spans="1:47" ht="30" customHeight="1" x14ac:dyDescent="0.4">
      <c r="A19" s="329"/>
      <c r="B19" s="56" t="str">
        <f>IF(Inputs!F44&lt;&gt;"", "Deaths", "Hospitalized deaths")</f>
        <v>Hospitalized deaths</v>
      </c>
      <c r="C19" s="65" t="e">
        <f>IF(RunFlag=1, IF(Inputs!$F$10="1. Actual program",SUM('Current vaccine model'!N40:N51,'Current vaccine model'!T40:T51),SUM('Hypothetical vaccine model'!T40:T51,'Hypothetical vaccine model'!Z40:Z51)), NA())</f>
        <v>#DIV/0!</v>
      </c>
      <c r="D19" s="60" t="str">
        <f>IF(RunFlag=1, "(" &amp; TEXT(ROUND('R Output'!X4, 0), "#,##0") &amp; "-" &amp; TEXT(ROUND('R Output'!Y4, 0), "#,##0") &amp; ")", NA())</f>
        <v>(0-0)</v>
      </c>
      <c r="E19" s="74" t="e">
        <f>IF(RunFlag=1, IF(Inputs!$F$10="1. Actual program",SUM('Current vaccine model'!Z40:Z51),SUM('Hypothetical vaccine model'!G40:G51)), NA())</f>
        <v>#VALUE!</v>
      </c>
      <c r="F19" s="68" t="str">
        <f>IF(RunFlag=1, "(" &amp; TEXT(ROUND('R Output'!L4, 0), "#,##0") &amp; "-" &amp; TEXT(ROUND('R Output'!M4, 0), "#,##0") &amp; ")", NA())</f>
        <v>(0-0)</v>
      </c>
      <c r="G19" s="65" t="e">
        <f>IF(RunFlag=1, IF(Inputs!$F$10="1. Actual program",SUM('Current vaccine model'!AE40:AE51),SUM('Hypothetical vaccine model'!AE40:AE51)), NA())</f>
        <v>#VALUE!</v>
      </c>
      <c r="H19" s="60" t="str">
        <f>IF(RunFlag=1, "(" &amp; TEXT(ROUND('R Output'!AJ4, 0), "#,##0") &amp; "-" &amp; TEXT(ROUND('R Output'!AK4, 0), "#,##0") &amp; ")", NA())</f>
        <v>(0-0)</v>
      </c>
      <c r="I19" s="77" t="e">
        <f>IF(RunFlag=1, IF(Inputs!$F$10="1. Actual program",'Current vaccine model'!AJ51,'Hypothetical vaccine model'!AJ51), NA())</f>
        <v>#VALUE!</v>
      </c>
      <c r="J19" s="68" t="str">
        <f>IF(RunFlag=1, "("&amp;TEXT(ROUND('R Output'!AV4,4),"0.0%")&amp;"-"&amp;TEXT(ROUND('R Output'!AW4,4),"0.0%")&amp;")", NA())</f>
        <v>(0.0%-0.0%)</v>
      </c>
      <c r="K19" s="74" t="e">
        <f>IF(RunFlag=1, IF(Inputs!$F$10="1. Actual program",'Current vaccine model'!AO51,'Hypothetical vaccine model'!AO51), NA())</f>
        <v>#VALUE!</v>
      </c>
      <c r="L19" s="71" t="str">
        <f>IF(RunFlag=1, "("&amp;TEXT(ROUND('R Output'!BN4,4),"#,##0")&amp;"-"&amp;TEXT(ROUND('R Output'!BO4,4),"#,##0")&amp;")", NA())</f>
        <v>(0-0)</v>
      </c>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row>
    <row r="20" spans="1:47" ht="30" customHeight="1" x14ac:dyDescent="0.4">
      <c r="A20" s="330"/>
      <c r="B20" s="58" t="s">
        <v>122</v>
      </c>
      <c r="C20" s="66" t="e">
        <f>IF(RunFlag=1, C16+C17, NA())</f>
        <v>#DIV/0!</v>
      </c>
      <c r="D20" s="61" t="str">
        <f>IF(RunFlag=1, "(" &amp; TEXT(ROUND('R Output'!R4 +'R Output'!O4, 0), "#,##0") &amp; "-" &amp; TEXT(ROUND('R Output'!S4+'R Output'!P4, 0), "#,##0") &amp; ")", NA())</f>
        <v>(0-0)</v>
      </c>
      <c r="E20" s="75" t="e">
        <f>IF(RunFlag=1, E16+E17, NA())</f>
        <v>#VALUE!</v>
      </c>
      <c r="F20" s="69" t="str">
        <f>IF(RunFlag=1, "(" &amp; TEXT(ROUND('R Output'!F4 +'R Output'!C4, 0), "#,##0") &amp; " -" &amp; TEXT(ROUND('R Output'!G4+'R Output'!D4, 0), "#,##0") &amp; ")", NA())</f>
        <v>(0 -0)</v>
      </c>
      <c r="G20" s="66" t="e">
        <f>IF(RunFlag=1, G16+G17, NA())</f>
        <v>#VALUE!</v>
      </c>
      <c r="H20" s="61" t="str">
        <f>IF(RunFlag=1, "(" &amp; TEXT(ROUND('R Output'!BB4, 0), "#,##0") &amp; " -" &amp; TEXT(ROUND('R Output'!BC4, 0), "#,##0") &amp; ")", NA())</f>
        <v>(0 -0)</v>
      </c>
      <c r="I20" s="77" t="e">
        <f>IF(RunFlag=1, IF(Inputs!$F$10="1. Actual program",'Current vaccine model'!AL51,'Hypothetical vaccine model'!AL51), NA())</f>
        <v>#VALUE!</v>
      </c>
      <c r="J20" s="69" t="str">
        <f>IF(RunFlag=1, "("&amp;TEXT(ROUND('R Output'!AY4,4),"0.0%")&amp;"-"&amp;TEXT(ROUND('R Output'!AZ4,4),"0.0%")&amp;")", NA())</f>
        <v>(0.0%-0.0%)</v>
      </c>
      <c r="K20" s="74" t="e">
        <f>IF(RunFlag=1, IF(Inputs!$F$10="1. Actual program",'Current vaccine model'!AQ51,'Hypothetical vaccine model'!AQ51), NA())</f>
        <v>#VALUE!</v>
      </c>
      <c r="L20" s="72" t="str">
        <f>IF(RunFlag=1, "("&amp;TEXT(ROUND('R Output'!BQ4,4),"#,##0")&amp;"-"&amp;TEXT(ROUND('R Output'!BR4,4),"#,##0")&amp;")", NA())</f>
        <v>(0-0)</v>
      </c>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row>
    <row r="21" spans="1:47" ht="30" customHeight="1" x14ac:dyDescent="0.4">
      <c r="A21" s="328">
        <f>A16+1</f>
        <v>4</v>
      </c>
      <c r="B21" s="59" t="s">
        <v>119</v>
      </c>
      <c r="C21" s="64" t="e">
        <f>IF(RunFlag=1, IF(Inputs!$F$10="1. Actual program",SUM('Current vaccine model'!L52:L63,'Current vaccine model'!R52:R63),SUM('Hypothetical vaccine model'!R52:R63,'Hypothetical vaccine model'!X52:X63)),NA())</f>
        <v>#DIV/0!</v>
      </c>
      <c r="D21" s="60" t="str">
        <f>IF(RunFlag=1, "(" &amp; TEXT(ROUND('R Output'!R5, 0), "#,##0") &amp; "-" &amp; TEXT(ROUND('R Output'!S5, 0), "#,##0") &amp; ")", NA())</f>
        <v>(0-0)</v>
      </c>
      <c r="E21" s="73" t="e">
        <f>IF(RunFlag=1, IF(Inputs!$F$10="1. Actual program",SUM('Current vaccine model'!X52:X63),SUM('Hypothetical vaccine model'!E52:E63)), NA())</f>
        <v>#VALUE!</v>
      </c>
      <c r="F21" s="68" t="str">
        <f>IF(RunFlag=1, "(" &amp; TEXT(ROUND('R Output'!F5, 0), "#,##0") &amp; "-" &amp; TEXT(ROUND('R Output'!G5, 0), "#,##0") &amp; ")", NA())</f>
        <v>(0-0)</v>
      </c>
      <c r="G21" s="64" t="e">
        <f>IF(RunFlag=1, IF(Inputs!$F$10="1. Actual program",SUM('Current vaccine model'!AD52:AD63),SUM('Hypothetical vaccine model'!AD52:AD63)), NA())</f>
        <v>#VALUE!</v>
      </c>
      <c r="H21" s="60" t="str">
        <f>IF(RunFlag=1, "(" &amp; TEXT(ROUND('R Output'!AD5, 0), "#,##0") &amp; "-" &amp; TEXT(ROUND('R Output'!AE5, 0), "#,##0") &amp; ")", NA())</f>
        <v>(0-0)</v>
      </c>
      <c r="I21" s="76" t="e">
        <f>IF(RunFlag=1, IF(Inputs!$F$10="1. Actual program",'Current vaccine model'!AI63,'Hypothetical vaccine model'!AI63), NA())</f>
        <v>#VALUE!</v>
      </c>
      <c r="J21" s="67" t="str">
        <f>IF(RunFlag=1, "("&amp;TEXT(ROUND('R Output'!AP5,4),"0.0%")&amp;"-"&amp;TEXT(ROUND('R Output'!AQ5,4),"0.0%")&amp;")", NA())</f>
        <v>(0.0%-0.0%)</v>
      </c>
      <c r="K21" s="73" t="e">
        <f>IF(RunFlag=1, IF(Inputs!$F$10="1. Actual program",'Current vaccine model'!AN63,'Hypothetical vaccine model'!AN63), NA())</f>
        <v>#VALUE!</v>
      </c>
      <c r="L21" s="70" t="str">
        <f>IF(RunFlag=1, "("&amp;TEXT(ROUND('R Output'!BH5,4),"#,##0")&amp;"-"&amp;TEXT(ROUND('R Output'!BI5,4),"#,##0")&amp;")", NA())</f>
        <v>(0-0)</v>
      </c>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row>
    <row r="22" spans="1:47" ht="30" customHeight="1" x14ac:dyDescent="0.4">
      <c r="A22" s="329"/>
      <c r="B22" s="57" t="s">
        <v>120</v>
      </c>
      <c r="C22" s="65" t="e">
        <f>IF(RunFlag=1, IF(Inputs!$F$10="1. Actual program",SUM('Current vaccine model'!K52:K63,'Current vaccine model'!Q52:Q63),SUM('Hypothetical vaccine model'!Q52:Q63,'Hypothetical vaccine model'!W52:W63)), NA())</f>
        <v>#DIV/0!</v>
      </c>
      <c r="D22" s="60" t="str">
        <f>IF(RunFlag=1, "(" &amp; TEXT(ROUND('R Output'!O5, 0), "#,##0") &amp; "-" &amp; TEXT(ROUND('R Output'!P5, 0), "#,##0") &amp; ")", NA())</f>
        <v>(0-0)</v>
      </c>
      <c r="E22" s="74">
        <f>IF(RunFlag=1, IF(Inputs!$F$10="1. Actual program",SUM('Current vaccine model'!W52:W63),SUM('Hypothetical vaccine model'!D52:D63)), NA())</f>
        <v>0</v>
      </c>
      <c r="F22" s="68" t="str">
        <f>IF(RunFlag=1, "(" &amp; TEXT(ROUND('R Output'!C5, 0), "#,##0") &amp; "-" &amp; TEXT(ROUND('R Output'!D5, 0), "#,##0") &amp; ")", NA())</f>
        <v>(0-0)</v>
      </c>
      <c r="G22" s="65" t="e">
        <f>IF(RunFlag=1, IF(Inputs!$F$10="1. Actual program",SUM('Current vaccine model'!AC52:AC63),SUM('Hypothetical vaccine model'!AC52:AC63)), NA())</f>
        <v>#VALUE!</v>
      </c>
      <c r="H22" s="60" t="str">
        <f>IF(RunFlag=1, "(" &amp; TEXT(ROUND('R Output'!AA5, 0), "#,##0") &amp; "-" &amp; TEXT(ROUND('R Output'!AB5, 0), "#,##0") &amp; ")", NA())</f>
        <v>(0-0)</v>
      </c>
      <c r="I22" s="77" t="e">
        <f>IF(RunFlag=1, IF(Inputs!$F$10="1. Actual program",'Current vaccine model'!AH63,'Hypothetical vaccine model'!AH63), NA())</f>
        <v>#VALUE!</v>
      </c>
      <c r="J22" s="68" t="str">
        <f>IF(RunFlag=1, "("&amp;TEXT(ROUND('R Output'!AM5,4),"0.0%")&amp;"-"&amp;TEXT(ROUND('R Output'!AN5,4),"0.0%")&amp;")", NA())</f>
        <v>(0.0%-0.0%)</v>
      </c>
      <c r="K22" s="74" t="e">
        <f>IF(RunFlag=1, IF(Inputs!$F$10="1. Actual program",'Current vaccine model'!AM63,'Hypothetical vaccine model'!AM63), NA())</f>
        <v>#VALUE!</v>
      </c>
      <c r="L22" s="71" t="str">
        <f>IF(RunFlag=1, "("&amp;TEXT(ROUND('R Output'!BE5,4),"#,##0")&amp;"-"&amp;TEXT(ROUND('R Output'!BF5,4),"#,##0")&amp;")", NA())</f>
        <v>(0-0)</v>
      </c>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row>
    <row r="23" spans="1:47" ht="30" customHeight="1" x14ac:dyDescent="0.4">
      <c r="A23" s="329"/>
      <c r="B23" s="57" t="s">
        <v>121</v>
      </c>
      <c r="C23" s="65" t="e">
        <f>IF(RunFlag=1, IF(Inputs!$F$10="1. Actual program",SUM('Current vaccine model'!O52:O63,'Current vaccine model'!U52:U63),SUM('Hypothetical vaccine model'!U52:U63,'Hypothetical vaccine model'!AA52:AA63)), NA())</f>
        <v>#DIV/0!</v>
      </c>
      <c r="D23" s="60" t="str">
        <f>IF(RunFlag=1, "(" &amp; TEXT(ROUND('R Output'!U5, 0), "#,##0") &amp; "-" &amp; TEXT(ROUND('R Output'!V5, 0), "#,##0") &amp; ")", NA())</f>
        <v>(0-0)</v>
      </c>
      <c r="E23" s="74" t="e">
        <f>IF(RunFlag=1, IF(Inputs!$F$10="1. Actual program",SUM('Current vaccine model'!AA52:AA63),SUM('Hypothetical vaccine model'!H52:H63)), NA())</f>
        <v>#VALUE!</v>
      </c>
      <c r="F23" s="68" t="str">
        <f>IF(RunFlag=1, "(" &amp; TEXT(ROUND('R Output'!I5, 0), "#,##0") &amp; "-" &amp; TEXT(ROUND('R Output'!J5, 0), "#,##0") &amp; ")", NA())</f>
        <v>(0-0)</v>
      </c>
      <c r="G23" s="65" t="e">
        <f>IF(RunFlag=1, IF(Inputs!$F$10="1. Actual program",SUM('Current vaccine model'!AF52:AF63),SUM('Hypothetical vaccine model'!AF52:AF63)), NA())</f>
        <v>#VALUE!</v>
      </c>
      <c r="H23" s="60" t="str">
        <f>IF(RunFlag=1, "(" &amp; TEXT(ROUND('R Output'!AG5, 0), "#,##0") &amp; "-" &amp; TEXT(ROUND('R Output'!AH5, 0), "#,##0") &amp; ")", NA())</f>
        <v>(0-0)</v>
      </c>
      <c r="I23" s="77" t="e">
        <f>IF(RunFlag=1, IF(Inputs!$F$10="1. Actual program",'Current vaccine model'!AK63,'Hypothetical vaccine model'!AK63), NA())</f>
        <v>#VALUE!</v>
      </c>
      <c r="J23" s="68" t="str">
        <f>IF(RunFlag=1, "("&amp;TEXT(ROUND('R Output'!AS5,4),"0.0%")&amp;"-"&amp;TEXT(ROUND('R Output'!AT5,4),"0.0%")&amp;")", NA())</f>
        <v>(0.0%-0.0%)</v>
      </c>
      <c r="K23" s="74" t="e">
        <f>IF(RunFlag=1, IF(Inputs!$F$10="1. Actual program",'Current vaccine model'!AP63,'Hypothetical vaccine model'!AP63), NA())</f>
        <v>#VALUE!</v>
      </c>
      <c r="L23" s="71" t="str">
        <f>IF(RunFlag=1, "("&amp;TEXT(ROUND('R Output'!BK5,4),"#,##0")&amp;"-"&amp;TEXT(ROUND('R Output'!BL5,4),"#,##0")&amp;")", NA())</f>
        <v>(0-0)</v>
      </c>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row>
    <row r="24" spans="1:47" ht="30" customHeight="1" x14ac:dyDescent="0.4">
      <c r="A24" s="329"/>
      <c r="B24" s="56" t="str">
        <f>IF(Inputs!F49&lt;&gt;"", "Deaths", "Hospitalized deaths")</f>
        <v>Hospitalized deaths</v>
      </c>
      <c r="C24" s="65" t="e">
        <f>IF(RunFlag=1, IF(Inputs!$F$10="1. Actual program",SUM('Current vaccine model'!N52:N63,'Current vaccine model'!T52:T63),SUM('Hypothetical vaccine model'!T52:T63,'Hypothetical vaccine model'!Z52:Z63)), NA())</f>
        <v>#DIV/0!</v>
      </c>
      <c r="D24" s="60" t="str">
        <f>IF(RunFlag=1, "(" &amp; TEXT(ROUND('R Output'!X5, 0), "#,##0") &amp; "-" &amp; TEXT(ROUND('R Output'!Y5, 0), "#,##0") &amp; ")", NA())</f>
        <v>(0-0)</v>
      </c>
      <c r="E24" s="74" t="e">
        <f>IF(RunFlag=1, IF(Inputs!$F$10="1. Actual program",SUM('Current vaccine model'!Z52:Z63),SUM('Hypothetical vaccine model'!G52:G63)), NA())</f>
        <v>#VALUE!</v>
      </c>
      <c r="F24" s="68" t="str">
        <f>IF(RunFlag=1, "(" &amp; TEXT(ROUND('R Output'!L5, 0), "#,##0") &amp; "-" &amp; TEXT(ROUND('R Output'!M5, 0), "#,##0") &amp; ")", NA())</f>
        <v>(0-0)</v>
      </c>
      <c r="G24" s="65" t="e">
        <f>IF(RunFlag=1, IF(Inputs!$F$10="1. Actual program",SUM('Current vaccine model'!AE52:AE63),SUM('Hypothetical vaccine model'!AE52:AE63)), NA())</f>
        <v>#VALUE!</v>
      </c>
      <c r="H24" s="60" t="str">
        <f>IF(RunFlag=1, "(" &amp; TEXT(ROUND('R Output'!AJ5, 0), "#,##0") &amp; "-" &amp; TEXT(ROUND('R Output'!AK5, 0), "#,##0") &amp; ")", NA())</f>
        <v>(0-0)</v>
      </c>
      <c r="I24" s="77" t="e">
        <f>IF(RunFlag=1, IF(Inputs!$F$10="1. Actual program",'Current vaccine model'!AJ63,'Hypothetical vaccine model'!AJ63), NA())</f>
        <v>#VALUE!</v>
      </c>
      <c r="J24" s="68" t="str">
        <f>IF(RunFlag=1, "("&amp;TEXT(ROUND('R Output'!AV5,4),"0.0%")&amp;"-"&amp;TEXT(ROUND('R Output'!AW5,4),"0.0%")&amp;")", NA())</f>
        <v>(0.0%-0.0%)</v>
      </c>
      <c r="K24" s="74" t="e">
        <f>IF(RunFlag=1, IF(Inputs!$F$10="1. Actual program",'Current vaccine model'!AO63,'Hypothetical vaccine model'!AO63), NA())</f>
        <v>#VALUE!</v>
      </c>
      <c r="L24" s="71" t="str">
        <f>IF(RunFlag=1, "("&amp;TEXT(ROUND('R Output'!BN5,4),"#,##0")&amp;"-"&amp;TEXT(ROUND('R Output'!BO5,4),"#,##0")&amp;")", NA())</f>
        <v>(0-0)</v>
      </c>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row>
    <row r="25" spans="1:47" ht="30" customHeight="1" x14ac:dyDescent="0.4">
      <c r="A25" s="330"/>
      <c r="B25" s="58" t="s">
        <v>122</v>
      </c>
      <c r="C25" s="66" t="e">
        <f>IF(RunFlag=1, C21+C22, NA())</f>
        <v>#DIV/0!</v>
      </c>
      <c r="D25" s="61" t="str">
        <f>IF(RunFlag=1, "(" &amp; TEXT(ROUND('R Output'!R5 +'R Output'!O5, 0), "#,##0") &amp; "-" &amp; TEXT(ROUND('R Output'!S5+'R Output'!P5, 0), "#,##0") &amp; ")", NA())</f>
        <v>(0-0)</v>
      </c>
      <c r="E25" s="75" t="e">
        <f>IF(RunFlag=1, E21+E22, NA())</f>
        <v>#VALUE!</v>
      </c>
      <c r="F25" s="69" t="str">
        <f>IF(RunFlag=1, "(" &amp; TEXT(ROUND('R Output'!F5 +'R Output'!C5, 0), "#,##0") &amp; " -" &amp; TEXT(ROUND('R Output'!G5+'R Output'!D5, 0), "#,##0") &amp; ")", NA())</f>
        <v>(0 -0)</v>
      </c>
      <c r="G25" s="66" t="e">
        <f>IF(RunFlag=1, G21+G22, NA())</f>
        <v>#VALUE!</v>
      </c>
      <c r="H25" s="61" t="str">
        <f>IF(RunFlag=1, "(" &amp; TEXT(ROUND('R Output'!BB5, 0), "#,##0") &amp; " -" &amp; TEXT(ROUND('R Output'!BC5, 0), "#,##0") &amp; ")", NA())</f>
        <v>(0 -0)</v>
      </c>
      <c r="I25" s="78" t="e">
        <f>IF(RunFlag=1, IF(Inputs!$F$10="1. Actual program",'Current vaccine model'!AL63,'Hypothetical vaccine model'!AL63), NA())</f>
        <v>#VALUE!</v>
      </c>
      <c r="J25" s="69" t="str">
        <f>IF(RunFlag=1, "("&amp;TEXT(ROUND('R Output'!AY5,4),"0.0%")&amp;"-"&amp;TEXT(ROUND('R Output'!AZ5,4),"0.0%")&amp;")", NA())</f>
        <v>(0.0%-0.0%)</v>
      </c>
      <c r="K25" s="75" t="e">
        <f>IF(RunFlag=1, IF(Inputs!$F$10="1. Actual program",'Current vaccine model'!AQ63,'Hypothetical vaccine model'!AQ63), NA())</f>
        <v>#VALUE!</v>
      </c>
      <c r="L25" s="72" t="str">
        <f>IF(RunFlag=1, "("&amp;TEXT(ROUND('R Output'!BQ5,4),"#,##0")&amp;"-"&amp;TEXT(ROUND('R Output'!BR5,4),"#,##0")&amp;")", NA())</f>
        <v>(0-0)</v>
      </c>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row>
    <row r="26" spans="1:47" x14ac:dyDescent="0.35">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row>
    <row r="27" spans="1:47" x14ac:dyDescent="0.35">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row>
    <row r="28" spans="1:47" x14ac:dyDescent="0.35">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row>
    <row r="29" spans="1:47" x14ac:dyDescent="0.35">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row>
    <row r="30" spans="1:47" x14ac:dyDescent="0.35">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row>
    <row r="31" spans="1:47" x14ac:dyDescent="0.35">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row>
    <row r="32" spans="1:47" x14ac:dyDescent="0.35">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row>
    <row r="33" spans="1:47" x14ac:dyDescent="0.35">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row>
    <row r="34" spans="1:47" x14ac:dyDescent="0.35">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row>
    <row r="35" spans="1:47" x14ac:dyDescent="0.35">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row>
    <row r="36" spans="1:47" x14ac:dyDescent="0.35">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row>
    <row r="37" spans="1:47" x14ac:dyDescent="0.35">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row>
    <row r="38" spans="1:47" x14ac:dyDescent="0.35">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row>
    <row r="39" spans="1:47" x14ac:dyDescent="0.35">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row>
    <row r="40" spans="1:47" x14ac:dyDescent="0.35">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row>
    <row r="41" spans="1:47" x14ac:dyDescent="0.35">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row>
    <row r="42" spans="1:47" x14ac:dyDescent="0.35">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row>
    <row r="43" spans="1:47" x14ac:dyDescent="0.35">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row>
    <row r="44" spans="1:47" x14ac:dyDescent="0.35">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row>
    <row r="45" spans="1:47" x14ac:dyDescent="0.35">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row>
    <row r="46" spans="1:47" x14ac:dyDescent="0.35">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row>
    <row r="47" spans="1:47" x14ac:dyDescent="0.35">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row>
    <row r="48" spans="1:47" x14ac:dyDescent="0.35">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row>
    <row r="49" spans="1:47" x14ac:dyDescent="0.35">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row>
    <row r="50" spans="1:47" x14ac:dyDescent="0.35">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row>
    <row r="51" spans="1:47" x14ac:dyDescent="0.35">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row>
    <row r="52" spans="1:47" x14ac:dyDescent="0.35">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row>
    <row r="53" spans="1:47" x14ac:dyDescent="0.35">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row>
    <row r="54" spans="1:47" x14ac:dyDescent="0.35">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row>
    <row r="55" spans="1:47" x14ac:dyDescent="0.35">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row>
    <row r="56" spans="1:47" x14ac:dyDescent="0.35">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row>
    <row r="57" spans="1:47" x14ac:dyDescent="0.35">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row>
    <row r="58" spans="1:47" x14ac:dyDescent="0.35">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row>
    <row r="59" spans="1:47" x14ac:dyDescent="0.35">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row>
    <row r="60" spans="1:47" x14ac:dyDescent="0.35">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row>
    <row r="61" spans="1:47" x14ac:dyDescent="0.35">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row>
    <row r="62" spans="1:47" x14ac:dyDescent="0.35">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row>
    <row r="63" spans="1:47" x14ac:dyDescent="0.35">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row>
    <row r="64" spans="1:47" x14ac:dyDescent="0.35">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row>
    <row r="65" spans="1:47" x14ac:dyDescent="0.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row>
    <row r="66" spans="1:47" x14ac:dyDescent="0.35">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row>
    <row r="67" spans="1:47" x14ac:dyDescent="0.35">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row>
    <row r="68" spans="1:47" x14ac:dyDescent="0.35">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row>
    <row r="69" spans="1:47" x14ac:dyDescent="0.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row>
    <row r="70" spans="1:47" x14ac:dyDescent="0.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row>
    <row r="71" spans="1:47" x14ac:dyDescent="0.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row>
    <row r="72" spans="1:47" x14ac:dyDescent="0.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row>
    <row r="73" spans="1:47" x14ac:dyDescent="0.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row>
    <row r="74" spans="1:47" x14ac:dyDescent="0.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row>
    <row r="75" spans="1:47" x14ac:dyDescent="0.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row>
    <row r="76" spans="1:47" x14ac:dyDescent="0.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row>
    <row r="77" spans="1:47" x14ac:dyDescent="0.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row>
    <row r="78" spans="1:47" x14ac:dyDescent="0.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row>
    <row r="79" spans="1:47" x14ac:dyDescent="0.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row>
    <row r="80" spans="1:47" x14ac:dyDescent="0.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row>
    <row r="81" spans="1:47" x14ac:dyDescent="0.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row>
    <row r="82" spans="1:47" x14ac:dyDescent="0.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row>
    <row r="83" spans="1:47" x14ac:dyDescent="0.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row>
    <row r="84" spans="1:47" x14ac:dyDescent="0.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row>
    <row r="85" spans="1:47" x14ac:dyDescent="0.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row>
    <row r="86" spans="1:47" x14ac:dyDescent="0.35">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row>
    <row r="87" spans="1:47" x14ac:dyDescent="0.35">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row>
    <row r="88" spans="1:47" x14ac:dyDescent="0.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row>
    <row r="89" spans="1:47" x14ac:dyDescent="0.35">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row>
    <row r="90" spans="1:47" x14ac:dyDescent="0.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row>
  </sheetData>
  <sheetProtection sheet="1" objects="1" scenarios="1"/>
  <mergeCells count="11">
    <mergeCell ref="I4:J5"/>
    <mergeCell ref="K4:L5"/>
    <mergeCell ref="A21:A25"/>
    <mergeCell ref="A6:A10"/>
    <mergeCell ref="A11:A15"/>
    <mergeCell ref="A16:A20"/>
    <mergeCell ref="A4:A5"/>
    <mergeCell ref="B4:B5"/>
    <mergeCell ref="C4:D5"/>
    <mergeCell ref="E4:F5"/>
    <mergeCell ref="G4:H5"/>
  </mergeCells>
  <pageMargins left="0.7" right="0.7" top="0.75" bottom="0.75" header="0.3" footer="0.3"/>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 id="{B3EF8B09-A8B7-467C-8391-FD8C56181543}">
            <xm:f>Inputs!$B$12&lt;=12</xm:f>
            <x14:dxf>
              <font>
                <color theme="0"/>
              </font>
              <fill>
                <patternFill patternType="none">
                  <bgColor auto="1"/>
                </patternFill>
              </fill>
              <border>
                <left style="thin">
                  <color theme="0"/>
                </left>
                <right style="thin">
                  <color theme="0"/>
                </right>
                <bottom style="thin">
                  <color theme="0"/>
                </bottom>
                <vertical/>
                <horizontal/>
              </border>
            </x14:dxf>
          </x14:cfRule>
          <xm:sqref>A11:L25</xm:sqref>
        </x14:conditionalFormatting>
        <x14:conditionalFormatting xmlns:xm="http://schemas.microsoft.com/office/excel/2006/main">
          <x14:cfRule type="expression" priority="3" id="{1778AAED-67E9-4028-AA1C-439F3012F021}">
            <xm:f>Inputs!$B$12&lt;=24</xm:f>
            <x14:dxf>
              <font>
                <color theme="0"/>
              </font>
              <fill>
                <patternFill patternType="none">
                  <bgColor auto="1"/>
                </patternFill>
              </fill>
              <border>
                <left style="thin">
                  <color theme="0"/>
                </left>
                <right style="thin">
                  <color theme="0"/>
                </right>
                <bottom style="thin">
                  <color theme="0"/>
                </bottom>
                <vertical/>
                <horizontal/>
              </border>
            </x14:dxf>
          </x14:cfRule>
          <xm:sqref>A16:L25</xm:sqref>
        </x14:conditionalFormatting>
        <x14:conditionalFormatting xmlns:xm="http://schemas.microsoft.com/office/excel/2006/main">
          <x14:cfRule type="expression" priority="10" id="{FE647C8F-EDB8-4023-8CB6-428157793D78}">
            <xm:f>Inputs!$B$12&lt;=36</xm:f>
            <x14:dxf>
              <font>
                <color theme="0"/>
              </font>
              <fill>
                <patternFill patternType="none">
                  <bgColor auto="1"/>
                </patternFill>
              </fill>
              <border>
                <left style="thin">
                  <color theme="0"/>
                </left>
                <right style="thin">
                  <color theme="0"/>
                </right>
                <bottom style="thin">
                  <color theme="0"/>
                </bottom>
                <vertical/>
                <horizontal/>
              </border>
            </x14:dxf>
          </x14:cfRule>
          <xm:sqref>A21:L25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62"/>
  <sheetViews>
    <sheetView workbookViewId="0">
      <pane ySplit="1" topLeftCell="A23" activePane="bottomLeft" state="frozen"/>
      <selection pane="bottomLeft" activeCell="J41" sqref="J41"/>
    </sheetView>
  </sheetViews>
  <sheetFormatPr defaultColWidth="10.90625" defaultRowHeight="14.5" x14ac:dyDescent="0.35"/>
  <cols>
    <col min="13" max="13" width="11.1796875" customWidth="1"/>
    <col min="14" max="14" width="12.81640625" customWidth="1"/>
  </cols>
  <sheetData>
    <row r="1" spans="1:16" x14ac:dyDescent="0.35">
      <c r="A1" s="80" t="s">
        <v>41</v>
      </c>
      <c r="B1" s="80" t="s">
        <v>34</v>
      </c>
      <c r="C1" s="80" t="s">
        <v>45</v>
      </c>
      <c r="D1" s="80" t="s">
        <v>35</v>
      </c>
      <c r="E1" s="80" t="s">
        <v>36</v>
      </c>
      <c r="F1" s="80" t="s">
        <v>37</v>
      </c>
      <c r="G1" s="80" t="s">
        <v>38</v>
      </c>
      <c r="H1" s="80" t="s">
        <v>39</v>
      </c>
      <c r="I1" s="80" t="s">
        <v>40</v>
      </c>
      <c r="J1" s="80" t="s">
        <v>42</v>
      </c>
      <c r="K1" s="80" t="s">
        <v>46</v>
      </c>
      <c r="L1" s="80" t="s">
        <v>43</v>
      </c>
      <c r="M1" s="80" t="s">
        <v>73</v>
      </c>
      <c r="N1" s="80" t="s">
        <v>44</v>
      </c>
      <c r="O1" s="80" t="s">
        <v>313</v>
      </c>
      <c r="P1" s="80" t="s">
        <v>314</v>
      </c>
    </row>
    <row r="2" spans="1:16" x14ac:dyDescent="0.35">
      <c r="A2" t="e">
        <f t="array" ref="A2">_xlfn.IFS(Inputs!F$10="1. Actual program", 1, Inputs!F$10="2. Hypothetical program", 2)</f>
        <v>#N/A</v>
      </c>
      <c r="B2">
        <f>IF(Inputs!J22&lt;&gt;"", Inputs!J22, "")</f>
        <v>0</v>
      </c>
      <c r="C2">
        <f>IF(Inputs!P22&lt;&gt;"", Inputs!P22, "")</f>
        <v>0</v>
      </c>
      <c r="D2" t="str">
        <f>Inputs!B$24</f>
        <v/>
      </c>
      <c r="E2" t="str">
        <f>Inputs!D$24</f>
        <v/>
      </c>
      <c r="F2" t="str">
        <f>Inputs!F$24</f>
        <v/>
      </c>
      <c r="G2" t="str">
        <f>Inputs!B$23</f>
        <v/>
      </c>
      <c r="H2" t="str">
        <f>Inputs!D$23</f>
        <v/>
      </c>
      <c r="I2" t="str">
        <f>Inputs!F$23</f>
        <v/>
      </c>
      <c r="J2" t="str">
        <f>Inputs!F$28</f>
        <v/>
      </c>
      <c r="K2" t="str">
        <f>IF(Inputs!F$29="", "", Inputs!F$29)</f>
        <v/>
      </c>
      <c r="L2" t="str">
        <f>Inputs!F$27</f>
        <v/>
      </c>
      <c r="M2" t="str">
        <f>IF(Inputs!F$30="", "", Inputs!F$30)</f>
        <v/>
      </c>
      <c r="N2">
        <f>Inputs!F$8</f>
        <v>0</v>
      </c>
      <c r="O2">
        <v>0</v>
      </c>
      <c r="P2">
        <v>0</v>
      </c>
    </row>
    <row r="3" spans="1:16" x14ac:dyDescent="0.35">
      <c r="A3" t="e">
        <f t="array" ref="A3">_xlfn.IFS(Inputs!F$10="1. Actual program", 1, Inputs!F$10="2. Hypothetical program", 2)</f>
        <v>#N/A</v>
      </c>
      <c r="B3">
        <f>IF(Inputs!J23&lt;&gt;"", Inputs!J23, "")</f>
        <v>0</v>
      </c>
      <c r="C3">
        <f>IF(Inputs!P23&lt;&gt;"", Inputs!P23, "")</f>
        <v>0</v>
      </c>
      <c r="D3" t="str">
        <f>Inputs!B$24</f>
        <v/>
      </c>
      <c r="E3" t="str">
        <f>Inputs!D$24</f>
        <v/>
      </c>
      <c r="F3" t="str">
        <f>Inputs!F$24</f>
        <v/>
      </c>
      <c r="G3" t="str">
        <f>Inputs!B$23</f>
        <v/>
      </c>
      <c r="H3" t="str">
        <f>Inputs!D$23</f>
        <v/>
      </c>
      <c r="I3" t="str">
        <f>Inputs!F$23</f>
        <v/>
      </c>
      <c r="J3" t="str">
        <f>Inputs!F$28</f>
        <v/>
      </c>
      <c r="K3" t="str">
        <f>IF(Inputs!F$29="", "", Inputs!F$29)</f>
        <v/>
      </c>
      <c r="L3" t="str">
        <f>Inputs!F$27</f>
        <v/>
      </c>
      <c r="M3" t="str">
        <f>IF(Inputs!F$30="", "", Inputs!F$30)</f>
        <v/>
      </c>
      <c r="N3">
        <f>Inputs!F$8</f>
        <v>0</v>
      </c>
      <c r="O3">
        <v>0</v>
      </c>
      <c r="P3">
        <v>0</v>
      </c>
    </row>
    <row r="4" spans="1:16" x14ac:dyDescent="0.35">
      <c r="A4" t="e">
        <f t="array" ref="A4">_xlfn.IFS(Inputs!F$10="1. Actual program", 1, Inputs!F$10="2. Hypothetical program", 2)</f>
        <v>#N/A</v>
      </c>
      <c r="B4">
        <f>IF(Inputs!J24&lt;&gt;"", Inputs!J24, "")</f>
        <v>0</v>
      </c>
      <c r="C4">
        <f>IF(Inputs!P24&lt;&gt;"", Inputs!P24, "")</f>
        <v>0</v>
      </c>
      <c r="D4" t="str">
        <f>Inputs!B$24</f>
        <v/>
      </c>
      <c r="E4" t="str">
        <f>Inputs!D$24</f>
        <v/>
      </c>
      <c r="F4" t="str">
        <f>Inputs!F$24</f>
        <v/>
      </c>
      <c r="G4" t="str">
        <f>Inputs!B$23</f>
        <v/>
      </c>
      <c r="H4" t="str">
        <f>Inputs!D$23</f>
        <v/>
      </c>
      <c r="I4" t="str">
        <f>Inputs!F$23</f>
        <v/>
      </c>
      <c r="J4" t="str">
        <f>Inputs!F$28</f>
        <v/>
      </c>
      <c r="K4" t="str">
        <f>IF(Inputs!F$29="", "", Inputs!F$29)</f>
        <v/>
      </c>
      <c r="L4" t="str">
        <f>Inputs!F$27</f>
        <v/>
      </c>
      <c r="M4" t="str">
        <f>IF(Inputs!F$30="", "", Inputs!F$30)</f>
        <v/>
      </c>
      <c r="N4">
        <f>Inputs!F$8</f>
        <v>0</v>
      </c>
      <c r="O4">
        <v>0</v>
      </c>
      <c r="P4">
        <v>0</v>
      </c>
    </row>
    <row r="5" spans="1:16" x14ac:dyDescent="0.35">
      <c r="A5" t="e">
        <f t="array" ref="A5">_xlfn.IFS(Inputs!F$10="1. Actual program", 1, Inputs!F$10="2. Hypothetical program", 2)</f>
        <v>#N/A</v>
      </c>
      <c r="B5">
        <f>IF(Inputs!J25&lt;&gt;"", Inputs!J25, "")</f>
        <v>0</v>
      </c>
      <c r="C5">
        <f>IF(Inputs!P25&lt;&gt;"", Inputs!P25, "")</f>
        <v>0</v>
      </c>
      <c r="D5" t="str">
        <f>Inputs!B$24</f>
        <v/>
      </c>
      <c r="E5" t="str">
        <f>Inputs!D$24</f>
        <v/>
      </c>
      <c r="F5" t="str">
        <f>Inputs!F$24</f>
        <v/>
      </c>
      <c r="G5" t="str">
        <f>Inputs!B$23</f>
        <v/>
      </c>
      <c r="H5" t="str">
        <f>Inputs!D$23</f>
        <v/>
      </c>
      <c r="I5" t="str">
        <f>Inputs!F$23</f>
        <v/>
      </c>
      <c r="J5" t="str">
        <f>Inputs!F$28</f>
        <v/>
      </c>
      <c r="K5" t="str">
        <f>IF(Inputs!F$29="", "", Inputs!F$29)</f>
        <v/>
      </c>
      <c r="L5" t="str">
        <f>Inputs!F$27</f>
        <v/>
      </c>
      <c r="M5" t="str">
        <f>IF(Inputs!F$30="", "", Inputs!F$30)</f>
        <v/>
      </c>
      <c r="N5">
        <f>Inputs!F$8</f>
        <v>0</v>
      </c>
      <c r="O5">
        <v>0</v>
      </c>
      <c r="P5">
        <v>0</v>
      </c>
    </row>
    <row r="6" spans="1:16" x14ac:dyDescent="0.35">
      <c r="A6" t="e">
        <f t="array" ref="A6">_xlfn.IFS(Inputs!F$10="1. Actual program", 1, Inputs!F$10="2. Hypothetical program", 2)</f>
        <v>#N/A</v>
      </c>
      <c r="B6">
        <f>IF(Inputs!J26&lt;&gt;"", Inputs!J26, "")</f>
        <v>0</v>
      </c>
      <c r="C6">
        <f>IF(Inputs!P26&lt;&gt;"", Inputs!P26, "")</f>
        <v>0</v>
      </c>
      <c r="D6" t="str">
        <f>Inputs!B$24</f>
        <v/>
      </c>
      <c r="E6" t="str">
        <f>Inputs!D$24</f>
        <v/>
      </c>
      <c r="F6" t="str">
        <f>Inputs!F$24</f>
        <v/>
      </c>
      <c r="G6" t="str">
        <f>Inputs!B$23</f>
        <v/>
      </c>
      <c r="H6" t="str">
        <f>Inputs!D$23</f>
        <v/>
      </c>
      <c r="I6" t="str">
        <f>Inputs!F$23</f>
        <v/>
      </c>
      <c r="J6" t="str">
        <f>Inputs!F$28</f>
        <v/>
      </c>
      <c r="K6" t="str">
        <f>IF(Inputs!F$29="", "", Inputs!F$29)</f>
        <v/>
      </c>
      <c r="L6" t="str">
        <f>Inputs!F$27</f>
        <v/>
      </c>
      <c r="M6" t="str">
        <f>IF(Inputs!F$30="", "", Inputs!F$30)</f>
        <v/>
      </c>
      <c r="N6">
        <f>Inputs!F$8</f>
        <v>0</v>
      </c>
      <c r="O6">
        <v>0</v>
      </c>
      <c r="P6">
        <v>0</v>
      </c>
    </row>
    <row r="7" spans="1:16" x14ac:dyDescent="0.35">
      <c r="A7" t="e">
        <f t="array" ref="A7">_xlfn.IFS(Inputs!F$10="1. Actual program", 1, Inputs!F$10="2. Hypothetical program", 2)</f>
        <v>#N/A</v>
      </c>
      <c r="B7">
        <f>IF(Inputs!J27&lt;&gt;"", Inputs!J27, "")</f>
        <v>0</v>
      </c>
      <c r="C7">
        <f>IF(Inputs!P27&lt;&gt;"", Inputs!P27, "")</f>
        <v>0</v>
      </c>
      <c r="D7" t="str">
        <f>Inputs!B$24</f>
        <v/>
      </c>
      <c r="E7" t="str">
        <f>Inputs!D$24</f>
        <v/>
      </c>
      <c r="F7" t="str">
        <f>Inputs!F$24</f>
        <v/>
      </c>
      <c r="G7" t="str">
        <f>Inputs!B$23</f>
        <v/>
      </c>
      <c r="H7" t="str">
        <f>Inputs!D$23</f>
        <v/>
      </c>
      <c r="I7" t="str">
        <f>Inputs!F$23</f>
        <v/>
      </c>
      <c r="J7" t="str">
        <f>Inputs!F$28</f>
        <v/>
      </c>
      <c r="K7" t="str">
        <f>IF(Inputs!F$29="", "", Inputs!F$29)</f>
        <v/>
      </c>
      <c r="L7" t="str">
        <f>Inputs!F$27</f>
        <v/>
      </c>
      <c r="M7" t="str">
        <f>IF(Inputs!F$30="", "", Inputs!F$30)</f>
        <v/>
      </c>
      <c r="N7">
        <f>Inputs!F$8</f>
        <v>0</v>
      </c>
      <c r="O7">
        <v>0</v>
      </c>
      <c r="P7">
        <v>0</v>
      </c>
    </row>
    <row r="8" spans="1:16" x14ac:dyDescent="0.35">
      <c r="A8" t="e">
        <f t="array" ref="A8">_xlfn.IFS(Inputs!F$10="1. Actual program", 1, Inputs!F$10="2. Hypothetical program", 2)</f>
        <v>#N/A</v>
      </c>
      <c r="B8">
        <f>IF(Inputs!J28&lt;&gt;"", Inputs!J28, "")</f>
        <v>0</v>
      </c>
      <c r="C8">
        <f>IF(Inputs!P28&lt;&gt;"", Inputs!P28, "")</f>
        <v>0</v>
      </c>
      <c r="D8" t="str">
        <f>Inputs!B$24</f>
        <v/>
      </c>
      <c r="E8" t="str">
        <f>Inputs!D$24</f>
        <v/>
      </c>
      <c r="F8" t="str">
        <f>Inputs!F$24</f>
        <v/>
      </c>
      <c r="G8" t="str">
        <f>Inputs!B$23</f>
        <v/>
      </c>
      <c r="H8" t="str">
        <f>Inputs!D$23</f>
        <v/>
      </c>
      <c r="I8" t="str">
        <f>Inputs!F$23</f>
        <v/>
      </c>
      <c r="J8" t="str">
        <f>Inputs!F$28</f>
        <v/>
      </c>
      <c r="K8" t="str">
        <f>IF(Inputs!F$29="", "", Inputs!F$29)</f>
        <v/>
      </c>
      <c r="L8" t="str">
        <f>Inputs!F$27</f>
        <v/>
      </c>
      <c r="M8" t="str">
        <f>IF(Inputs!F$30="", "", Inputs!F$30)</f>
        <v/>
      </c>
      <c r="N8">
        <f>Inputs!F$8</f>
        <v>0</v>
      </c>
      <c r="O8">
        <v>0</v>
      </c>
      <c r="P8">
        <v>0</v>
      </c>
    </row>
    <row r="9" spans="1:16" x14ac:dyDescent="0.35">
      <c r="A9" t="e">
        <f t="array" ref="A9">_xlfn.IFS(Inputs!F$10="1. Actual program", 1, Inputs!F$10="2. Hypothetical program", 2)</f>
        <v>#N/A</v>
      </c>
      <c r="B9">
        <f>IF(Inputs!J29&lt;&gt;"", Inputs!J29, "")</f>
        <v>0</v>
      </c>
      <c r="C9">
        <f>IF(Inputs!P29&lt;&gt;"", Inputs!P29, "")</f>
        <v>0</v>
      </c>
      <c r="D9" t="str">
        <f>Inputs!B$24</f>
        <v/>
      </c>
      <c r="E9" t="str">
        <f>Inputs!D$24</f>
        <v/>
      </c>
      <c r="F9" t="str">
        <f>Inputs!F$24</f>
        <v/>
      </c>
      <c r="G9" t="str">
        <f>Inputs!B$23</f>
        <v/>
      </c>
      <c r="H9" t="str">
        <f>Inputs!D$23</f>
        <v/>
      </c>
      <c r="I9" t="str">
        <f>Inputs!F$23</f>
        <v/>
      </c>
      <c r="J9" t="str">
        <f>Inputs!F$28</f>
        <v/>
      </c>
      <c r="K9" t="str">
        <f>IF(Inputs!F$29="", "", Inputs!F$29)</f>
        <v/>
      </c>
      <c r="L9" t="str">
        <f>Inputs!F$27</f>
        <v/>
      </c>
      <c r="M9" t="str">
        <f>IF(Inputs!F$30="", "", Inputs!F$30)</f>
        <v/>
      </c>
      <c r="N9">
        <f>Inputs!F$8</f>
        <v>0</v>
      </c>
      <c r="O9">
        <v>0</v>
      </c>
      <c r="P9">
        <v>0</v>
      </c>
    </row>
    <row r="10" spans="1:16" x14ac:dyDescent="0.35">
      <c r="A10" t="e">
        <f t="array" ref="A10">_xlfn.IFS(Inputs!F$10="1. Actual program", 1, Inputs!F$10="2. Hypothetical program", 2)</f>
        <v>#N/A</v>
      </c>
      <c r="B10">
        <f>IF(Inputs!J30&lt;&gt;"", Inputs!J30, "")</f>
        <v>0</v>
      </c>
      <c r="C10">
        <f>IF(Inputs!P30&lt;&gt;"", Inputs!P30, "")</f>
        <v>0</v>
      </c>
      <c r="D10" t="str">
        <f>Inputs!B$24</f>
        <v/>
      </c>
      <c r="E10" t="str">
        <f>Inputs!D$24</f>
        <v/>
      </c>
      <c r="F10" t="str">
        <f>Inputs!F$24</f>
        <v/>
      </c>
      <c r="G10" t="str">
        <f>Inputs!B$23</f>
        <v/>
      </c>
      <c r="H10" t="str">
        <f>Inputs!D$23</f>
        <v/>
      </c>
      <c r="I10" t="str">
        <f>Inputs!F$23</f>
        <v/>
      </c>
      <c r="J10" t="str">
        <f>Inputs!F$28</f>
        <v/>
      </c>
      <c r="K10" t="str">
        <f>IF(Inputs!F$29="", "", Inputs!F$29)</f>
        <v/>
      </c>
      <c r="L10" t="str">
        <f>Inputs!F$27</f>
        <v/>
      </c>
      <c r="M10" t="str">
        <f>IF(Inputs!F$30="", "", Inputs!F$30)</f>
        <v/>
      </c>
      <c r="N10">
        <f>Inputs!F$8</f>
        <v>0</v>
      </c>
      <c r="O10">
        <v>0</v>
      </c>
      <c r="P10">
        <v>0</v>
      </c>
    </row>
    <row r="11" spans="1:16" x14ac:dyDescent="0.35">
      <c r="A11" t="e">
        <f t="array" ref="A11">_xlfn.IFS(Inputs!F$10="1. Actual program", 1, Inputs!F$10="2. Hypothetical program", 2)</f>
        <v>#N/A</v>
      </c>
      <c r="B11">
        <f>IF(Inputs!J31&lt;&gt;"", Inputs!J31, "")</f>
        <v>0</v>
      </c>
      <c r="C11">
        <f>IF(Inputs!P31&lt;&gt;"", Inputs!P31, "")</f>
        <v>0</v>
      </c>
      <c r="D11" t="str">
        <f>Inputs!B$24</f>
        <v/>
      </c>
      <c r="E11" t="str">
        <f>Inputs!D$24</f>
        <v/>
      </c>
      <c r="F11" t="str">
        <f>Inputs!F$24</f>
        <v/>
      </c>
      <c r="G11" t="str">
        <f>Inputs!B$23</f>
        <v/>
      </c>
      <c r="H11" t="str">
        <f>Inputs!D$23</f>
        <v/>
      </c>
      <c r="I11" t="str">
        <f>Inputs!F$23</f>
        <v/>
      </c>
      <c r="J11" t="str">
        <f>Inputs!F$28</f>
        <v/>
      </c>
      <c r="K11" t="str">
        <f>IF(Inputs!F$29="", "", Inputs!F$29)</f>
        <v/>
      </c>
      <c r="L11" t="str">
        <f>Inputs!F$27</f>
        <v/>
      </c>
      <c r="M11" t="str">
        <f>IF(Inputs!F$30="", "", Inputs!F$30)</f>
        <v/>
      </c>
      <c r="N11">
        <f>Inputs!F$8</f>
        <v>0</v>
      </c>
      <c r="O11">
        <v>0</v>
      </c>
      <c r="P11">
        <v>0</v>
      </c>
    </row>
    <row r="12" spans="1:16" x14ac:dyDescent="0.35">
      <c r="A12" t="e">
        <f t="array" ref="A12">_xlfn.IFS(Inputs!F$10="1. Actual program", 1, Inputs!F$10="2. Hypothetical program", 2)</f>
        <v>#N/A</v>
      </c>
      <c r="B12">
        <f>IF(Inputs!J32&lt;&gt;"", Inputs!J32, "")</f>
        <v>0</v>
      </c>
      <c r="C12">
        <f>IF(Inputs!P32&lt;&gt;"", Inputs!P32, "")</f>
        <v>0</v>
      </c>
      <c r="D12" t="str">
        <f>Inputs!B$24</f>
        <v/>
      </c>
      <c r="E12" t="str">
        <f>Inputs!D$24</f>
        <v/>
      </c>
      <c r="F12" t="str">
        <f>Inputs!F$24</f>
        <v/>
      </c>
      <c r="G12" t="str">
        <f>Inputs!B$23</f>
        <v/>
      </c>
      <c r="H12" t="str">
        <f>Inputs!D$23</f>
        <v/>
      </c>
      <c r="I12" t="str">
        <f>Inputs!F$23</f>
        <v/>
      </c>
      <c r="J12" t="str">
        <f>Inputs!F$28</f>
        <v/>
      </c>
      <c r="K12" t="str">
        <f>IF(Inputs!F$29="", "", Inputs!F$29)</f>
        <v/>
      </c>
      <c r="L12" t="str">
        <f>Inputs!F$27</f>
        <v/>
      </c>
      <c r="M12" t="str">
        <f>IF(Inputs!F$30="", "", Inputs!F$30)</f>
        <v/>
      </c>
      <c r="N12">
        <f>Inputs!F$8</f>
        <v>0</v>
      </c>
      <c r="O12">
        <v>0</v>
      </c>
      <c r="P12">
        <v>0</v>
      </c>
    </row>
    <row r="13" spans="1:16" x14ac:dyDescent="0.35">
      <c r="A13" t="e">
        <f t="array" ref="A13">_xlfn.IFS(Inputs!F$10="1. Actual program", 1, Inputs!F$10="2. Hypothetical program", 2)</f>
        <v>#N/A</v>
      </c>
      <c r="B13">
        <f>IF(Inputs!J33&lt;&gt;"", Inputs!J33, "")</f>
        <v>0</v>
      </c>
      <c r="C13">
        <f>IF(Inputs!P33&lt;&gt;"", Inputs!P33, "")</f>
        <v>0</v>
      </c>
      <c r="D13" t="str">
        <f>Inputs!B$24</f>
        <v/>
      </c>
      <c r="E13" t="str">
        <f>Inputs!D$24</f>
        <v/>
      </c>
      <c r="F13" t="str">
        <f>Inputs!F$24</f>
        <v/>
      </c>
      <c r="G13" t="str">
        <f>Inputs!B$23</f>
        <v/>
      </c>
      <c r="H13" t="str">
        <f>Inputs!D$23</f>
        <v/>
      </c>
      <c r="I13" t="str">
        <f>Inputs!F$23</f>
        <v/>
      </c>
      <c r="J13" t="str">
        <f>Inputs!F$28</f>
        <v/>
      </c>
      <c r="K13" t="str">
        <f>IF(Inputs!F$29="", "", Inputs!F$29)</f>
        <v/>
      </c>
      <c r="L13" t="str">
        <f>Inputs!F$27</f>
        <v/>
      </c>
      <c r="M13" t="str">
        <f>IF(Inputs!F$30="", "", Inputs!F$30)</f>
        <v/>
      </c>
      <c r="N13">
        <f>Inputs!F$8</f>
        <v>0</v>
      </c>
      <c r="O13">
        <v>0</v>
      </c>
      <c r="P13">
        <v>0</v>
      </c>
    </row>
    <row r="14" spans="1:16" x14ac:dyDescent="0.35">
      <c r="A14" t="e">
        <f t="array" ref="A14">_xlfn.IFS(Inputs!F$10="1. Actual program", 1, Inputs!F$10="2. Hypothetical program", 2)</f>
        <v>#N/A</v>
      </c>
      <c r="B14" t="str">
        <f>IF(Inputs!J36&lt;&gt;"", Inputs!J36, "")</f>
        <v/>
      </c>
      <c r="C14" t="str">
        <f>IF(Inputs!P36&lt;&gt;"", Inputs!P36, "")</f>
        <v/>
      </c>
      <c r="D14">
        <f>Inputs!B$38</f>
        <v>0</v>
      </c>
      <c r="E14">
        <f>Inputs!D$38</f>
        <v>0</v>
      </c>
      <c r="F14">
        <f>Inputs!F$38</f>
        <v>0</v>
      </c>
      <c r="G14">
        <f>Inputs!B$37</f>
        <v>0</v>
      </c>
      <c r="H14">
        <f>Inputs!D$37</f>
        <v>0</v>
      </c>
      <c r="I14">
        <f>Inputs!F$37</f>
        <v>0</v>
      </c>
      <c r="J14">
        <f>Inputs!F$42</f>
        <v>0</v>
      </c>
      <c r="K14" t="str">
        <f>IF(Inputs!F$43="", "", Inputs!F$43)</f>
        <v/>
      </c>
      <c r="L14">
        <f>Inputs!F$41</f>
        <v>0</v>
      </c>
      <c r="M14" t="str">
        <f>IF(Inputs!F$44="", "", Inputs!F$44)</f>
        <v/>
      </c>
      <c r="N14">
        <f>Inputs!F$8</f>
        <v>0</v>
      </c>
      <c r="O14" t="e">
        <f>B14/Inputs!$M$47</f>
        <v>#VALUE!</v>
      </c>
      <c r="P14" t="e">
        <f>C14/Inputs!$S$47</f>
        <v>#VALUE!</v>
      </c>
    </row>
    <row r="15" spans="1:16" x14ac:dyDescent="0.35">
      <c r="A15" t="e">
        <f t="array" ref="A15">_xlfn.IFS(Inputs!F$10="1. Actual program", 1, Inputs!F$10="2. Hypothetical program", 2)</f>
        <v>#N/A</v>
      </c>
      <c r="B15" t="str">
        <f>IF(Inputs!J37&lt;&gt;"", Inputs!J37, "")</f>
        <v/>
      </c>
      <c r="C15" t="str">
        <f>IF(Inputs!P37&lt;&gt;"", Inputs!P37, "")</f>
        <v/>
      </c>
      <c r="D15">
        <f>Inputs!B$38</f>
        <v>0</v>
      </c>
      <c r="E15">
        <f>Inputs!D$38</f>
        <v>0</v>
      </c>
      <c r="F15">
        <f>Inputs!F$38</f>
        <v>0</v>
      </c>
      <c r="G15">
        <f>Inputs!B$37</f>
        <v>0</v>
      </c>
      <c r="H15">
        <f>Inputs!D$37</f>
        <v>0</v>
      </c>
      <c r="I15">
        <f>Inputs!F$37</f>
        <v>0</v>
      </c>
      <c r="J15">
        <f>Inputs!F$42</f>
        <v>0</v>
      </c>
      <c r="K15" t="str">
        <f>IF(Inputs!F$43="", "", Inputs!F$43)</f>
        <v/>
      </c>
      <c r="L15">
        <f>Inputs!F$41</f>
        <v>0</v>
      </c>
      <c r="M15" t="str">
        <f>IF(Inputs!F$44="", "", Inputs!F$44)</f>
        <v/>
      </c>
      <c r="N15">
        <f>Inputs!F$8</f>
        <v>0</v>
      </c>
      <c r="O15" t="e">
        <f>B15/Inputs!$M$47</f>
        <v>#VALUE!</v>
      </c>
      <c r="P15" t="e">
        <f>C15/Inputs!$S$47</f>
        <v>#VALUE!</v>
      </c>
    </row>
    <row r="16" spans="1:16" x14ac:dyDescent="0.35">
      <c r="A16" t="e">
        <f t="array" ref="A16">_xlfn.IFS(Inputs!F$10="1. Actual program", 1, Inputs!F$10="2. Hypothetical program", 2)</f>
        <v>#N/A</v>
      </c>
      <c r="B16" t="str">
        <f>IF(Inputs!J38&lt;&gt;"", Inputs!J38, "")</f>
        <v/>
      </c>
      <c r="C16" t="str">
        <f>IF(Inputs!P38&lt;&gt;"", Inputs!P38, "")</f>
        <v/>
      </c>
      <c r="D16">
        <f>Inputs!B$38</f>
        <v>0</v>
      </c>
      <c r="E16">
        <f>Inputs!D$38</f>
        <v>0</v>
      </c>
      <c r="F16">
        <f>Inputs!F$38</f>
        <v>0</v>
      </c>
      <c r="G16">
        <f>Inputs!B$37</f>
        <v>0</v>
      </c>
      <c r="H16">
        <f>Inputs!D$37</f>
        <v>0</v>
      </c>
      <c r="I16">
        <f>Inputs!F$37</f>
        <v>0</v>
      </c>
      <c r="J16">
        <f>Inputs!F$42</f>
        <v>0</v>
      </c>
      <c r="K16" t="str">
        <f>IF(Inputs!F$43="", "", Inputs!F$43)</f>
        <v/>
      </c>
      <c r="L16">
        <f>Inputs!F$41</f>
        <v>0</v>
      </c>
      <c r="M16" t="str">
        <f>IF(Inputs!F$44="", "", Inputs!F$44)</f>
        <v/>
      </c>
      <c r="N16">
        <f>Inputs!F$8</f>
        <v>0</v>
      </c>
      <c r="O16" t="e">
        <f>B16/Inputs!$M$47</f>
        <v>#VALUE!</v>
      </c>
      <c r="P16" t="e">
        <f>C16/Inputs!$S$47</f>
        <v>#VALUE!</v>
      </c>
    </row>
    <row r="17" spans="1:16" x14ac:dyDescent="0.35">
      <c r="A17" t="e">
        <f t="array" ref="A17">_xlfn.IFS(Inputs!F$10="1. Actual program", 1, Inputs!F$10="2. Hypothetical program", 2)</f>
        <v>#N/A</v>
      </c>
      <c r="B17" t="str">
        <f>IF(Inputs!J39&lt;&gt;"", Inputs!J39, "")</f>
        <v/>
      </c>
      <c r="C17" t="str">
        <f>IF(Inputs!P39&lt;&gt;"", Inputs!P39, "")</f>
        <v/>
      </c>
      <c r="D17">
        <f>Inputs!B$38</f>
        <v>0</v>
      </c>
      <c r="E17">
        <f>Inputs!D$38</f>
        <v>0</v>
      </c>
      <c r="F17">
        <f>Inputs!F$38</f>
        <v>0</v>
      </c>
      <c r="G17">
        <f>Inputs!B$37</f>
        <v>0</v>
      </c>
      <c r="H17">
        <f>Inputs!D$37</f>
        <v>0</v>
      </c>
      <c r="I17">
        <f>Inputs!F$37</f>
        <v>0</v>
      </c>
      <c r="J17">
        <f>Inputs!F$42</f>
        <v>0</v>
      </c>
      <c r="K17" t="str">
        <f>IF(Inputs!F$43="", "", Inputs!F$43)</f>
        <v/>
      </c>
      <c r="L17">
        <f>Inputs!F$41</f>
        <v>0</v>
      </c>
      <c r="M17" t="str">
        <f>IF(Inputs!F$44="", "", Inputs!F$44)</f>
        <v/>
      </c>
      <c r="N17">
        <f>Inputs!F$8</f>
        <v>0</v>
      </c>
      <c r="O17" t="e">
        <f>B17/Inputs!$M$47</f>
        <v>#VALUE!</v>
      </c>
      <c r="P17" t="e">
        <f>C17/Inputs!$S$47</f>
        <v>#VALUE!</v>
      </c>
    </row>
    <row r="18" spans="1:16" x14ac:dyDescent="0.35">
      <c r="A18" t="e">
        <f t="array" ref="A18">_xlfn.IFS(Inputs!F$10="1. Actual program", 1, Inputs!F$10="2. Hypothetical program", 2)</f>
        <v>#N/A</v>
      </c>
      <c r="B18" t="str">
        <f>IF(Inputs!J40&lt;&gt;"", Inputs!J40, "")</f>
        <v/>
      </c>
      <c r="C18" t="str">
        <f>IF(Inputs!P40&lt;&gt;"", Inputs!P40, "")</f>
        <v/>
      </c>
      <c r="D18">
        <f>Inputs!B$38</f>
        <v>0</v>
      </c>
      <c r="E18">
        <f>Inputs!D$38</f>
        <v>0</v>
      </c>
      <c r="F18">
        <f>Inputs!F$38</f>
        <v>0</v>
      </c>
      <c r="G18">
        <f>Inputs!B$37</f>
        <v>0</v>
      </c>
      <c r="H18">
        <f>Inputs!D$37</f>
        <v>0</v>
      </c>
      <c r="I18">
        <f>Inputs!F$37</f>
        <v>0</v>
      </c>
      <c r="J18">
        <f>Inputs!F$42</f>
        <v>0</v>
      </c>
      <c r="K18" t="str">
        <f>IF(Inputs!F$43="", "", Inputs!F$43)</f>
        <v/>
      </c>
      <c r="L18">
        <f>Inputs!F$41</f>
        <v>0</v>
      </c>
      <c r="M18" t="str">
        <f>IF(Inputs!F$44="", "", Inputs!F$44)</f>
        <v/>
      </c>
      <c r="N18">
        <f>Inputs!F$8</f>
        <v>0</v>
      </c>
      <c r="O18" t="e">
        <f>B18/Inputs!$M$47</f>
        <v>#VALUE!</v>
      </c>
      <c r="P18" t="e">
        <f>C18/Inputs!$S$47</f>
        <v>#VALUE!</v>
      </c>
    </row>
    <row r="19" spans="1:16" x14ac:dyDescent="0.35">
      <c r="A19" t="e">
        <f t="array" ref="A19">_xlfn.IFS(Inputs!F$10="1. Actual program", 1, Inputs!F$10="2. Hypothetical program", 2)</f>
        <v>#N/A</v>
      </c>
      <c r="B19" t="str">
        <f>IF(Inputs!J41&lt;&gt;"", Inputs!J41, "")</f>
        <v/>
      </c>
      <c r="C19" t="str">
        <f>IF(Inputs!P41&lt;&gt;"", Inputs!P41, "")</f>
        <v/>
      </c>
      <c r="D19">
        <f>Inputs!B$38</f>
        <v>0</v>
      </c>
      <c r="E19">
        <f>Inputs!D$38</f>
        <v>0</v>
      </c>
      <c r="F19">
        <f>Inputs!F$38</f>
        <v>0</v>
      </c>
      <c r="G19">
        <f>Inputs!B$37</f>
        <v>0</v>
      </c>
      <c r="H19">
        <f>Inputs!D$37</f>
        <v>0</v>
      </c>
      <c r="I19">
        <f>Inputs!F$37</f>
        <v>0</v>
      </c>
      <c r="J19">
        <f>Inputs!F$42</f>
        <v>0</v>
      </c>
      <c r="K19" t="str">
        <f>IF(Inputs!F$43="", "", Inputs!F$43)</f>
        <v/>
      </c>
      <c r="L19">
        <f>Inputs!F$41</f>
        <v>0</v>
      </c>
      <c r="M19" t="str">
        <f>IF(Inputs!F$44="", "", Inputs!F$44)</f>
        <v/>
      </c>
      <c r="N19">
        <f>Inputs!F$8</f>
        <v>0</v>
      </c>
      <c r="O19" t="e">
        <f>B19/Inputs!$M$47</f>
        <v>#VALUE!</v>
      </c>
      <c r="P19" t="e">
        <f>C19/Inputs!$S$47</f>
        <v>#VALUE!</v>
      </c>
    </row>
    <row r="20" spans="1:16" x14ac:dyDescent="0.35">
      <c r="A20" t="e">
        <f t="array" ref="A20">_xlfn.IFS(Inputs!F$10="1. Actual program", 1, Inputs!F$10="2. Hypothetical program", 2)</f>
        <v>#N/A</v>
      </c>
      <c r="B20" t="str">
        <f>IF(Inputs!J42&lt;&gt;"", Inputs!J42, "")</f>
        <v/>
      </c>
      <c r="C20" t="str">
        <f>IF(Inputs!P42&lt;&gt;"", Inputs!P42, "")</f>
        <v/>
      </c>
      <c r="D20">
        <f>Inputs!B$38</f>
        <v>0</v>
      </c>
      <c r="E20">
        <f>Inputs!D$38</f>
        <v>0</v>
      </c>
      <c r="F20">
        <f>Inputs!F$38</f>
        <v>0</v>
      </c>
      <c r="G20">
        <f>Inputs!B$37</f>
        <v>0</v>
      </c>
      <c r="H20">
        <f>Inputs!D$37</f>
        <v>0</v>
      </c>
      <c r="I20">
        <f>Inputs!F$37</f>
        <v>0</v>
      </c>
      <c r="J20">
        <f>Inputs!F$42</f>
        <v>0</v>
      </c>
      <c r="K20" t="str">
        <f>IF(Inputs!F$43="", "", Inputs!F$43)</f>
        <v/>
      </c>
      <c r="L20">
        <f>Inputs!F$41</f>
        <v>0</v>
      </c>
      <c r="M20" t="str">
        <f>IF(Inputs!F$44="", "", Inputs!F$44)</f>
        <v/>
      </c>
      <c r="N20">
        <f>Inputs!F$8</f>
        <v>0</v>
      </c>
      <c r="O20" t="e">
        <f>B20/Inputs!$M$47</f>
        <v>#VALUE!</v>
      </c>
      <c r="P20" t="e">
        <f>C20/Inputs!$S$47</f>
        <v>#VALUE!</v>
      </c>
    </row>
    <row r="21" spans="1:16" x14ac:dyDescent="0.35">
      <c r="A21" t="e">
        <f t="array" ref="A21">_xlfn.IFS(Inputs!F$10="1. Actual program", 1, Inputs!F$10="2. Hypothetical program", 2)</f>
        <v>#N/A</v>
      </c>
      <c r="B21" t="str">
        <f>IF(Inputs!J43&lt;&gt;"", Inputs!J43, "")</f>
        <v/>
      </c>
      <c r="C21" t="str">
        <f>IF(Inputs!P43&lt;&gt;"", Inputs!P43, "")</f>
        <v/>
      </c>
      <c r="D21">
        <f>Inputs!B$38</f>
        <v>0</v>
      </c>
      <c r="E21">
        <f>Inputs!D$38</f>
        <v>0</v>
      </c>
      <c r="F21">
        <f>Inputs!F$38</f>
        <v>0</v>
      </c>
      <c r="G21">
        <f>Inputs!B$37</f>
        <v>0</v>
      </c>
      <c r="H21">
        <f>Inputs!D$37</f>
        <v>0</v>
      </c>
      <c r="I21">
        <f>Inputs!F$37</f>
        <v>0</v>
      </c>
      <c r="J21">
        <f>Inputs!F$42</f>
        <v>0</v>
      </c>
      <c r="K21" t="str">
        <f>IF(Inputs!F$43="", "", Inputs!F$43)</f>
        <v/>
      </c>
      <c r="L21">
        <f>Inputs!F$41</f>
        <v>0</v>
      </c>
      <c r="M21" t="str">
        <f>IF(Inputs!F$44="", "", Inputs!F$44)</f>
        <v/>
      </c>
      <c r="N21">
        <f>Inputs!F$8</f>
        <v>0</v>
      </c>
      <c r="O21" t="e">
        <f>B21/Inputs!$M$47</f>
        <v>#VALUE!</v>
      </c>
      <c r="P21" t="e">
        <f>C21/Inputs!$S$47</f>
        <v>#VALUE!</v>
      </c>
    </row>
    <row r="22" spans="1:16" x14ac:dyDescent="0.35">
      <c r="A22" t="e">
        <f t="array" ref="A22">_xlfn.IFS(Inputs!F$10="1. Actual program", 1, Inputs!F$10="2. Hypothetical program", 2)</f>
        <v>#N/A</v>
      </c>
      <c r="B22" t="str">
        <f>IF(Inputs!J44&lt;&gt;"", Inputs!J44, "")</f>
        <v/>
      </c>
      <c r="C22" t="str">
        <f>IF(Inputs!P44&lt;&gt;"", Inputs!P44, "")</f>
        <v/>
      </c>
      <c r="D22">
        <f>Inputs!B$38</f>
        <v>0</v>
      </c>
      <c r="E22">
        <f>Inputs!D$38</f>
        <v>0</v>
      </c>
      <c r="F22">
        <f>Inputs!F$38</f>
        <v>0</v>
      </c>
      <c r="G22">
        <f>Inputs!B$37</f>
        <v>0</v>
      </c>
      <c r="H22">
        <f>Inputs!D$37</f>
        <v>0</v>
      </c>
      <c r="I22">
        <f>Inputs!F$37</f>
        <v>0</v>
      </c>
      <c r="J22">
        <f>Inputs!F$42</f>
        <v>0</v>
      </c>
      <c r="K22" t="str">
        <f>IF(Inputs!F$43="", "", Inputs!F$43)</f>
        <v/>
      </c>
      <c r="L22">
        <f>Inputs!F$41</f>
        <v>0</v>
      </c>
      <c r="M22" t="str">
        <f>IF(Inputs!F$44="", "", Inputs!F$44)</f>
        <v/>
      </c>
      <c r="N22">
        <f>Inputs!F$8</f>
        <v>0</v>
      </c>
      <c r="O22" t="e">
        <f>B22/Inputs!$M$47</f>
        <v>#VALUE!</v>
      </c>
      <c r="P22" t="e">
        <f>C22/Inputs!$S$47</f>
        <v>#VALUE!</v>
      </c>
    </row>
    <row r="23" spans="1:16" x14ac:dyDescent="0.35">
      <c r="A23" t="e">
        <f t="array" ref="A23">_xlfn.IFS(Inputs!F$10="1. Actual program", 1, Inputs!F$10="2. Hypothetical program", 2)</f>
        <v>#N/A</v>
      </c>
      <c r="B23" t="str">
        <f>IF(Inputs!J45&lt;&gt;"", Inputs!J45, "")</f>
        <v/>
      </c>
      <c r="C23" t="str">
        <f>IF(Inputs!P45&lt;&gt;"", Inputs!P45, "")</f>
        <v/>
      </c>
      <c r="D23">
        <f>Inputs!B$38</f>
        <v>0</v>
      </c>
      <c r="E23">
        <f>Inputs!D$38</f>
        <v>0</v>
      </c>
      <c r="F23">
        <f>Inputs!F$38</f>
        <v>0</v>
      </c>
      <c r="G23">
        <f>Inputs!B$37</f>
        <v>0</v>
      </c>
      <c r="H23">
        <f>Inputs!D$37</f>
        <v>0</v>
      </c>
      <c r="I23">
        <f>Inputs!F$37</f>
        <v>0</v>
      </c>
      <c r="J23">
        <f>Inputs!F$42</f>
        <v>0</v>
      </c>
      <c r="K23" t="str">
        <f>IF(Inputs!F$43="", "", Inputs!F$43)</f>
        <v/>
      </c>
      <c r="L23">
        <f>Inputs!F$41</f>
        <v>0</v>
      </c>
      <c r="M23" t="str">
        <f>IF(Inputs!F$44="", "", Inputs!F$44)</f>
        <v/>
      </c>
      <c r="N23">
        <f>Inputs!F$8</f>
        <v>0</v>
      </c>
      <c r="O23" t="e">
        <f>B23/Inputs!$M$47</f>
        <v>#VALUE!</v>
      </c>
      <c r="P23" t="e">
        <f>C23/Inputs!$S$47</f>
        <v>#VALUE!</v>
      </c>
    </row>
    <row r="24" spans="1:16" x14ac:dyDescent="0.35">
      <c r="A24" t="e">
        <f t="array" ref="A24">_xlfn.IFS(Inputs!F$10="1. Actual program", 1, Inputs!F$10="2. Hypothetical program", 2)</f>
        <v>#N/A</v>
      </c>
      <c r="B24" t="str">
        <f>IF(Inputs!J46&lt;&gt;"", Inputs!J46, "")</f>
        <v/>
      </c>
      <c r="C24" t="str">
        <f>IF(Inputs!P46&lt;&gt;"", Inputs!P46, "")</f>
        <v/>
      </c>
      <c r="D24">
        <f>Inputs!B$38</f>
        <v>0</v>
      </c>
      <c r="E24">
        <f>Inputs!D$38</f>
        <v>0</v>
      </c>
      <c r="F24">
        <f>Inputs!F$38</f>
        <v>0</v>
      </c>
      <c r="G24">
        <f>Inputs!B$37</f>
        <v>0</v>
      </c>
      <c r="H24">
        <f>Inputs!D$37</f>
        <v>0</v>
      </c>
      <c r="I24">
        <f>Inputs!F$37</f>
        <v>0</v>
      </c>
      <c r="J24">
        <f>Inputs!F$42</f>
        <v>0</v>
      </c>
      <c r="K24" t="str">
        <f>IF(Inputs!F$43="", "", Inputs!F$43)</f>
        <v/>
      </c>
      <c r="L24">
        <f>Inputs!F$41</f>
        <v>0</v>
      </c>
      <c r="M24" t="str">
        <f>IF(Inputs!F$44="", "", Inputs!F$44)</f>
        <v/>
      </c>
      <c r="N24">
        <f>Inputs!F$8</f>
        <v>0</v>
      </c>
      <c r="O24" t="e">
        <f>B24/Inputs!$M$47</f>
        <v>#VALUE!</v>
      </c>
      <c r="P24" t="e">
        <f>C24/Inputs!$S$47</f>
        <v>#VALUE!</v>
      </c>
    </row>
    <row r="25" spans="1:16" x14ac:dyDescent="0.35">
      <c r="A25" t="e">
        <f t="array" ref="A25">_xlfn.IFS(Inputs!F$10="1. Actual program", 1, Inputs!F$10="2. Hypothetical program", 2)</f>
        <v>#N/A</v>
      </c>
      <c r="B25" t="str">
        <f>IF(Inputs!J47&lt;&gt;"", Inputs!J47, "")</f>
        <v/>
      </c>
      <c r="C25" t="str">
        <f>IF(Inputs!P47&lt;&gt;"", Inputs!P47, "")</f>
        <v/>
      </c>
      <c r="D25">
        <f>Inputs!B$38</f>
        <v>0</v>
      </c>
      <c r="E25">
        <f>Inputs!D$38</f>
        <v>0</v>
      </c>
      <c r="F25">
        <f>Inputs!F$38</f>
        <v>0</v>
      </c>
      <c r="G25">
        <f>Inputs!B$37</f>
        <v>0</v>
      </c>
      <c r="H25">
        <f>Inputs!D$37</f>
        <v>0</v>
      </c>
      <c r="I25">
        <f>Inputs!F$37</f>
        <v>0</v>
      </c>
      <c r="J25">
        <f>Inputs!F$42</f>
        <v>0</v>
      </c>
      <c r="K25" t="str">
        <f>IF(Inputs!F$43="", "", Inputs!F$43)</f>
        <v/>
      </c>
      <c r="L25">
        <f>Inputs!F$41</f>
        <v>0</v>
      </c>
      <c r="M25" t="str">
        <f>IF(Inputs!F$44="", "", Inputs!F$44)</f>
        <v/>
      </c>
      <c r="N25">
        <f>Inputs!F$8</f>
        <v>0</v>
      </c>
      <c r="O25" t="e">
        <f>B25/Inputs!$M$47</f>
        <v>#VALUE!</v>
      </c>
      <c r="P25" t="e">
        <f>C25/Inputs!$S$47</f>
        <v>#VALUE!</v>
      </c>
    </row>
    <row r="26" spans="1:16" x14ac:dyDescent="0.35">
      <c r="A26" t="str">
        <f>IF(Inputs!J48&lt;&gt;"",A25, "")</f>
        <v/>
      </c>
      <c r="B26" t="str">
        <f>IF(Inputs!J48&lt;&gt;"", Inputs!J48, "")</f>
        <v/>
      </c>
      <c r="C26" t="str">
        <f>IF(Inputs!P48&lt;&gt;"", Inputs!P48, "")</f>
        <v/>
      </c>
      <c r="D26" t="str">
        <f>IF(Inputs!P48&lt;&gt;"", IF(Inputs!B$52&lt;&gt;"", Inputs!B$52, Inputs!B$38), "")</f>
        <v/>
      </c>
      <c r="E26" t="str">
        <f>IF(Inputs!P48&lt;&gt;"", IF(Inputs!D$52&lt;&gt;"", Inputs!D$52, Inputs!D$38), "")</f>
        <v/>
      </c>
      <c r="F26" t="str">
        <f>IF(Inputs!P48&lt;&gt;"", IF(Inputs!F$52&lt;&gt;"", Inputs!F$52, Inputs!F$38), "")</f>
        <v/>
      </c>
      <c r="G26" t="str">
        <f>IF(Inputs!P48&lt;&gt;"", IF(Inputs!B$51&lt;&gt;"", Inputs!B$51, Inputs!B$37), "")</f>
        <v/>
      </c>
      <c r="H26" t="str">
        <f>IF(Inputs!P48&lt;&gt;"", IF(Inputs!D$51&lt;&gt;"", Inputs!D$51, Inputs!D$37), "")</f>
        <v/>
      </c>
      <c r="I26" t="str">
        <f>IF(Inputs!P48&lt;&gt;"", IF(Inputs!F$51&lt;&gt;"", Inputs!F$51, Inputs!F$37), "")</f>
        <v/>
      </c>
      <c r="J26" t="str">
        <f>IF(Inputs!P48&lt;&gt;"", IF(Inputs!F$56&lt;&gt;"", Inputs!F$56, Inputs!F$42), "")</f>
        <v/>
      </c>
      <c r="K26" t="str">
        <f>IF(Inputs!P48&lt;&gt;"", IF(Inputs!F$57&lt;&gt;"", Inputs!F$57, IF(Inputs!F$43="", "", Inputs!F$43)), "")</f>
        <v/>
      </c>
      <c r="L26" t="str">
        <f>IF(Inputs!P48&lt;&gt;"", IF(Inputs!F$55&lt;&gt;"", Inputs!F$55, Inputs!F$41), "")</f>
        <v/>
      </c>
      <c r="M26" t="str">
        <f>IF(Inputs!P48&lt;&gt;"",IF(Inputs!F$58&lt;&gt;"",Inputs!F$58,IF(Inputs!F$44&lt;&gt;"",Inputs!F$44,"")),"")</f>
        <v/>
      </c>
      <c r="N26" t="str">
        <f>IF(Inputs!P48&lt;&gt;"", Inputs!F$8, "")</f>
        <v/>
      </c>
      <c r="O26" t="str">
        <f>IF(Inputs!J48&lt;&gt;"", B26/Inputs!$M$59, "")</f>
        <v/>
      </c>
      <c r="P26" t="str">
        <f>IF(Inputs!P48&lt;&gt;"", C26/Inputs!$S$59, "")</f>
        <v/>
      </c>
    </row>
    <row r="27" spans="1:16" x14ac:dyDescent="0.35">
      <c r="A27" t="str">
        <f>IF(Inputs!J49&lt;&gt;"",A26, "")</f>
        <v/>
      </c>
      <c r="B27" t="str">
        <f>IF(Inputs!J49&lt;&gt;"", Inputs!J49, "")</f>
        <v/>
      </c>
      <c r="C27" t="str">
        <f>IF(Inputs!P49&lt;&gt;"", Inputs!P49, "")</f>
        <v/>
      </c>
      <c r="D27" t="str">
        <f>IF(Inputs!P49&lt;&gt;"", IF(Inputs!B$52&lt;&gt;"", Inputs!B$52, Inputs!B$38), "")</f>
        <v/>
      </c>
      <c r="E27" t="str">
        <f>IF(Inputs!P49&lt;&gt;"", IF(Inputs!D$52&lt;&gt;"", Inputs!D$52, Inputs!D$38), "")</f>
        <v/>
      </c>
      <c r="F27" t="str">
        <f>IF(Inputs!P49&lt;&gt;"", IF(Inputs!F$52&lt;&gt;"", Inputs!F$52, Inputs!F$38), "")</f>
        <v/>
      </c>
      <c r="G27" t="str">
        <f>IF(Inputs!P49&lt;&gt;"", IF(Inputs!B$51&lt;&gt;"", Inputs!B$51, Inputs!B$37), "")</f>
        <v/>
      </c>
      <c r="H27" t="str">
        <f>IF(Inputs!P49&lt;&gt;"", IF(Inputs!D$51&lt;&gt;"", Inputs!D$51, Inputs!D$37), "")</f>
        <v/>
      </c>
      <c r="I27" t="str">
        <f>IF(Inputs!P49&lt;&gt;"", IF(Inputs!F$51&lt;&gt;"", Inputs!F$51, Inputs!F$37), "")</f>
        <v/>
      </c>
      <c r="J27" t="str">
        <f>IF(Inputs!P49&lt;&gt;"", IF(Inputs!F$56&lt;&gt;"", Inputs!F$56, Inputs!F$42), "")</f>
        <v/>
      </c>
      <c r="K27" t="str">
        <f>IF(Inputs!P49&lt;&gt;"", IF(Inputs!F$57&lt;&gt;"", Inputs!F$57, IF(Inputs!F$43="", "", Inputs!F$43)), "")</f>
        <v/>
      </c>
      <c r="L27" t="str">
        <f>IF(Inputs!P49&lt;&gt;"", IF(Inputs!F$55&lt;&gt;"", Inputs!F$55, Inputs!F$41), "")</f>
        <v/>
      </c>
      <c r="M27" t="str">
        <f>IF(Inputs!P49&lt;&gt;"",IF(Inputs!F$58&lt;&gt;"",Inputs!F$58,IF(Inputs!F$44&lt;&gt;"",Inputs!F$44,"")),"")</f>
        <v/>
      </c>
      <c r="N27" t="str">
        <f>IF(Inputs!P49&lt;&gt;"", Inputs!F$8, "")</f>
        <v/>
      </c>
      <c r="O27" t="str">
        <f>IF(Inputs!J49&lt;&gt;"", B27/Inputs!$M$59, "")</f>
        <v/>
      </c>
      <c r="P27" t="str">
        <f>IF(Inputs!P49&lt;&gt;"", C27/Inputs!$S$59, "")</f>
        <v/>
      </c>
    </row>
    <row r="28" spans="1:16" x14ac:dyDescent="0.35">
      <c r="A28" t="str">
        <f>IF(Inputs!J50&lt;&gt;"",A27, "")</f>
        <v/>
      </c>
      <c r="B28" t="str">
        <f>IF(Inputs!J50&lt;&gt;"", Inputs!J50, "")</f>
        <v/>
      </c>
      <c r="C28" t="str">
        <f>IF(Inputs!P50&lt;&gt;"", Inputs!P50, "")</f>
        <v/>
      </c>
      <c r="D28" t="str">
        <f>IF(Inputs!P50&lt;&gt;"", IF(Inputs!B$52&lt;&gt;"", Inputs!B$52, Inputs!B$38), "")</f>
        <v/>
      </c>
      <c r="E28" t="str">
        <f>IF(Inputs!P50&lt;&gt;"", IF(Inputs!D$52&lt;&gt;"", Inputs!D$52, Inputs!D$38), "")</f>
        <v/>
      </c>
      <c r="F28" t="str">
        <f>IF(Inputs!P50&lt;&gt;"", IF(Inputs!F$52&lt;&gt;"", Inputs!F$52, Inputs!F$38), "")</f>
        <v/>
      </c>
      <c r="G28" t="str">
        <f>IF(Inputs!P50&lt;&gt;"", IF(Inputs!B$51&lt;&gt;"", Inputs!B$51, Inputs!B$37), "")</f>
        <v/>
      </c>
      <c r="H28" t="str">
        <f>IF(Inputs!P50&lt;&gt;"", IF(Inputs!D$51&lt;&gt;"", Inputs!D$51, Inputs!D$37), "")</f>
        <v/>
      </c>
      <c r="I28" t="str">
        <f>IF(Inputs!P50&lt;&gt;"", IF(Inputs!F$51&lt;&gt;"", Inputs!F$51, Inputs!F$37), "")</f>
        <v/>
      </c>
      <c r="J28" t="str">
        <f>IF(Inputs!P50&lt;&gt;"", IF(Inputs!F$56&lt;&gt;"", Inputs!F$56, Inputs!F$42), "")</f>
        <v/>
      </c>
      <c r="K28" t="str">
        <f>IF(Inputs!P50&lt;&gt;"", IF(Inputs!F$57&lt;&gt;"", Inputs!F$57, IF(Inputs!F$43="", "", Inputs!F$43)), "")</f>
        <v/>
      </c>
      <c r="L28" t="str">
        <f>IF(Inputs!P50&lt;&gt;"", IF(Inputs!F$55&lt;&gt;"", Inputs!F$55, Inputs!F$41), "")</f>
        <v/>
      </c>
      <c r="M28" t="str">
        <f>IF(Inputs!P50&lt;&gt;"",IF(Inputs!F$58&lt;&gt;"",Inputs!F$58,IF(Inputs!F$44&lt;&gt;"",Inputs!F$44,"")),"")</f>
        <v/>
      </c>
      <c r="N28" t="str">
        <f>IF(Inputs!P50&lt;&gt;"", Inputs!F$8, "")</f>
        <v/>
      </c>
      <c r="O28" t="str">
        <f>IF(Inputs!J50&lt;&gt;"", B28/Inputs!$M$59, "")</f>
        <v/>
      </c>
      <c r="P28" t="str">
        <f>IF(Inputs!P50&lt;&gt;"", C28/Inputs!$S$59, "")</f>
        <v/>
      </c>
    </row>
    <row r="29" spans="1:16" x14ac:dyDescent="0.35">
      <c r="A29" t="str">
        <f>IF(Inputs!J51&lt;&gt;"",A28, "")</f>
        <v/>
      </c>
      <c r="B29" t="str">
        <f>IF(Inputs!J51&lt;&gt;"", Inputs!J51, "")</f>
        <v/>
      </c>
      <c r="C29" t="str">
        <f>IF(Inputs!P51&lt;&gt;"", Inputs!P51, "")</f>
        <v/>
      </c>
      <c r="D29" t="str">
        <f>IF(Inputs!P51&lt;&gt;"", IF(Inputs!B$52&lt;&gt;"", Inputs!B$52, Inputs!B$38), "")</f>
        <v/>
      </c>
      <c r="E29" t="str">
        <f>IF(Inputs!P51&lt;&gt;"", IF(Inputs!D$52&lt;&gt;"", Inputs!D$52, Inputs!D$38), "")</f>
        <v/>
      </c>
      <c r="F29" t="str">
        <f>IF(Inputs!P51&lt;&gt;"", IF(Inputs!F$52&lt;&gt;"", Inputs!F$52, Inputs!F$38), "")</f>
        <v/>
      </c>
      <c r="G29" t="str">
        <f>IF(Inputs!P51&lt;&gt;"", IF(Inputs!B$51&lt;&gt;"", Inputs!B$51, Inputs!B$37), "")</f>
        <v/>
      </c>
      <c r="H29" t="str">
        <f>IF(Inputs!P51&lt;&gt;"", IF(Inputs!D$51&lt;&gt;"", Inputs!D$51, Inputs!D$37), "")</f>
        <v/>
      </c>
      <c r="I29" t="str">
        <f>IF(Inputs!P51&lt;&gt;"", IF(Inputs!F$51&lt;&gt;"", Inputs!F$51, Inputs!F$37), "")</f>
        <v/>
      </c>
      <c r="J29" t="str">
        <f>IF(Inputs!P51&lt;&gt;"", IF(Inputs!F$56&lt;&gt;"", Inputs!F$56, Inputs!F$42), "")</f>
        <v/>
      </c>
      <c r="K29" t="str">
        <f>IF(Inputs!P51&lt;&gt;"", IF(Inputs!F$57&lt;&gt;"", Inputs!F$57, IF(Inputs!F$43="", "", Inputs!F$43)), "")</f>
        <v/>
      </c>
      <c r="L29" t="str">
        <f>IF(Inputs!P51&lt;&gt;"", IF(Inputs!F$55&lt;&gt;"", Inputs!F$55, Inputs!F$41), "")</f>
        <v/>
      </c>
      <c r="M29" t="str">
        <f>IF(Inputs!P51&lt;&gt;"",IF(Inputs!F$58&lt;&gt;"",Inputs!F$58,IF(Inputs!F$44&lt;&gt;"",Inputs!F$44,"")),"")</f>
        <v/>
      </c>
      <c r="N29" t="str">
        <f>IF(Inputs!P51&lt;&gt;"", Inputs!F$8, "")</f>
        <v/>
      </c>
      <c r="O29" t="str">
        <f>IF(Inputs!J51&lt;&gt;"", B29/Inputs!$M$59, "")</f>
        <v/>
      </c>
      <c r="P29" t="str">
        <f>IF(Inputs!P51&lt;&gt;"", C29/Inputs!$S$59, "")</f>
        <v/>
      </c>
    </row>
    <row r="30" spans="1:16" x14ac:dyDescent="0.35">
      <c r="A30" t="str">
        <f>IF(Inputs!J52&lt;&gt;"",A29, "")</f>
        <v/>
      </c>
      <c r="B30" t="str">
        <f>IF(Inputs!J52&lt;&gt;"", Inputs!J52, "")</f>
        <v/>
      </c>
      <c r="C30" t="str">
        <f>IF(Inputs!P52&lt;&gt;"", Inputs!P52, "")</f>
        <v/>
      </c>
      <c r="D30" t="str">
        <f>IF(Inputs!P52&lt;&gt;"", IF(Inputs!B$52&lt;&gt;"", Inputs!B$52, Inputs!B$38), "")</f>
        <v/>
      </c>
      <c r="E30" t="str">
        <f>IF(Inputs!P52&lt;&gt;"", IF(Inputs!D$52&lt;&gt;"", Inputs!D$52, Inputs!D$38), "")</f>
        <v/>
      </c>
      <c r="F30" t="str">
        <f>IF(Inputs!P52&lt;&gt;"", IF(Inputs!F$52&lt;&gt;"", Inputs!F$52, Inputs!F$38), "")</f>
        <v/>
      </c>
      <c r="G30" t="str">
        <f>IF(Inputs!P52&lt;&gt;"", IF(Inputs!B$51&lt;&gt;"", Inputs!B$51, Inputs!B$37), "")</f>
        <v/>
      </c>
      <c r="H30" t="str">
        <f>IF(Inputs!P52&lt;&gt;"", IF(Inputs!D$51&lt;&gt;"", Inputs!D$51, Inputs!D$37), "")</f>
        <v/>
      </c>
      <c r="I30" t="str">
        <f>IF(Inputs!P52&lt;&gt;"", IF(Inputs!F$51&lt;&gt;"", Inputs!F$51, Inputs!F$37), "")</f>
        <v/>
      </c>
      <c r="J30" t="str">
        <f>IF(Inputs!P52&lt;&gt;"", IF(Inputs!F$56&lt;&gt;"", Inputs!F$56, Inputs!F$42), "")</f>
        <v/>
      </c>
      <c r="K30" t="str">
        <f>IF(Inputs!P52&lt;&gt;"", IF(Inputs!F$57&lt;&gt;"", Inputs!F$57, IF(Inputs!F$43="", "", Inputs!F$43)), "")</f>
        <v/>
      </c>
      <c r="L30" t="str">
        <f>IF(Inputs!P52&lt;&gt;"", IF(Inputs!F$55&lt;&gt;"", Inputs!F$55, Inputs!F$41), "")</f>
        <v/>
      </c>
      <c r="M30" t="str">
        <f>IF(Inputs!P52&lt;&gt;"",IF(Inputs!F$58&lt;&gt;"",Inputs!F$58,IF(Inputs!F$44&lt;&gt;"",Inputs!F$44,"")),"")</f>
        <v/>
      </c>
      <c r="N30" t="str">
        <f>IF(Inputs!P52&lt;&gt;"", Inputs!F$8, "")</f>
        <v/>
      </c>
      <c r="O30" t="str">
        <f>IF(Inputs!J52&lt;&gt;"", B30/Inputs!$M$59, "")</f>
        <v/>
      </c>
      <c r="P30" t="str">
        <f>IF(Inputs!P52&lt;&gt;"", C30/Inputs!$S$59, "")</f>
        <v/>
      </c>
    </row>
    <row r="31" spans="1:16" x14ac:dyDescent="0.35">
      <c r="A31" t="str">
        <f>IF(Inputs!J53&lt;&gt;"",A30, "")</f>
        <v/>
      </c>
      <c r="B31" t="str">
        <f>IF(Inputs!J53&lt;&gt;"", Inputs!J53, "")</f>
        <v/>
      </c>
      <c r="C31" t="str">
        <f>IF(Inputs!P53&lt;&gt;"", Inputs!P53, "")</f>
        <v/>
      </c>
      <c r="D31" t="str">
        <f>IF(Inputs!P53&lt;&gt;"", IF(Inputs!B$52&lt;&gt;"", Inputs!B$52, Inputs!B$38), "")</f>
        <v/>
      </c>
      <c r="E31" t="str">
        <f>IF(Inputs!P53&lt;&gt;"", IF(Inputs!D$52&lt;&gt;"", Inputs!D$52, Inputs!D$38), "")</f>
        <v/>
      </c>
      <c r="F31" t="str">
        <f>IF(Inputs!P53&lt;&gt;"", IF(Inputs!F$52&lt;&gt;"", Inputs!F$52, Inputs!F$38), "")</f>
        <v/>
      </c>
      <c r="G31" t="str">
        <f>IF(Inputs!P53&lt;&gt;"", IF(Inputs!B$51&lt;&gt;"", Inputs!B$51, Inputs!B$37), "")</f>
        <v/>
      </c>
      <c r="H31" t="str">
        <f>IF(Inputs!P53&lt;&gt;"", IF(Inputs!D$51&lt;&gt;"", Inputs!D$51, Inputs!D$37), "")</f>
        <v/>
      </c>
      <c r="I31" t="str">
        <f>IF(Inputs!P53&lt;&gt;"", IF(Inputs!F$51&lt;&gt;"", Inputs!F$51, Inputs!F$37), "")</f>
        <v/>
      </c>
      <c r="J31" t="str">
        <f>IF(Inputs!P53&lt;&gt;"", IF(Inputs!F$56&lt;&gt;"", Inputs!F$56, Inputs!F$42), "")</f>
        <v/>
      </c>
      <c r="K31" t="str">
        <f>IF(Inputs!P53&lt;&gt;"", IF(Inputs!F$57&lt;&gt;"", Inputs!F$57, IF(Inputs!F$43="", "", Inputs!F$43)), "")</f>
        <v/>
      </c>
      <c r="L31" t="str">
        <f>IF(Inputs!P53&lt;&gt;"", IF(Inputs!F$55&lt;&gt;"", Inputs!F$55, Inputs!F$41), "")</f>
        <v/>
      </c>
      <c r="M31" t="str">
        <f>IF(Inputs!P53&lt;&gt;"",IF(Inputs!F$58&lt;&gt;"",Inputs!F$58,IF(Inputs!F$44&lt;&gt;"",Inputs!F$44,"")),"")</f>
        <v/>
      </c>
      <c r="N31" t="str">
        <f>IF(Inputs!P53&lt;&gt;"", Inputs!F$8, "")</f>
        <v/>
      </c>
      <c r="O31" t="str">
        <f>IF(Inputs!J53&lt;&gt;"", B31/Inputs!$M$59, "")</f>
        <v/>
      </c>
      <c r="P31" t="str">
        <f>IF(Inputs!P53&lt;&gt;"", C31/Inputs!$S$59, "")</f>
        <v/>
      </c>
    </row>
    <row r="32" spans="1:16" x14ac:dyDescent="0.35">
      <c r="A32" t="str">
        <f>IF(Inputs!J54&lt;&gt;"",A31, "")</f>
        <v/>
      </c>
      <c r="B32" t="str">
        <f>IF(Inputs!J54&lt;&gt;"", Inputs!J54, "")</f>
        <v/>
      </c>
      <c r="C32" t="str">
        <f>IF(Inputs!P54&lt;&gt;"", Inputs!P54, "")</f>
        <v/>
      </c>
      <c r="D32" t="str">
        <f>IF(Inputs!P54&lt;&gt;"", IF(Inputs!B$52&lt;&gt;"", Inputs!B$52, Inputs!B$38), "")</f>
        <v/>
      </c>
      <c r="E32" t="str">
        <f>IF(Inputs!P54&lt;&gt;"", IF(Inputs!D$52&lt;&gt;"", Inputs!D$52, Inputs!D$38), "")</f>
        <v/>
      </c>
      <c r="F32" t="str">
        <f>IF(Inputs!P54&lt;&gt;"", IF(Inputs!F$52&lt;&gt;"", Inputs!F$52, Inputs!F$38), "")</f>
        <v/>
      </c>
      <c r="G32" t="str">
        <f>IF(Inputs!P54&lt;&gt;"", IF(Inputs!B$51&lt;&gt;"", Inputs!B$51, Inputs!B$37), "")</f>
        <v/>
      </c>
      <c r="H32" t="str">
        <f>IF(Inputs!P54&lt;&gt;"", IF(Inputs!D$51&lt;&gt;"", Inputs!D$51, Inputs!D$37), "")</f>
        <v/>
      </c>
      <c r="I32" t="str">
        <f>IF(Inputs!P54&lt;&gt;"", IF(Inputs!F$51&lt;&gt;"", Inputs!F$51, Inputs!F$37), "")</f>
        <v/>
      </c>
      <c r="J32" t="str">
        <f>IF(Inputs!P54&lt;&gt;"", IF(Inputs!F$56&lt;&gt;"", Inputs!F$56, Inputs!F$42), "")</f>
        <v/>
      </c>
      <c r="K32" t="str">
        <f>IF(Inputs!P54&lt;&gt;"", IF(Inputs!F$57&lt;&gt;"", Inputs!F$57, IF(Inputs!F$43="", "", Inputs!F$43)), "")</f>
        <v/>
      </c>
      <c r="L32" t="str">
        <f>IF(Inputs!P54&lt;&gt;"", IF(Inputs!F$55&lt;&gt;"", Inputs!F$55, Inputs!F$41), "")</f>
        <v/>
      </c>
      <c r="M32" t="str">
        <f>IF(Inputs!P54&lt;&gt;"",IF(Inputs!F$58&lt;&gt;"",Inputs!F$58,IF(Inputs!F$44&lt;&gt;"",Inputs!F$44,"")),"")</f>
        <v/>
      </c>
      <c r="N32" t="str">
        <f>IF(Inputs!P54&lt;&gt;"", Inputs!F$8, "")</f>
        <v/>
      </c>
      <c r="O32" t="str">
        <f>IF(Inputs!J54&lt;&gt;"", B32/Inputs!$M$59, "")</f>
        <v/>
      </c>
      <c r="P32" t="str">
        <f>IF(Inputs!P54&lt;&gt;"", C32/Inputs!$S$59, "")</f>
        <v/>
      </c>
    </row>
    <row r="33" spans="1:16" x14ac:dyDescent="0.35">
      <c r="A33" t="str">
        <f>IF(Inputs!J55&lt;&gt;"",A32, "")</f>
        <v/>
      </c>
      <c r="B33" t="str">
        <f>IF(Inputs!J55&lt;&gt;"", Inputs!J55, "")</f>
        <v/>
      </c>
      <c r="C33" t="str">
        <f>IF(Inputs!P55&lt;&gt;"", Inputs!P55, "")</f>
        <v/>
      </c>
      <c r="D33" t="str">
        <f>IF(Inputs!P55&lt;&gt;"", IF(Inputs!B$52&lt;&gt;"", Inputs!B$52, Inputs!B$38), "")</f>
        <v/>
      </c>
      <c r="E33" t="str">
        <f>IF(Inputs!P55&lt;&gt;"", IF(Inputs!D$52&lt;&gt;"", Inputs!D$52, Inputs!D$38), "")</f>
        <v/>
      </c>
      <c r="F33" t="str">
        <f>IF(Inputs!P55&lt;&gt;"", IF(Inputs!F$52&lt;&gt;"", Inputs!F$52, Inputs!F$38), "")</f>
        <v/>
      </c>
      <c r="G33" t="str">
        <f>IF(Inputs!P55&lt;&gt;"", IF(Inputs!B$51&lt;&gt;"", Inputs!B$51, Inputs!B$37), "")</f>
        <v/>
      </c>
      <c r="H33" t="str">
        <f>IF(Inputs!P55&lt;&gt;"", IF(Inputs!D$51&lt;&gt;"", Inputs!D$51, Inputs!D$37), "")</f>
        <v/>
      </c>
      <c r="I33" t="str">
        <f>IF(Inputs!P55&lt;&gt;"", IF(Inputs!F$51&lt;&gt;"", Inputs!F$51, Inputs!F$37), "")</f>
        <v/>
      </c>
      <c r="J33" t="str">
        <f>IF(Inputs!P55&lt;&gt;"", IF(Inputs!F$56&lt;&gt;"", Inputs!F$56, Inputs!F$42), "")</f>
        <v/>
      </c>
      <c r="K33" t="str">
        <f>IF(Inputs!P55&lt;&gt;"", IF(Inputs!F$57&lt;&gt;"", Inputs!F$57, IF(Inputs!F$43="", "", Inputs!F$43)), "")</f>
        <v/>
      </c>
      <c r="L33" t="str">
        <f>IF(Inputs!P55&lt;&gt;"", IF(Inputs!F$55&lt;&gt;"", Inputs!F$55, Inputs!F$41), "")</f>
        <v/>
      </c>
      <c r="M33" t="str">
        <f>IF(Inputs!P55&lt;&gt;"",IF(Inputs!F$58&lt;&gt;"",Inputs!F$58,IF(Inputs!F$44&lt;&gt;"",Inputs!F$44,"")),"")</f>
        <v/>
      </c>
      <c r="N33" t="str">
        <f>IF(Inputs!P55&lt;&gt;"", Inputs!F$8, "")</f>
        <v/>
      </c>
      <c r="O33" t="str">
        <f>IF(Inputs!J55&lt;&gt;"", B33/Inputs!$M$59, "")</f>
        <v/>
      </c>
      <c r="P33" t="str">
        <f>IF(Inputs!P55&lt;&gt;"", C33/Inputs!$S$59, "")</f>
        <v/>
      </c>
    </row>
    <row r="34" spans="1:16" x14ac:dyDescent="0.35">
      <c r="A34" t="str">
        <f>IF(Inputs!J56&lt;&gt;"",A33, "")</f>
        <v/>
      </c>
      <c r="B34" t="str">
        <f>IF(Inputs!J56&lt;&gt;"", Inputs!J56, "")</f>
        <v/>
      </c>
      <c r="C34" t="str">
        <f>IF(Inputs!P56&lt;&gt;"", Inputs!P56, "")</f>
        <v/>
      </c>
      <c r="D34" t="str">
        <f>IF(Inputs!P56&lt;&gt;"", IF(Inputs!B$52&lt;&gt;"", Inputs!B$52, Inputs!B$38), "")</f>
        <v/>
      </c>
      <c r="E34" t="str">
        <f>IF(Inputs!P56&lt;&gt;"", IF(Inputs!D$52&lt;&gt;"", Inputs!D$52, Inputs!D$38), "")</f>
        <v/>
      </c>
      <c r="F34" t="str">
        <f>IF(Inputs!P56&lt;&gt;"", IF(Inputs!F$52&lt;&gt;"", Inputs!F$52, Inputs!F$38), "")</f>
        <v/>
      </c>
      <c r="G34" t="str">
        <f>IF(Inputs!P56&lt;&gt;"", IF(Inputs!B$51&lt;&gt;"", Inputs!B$51, Inputs!B$37), "")</f>
        <v/>
      </c>
      <c r="H34" t="str">
        <f>IF(Inputs!P56&lt;&gt;"", IF(Inputs!D$51&lt;&gt;"", Inputs!D$51, Inputs!D$37), "")</f>
        <v/>
      </c>
      <c r="I34" t="str">
        <f>IF(Inputs!P56&lt;&gt;"", IF(Inputs!F$51&lt;&gt;"", Inputs!F$51, Inputs!F$37), "")</f>
        <v/>
      </c>
      <c r="J34" t="str">
        <f>IF(Inputs!P56&lt;&gt;"", IF(Inputs!F$56&lt;&gt;"", Inputs!F$56, Inputs!F$42), "")</f>
        <v/>
      </c>
      <c r="K34" t="str">
        <f>IF(Inputs!P56&lt;&gt;"", IF(Inputs!F$57&lt;&gt;"", Inputs!F$57, IF(Inputs!F$43="", "", Inputs!F$43)), "")</f>
        <v/>
      </c>
      <c r="L34" t="str">
        <f>IF(Inputs!P56&lt;&gt;"", IF(Inputs!F$55&lt;&gt;"", Inputs!F$55, Inputs!F$41), "")</f>
        <v/>
      </c>
      <c r="M34" t="str">
        <f>IF(Inputs!P56&lt;&gt;"",IF(Inputs!F$58&lt;&gt;"",Inputs!F$58,IF(Inputs!F$44&lt;&gt;"",Inputs!F$44,"")),"")</f>
        <v/>
      </c>
      <c r="N34" t="str">
        <f>IF(Inputs!P56&lt;&gt;"", Inputs!F$8, "")</f>
        <v/>
      </c>
      <c r="O34" t="str">
        <f>IF(Inputs!J56&lt;&gt;"", B34/Inputs!$M$59, "")</f>
        <v/>
      </c>
      <c r="P34" t="str">
        <f>IF(Inputs!P56&lt;&gt;"", C34/Inputs!$S$59, "")</f>
        <v/>
      </c>
    </row>
    <row r="35" spans="1:16" x14ac:dyDescent="0.35">
      <c r="A35" t="str">
        <f>IF(Inputs!J57&lt;&gt;"",A34, "")</f>
        <v/>
      </c>
      <c r="B35" t="str">
        <f>IF(Inputs!J57&lt;&gt;"", Inputs!J57, "")</f>
        <v/>
      </c>
      <c r="C35" t="str">
        <f>IF(Inputs!P57&lt;&gt;"", Inputs!P57, "")</f>
        <v/>
      </c>
      <c r="D35" t="str">
        <f>IF(Inputs!P57&lt;&gt;"", IF(Inputs!B$52&lt;&gt;"", Inputs!B$52, Inputs!B$38), "")</f>
        <v/>
      </c>
      <c r="E35" t="str">
        <f>IF(Inputs!P57&lt;&gt;"", IF(Inputs!D$52&lt;&gt;"", Inputs!D$52, Inputs!D$38), "")</f>
        <v/>
      </c>
      <c r="F35" t="str">
        <f>IF(Inputs!P57&lt;&gt;"", IF(Inputs!F$52&lt;&gt;"", Inputs!F$52, Inputs!F$38), "")</f>
        <v/>
      </c>
      <c r="G35" t="str">
        <f>IF(Inputs!P57&lt;&gt;"", IF(Inputs!B$51&lt;&gt;"", Inputs!B$51, Inputs!B$37), "")</f>
        <v/>
      </c>
      <c r="H35" t="str">
        <f>IF(Inputs!P57&lt;&gt;"", IF(Inputs!D$51&lt;&gt;"", Inputs!D$51, Inputs!D$37), "")</f>
        <v/>
      </c>
      <c r="I35" t="str">
        <f>IF(Inputs!P57&lt;&gt;"", IF(Inputs!F$51&lt;&gt;"", Inputs!F$51, Inputs!F$37), "")</f>
        <v/>
      </c>
      <c r="J35" t="str">
        <f>IF(Inputs!P57&lt;&gt;"", IF(Inputs!F$56&lt;&gt;"", Inputs!F$56, Inputs!F$42), "")</f>
        <v/>
      </c>
      <c r="K35" t="str">
        <f>IF(Inputs!P57&lt;&gt;"", IF(Inputs!F$57&lt;&gt;"", Inputs!F$57, IF(Inputs!F$43="", "", Inputs!F$43)), "")</f>
        <v/>
      </c>
      <c r="L35" t="str">
        <f>IF(Inputs!P57&lt;&gt;"", IF(Inputs!F$55&lt;&gt;"", Inputs!F$55, Inputs!F$41), "")</f>
        <v/>
      </c>
      <c r="M35" t="str">
        <f>IF(Inputs!P57&lt;&gt;"",IF(Inputs!F$58&lt;&gt;"",Inputs!F$58,IF(Inputs!F$44&lt;&gt;"",Inputs!F$44,"")),"")</f>
        <v/>
      </c>
      <c r="N35" t="str">
        <f>IF(Inputs!P57&lt;&gt;"", Inputs!F$8, "")</f>
        <v/>
      </c>
      <c r="O35" t="str">
        <f>IF(Inputs!J57&lt;&gt;"", B35/Inputs!$M$59, "")</f>
        <v/>
      </c>
      <c r="P35" t="str">
        <f>IF(Inputs!P57&lt;&gt;"", C35/Inputs!$S$59, "")</f>
        <v/>
      </c>
    </row>
    <row r="36" spans="1:16" x14ac:dyDescent="0.35">
      <c r="A36" t="str">
        <f>IF(Inputs!J58&lt;&gt;"",A35, "")</f>
        <v/>
      </c>
      <c r="B36" t="str">
        <f>IF(Inputs!J58&lt;&gt;"", Inputs!J58, "")</f>
        <v/>
      </c>
      <c r="C36" t="str">
        <f>IF(Inputs!P58&lt;&gt;"", Inputs!P58, "")</f>
        <v/>
      </c>
      <c r="D36" t="str">
        <f>IF(Inputs!P58&lt;&gt;"", IF(Inputs!B$52&lt;&gt;"", Inputs!B$52, Inputs!B$38), "")</f>
        <v/>
      </c>
      <c r="E36" t="str">
        <f>IF(Inputs!P58&lt;&gt;"", IF(Inputs!D$52&lt;&gt;"", Inputs!D$52, Inputs!D$38), "")</f>
        <v/>
      </c>
      <c r="F36" t="str">
        <f>IF(Inputs!P58&lt;&gt;"", IF(Inputs!F$52&lt;&gt;"", Inputs!F$52, Inputs!F$38), "")</f>
        <v/>
      </c>
      <c r="G36" t="str">
        <f>IF(Inputs!P58&lt;&gt;"", IF(Inputs!B$51&lt;&gt;"", Inputs!B$51, Inputs!B$37), "")</f>
        <v/>
      </c>
      <c r="H36" t="str">
        <f>IF(Inputs!P58&lt;&gt;"", IF(Inputs!D$51&lt;&gt;"", Inputs!D$51, Inputs!D$37), "")</f>
        <v/>
      </c>
      <c r="I36" t="str">
        <f>IF(Inputs!P58&lt;&gt;"", IF(Inputs!F$51&lt;&gt;"", Inputs!F$51, Inputs!F$37), "")</f>
        <v/>
      </c>
      <c r="J36" t="str">
        <f>IF(Inputs!P58&lt;&gt;"", IF(Inputs!F$56&lt;&gt;"", Inputs!F$56, Inputs!F$42), "")</f>
        <v/>
      </c>
      <c r="K36" t="str">
        <f>IF(Inputs!P58&lt;&gt;"", IF(Inputs!F$57&lt;&gt;"", Inputs!F$57, IF(Inputs!F$43="", "", Inputs!F$43)), "")</f>
        <v/>
      </c>
      <c r="L36" t="str">
        <f>IF(Inputs!P58&lt;&gt;"", IF(Inputs!F$55&lt;&gt;"", Inputs!F$55, Inputs!F$41), "")</f>
        <v/>
      </c>
      <c r="M36" t="str">
        <f>IF(Inputs!P58&lt;&gt;"",IF(Inputs!F$58&lt;&gt;"",Inputs!F$58,IF(Inputs!F$44&lt;&gt;"",Inputs!F$44,"")),"")</f>
        <v/>
      </c>
      <c r="N36" t="str">
        <f>IF(Inputs!P58&lt;&gt;"", Inputs!F$8, "")</f>
        <v/>
      </c>
      <c r="O36" t="str">
        <f>IF(Inputs!J58&lt;&gt;"", B36/Inputs!$M$59, "")</f>
        <v/>
      </c>
      <c r="P36" t="str">
        <f>IF(Inputs!P58&lt;&gt;"", C36/Inputs!$S$59, "")</f>
        <v/>
      </c>
    </row>
    <row r="37" spans="1:16" x14ac:dyDescent="0.35">
      <c r="A37" t="str">
        <f>IF(Inputs!J59&lt;&gt;"",A36, "")</f>
        <v/>
      </c>
      <c r="B37" t="str">
        <f>IF(Inputs!J59&lt;&gt;"", Inputs!J59, "")</f>
        <v/>
      </c>
      <c r="C37" t="str">
        <f>IF(Inputs!P59&lt;&gt;"", Inputs!P59, "")</f>
        <v/>
      </c>
      <c r="D37" t="str">
        <f>IF(Inputs!P59&lt;&gt;"", IF(Inputs!B$52&lt;&gt;"", Inputs!B$52, Inputs!B$38), "")</f>
        <v/>
      </c>
      <c r="E37" t="str">
        <f>IF(Inputs!P59&lt;&gt;"", IF(Inputs!D$52&lt;&gt;"", Inputs!D$52, Inputs!D$38), "")</f>
        <v/>
      </c>
      <c r="F37" t="str">
        <f>IF(Inputs!P59&lt;&gt;"", IF(Inputs!F$52&lt;&gt;"", Inputs!F$52, Inputs!F$38), "")</f>
        <v/>
      </c>
      <c r="G37" t="str">
        <f>IF(Inputs!P59&lt;&gt;"", IF(Inputs!B$51&lt;&gt;"", Inputs!B$51, Inputs!B$37), "")</f>
        <v/>
      </c>
      <c r="H37" t="str">
        <f>IF(Inputs!P59&lt;&gt;"", IF(Inputs!D$51&lt;&gt;"", Inputs!D$51, Inputs!D$37), "")</f>
        <v/>
      </c>
      <c r="I37" t="str">
        <f>IF(Inputs!P59&lt;&gt;"", IF(Inputs!F$51&lt;&gt;"", Inputs!F$51, Inputs!F$37), "")</f>
        <v/>
      </c>
      <c r="J37" t="str">
        <f>IF(Inputs!P59&lt;&gt;"", IF(Inputs!F$56&lt;&gt;"", Inputs!F$56, Inputs!F$42), "")</f>
        <v/>
      </c>
      <c r="K37" t="str">
        <f>IF(Inputs!P59&lt;&gt;"", IF(Inputs!F$57&lt;&gt;"", Inputs!F$57, IF(Inputs!F$43="", "", Inputs!F$43)), "")</f>
        <v/>
      </c>
      <c r="L37" t="str">
        <f>IF(Inputs!P59&lt;&gt;"", IF(Inputs!F$55&lt;&gt;"", Inputs!F$55, Inputs!F$41), "")</f>
        <v/>
      </c>
      <c r="M37" t="str">
        <f>IF(Inputs!P59&lt;&gt;"",IF(Inputs!F$58&lt;&gt;"",Inputs!F$58,IF(Inputs!F$44&lt;&gt;"",Inputs!F$44,"")),"")</f>
        <v/>
      </c>
      <c r="N37" t="str">
        <f>IF(Inputs!P59&lt;&gt;"", Inputs!F$8, "")</f>
        <v/>
      </c>
      <c r="O37" t="str">
        <f>IF(Inputs!J59&lt;&gt;"", B37/Inputs!$M$59, "")</f>
        <v/>
      </c>
      <c r="P37" t="str">
        <f>IF(Inputs!P59&lt;&gt;"", C37/Inputs!$S$59, "")</f>
        <v/>
      </c>
    </row>
    <row r="38" spans="1:16" x14ac:dyDescent="0.35">
      <c r="A38" t="str">
        <f>IF(Inputs!J60&lt;&gt;"",A37, "")</f>
        <v/>
      </c>
      <c r="B38" t="str">
        <f>IF(Inputs!J60&lt;&gt;"", Inputs!J60, "")</f>
        <v/>
      </c>
      <c r="C38" t="str">
        <f>IF(Inputs!P60&lt;&gt;"", Inputs!P60, "")</f>
        <v/>
      </c>
      <c r="D38" t="str">
        <f>IF(Inputs!P60&lt;&gt;"", IF(Inputs!B$64&lt;&gt;"", Inputs!B$64, IF(Inputs!B$52&lt;&gt;"", Inputs!B$52, Inputs!B$38)), "")</f>
        <v/>
      </c>
      <c r="E38" t="str">
        <f>IF(Inputs!P60&lt;&gt;"", IF(Inputs!D$64&lt;&gt;"", Inputs!D$64, IF(Inputs!D$52&lt;&gt;"", Inputs!D$52, Inputs!D$38)), "")</f>
        <v/>
      </c>
      <c r="F38" t="str">
        <f>IF(Inputs!P60&lt;&gt;"", IF(Inputs!F$64&lt;&gt;"", Inputs!F$64, IF(Inputs!F$52&lt;&gt;"", Inputs!F$52, Inputs!F$38)), "")</f>
        <v/>
      </c>
      <c r="G38" t="str">
        <f>IF(Inputs!P60&lt;&gt;"", IF(Inputs!B$63&lt;&gt;"", Inputs!B$63, IF(Inputs!B$51&lt;&gt;"", Inputs!B$51, Inputs!B$37)), "")</f>
        <v/>
      </c>
      <c r="H38" t="str">
        <f>IF(Inputs!P60&lt;&gt;"", IF(Inputs!D$63&lt;&gt;"", Inputs!D$63, IF(Inputs!D$51&lt;&gt;"", Inputs!D$51, Inputs!D$37)), "")</f>
        <v/>
      </c>
      <c r="I38" t="str">
        <f>IF(Inputs!P60&lt;&gt;"", IF(Inputs!F$63&lt;&gt;"", Inputs!F$63, IF(Inputs!F$51&lt;&gt;"", Inputs!F$51, Inputs!F$37)), "")</f>
        <v/>
      </c>
      <c r="J38" t="str">
        <f>IF(Inputs!P60&lt;&gt;"", IF(Inputs!F$68&lt;&gt;"", Inputs!F$68, IF(Inputs!F$56&lt;&gt;"", Inputs!F$56, Inputs!F$42)), "")</f>
        <v/>
      </c>
      <c r="K38" s="79" t="str">
        <f>IF(Inputs!P60&lt;&gt;"", IF(Inputs!F$69&lt;&gt;"", Inputs!F$69, IF(Inputs!F$57&lt;&gt;"", Inputs!F$57, IF(Inputs!F$43="", "", Inputs!F$43))), "")</f>
        <v/>
      </c>
      <c r="L38" t="str">
        <f>IF(Inputs!P60&lt;&gt;"", IF(Inputs!F$67&lt;&gt;"", Inputs!F$67, IF(Inputs!F$55&lt;&gt;"", Inputs!F$55, Inputs!F$41)), "")</f>
        <v/>
      </c>
      <c r="M38" t="str">
        <f>IF(Inputs!P60&lt;&gt;"",IF(Inputs!F$70&lt;&gt;"", Inputs!F$70,IF(Inputs!F$58&lt;&gt;"",Inputs!F$58,IF(Inputs!F$44&lt;&gt;"",Inputs!F$44,""))),"")</f>
        <v/>
      </c>
      <c r="N38" t="str">
        <f>IF(Inputs!P60&lt;&gt;"", Inputs!F$8, "")</f>
        <v/>
      </c>
      <c r="O38" t="str">
        <f>IF(Inputs!J60&lt;&gt;"", B38/Inputs!$M$71, "")</f>
        <v/>
      </c>
      <c r="P38" t="str">
        <f>IF(Inputs!P60&lt;&gt;"", C38/Inputs!$S$71, "")</f>
        <v/>
      </c>
    </row>
    <row r="39" spans="1:16" x14ac:dyDescent="0.35">
      <c r="A39" t="str">
        <f>IF(Inputs!J61&lt;&gt;"",A38, "")</f>
        <v/>
      </c>
      <c r="B39" t="str">
        <f>IF(Inputs!J61&lt;&gt;"", Inputs!J61, "")</f>
        <v/>
      </c>
      <c r="C39" t="str">
        <f>IF(Inputs!P61&lt;&gt;"", Inputs!P61, "")</f>
        <v/>
      </c>
      <c r="D39" t="str">
        <f>IF(Inputs!P61&lt;&gt;"", IF(Inputs!B$64&lt;&gt;"", Inputs!B$64, IF(Inputs!B$52&lt;&gt;"", Inputs!B$52, Inputs!B$38)), "")</f>
        <v/>
      </c>
      <c r="E39" t="str">
        <f>IF(Inputs!P61&lt;&gt;"", IF(Inputs!D$64&lt;&gt;"", Inputs!D$64, IF(Inputs!D$52&lt;&gt;"", Inputs!D$52, Inputs!D$38)), "")</f>
        <v/>
      </c>
      <c r="F39" t="str">
        <f>IF(Inputs!P61&lt;&gt;"", IF(Inputs!F$64&lt;&gt;"", Inputs!F$64, IF(Inputs!F$52&lt;&gt;"", Inputs!F$52, Inputs!F$38)), "")</f>
        <v/>
      </c>
      <c r="G39" t="str">
        <f>IF(Inputs!P61&lt;&gt;"", IF(Inputs!B$63&lt;&gt;"", Inputs!B$63, IF(Inputs!B$51&lt;&gt;"", Inputs!B$51, Inputs!B$37)), "")</f>
        <v/>
      </c>
      <c r="H39" t="str">
        <f>IF(Inputs!P61&lt;&gt;"", IF(Inputs!D$63&lt;&gt;"", Inputs!D$63, IF(Inputs!D$51&lt;&gt;"", Inputs!D$51, Inputs!D$37)), "")</f>
        <v/>
      </c>
      <c r="I39" t="str">
        <f>IF(Inputs!P61&lt;&gt;"", IF(Inputs!F$63&lt;&gt;"", Inputs!F$63, IF(Inputs!F$51&lt;&gt;"", Inputs!F$51, Inputs!F$37)), "")</f>
        <v/>
      </c>
      <c r="J39" t="str">
        <f>IF(Inputs!P61&lt;&gt;"", IF(Inputs!F$68&lt;&gt;"", Inputs!F$68, IF(Inputs!F$56&lt;&gt;"", Inputs!F$56, Inputs!F$42)), "")</f>
        <v/>
      </c>
      <c r="K39" s="79" t="str">
        <f>IF(Inputs!P61&lt;&gt;"", IF(Inputs!F$69&lt;&gt;"", Inputs!F$69, IF(Inputs!F$57&lt;&gt;"", Inputs!F$57, IF(Inputs!F$43="", "", Inputs!F$43))), "")</f>
        <v/>
      </c>
      <c r="L39" t="str">
        <f>IF(Inputs!P61&lt;&gt;"", IF(Inputs!F$67&lt;&gt;"", Inputs!F$67, IF(Inputs!F$55&lt;&gt;"", Inputs!F$55, Inputs!F$41)), "")</f>
        <v/>
      </c>
      <c r="M39" t="str">
        <f>IF(Inputs!P61&lt;&gt;"",IF(Inputs!F$70&lt;&gt;"", Inputs!F$70,IF(Inputs!F$58&lt;&gt;"",Inputs!F$58,IF(Inputs!F$44&lt;&gt;"",Inputs!F$44,""))),"")</f>
        <v/>
      </c>
      <c r="N39" t="str">
        <f>IF(Inputs!P61&lt;&gt;"", Inputs!F$8, "")</f>
        <v/>
      </c>
      <c r="O39" t="str">
        <f>IF(Inputs!J61&lt;&gt;"", B39/Inputs!$M$71, "")</f>
        <v/>
      </c>
      <c r="P39" t="str">
        <f>IF(Inputs!P61&lt;&gt;"", C39/Inputs!$S$71, "")</f>
        <v/>
      </c>
    </row>
    <row r="40" spans="1:16" x14ac:dyDescent="0.35">
      <c r="A40" t="str">
        <f>IF(Inputs!J62&lt;&gt;"",A39, "")</f>
        <v/>
      </c>
      <c r="B40" t="str">
        <f>IF(Inputs!J62&lt;&gt;"", Inputs!J62, "")</f>
        <v/>
      </c>
      <c r="C40" t="str">
        <f>IF(Inputs!P62&lt;&gt;"", Inputs!P62, "")</f>
        <v/>
      </c>
      <c r="D40" t="str">
        <f>IF(Inputs!P62&lt;&gt;"", IF(Inputs!B$64&lt;&gt;"", Inputs!B$64, IF(Inputs!B$52&lt;&gt;"", Inputs!B$52, Inputs!B$38)), "")</f>
        <v/>
      </c>
      <c r="E40" t="str">
        <f>IF(Inputs!P62&lt;&gt;"", IF(Inputs!D$64&lt;&gt;"", Inputs!D$64, IF(Inputs!D$52&lt;&gt;"", Inputs!D$52, Inputs!D$38)), "")</f>
        <v/>
      </c>
      <c r="F40" t="str">
        <f>IF(Inputs!P62&lt;&gt;"", IF(Inputs!F$64&lt;&gt;"", Inputs!F$64, IF(Inputs!F$52&lt;&gt;"", Inputs!F$52, Inputs!F$38)), "")</f>
        <v/>
      </c>
      <c r="G40" t="str">
        <f>IF(Inputs!P62&lt;&gt;"", IF(Inputs!B$63&lt;&gt;"", Inputs!B$63, IF(Inputs!B$51&lt;&gt;"", Inputs!B$51, Inputs!B$37)), "")</f>
        <v/>
      </c>
      <c r="H40" t="str">
        <f>IF(Inputs!P62&lt;&gt;"", IF(Inputs!D$63&lt;&gt;"", Inputs!D$63, IF(Inputs!D$51&lt;&gt;"", Inputs!D$51, Inputs!D$37)), "")</f>
        <v/>
      </c>
      <c r="I40" t="str">
        <f>IF(Inputs!P62&lt;&gt;"", IF(Inputs!F$63&lt;&gt;"", Inputs!F$63, IF(Inputs!F$51&lt;&gt;"", Inputs!F$51, Inputs!F$37)), "")</f>
        <v/>
      </c>
      <c r="J40" t="str">
        <f>IF(Inputs!P62&lt;&gt;"", IF(Inputs!F$68&lt;&gt;"", Inputs!F$68, IF(Inputs!F$56&lt;&gt;"", Inputs!F$56, Inputs!F$42)), "")</f>
        <v/>
      </c>
      <c r="K40" s="79" t="str">
        <f>IF(Inputs!P62&lt;&gt;"", IF(Inputs!F$69&lt;&gt;"", Inputs!F$69, IF(Inputs!F$57&lt;&gt;"", Inputs!F$57, IF(Inputs!F$43="", "", Inputs!F$43))), "")</f>
        <v/>
      </c>
      <c r="L40" t="str">
        <f>IF(Inputs!P62&lt;&gt;"", IF(Inputs!F$67&lt;&gt;"", Inputs!F$67, IF(Inputs!F$55&lt;&gt;"", Inputs!F$55, Inputs!F$41)), "")</f>
        <v/>
      </c>
      <c r="M40" t="str">
        <f>IF(Inputs!P62&lt;&gt;"",IF(Inputs!F$70&lt;&gt;"", Inputs!F$70,IF(Inputs!F$58&lt;&gt;"",Inputs!F$58,IF(Inputs!F$44&lt;&gt;"",Inputs!F$44,""))),"")</f>
        <v/>
      </c>
      <c r="N40" t="str">
        <f>IF(Inputs!P62&lt;&gt;"", Inputs!F$8, "")</f>
        <v/>
      </c>
      <c r="O40" t="str">
        <f>IF(Inputs!J62&lt;&gt;"", B40/Inputs!$M$71, "")</f>
        <v/>
      </c>
      <c r="P40" t="str">
        <f>IF(Inputs!P62&lt;&gt;"", C40/Inputs!$S$71, "")</f>
        <v/>
      </c>
    </row>
    <row r="41" spans="1:16" x14ac:dyDescent="0.35">
      <c r="A41" t="str">
        <f>IF(Inputs!J63&lt;&gt;"",A40, "")</f>
        <v/>
      </c>
      <c r="B41" t="str">
        <f>IF(Inputs!J63&lt;&gt;"", Inputs!J63, "")</f>
        <v/>
      </c>
      <c r="C41" t="str">
        <f>IF(Inputs!P63&lt;&gt;"", Inputs!P63, "")</f>
        <v/>
      </c>
      <c r="D41" t="str">
        <f>IF(Inputs!P63&lt;&gt;"", IF(Inputs!B$64&lt;&gt;"", Inputs!B$64, IF(Inputs!B$52&lt;&gt;"", Inputs!B$52, Inputs!B$38)), "")</f>
        <v/>
      </c>
      <c r="E41" t="str">
        <f>IF(Inputs!P63&lt;&gt;"", IF(Inputs!D$64&lt;&gt;"", Inputs!D$64, IF(Inputs!D$52&lt;&gt;"", Inputs!D$52, Inputs!D$38)), "")</f>
        <v/>
      </c>
      <c r="F41" t="str">
        <f>IF(Inputs!P63&lt;&gt;"", IF(Inputs!F$64&lt;&gt;"", Inputs!F$64, IF(Inputs!F$52&lt;&gt;"", Inputs!F$52, Inputs!F$38)), "")</f>
        <v/>
      </c>
      <c r="G41" t="str">
        <f>IF(Inputs!P63&lt;&gt;"", IF(Inputs!B$63&lt;&gt;"", Inputs!B$63, IF(Inputs!B$51&lt;&gt;"", Inputs!B$51, Inputs!B$37)), "")</f>
        <v/>
      </c>
      <c r="H41" t="str">
        <f>IF(Inputs!P63&lt;&gt;"", IF(Inputs!D$63&lt;&gt;"", Inputs!D$63, IF(Inputs!D$51&lt;&gt;"", Inputs!D$51, Inputs!D$37)), "")</f>
        <v/>
      </c>
      <c r="I41" t="str">
        <f>IF(Inputs!P63&lt;&gt;"", IF(Inputs!F$63&lt;&gt;"", Inputs!F$63, IF(Inputs!F$51&lt;&gt;"", Inputs!F$51, Inputs!F$37)), "")</f>
        <v/>
      </c>
      <c r="J41" t="str">
        <f>IF(Inputs!P63&lt;&gt;"", IF(Inputs!F$68&lt;&gt;"", Inputs!F$68, IF(Inputs!F$56&lt;&gt;"", Inputs!F$56, Inputs!F$42)), "")</f>
        <v/>
      </c>
      <c r="K41" s="79" t="str">
        <f>IF(Inputs!P63&lt;&gt;"", IF(Inputs!F$69&lt;&gt;"", Inputs!F$69, IF(Inputs!F$57&lt;&gt;"", Inputs!F$57, IF(Inputs!F$43="", "", Inputs!F$43))), "")</f>
        <v/>
      </c>
      <c r="L41" t="str">
        <f>IF(Inputs!P63&lt;&gt;"", IF(Inputs!F$67&lt;&gt;"", Inputs!F$67, IF(Inputs!F$55&lt;&gt;"", Inputs!F$55, Inputs!F$41)), "")</f>
        <v/>
      </c>
      <c r="M41" t="str">
        <f>IF(Inputs!P63&lt;&gt;"",IF(Inputs!F$70&lt;&gt;"", Inputs!F$70,IF(Inputs!F$58&lt;&gt;"",Inputs!F$58,IF(Inputs!F$44&lt;&gt;"",Inputs!F$44,""))),"")</f>
        <v/>
      </c>
      <c r="N41" t="str">
        <f>IF(Inputs!P63&lt;&gt;"", Inputs!F$8, "")</f>
        <v/>
      </c>
      <c r="O41" t="str">
        <f>IF(Inputs!J63&lt;&gt;"", B41/Inputs!$M$71, "")</f>
        <v/>
      </c>
      <c r="P41" t="str">
        <f>IF(Inputs!P63&lt;&gt;"", C41/Inputs!$S$71, "")</f>
        <v/>
      </c>
    </row>
    <row r="42" spans="1:16" x14ac:dyDescent="0.35">
      <c r="A42" t="str">
        <f>IF(Inputs!J64&lt;&gt;"",A41, "")</f>
        <v/>
      </c>
      <c r="B42" t="str">
        <f>IF(Inputs!J64&lt;&gt;"", Inputs!J64, "")</f>
        <v/>
      </c>
      <c r="C42" t="str">
        <f>IF(Inputs!P64&lt;&gt;"", Inputs!P64, "")</f>
        <v/>
      </c>
      <c r="D42" t="str">
        <f>IF(Inputs!P64&lt;&gt;"", IF(Inputs!B$64&lt;&gt;"", Inputs!B$64, IF(Inputs!B$52&lt;&gt;"", Inputs!B$52, Inputs!B$38)), "")</f>
        <v/>
      </c>
      <c r="E42" t="str">
        <f>IF(Inputs!P64&lt;&gt;"", IF(Inputs!D$64&lt;&gt;"", Inputs!D$64, IF(Inputs!D$52&lt;&gt;"", Inputs!D$52, Inputs!D$38)), "")</f>
        <v/>
      </c>
      <c r="F42" t="str">
        <f>IF(Inputs!P64&lt;&gt;"", IF(Inputs!F$64&lt;&gt;"", Inputs!F$64, IF(Inputs!F$52&lt;&gt;"", Inputs!F$52, Inputs!F$38)), "")</f>
        <v/>
      </c>
      <c r="G42" t="str">
        <f>IF(Inputs!P64&lt;&gt;"", IF(Inputs!B$63&lt;&gt;"", Inputs!B$63, IF(Inputs!B$51&lt;&gt;"", Inputs!B$51, Inputs!B$37)), "")</f>
        <v/>
      </c>
      <c r="H42" t="str">
        <f>IF(Inputs!P64&lt;&gt;"", IF(Inputs!D$63&lt;&gt;"", Inputs!D$63, IF(Inputs!D$51&lt;&gt;"", Inputs!D$51, Inputs!D$37)), "")</f>
        <v/>
      </c>
      <c r="I42" t="str">
        <f>IF(Inputs!P64&lt;&gt;"", IF(Inputs!F$63&lt;&gt;"", Inputs!F$63, IF(Inputs!F$51&lt;&gt;"", Inputs!F$51, Inputs!F$37)), "")</f>
        <v/>
      </c>
      <c r="J42" t="str">
        <f>IF(Inputs!P64&lt;&gt;"", IF(Inputs!F$68&lt;&gt;"", Inputs!F$68, IF(Inputs!F$56&lt;&gt;"", Inputs!F$56, Inputs!F$42)), "")</f>
        <v/>
      </c>
      <c r="K42" s="79" t="str">
        <f>IF(Inputs!P64&lt;&gt;"", IF(Inputs!F$69&lt;&gt;"", Inputs!F$69, IF(Inputs!F$57&lt;&gt;"", Inputs!F$57, IF(Inputs!F$43="", "", Inputs!F$43))), "")</f>
        <v/>
      </c>
      <c r="L42" t="str">
        <f>IF(Inputs!P64&lt;&gt;"", IF(Inputs!F$67&lt;&gt;"", Inputs!F$67, IF(Inputs!F$55&lt;&gt;"", Inputs!F$55, Inputs!F$41)), "")</f>
        <v/>
      </c>
      <c r="M42" t="str">
        <f>IF(Inputs!P64&lt;&gt;"",IF(Inputs!F$70&lt;&gt;"", Inputs!F$70,IF(Inputs!F$58&lt;&gt;"",Inputs!F$58,IF(Inputs!F$44&lt;&gt;"",Inputs!F$44,""))),"")</f>
        <v/>
      </c>
      <c r="N42" t="str">
        <f>IF(Inputs!P64&lt;&gt;"", Inputs!F$8, "")</f>
        <v/>
      </c>
      <c r="O42" t="str">
        <f>IF(Inputs!J64&lt;&gt;"", B42/Inputs!$M$71, "")</f>
        <v/>
      </c>
      <c r="P42" t="str">
        <f>IF(Inputs!P64&lt;&gt;"", C42/Inputs!$S$71, "")</f>
        <v/>
      </c>
    </row>
    <row r="43" spans="1:16" x14ac:dyDescent="0.35">
      <c r="A43" t="str">
        <f>IF(Inputs!J65&lt;&gt;"",A42, "")</f>
        <v/>
      </c>
      <c r="B43" t="str">
        <f>IF(Inputs!J65&lt;&gt;"", Inputs!J65, "")</f>
        <v/>
      </c>
      <c r="C43" t="str">
        <f>IF(Inputs!P65&lt;&gt;"", Inputs!P65, "")</f>
        <v/>
      </c>
      <c r="D43" t="str">
        <f>IF(Inputs!P65&lt;&gt;"", IF(Inputs!B$64&lt;&gt;"", Inputs!B$64, IF(Inputs!B$52&lt;&gt;"", Inputs!B$52, Inputs!B$38)), "")</f>
        <v/>
      </c>
      <c r="E43" t="str">
        <f>IF(Inputs!P65&lt;&gt;"", IF(Inputs!D$64&lt;&gt;"", Inputs!D$64, IF(Inputs!D$52&lt;&gt;"", Inputs!D$52, Inputs!D$38)), "")</f>
        <v/>
      </c>
      <c r="F43" t="str">
        <f>IF(Inputs!P65&lt;&gt;"", IF(Inputs!F$64&lt;&gt;"", Inputs!F$64, IF(Inputs!F$52&lt;&gt;"", Inputs!F$52, Inputs!F$38)), "")</f>
        <v/>
      </c>
      <c r="G43" t="str">
        <f>IF(Inputs!P65&lt;&gt;"", IF(Inputs!B$63&lt;&gt;"", Inputs!B$63, IF(Inputs!B$51&lt;&gt;"", Inputs!B$51, Inputs!B$37)), "")</f>
        <v/>
      </c>
      <c r="H43" t="str">
        <f>IF(Inputs!P65&lt;&gt;"", IF(Inputs!D$63&lt;&gt;"", Inputs!D$63, IF(Inputs!D$51&lt;&gt;"", Inputs!D$51, Inputs!D$37)), "")</f>
        <v/>
      </c>
      <c r="I43" t="str">
        <f>IF(Inputs!P65&lt;&gt;"", IF(Inputs!F$63&lt;&gt;"", Inputs!F$63, IF(Inputs!F$51&lt;&gt;"", Inputs!F$51, Inputs!F$37)), "")</f>
        <v/>
      </c>
      <c r="J43" t="str">
        <f>IF(Inputs!P65&lt;&gt;"", IF(Inputs!F$68&lt;&gt;"", Inputs!F$68, IF(Inputs!F$56&lt;&gt;"", Inputs!F$56, Inputs!F$42)), "")</f>
        <v/>
      </c>
      <c r="K43" s="79" t="str">
        <f>IF(Inputs!P65&lt;&gt;"", IF(Inputs!F$69&lt;&gt;"", Inputs!F$69, IF(Inputs!F$57&lt;&gt;"", Inputs!F$57, IF(Inputs!F$43="", "", Inputs!F$43))), "")</f>
        <v/>
      </c>
      <c r="L43" t="str">
        <f>IF(Inputs!P65&lt;&gt;"", IF(Inputs!F$67&lt;&gt;"", Inputs!F$67, IF(Inputs!F$55&lt;&gt;"", Inputs!F$55, Inputs!F$41)), "")</f>
        <v/>
      </c>
      <c r="M43" t="str">
        <f>IF(Inputs!P65&lt;&gt;"",IF(Inputs!F$70&lt;&gt;"", Inputs!F$70,IF(Inputs!F$58&lt;&gt;"",Inputs!F$58,IF(Inputs!F$44&lt;&gt;"",Inputs!F$44,""))),"")</f>
        <v/>
      </c>
      <c r="N43" t="str">
        <f>IF(Inputs!P65&lt;&gt;"", Inputs!F$8, "")</f>
        <v/>
      </c>
      <c r="O43" t="str">
        <f>IF(Inputs!J65&lt;&gt;"", B43/Inputs!$M$71, "")</f>
        <v/>
      </c>
      <c r="P43" t="str">
        <f>IF(Inputs!P65&lt;&gt;"", C43/Inputs!$S$71, "")</f>
        <v/>
      </c>
    </row>
    <row r="44" spans="1:16" x14ac:dyDescent="0.35">
      <c r="A44" t="str">
        <f>IF(Inputs!J66&lt;&gt;"",A43, "")</f>
        <v/>
      </c>
      <c r="B44" t="str">
        <f>IF(Inputs!J66&lt;&gt;"", Inputs!J66, "")</f>
        <v/>
      </c>
      <c r="C44" t="str">
        <f>IF(Inputs!P66&lt;&gt;"", Inputs!P66, "")</f>
        <v/>
      </c>
      <c r="D44" t="str">
        <f>IF(Inputs!P66&lt;&gt;"", IF(Inputs!B$64&lt;&gt;"", Inputs!B$64, IF(Inputs!B$52&lt;&gt;"", Inputs!B$52, Inputs!B$38)), "")</f>
        <v/>
      </c>
      <c r="E44" t="str">
        <f>IF(Inputs!P66&lt;&gt;"", IF(Inputs!D$64&lt;&gt;"", Inputs!D$64, IF(Inputs!D$52&lt;&gt;"", Inputs!D$52, Inputs!D$38)), "")</f>
        <v/>
      </c>
      <c r="F44" t="str">
        <f>IF(Inputs!P66&lt;&gt;"", IF(Inputs!F$64&lt;&gt;"", Inputs!F$64, IF(Inputs!F$52&lt;&gt;"", Inputs!F$52, Inputs!F$38)), "")</f>
        <v/>
      </c>
      <c r="G44" t="str">
        <f>IF(Inputs!P66&lt;&gt;"", IF(Inputs!B$63&lt;&gt;"", Inputs!B$63, IF(Inputs!B$51&lt;&gt;"", Inputs!B$51, Inputs!B$37)), "")</f>
        <v/>
      </c>
      <c r="H44" t="str">
        <f>IF(Inputs!P66&lt;&gt;"", IF(Inputs!D$63&lt;&gt;"", Inputs!D$63, IF(Inputs!D$51&lt;&gt;"", Inputs!D$51, Inputs!D$37)), "")</f>
        <v/>
      </c>
      <c r="I44" t="str">
        <f>IF(Inputs!P66&lt;&gt;"", IF(Inputs!F$63&lt;&gt;"", Inputs!F$63, IF(Inputs!F$51&lt;&gt;"", Inputs!F$51, Inputs!F$37)), "")</f>
        <v/>
      </c>
      <c r="J44" t="str">
        <f>IF(Inputs!P66&lt;&gt;"", IF(Inputs!F$68&lt;&gt;"", Inputs!F$68, IF(Inputs!F$56&lt;&gt;"", Inputs!F$56, Inputs!F$42)), "")</f>
        <v/>
      </c>
      <c r="K44" s="79" t="str">
        <f>IF(Inputs!P66&lt;&gt;"", IF(Inputs!F$69&lt;&gt;"", Inputs!F$69, IF(Inputs!F$57&lt;&gt;"", Inputs!F$57, IF(Inputs!F$43="", "", Inputs!F$43))), "")</f>
        <v/>
      </c>
      <c r="L44" t="str">
        <f>IF(Inputs!P66&lt;&gt;"", IF(Inputs!F$67&lt;&gt;"", Inputs!F$67, IF(Inputs!F$55&lt;&gt;"", Inputs!F$55, Inputs!F$41)), "")</f>
        <v/>
      </c>
      <c r="M44" t="str">
        <f>IF(Inputs!P66&lt;&gt;"",IF(Inputs!F$70&lt;&gt;"", Inputs!F$70,IF(Inputs!F$58&lt;&gt;"",Inputs!F$58,IF(Inputs!F$44&lt;&gt;"",Inputs!F$44,""))),"")</f>
        <v/>
      </c>
      <c r="N44" t="str">
        <f>IF(Inputs!P66&lt;&gt;"", Inputs!F$8, "")</f>
        <v/>
      </c>
      <c r="O44" t="str">
        <f>IF(Inputs!J66&lt;&gt;"", B44/Inputs!$M$71, "")</f>
        <v/>
      </c>
      <c r="P44" t="str">
        <f>IF(Inputs!P66&lt;&gt;"", C44/Inputs!$S$71, "")</f>
        <v/>
      </c>
    </row>
    <row r="45" spans="1:16" x14ac:dyDescent="0.35">
      <c r="A45" t="str">
        <f>IF(Inputs!J67&lt;&gt;"",A44, "")</f>
        <v/>
      </c>
      <c r="B45" t="str">
        <f>IF(Inputs!J67&lt;&gt;"", Inputs!J67, "")</f>
        <v/>
      </c>
      <c r="C45" t="str">
        <f>IF(Inputs!P67&lt;&gt;"", Inputs!P67, "")</f>
        <v/>
      </c>
      <c r="D45" t="str">
        <f>IF(Inputs!P67&lt;&gt;"", IF(Inputs!B$64&lt;&gt;"", Inputs!B$64, IF(Inputs!B$52&lt;&gt;"", Inputs!B$52, Inputs!B$38)), "")</f>
        <v/>
      </c>
      <c r="E45" t="str">
        <f>IF(Inputs!P67&lt;&gt;"", IF(Inputs!D$64&lt;&gt;"", Inputs!D$64, IF(Inputs!D$52&lt;&gt;"", Inputs!D$52, Inputs!D$38)), "")</f>
        <v/>
      </c>
      <c r="F45" t="str">
        <f>IF(Inputs!P67&lt;&gt;"", IF(Inputs!F$64&lt;&gt;"", Inputs!F$64, IF(Inputs!F$52&lt;&gt;"", Inputs!F$52, Inputs!F$38)), "")</f>
        <v/>
      </c>
      <c r="G45" t="str">
        <f>IF(Inputs!P67&lt;&gt;"", IF(Inputs!B$63&lt;&gt;"", Inputs!B$63, IF(Inputs!B$51&lt;&gt;"", Inputs!B$51, Inputs!B$37)), "")</f>
        <v/>
      </c>
      <c r="H45" t="str">
        <f>IF(Inputs!P67&lt;&gt;"", IF(Inputs!D$63&lt;&gt;"", Inputs!D$63, IF(Inputs!D$51&lt;&gt;"", Inputs!D$51, Inputs!D$37)), "")</f>
        <v/>
      </c>
      <c r="I45" t="str">
        <f>IF(Inputs!P67&lt;&gt;"", IF(Inputs!F$63&lt;&gt;"", Inputs!F$63, IF(Inputs!F$51&lt;&gt;"", Inputs!F$51, Inputs!F$37)), "")</f>
        <v/>
      </c>
      <c r="J45" t="str">
        <f>IF(Inputs!P67&lt;&gt;"", IF(Inputs!F$68&lt;&gt;"", Inputs!F$68, IF(Inputs!F$56&lt;&gt;"", Inputs!F$56, Inputs!F$42)), "")</f>
        <v/>
      </c>
      <c r="K45" s="79" t="str">
        <f>IF(Inputs!P67&lt;&gt;"", IF(Inputs!F$69&lt;&gt;"", Inputs!F$69, IF(Inputs!F$57&lt;&gt;"", Inputs!F$57, IF(Inputs!F$43="", "", Inputs!F$43))), "")</f>
        <v/>
      </c>
      <c r="L45" t="str">
        <f>IF(Inputs!P67&lt;&gt;"", IF(Inputs!F$67&lt;&gt;"", Inputs!F$67, IF(Inputs!F$55&lt;&gt;"", Inputs!F$55, Inputs!F$41)), "")</f>
        <v/>
      </c>
      <c r="M45" t="str">
        <f>IF(Inputs!P67&lt;&gt;"",IF(Inputs!F$70&lt;&gt;"", Inputs!F$70,IF(Inputs!F$58&lt;&gt;"",Inputs!F$58,IF(Inputs!F$44&lt;&gt;"",Inputs!F$44,""))),"")</f>
        <v/>
      </c>
      <c r="N45" t="str">
        <f>IF(Inputs!P67&lt;&gt;"", Inputs!F$8, "")</f>
        <v/>
      </c>
      <c r="O45" t="str">
        <f>IF(Inputs!J67&lt;&gt;"", B45/Inputs!$M$71, "")</f>
        <v/>
      </c>
      <c r="P45" t="str">
        <f>IF(Inputs!P67&lt;&gt;"", C45/Inputs!$S$71, "")</f>
        <v/>
      </c>
    </row>
    <row r="46" spans="1:16" x14ac:dyDescent="0.35">
      <c r="A46" t="str">
        <f>IF(Inputs!J68&lt;&gt;"",A45, "")</f>
        <v/>
      </c>
      <c r="B46" t="str">
        <f>IF(Inputs!J68&lt;&gt;"", Inputs!J68, "")</f>
        <v/>
      </c>
      <c r="C46" t="str">
        <f>IF(Inputs!P68&lt;&gt;"", Inputs!P68, "")</f>
        <v/>
      </c>
      <c r="D46" t="str">
        <f>IF(Inputs!P68&lt;&gt;"", IF(Inputs!B$64&lt;&gt;"", Inputs!B$64, IF(Inputs!B$52&lt;&gt;"", Inputs!B$52, Inputs!B$38)), "")</f>
        <v/>
      </c>
      <c r="E46" t="str">
        <f>IF(Inputs!P68&lt;&gt;"", IF(Inputs!D$64&lt;&gt;"", Inputs!D$64, IF(Inputs!D$52&lt;&gt;"", Inputs!D$52, Inputs!D$38)), "")</f>
        <v/>
      </c>
      <c r="F46" t="str">
        <f>IF(Inputs!P68&lt;&gt;"", IF(Inputs!F$64&lt;&gt;"", Inputs!F$64, IF(Inputs!F$52&lt;&gt;"", Inputs!F$52, Inputs!F$38)), "")</f>
        <v/>
      </c>
      <c r="G46" t="str">
        <f>IF(Inputs!P68&lt;&gt;"", IF(Inputs!B$63&lt;&gt;"", Inputs!B$63, IF(Inputs!B$51&lt;&gt;"", Inputs!B$51, Inputs!B$37)), "")</f>
        <v/>
      </c>
      <c r="H46" t="str">
        <f>IF(Inputs!P68&lt;&gt;"", IF(Inputs!D$63&lt;&gt;"", Inputs!D$63, IF(Inputs!D$51&lt;&gt;"", Inputs!D$51, Inputs!D$37)), "")</f>
        <v/>
      </c>
      <c r="I46" t="str">
        <f>IF(Inputs!P68&lt;&gt;"", IF(Inputs!F$63&lt;&gt;"", Inputs!F$63, IF(Inputs!F$51&lt;&gt;"", Inputs!F$51, Inputs!F$37)), "")</f>
        <v/>
      </c>
      <c r="J46" t="str">
        <f>IF(Inputs!P68&lt;&gt;"", IF(Inputs!F$68&lt;&gt;"", Inputs!F$68, IF(Inputs!F$56&lt;&gt;"", Inputs!F$56, Inputs!F$42)), "")</f>
        <v/>
      </c>
      <c r="K46" s="79" t="str">
        <f>IF(Inputs!P68&lt;&gt;"", IF(Inputs!F$69&lt;&gt;"", Inputs!F$69, IF(Inputs!F$57&lt;&gt;"", Inputs!F$57, IF(Inputs!F$43="", "", Inputs!F$43))), "")</f>
        <v/>
      </c>
      <c r="L46" t="str">
        <f>IF(Inputs!P68&lt;&gt;"", IF(Inputs!F$67&lt;&gt;"", Inputs!F$67, IF(Inputs!F$55&lt;&gt;"", Inputs!F$55, Inputs!F$41)), "")</f>
        <v/>
      </c>
      <c r="M46" t="str">
        <f>IF(Inputs!P68&lt;&gt;"",IF(Inputs!F$70&lt;&gt;"", Inputs!F$70,IF(Inputs!F$58&lt;&gt;"",Inputs!F$58,IF(Inputs!F$44&lt;&gt;"",Inputs!F$44,""))),"")</f>
        <v/>
      </c>
      <c r="N46" t="str">
        <f>IF(Inputs!P68&lt;&gt;"", Inputs!F$8, "")</f>
        <v/>
      </c>
      <c r="O46" t="str">
        <f>IF(Inputs!J68&lt;&gt;"", B46/Inputs!$M$71, "")</f>
        <v/>
      </c>
      <c r="P46" t="str">
        <f>IF(Inputs!P68&lt;&gt;"", C46/Inputs!$S$71, "")</f>
        <v/>
      </c>
    </row>
    <row r="47" spans="1:16" x14ac:dyDescent="0.35">
      <c r="A47" t="str">
        <f>IF(Inputs!J69&lt;&gt;"",A46, "")</f>
        <v/>
      </c>
      <c r="B47" t="str">
        <f>IF(Inputs!J69&lt;&gt;"", Inputs!J69, "")</f>
        <v/>
      </c>
      <c r="C47" t="str">
        <f>IF(Inputs!P69&lt;&gt;"", Inputs!P69, "")</f>
        <v/>
      </c>
      <c r="D47" t="str">
        <f>IF(Inputs!P69&lt;&gt;"", IF(Inputs!B$64&lt;&gt;"", Inputs!B$64, IF(Inputs!B$52&lt;&gt;"", Inputs!B$52, Inputs!B$38)), "")</f>
        <v/>
      </c>
      <c r="E47" t="str">
        <f>IF(Inputs!P69&lt;&gt;"", IF(Inputs!D$64&lt;&gt;"", Inputs!D$64, IF(Inputs!D$52&lt;&gt;"", Inputs!D$52, Inputs!D$38)), "")</f>
        <v/>
      </c>
      <c r="F47" t="str">
        <f>IF(Inputs!P69&lt;&gt;"", IF(Inputs!F$64&lt;&gt;"", Inputs!F$64, IF(Inputs!F$52&lt;&gt;"", Inputs!F$52, Inputs!F$38)), "")</f>
        <v/>
      </c>
      <c r="G47" t="str">
        <f>IF(Inputs!P69&lt;&gt;"", IF(Inputs!B$63&lt;&gt;"", Inputs!B$63, IF(Inputs!B$51&lt;&gt;"", Inputs!B$51, Inputs!B$37)), "")</f>
        <v/>
      </c>
      <c r="H47" t="str">
        <f>IF(Inputs!P69&lt;&gt;"", IF(Inputs!D$63&lt;&gt;"", Inputs!D$63, IF(Inputs!D$51&lt;&gt;"", Inputs!D$51, Inputs!D$37)), "")</f>
        <v/>
      </c>
      <c r="I47" t="str">
        <f>IF(Inputs!P69&lt;&gt;"", IF(Inputs!F$63&lt;&gt;"", Inputs!F$63, IF(Inputs!F$51&lt;&gt;"", Inputs!F$51, Inputs!F$37)), "")</f>
        <v/>
      </c>
      <c r="J47" t="str">
        <f>IF(Inputs!P69&lt;&gt;"", IF(Inputs!F$68&lt;&gt;"", Inputs!F$68, IF(Inputs!F$56&lt;&gt;"", Inputs!F$56, Inputs!F$42)), "")</f>
        <v/>
      </c>
      <c r="K47" s="79" t="str">
        <f>IF(Inputs!P69&lt;&gt;"", IF(Inputs!F$69&lt;&gt;"", Inputs!F$69, IF(Inputs!F$57&lt;&gt;"", Inputs!F$57, IF(Inputs!F$43="", "", Inputs!F$43))), "")</f>
        <v/>
      </c>
      <c r="L47" t="str">
        <f>IF(Inputs!P69&lt;&gt;"", IF(Inputs!F$67&lt;&gt;"", Inputs!F$67, IF(Inputs!F$55&lt;&gt;"", Inputs!F$55, Inputs!F$41)), "")</f>
        <v/>
      </c>
      <c r="M47" t="str">
        <f>IF(Inputs!P69&lt;&gt;"",IF(Inputs!F$70&lt;&gt;"", Inputs!F$70,IF(Inputs!F$58&lt;&gt;"",Inputs!F$58,IF(Inputs!F$44&lt;&gt;"",Inputs!F$44,""))),"")</f>
        <v/>
      </c>
      <c r="N47" t="str">
        <f>IF(Inputs!P69&lt;&gt;"", Inputs!F$8, "")</f>
        <v/>
      </c>
      <c r="O47" t="str">
        <f>IF(Inputs!J69&lt;&gt;"", B47/Inputs!$M$71, "")</f>
        <v/>
      </c>
      <c r="P47" t="str">
        <f>IF(Inputs!P69&lt;&gt;"", C47/Inputs!$S$71, "")</f>
        <v/>
      </c>
    </row>
    <row r="48" spans="1:16" x14ac:dyDescent="0.35">
      <c r="A48" t="str">
        <f>IF(Inputs!J70&lt;&gt;"",A47, "")</f>
        <v/>
      </c>
      <c r="B48" t="str">
        <f>IF(Inputs!J70&lt;&gt;"", Inputs!J70, "")</f>
        <v/>
      </c>
      <c r="C48" t="str">
        <f>IF(Inputs!P70&lt;&gt;"", Inputs!P70, "")</f>
        <v/>
      </c>
      <c r="D48" t="str">
        <f>IF(Inputs!P70&lt;&gt;"", IF(Inputs!B$64&lt;&gt;"", Inputs!B$64, IF(Inputs!B$52&lt;&gt;"", Inputs!B$52, Inputs!B$38)), "")</f>
        <v/>
      </c>
      <c r="E48" t="str">
        <f>IF(Inputs!P70&lt;&gt;"", IF(Inputs!D$64&lt;&gt;"", Inputs!D$64, IF(Inputs!D$52&lt;&gt;"", Inputs!D$52, Inputs!D$38)), "")</f>
        <v/>
      </c>
      <c r="F48" t="str">
        <f>IF(Inputs!P70&lt;&gt;"", IF(Inputs!F$64&lt;&gt;"", Inputs!F$64, IF(Inputs!F$52&lt;&gt;"", Inputs!F$52, Inputs!F$38)), "")</f>
        <v/>
      </c>
      <c r="G48" t="str">
        <f>IF(Inputs!P70&lt;&gt;"", IF(Inputs!B$63&lt;&gt;"", Inputs!B$63, IF(Inputs!B$51&lt;&gt;"", Inputs!B$51, Inputs!B$37)), "")</f>
        <v/>
      </c>
      <c r="H48" t="str">
        <f>IF(Inputs!P70&lt;&gt;"", IF(Inputs!D$63&lt;&gt;"", Inputs!D$63, IF(Inputs!D$51&lt;&gt;"", Inputs!D$51, Inputs!D$37)), "")</f>
        <v/>
      </c>
      <c r="I48" t="str">
        <f>IF(Inputs!P70&lt;&gt;"", IF(Inputs!F$63&lt;&gt;"", Inputs!F$63, IF(Inputs!F$51&lt;&gt;"", Inputs!F$51, Inputs!F$37)), "")</f>
        <v/>
      </c>
      <c r="J48" t="str">
        <f>IF(Inputs!P70&lt;&gt;"", IF(Inputs!F$68&lt;&gt;"", Inputs!F$68, IF(Inputs!F$56&lt;&gt;"", Inputs!F$56, Inputs!F$42)), "")</f>
        <v/>
      </c>
      <c r="K48" s="79" t="str">
        <f>IF(Inputs!P70&lt;&gt;"", IF(Inputs!F$69&lt;&gt;"", Inputs!F$69, IF(Inputs!F$57&lt;&gt;"", Inputs!F$57, IF(Inputs!F$43="", "", Inputs!F$43))), "")</f>
        <v/>
      </c>
      <c r="L48" t="str">
        <f>IF(Inputs!P70&lt;&gt;"", IF(Inputs!F$67&lt;&gt;"", Inputs!F$67, IF(Inputs!F$55&lt;&gt;"", Inputs!F$55, Inputs!F$41)), "")</f>
        <v/>
      </c>
      <c r="M48" t="str">
        <f>IF(Inputs!P70&lt;&gt;"",IF(Inputs!F$70&lt;&gt;"", Inputs!F$70,IF(Inputs!F$58&lt;&gt;"",Inputs!F$58,IF(Inputs!F$44&lt;&gt;"",Inputs!F$44,""))),"")</f>
        <v/>
      </c>
      <c r="N48" t="str">
        <f>IF(Inputs!P70&lt;&gt;"", Inputs!F$8, "")</f>
        <v/>
      </c>
      <c r="O48" t="str">
        <f>IF(Inputs!J70&lt;&gt;"", B48/Inputs!$M$71, "")</f>
        <v/>
      </c>
      <c r="P48" t="str">
        <f>IF(Inputs!P70&lt;&gt;"", C48/Inputs!$S$71, "")</f>
        <v/>
      </c>
    </row>
    <row r="49" spans="1:16" x14ac:dyDescent="0.35">
      <c r="A49" t="str">
        <f>IF(Inputs!J71&lt;&gt;"",A48, "")</f>
        <v/>
      </c>
      <c r="B49" t="str">
        <f>IF(Inputs!J71&lt;&gt;"", Inputs!J71, "")</f>
        <v/>
      </c>
      <c r="C49" t="str">
        <f>IF(Inputs!P71&lt;&gt;"", Inputs!P71, "")</f>
        <v/>
      </c>
      <c r="D49" t="str">
        <f>IF(Inputs!P71&lt;&gt;"", IF(Inputs!B$64&lt;&gt;"", Inputs!B$64, IF(Inputs!B$52&lt;&gt;"", Inputs!B$52, Inputs!B$38)), "")</f>
        <v/>
      </c>
      <c r="E49" t="str">
        <f>IF(Inputs!P71&lt;&gt;"", IF(Inputs!D$64&lt;&gt;"", Inputs!D$64, IF(Inputs!D$52&lt;&gt;"", Inputs!D$52, Inputs!D$38)), "")</f>
        <v/>
      </c>
      <c r="F49" t="str">
        <f>IF(Inputs!P71&lt;&gt;"", IF(Inputs!F$64&lt;&gt;"", Inputs!F$64, IF(Inputs!F$52&lt;&gt;"", Inputs!F$52, Inputs!F$38)), "")</f>
        <v/>
      </c>
      <c r="G49" t="str">
        <f>IF(Inputs!P71&lt;&gt;"", IF(Inputs!B$63&lt;&gt;"", Inputs!B$63, IF(Inputs!B$51&lt;&gt;"", Inputs!B$51, Inputs!B$37)), "")</f>
        <v/>
      </c>
      <c r="H49" t="str">
        <f>IF(Inputs!P71&lt;&gt;"", IF(Inputs!D$63&lt;&gt;"", Inputs!D$63, IF(Inputs!D$51&lt;&gt;"", Inputs!D$51, Inputs!D$37)), "")</f>
        <v/>
      </c>
      <c r="I49" t="str">
        <f>IF(Inputs!P71&lt;&gt;"", IF(Inputs!F$63&lt;&gt;"", Inputs!F$63, IF(Inputs!F$51&lt;&gt;"", Inputs!F$51, Inputs!F$37)), "")</f>
        <v/>
      </c>
      <c r="J49" t="str">
        <f>IF(Inputs!P71&lt;&gt;"", IF(Inputs!F$68&lt;&gt;"", Inputs!F$68, IF(Inputs!F$56&lt;&gt;"", Inputs!F$56, Inputs!F$42)), "")</f>
        <v/>
      </c>
      <c r="K49" s="79" t="str">
        <f>IF(Inputs!P71&lt;&gt;"", IF(Inputs!F$69&lt;&gt;"", Inputs!F$69, IF(Inputs!F$57&lt;&gt;"", Inputs!F$57, IF(Inputs!F$43="", "", Inputs!F$43))), "")</f>
        <v/>
      </c>
      <c r="L49" t="str">
        <f>IF(Inputs!P71&lt;&gt;"", IF(Inputs!F$67&lt;&gt;"", Inputs!F$67, IF(Inputs!F$55&lt;&gt;"", Inputs!F$55, Inputs!F$41)), "")</f>
        <v/>
      </c>
      <c r="M49" t="str">
        <f>IF(Inputs!P71&lt;&gt;"",IF(Inputs!F$70&lt;&gt;"", Inputs!F$70,IF(Inputs!F$58&lt;&gt;"",Inputs!F$58,IF(Inputs!F$44&lt;&gt;"",Inputs!F$44,""))),"")</f>
        <v/>
      </c>
      <c r="N49" t="str">
        <f>IF(Inputs!P71&lt;&gt;"", Inputs!F$8, "")</f>
        <v/>
      </c>
      <c r="O49" t="str">
        <f>IF(Inputs!J71&lt;&gt;"", B49/Inputs!$M$71, "")</f>
        <v/>
      </c>
      <c r="P49" t="str">
        <f>IF(Inputs!P71&lt;&gt;"", C49/Inputs!$S$71, "")</f>
        <v/>
      </c>
    </row>
    <row r="50" spans="1:16" x14ac:dyDescent="0.35">
      <c r="A50" t="str">
        <f>IF(Inputs!J72&lt;&gt;"",A49, "")</f>
        <v/>
      </c>
      <c r="B50" t="str">
        <f>IF(Inputs!J72&lt;&gt;"", Inputs!J72, "")</f>
        <v/>
      </c>
      <c r="C50" t="str">
        <f>IF(Inputs!P72&lt;&gt;"", Inputs!P72, "")</f>
        <v/>
      </c>
      <c r="D50" t="str">
        <f>IF(Inputs!P72&lt;&gt;"", IF(Inputs!B$76&lt;&gt;"", Inputs!B$76, IF(Inputs!B$64&lt;&gt;"", Inputs!B$64, IF(Inputs!B$52&lt;&gt;"", Inputs!B$52, Inputs!B$38))), "")</f>
        <v/>
      </c>
      <c r="E50" t="str">
        <f>IF(Inputs!P72&lt;&gt;"", IF(Inputs!D$76&lt;&gt;"", Inputs!D$76, IF(Inputs!D$64&lt;&gt;"", Inputs!D$64, IF(Inputs!D$52&lt;&gt;"", Inputs!D$52, Inputs!D$38))), "")</f>
        <v/>
      </c>
      <c r="F50" t="str">
        <f>IF(Inputs!P72&lt;&gt;"", IF(Inputs!F$76&lt;&gt;"", Inputs!F$76, IF(Inputs!F$64&lt;&gt;"", Inputs!F$64, IF(Inputs!F$52&lt;&gt;"", Inputs!F$52, Inputs!F$38))), "")</f>
        <v/>
      </c>
      <c r="G50" t="str">
        <f>IF(Inputs!P72&lt;&gt;"", IF(Inputs!B$75&lt;&gt;"", Inputs!B$75, IF(Inputs!B$63&lt;&gt;"", Inputs!B$63, IF(Inputs!B$51&lt;&gt;"", Inputs!B$51, Inputs!B$37))), "")</f>
        <v/>
      </c>
      <c r="H50" t="str">
        <f>IF(Inputs!P72&lt;&gt;"", IF(Inputs!D$75&lt;&gt;"", Inputs!D$75, IF(Inputs!D$63&lt;&gt;"", Inputs!D$63, IF(Inputs!D$51&lt;&gt;"", Inputs!D$51, Inputs!D$37))), "")</f>
        <v/>
      </c>
      <c r="I50" t="str">
        <f>IF(Inputs!P72&lt;&gt;"", IF(Inputs!F$75&lt;&gt;"", Inputs!F$75, IF(Inputs!F$63&lt;&gt;"", Inputs!F$63, IF(Inputs!F$51&lt;&gt;"", Inputs!F$51, Inputs!F$37))), "")</f>
        <v/>
      </c>
      <c r="J50" t="str">
        <f>IF(Inputs!P72&lt;&gt;"", IF(Inputs!F$80&lt;&gt;"", Inputs!F$80, IF(Inputs!F$68&lt;&gt;"", Inputs!F$68, IF(Inputs!F$56&lt;&gt;"", Inputs!F$56, Inputs!F$42))), "")</f>
        <v/>
      </c>
      <c r="K50" s="79" t="str">
        <f>IF(Inputs!P72&lt;&gt;"", IF(Inputs!F$81&lt;&gt;"", Inputs!F$81, IF(Inputs!F$69&lt;&gt;"", Inputs!F$69, IF(Inputs!F$57&lt;&gt;"", Inputs!F$57, IF(Inputs!F$43="", "", Inputs!F$43)))), "")</f>
        <v/>
      </c>
      <c r="L50" t="str">
        <f>IF(Inputs!P72&lt;&gt;"", IF(Inputs!F$79&lt;&gt;"", Inputs!F$79, IF(Inputs!F$67&lt;&gt;"", Inputs!F$67, IF(Inputs!F$55&lt;&gt;"", Inputs!F$55, Inputs!F$41))), "")</f>
        <v/>
      </c>
      <c r="M50" t="str">
        <f>IF(Inputs!P72&lt;&gt;"",IF(Inputs!F$82&lt;&gt;"", Inputs!F$82, IF(Inputs!F$70&lt;&gt;"", Inputs!F$70,IF(Inputs!F$58&lt;&gt;"",Inputs!F$58,IF(Inputs!F$44&lt;&gt;"",Inputs!F$44,"")))),"")</f>
        <v/>
      </c>
      <c r="N50" t="str">
        <f>IF(Inputs!P72&lt;&gt;"", Inputs!F$8, "")</f>
        <v/>
      </c>
      <c r="O50" t="str">
        <f>IF(Inputs!J72&lt;&gt;"", B50/Inputs!$M$83, "")</f>
        <v/>
      </c>
      <c r="P50" t="str">
        <f>IF(Inputs!P72&lt;&gt;"", C50/Inputs!$S$83, "")</f>
        <v/>
      </c>
    </row>
    <row r="51" spans="1:16" x14ac:dyDescent="0.35">
      <c r="A51" t="str">
        <f>IF(Inputs!J73&lt;&gt;"",A50, "")</f>
        <v/>
      </c>
      <c r="B51" t="str">
        <f>IF(Inputs!J73&lt;&gt;"", Inputs!J73, "")</f>
        <v/>
      </c>
      <c r="C51" t="str">
        <f>IF(Inputs!P73&lt;&gt;"", Inputs!P73, "")</f>
        <v/>
      </c>
      <c r="D51" t="str">
        <f>IF(Inputs!P73&lt;&gt;"", IF(Inputs!B$76&lt;&gt;"", Inputs!B$76, IF(Inputs!B$64&lt;&gt;"", Inputs!B$64, IF(Inputs!B$52&lt;&gt;"", Inputs!B$52, Inputs!B$38))), "")</f>
        <v/>
      </c>
      <c r="E51" t="str">
        <f>IF(Inputs!P73&lt;&gt;"", IF(Inputs!D$76&lt;&gt;"", Inputs!D$76, IF(Inputs!D$64&lt;&gt;"", Inputs!D$64, IF(Inputs!D$52&lt;&gt;"", Inputs!D$52, Inputs!D$38))), "")</f>
        <v/>
      </c>
      <c r="F51" t="str">
        <f>IF(Inputs!P73&lt;&gt;"", IF(Inputs!F$76&lt;&gt;"", Inputs!F$76, IF(Inputs!F$64&lt;&gt;"", Inputs!F$64, IF(Inputs!F$52&lt;&gt;"", Inputs!F$52, Inputs!F$38))), "")</f>
        <v/>
      </c>
      <c r="G51" t="str">
        <f>IF(Inputs!P73&lt;&gt;"", IF(Inputs!B$75&lt;&gt;"", Inputs!B$75, IF(Inputs!B$63&lt;&gt;"", Inputs!B$63, IF(Inputs!B$51&lt;&gt;"", Inputs!B$51, Inputs!B$37))), "")</f>
        <v/>
      </c>
      <c r="H51" t="str">
        <f>IF(Inputs!P73&lt;&gt;"", IF(Inputs!D$75&lt;&gt;"", Inputs!D$75, IF(Inputs!D$63&lt;&gt;"", Inputs!D$63, IF(Inputs!D$51&lt;&gt;"", Inputs!D$51, Inputs!D$37))), "")</f>
        <v/>
      </c>
      <c r="I51" t="str">
        <f>IF(Inputs!P73&lt;&gt;"", IF(Inputs!F$75&lt;&gt;"", Inputs!F$75, IF(Inputs!F$63&lt;&gt;"", Inputs!F$63, IF(Inputs!F$51&lt;&gt;"", Inputs!F$51, Inputs!F$37))), "")</f>
        <v/>
      </c>
      <c r="J51" t="str">
        <f>IF(Inputs!P73&lt;&gt;"", IF(Inputs!F$80&lt;&gt;"", Inputs!F$80, IF(Inputs!F$68&lt;&gt;"", Inputs!F$68, IF(Inputs!F$56&lt;&gt;"", Inputs!F$56, Inputs!F$42))), "")</f>
        <v/>
      </c>
      <c r="K51" s="79" t="str">
        <f>IF(Inputs!P73&lt;&gt;"", IF(Inputs!F$81&lt;&gt;"", Inputs!F$81, IF(Inputs!F$69&lt;&gt;"", Inputs!F$69, IF(Inputs!F$57&lt;&gt;"", Inputs!F$57, IF(Inputs!F$43="", "", Inputs!F$43)))), "")</f>
        <v/>
      </c>
      <c r="L51" t="str">
        <f>IF(Inputs!P73&lt;&gt;"", IF(Inputs!F$79&lt;&gt;"", Inputs!F$79, IF(Inputs!F$67&lt;&gt;"", Inputs!F$67, IF(Inputs!F$55&lt;&gt;"", Inputs!F$55, Inputs!F$41))), "")</f>
        <v/>
      </c>
      <c r="M51" t="str">
        <f>IF(Inputs!P73&lt;&gt;"",IF(Inputs!F$82&lt;&gt;"", Inputs!F$82, IF(Inputs!F$70&lt;&gt;"", Inputs!F$70,IF(Inputs!F$58&lt;&gt;"",Inputs!F$58,IF(Inputs!F$44&lt;&gt;"",Inputs!F$44,"")))),"")</f>
        <v/>
      </c>
      <c r="N51" t="str">
        <f>IF(Inputs!P73&lt;&gt;"", Inputs!F$8, "")</f>
        <v/>
      </c>
      <c r="O51" t="str">
        <f>IF(Inputs!J73&lt;&gt;"", B51/Inputs!$M$83, "")</f>
        <v/>
      </c>
      <c r="P51" t="str">
        <f>IF(Inputs!P73&lt;&gt;"", C51/Inputs!$S$83, "")</f>
        <v/>
      </c>
    </row>
    <row r="52" spans="1:16" x14ac:dyDescent="0.35">
      <c r="A52" t="str">
        <f>IF(Inputs!J74&lt;&gt;"",A51, "")</f>
        <v/>
      </c>
      <c r="B52" t="str">
        <f>IF(Inputs!J74&lt;&gt;"", Inputs!J74, "")</f>
        <v/>
      </c>
      <c r="C52" t="str">
        <f>IF(Inputs!P74&lt;&gt;"", Inputs!P74, "")</f>
        <v/>
      </c>
      <c r="D52" t="str">
        <f>IF(Inputs!P74&lt;&gt;"", IF(Inputs!B$76&lt;&gt;"", Inputs!B$76, IF(Inputs!B$64&lt;&gt;"", Inputs!B$64, IF(Inputs!B$52&lt;&gt;"", Inputs!B$52, Inputs!B$38))), "")</f>
        <v/>
      </c>
      <c r="E52" t="str">
        <f>IF(Inputs!P74&lt;&gt;"", IF(Inputs!D$76&lt;&gt;"", Inputs!D$76, IF(Inputs!D$64&lt;&gt;"", Inputs!D$64, IF(Inputs!D$52&lt;&gt;"", Inputs!D$52, Inputs!D$38))), "")</f>
        <v/>
      </c>
      <c r="F52" t="str">
        <f>IF(Inputs!P74&lt;&gt;"", IF(Inputs!F$76&lt;&gt;"", Inputs!F$76, IF(Inputs!F$64&lt;&gt;"", Inputs!F$64, IF(Inputs!F$52&lt;&gt;"", Inputs!F$52, Inputs!F$38))), "")</f>
        <v/>
      </c>
      <c r="G52" t="str">
        <f>IF(Inputs!P74&lt;&gt;"", IF(Inputs!B$75&lt;&gt;"", Inputs!B$75, IF(Inputs!B$63&lt;&gt;"", Inputs!B$63, IF(Inputs!B$51&lt;&gt;"", Inputs!B$51, Inputs!B$37))), "")</f>
        <v/>
      </c>
      <c r="H52" t="str">
        <f>IF(Inputs!P74&lt;&gt;"", IF(Inputs!D$75&lt;&gt;"", Inputs!D$75, IF(Inputs!D$63&lt;&gt;"", Inputs!D$63, IF(Inputs!D$51&lt;&gt;"", Inputs!D$51, Inputs!D$37))), "")</f>
        <v/>
      </c>
      <c r="I52" t="str">
        <f>IF(Inputs!P74&lt;&gt;"", IF(Inputs!F$75&lt;&gt;"", Inputs!F$75, IF(Inputs!F$63&lt;&gt;"", Inputs!F$63, IF(Inputs!F$51&lt;&gt;"", Inputs!F$51, Inputs!F$37))), "")</f>
        <v/>
      </c>
      <c r="J52" t="str">
        <f>IF(Inputs!P74&lt;&gt;"", IF(Inputs!F$80&lt;&gt;"", Inputs!F$80, IF(Inputs!F$68&lt;&gt;"", Inputs!F$68, IF(Inputs!F$56&lt;&gt;"", Inputs!F$56, Inputs!F$42))), "")</f>
        <v/>
      </c>
      <c r="K52" s="79" t="str">
        <f>IF(Inputs!P74&lt;&gt;"", IF(Inputs!F$81&lt;&gt;"", Inputs!F$81, IF(Inputs!F$69&lt;&gt;"", Inputs!F$69, IF(Inputs!F$57&lt;&gt;"", Inputs!F$57, IF(Inputs!F$43="", "", Inputs!F$43)))), "")</f>
        <v/>
      </c>
      <c r="L52" t="str">
        <f>IF(Inputs!P74&lt;&gt;"", IF(Inputs!F$79&lt;&gt;"", Inputs!F$79, IF(Inputs!F$67&lt;&gt;"", Inputs!F$67, IF(Inputs!F$55&lt;&gt;"", Inputs!F$55, Inputs!F$41))), "")</f>
        <v/>
      </c>
      <c r="M52" t="str">
        <f>IF(Inputs!P74&lt;&gt;"",IF(Inputs!F$82&lt;&gt;"", Inputs!F$82, IF(Inputs!F$70&lt;&gt;"", Inputs!F$70,IF(Inputs!F$58&lt;&gt;"",Inputs!F$58,IF(Inputs!F$44&lt;&gt;"",Inputs!F$44,"")))),"")</f>
        <v/>
      </c>
      <c r="N52" t="str">
        <f>IF(Inputs!P74&lt;&gt;"", Inputs!F$8, "")</f>
        <v/>
      </c>
      <c r="O52" t="str">
        <f>IF(Inputs!J74&lt;&gt;"", B52/Inputs!$M$83, "")</f>
        <v/>
      </c>
      <c r="P52" t="str">
        <f>IF(Inputs!P74&lt;&gt;"", C52/Inputs!$S$83, "")</f>
        <v/>
      </c>
    </row>
    <row r="53" spans="1:16" x14ac:dyDescent="0.35">
      <c r="A53" t="str">
        <f>IF(Inputs!J75&lt;&gt;"",A52, "")</f>
        <v/>
      </c>
      <c r="B53" t="str">
        <f>IF(Inputs!J75&lt;&gt;"", Inputs!J75, "")</f>
        <v/>
      </c>
      <c r="C53" t="str">
        <f>IF(Inputs!P75&lt;&gt;"", Inputs!P75, "")</f>
        <v/>
      </c>
      <c r="D53" t="str">
        <f>IF(Inputs!P75&lt;&gt;"", IF(Inputs!B$76&lt;&gt;"", Inputs!B$76, IF(Inputs!B$64&lt;&gt;"", Inputs!B$64, IF(Inputs!B$52&lt;&gt;"", Inputs!B$52, Inputs!B$38))), "")</f>
        <v/>
      </c>
      <c r="E53" t="str">
        <f>IF(Inputs!P75&lt;&gt;"", IF(Inputs!D$76&lt;&gt;"", Inputs!D$76, IF(Inputs!D$64&lt;&gt;"", Inputs!D$64, IF(Inputs!D$52&lt;&gt;"", Inputs!D$52, Inputs!D$38))), "")</f>
        <v/>
      </c>
      <c r="F53" t="str">
        <f>IF(Inputs!P75&lt;&gt;"", IF(Inputs!F$76&lt;&gt;"", Inputs!F$76, IF(Inputs!F$64&lt;&gt;"", Inputs!F$64, IF(Inputs!F$52&lt;&gt;"", Inputs!F$52, Inputs!F$38))), "")</f>
        <v/>
      </c>
      <c r="G53" t="str">
        <f>IF(Inputs!P75&lt;&gt;"", IF(Inputs!B$75&lt;&gt;"", Inputs!B$75, IF(Inputs!B$63&lt;&gt;"", Inputs!B$63, IF(Inputs!B$51&lt;&gt;"", Inputs!B$51, Inputs!B$37))), "")</f>
        <v/>
      </c>
      <c r="H53" t="str">
        <f>IF(Inputs!P75&lt;&gt;"", IF(Inputs!D$75&lt;&gt;"", Inputs!D$75, IF(Inputs!D$63&lt;&gt;"", Inputs!D$63, IF(Inputs!D$51&lt;&gt;"", Inputs!D$51, Inputs!D$37))), "")</f>
        <v/>
      </c>
      <c r="I53" t="str">
        <f>IF(Inputs!P75&lt;&gt;"", IF(Inputs!F$75&lt;&gt;"", Inputs!F$75, IF(Inputs!F$63&lt;&gt;"", Inputs!F$63, IF(Inputs!F$51&lt;&gt;"", Inputs!F$51, Inputs!F$37))), "")</f>
        <v/>
      </c>
      <c r="J53" t="str">
        <f>IF(Inputs!P75&lt;&gt;"", IF(Inputs!F$80&lt;&gt;"", Inputs!F$80, IF(Inputs!F$68&lt;&gt;"", Inputs!F$68, IF(Inputs!F$56&lt;&gt;"", Inputs!F$56, Inputs!F$42))), "")</f>
        <v/>
      </c>
      <c r="K53" s="79" t="str">
        <f>IF(Inputs!P75&lt;&gt;"", IF(Inputs!F$81&lt;&gt;"", Inputs!F$81, IF(Inputs!F$69&lt;&gt;"", Inputs!F$69, IF(Inputs!F$57&lt;&gt;"", Inputs!F$57, IF(Inputs!F$43="", "", Inputs!F$43)))), "")</f>
        <v/>
      </c>
      <c r="L53" t="str">
        <f>IF(Inputs!P75&lt;&gt;"", IF(Inputs!F$79&lt;&gt;"", Inputs!F$79, IF(Inputs!F$67&lt;&gt;"", Inputs!F$67, IF(Inputs!F$55&lt;&gt;"", Inputs!F$55, Inputs!F$41))), "")</f>
        <v/>
      </c>
      <c r="M53" t="str">
        <f>IF(Inputs!P75&lt;&gt;"",IF(Inputs!F$82&lt;&gt;"", Inputs!F$82, IF(Inputs!F$70&lt;&gt;"", Inputs!F$70,IF(Inputs!F$58&lt;&gt;"",Inputs!F$58,IF(Inputs!F$44&lt;&gt;"",Inputs!F$44,"")))),"")</f>
        <v/>
      </c>
      <c r="N53" t="str">
        <f>IF(Inputs!P75&lt;&gt;"", Inputs!F$8, "")</f>
        <v/>
      </c>
      <c r="O53" t="str">
        <f>IF(Inputs!J75&lt;&gt;"", B53/Inputs!$M$83, "")</f>
        <v/>
      </c>
      <c r="P53" t="str">
        <f>IF(Inputs!P75&lt;&gt;"", C53/Inputs!$S$83, "")</f>
        <v/>
      </c>
    </row>
    <row r="54" spans="1:16" x14ac:dyDescent="0.35">
      <c r="A54" t="str">
        <f>IF(Inputs!J76&lt;&gt;"",A53, "")</f>
        <v/>
      </c>
      <c r="B54" t="str">
        <f>IF(Inputs!J76&lt;&gt;"", Inputs!J76, "")</f>
        <v/>
      </c>
      <c r="C54" t="str">
        <f>IF(Inputs!P76&lt;&gt;"", Inputs!P76, "")</f>
        <v/>
      </c>
      <c r="D54" t="str">
        <f>IF(Inputs!P76&lt;&gt;"", IF(Inputs!B$76&lt;&gt;"", Inputs!B$76, IF(Inputs!B$64&lt;&gt;"", Inputs!B$64, IF(Inputs!B$52&lt;&gt;"", Inputs!B$52, Inputs!B$38))), "")</f>
        <v/>
      </c>
      <c r="E54" t="str">
        <f>IF(Inputs!P76&lt;&gt;"", IF(Inputs!D$76&lt;&gt;"", Inputs!D$76, IF(Inputs!D$64&lt;&gt;"", Inputs!D$64, IF(Inputs!D$52&lt;&gt;"", Inputs!D$52, Inputs!D$38))), "")</f>
        <v/>
      </c>
      <c r="F54" t="str">
        <f>IF(Inputs!P76&lt;&gt;"", IF(Inputs!F$76&lt;&gt;"", Inputs!F$76, IF(Inputs!F$64&lt;&gt;"", Inputs!F$64, IF(Inputs!F$52&lt;&gt;"", Inputs!F$52, Inputs!F$38))), "")</f>
        <v/>
      </c>
      <c r="G54" t="str">
        <f>IF(Inputs!P76&lt;&gt;"", IF(Inputs!B$75&lt;&gt;"", Inputs!B$75, IF(Inputs!B$63&lt;&gt;"", Inputs!B$63, IF(Inputs!B$51&lt;&gt;"", Inputs!B$51, Inputs!B$37))), "")</f>
        <v/>
      </c>
      <c r="H54" t="str">
        <f>IF(Inputs!P76&lt;&gt;"", IF(Inputs!D$75&lt;&gt;"", Inputs!D$75, IF(Inputs!D$63&lt;&gt;"", Inputs!D$63, IF(Inputs!D$51&lt;&gt;"", Inputs!D$51, Inputs!D$37))), "")</f>
        <v/>
      </c>
      <c r="I54" t="str">
        <f>IF(Inputs!P76&lt;&gt;"", IF(Inputs!F$75&lt;&gt;"", Inputs!F$75, IF(Inputs!F$63&lt;&gt;"", Inputs!F$63, IF(Inputs!F$51&lt;&gt;"", Inputs!F$51, Inputs!F$37))), "")</f>
        <v/>
      </c>
      <c r="J54" t="str">
        <f>IF(Inputs!P76&lt;&gt;"", IF(Inputs!F$80&lt;&gt;"", Inputs!F$80, IF(Inputs!F$68&lt;&gt;"", Inputs!F$68, IF(Inputs!F$56&lt;&gt;"", Inputs!F$56, Inputs!F$42))), "")</f>
        <v/>
      </c>
      <c r="K54" s="79" t="str">
        <f>IF(Inputs!P76&lt;&gt;"", IF(Inputs!F$81&lt;&gt;"", Inputs!F$81, IF(Inputs!F$69&lt;&gt;"", Inputs!F$69, IF(Inputs!F$57&lt;&gt;"", Inputs!F$57, IF(Inputs!F$43="", "", Inputs!F$43)))), "")</f>
        <v/>
      </c>
      <c r="L54" t="str">
        <f>IF(Inputs!P76&lt;&gt;"", IF(Inputs!F$79&lt;&gt;"", Inputs!F$79, IF(Inputs!F$67&lt;&gt;"", Inputs!F$67, IF(Inputs!F$55&lt;&gt;"", Inputs!F$55, Inputs!F$41))), "")</f>
        <v/>
      </c>
      <c r="M54" t="str">
        <f>IF(Inputs!P76&lt;&gt;"",IF(Inputs!F$82&lt;&gt;"", Inputs!F$82, IF(Inputs!F$70&lt;&gt;"", Inputs!F$70,IF(Inputs!F$58&lt;&gt;"",Inputs!F$58,IF(Inputs!F$44&lt;&gt;"",Inputs!F$44,"")))),"")</f>
        <v/>
      </c>
      <c r="N54" t="str">
        <f>IF(Inputs!P76&lt;&gt;"", Inputs!F$8, "")</f>
        <v/>
      </c>
      <c r="O54" t="str">
        <f>IF(Inputs!J76&lt;&gt;"", B54/Inputs!$M$83, "")</f>
        <v/>
      </c>
      <c r="P54" t="str">
        <f>IF(Inputs!P76&lt;&gt;"", C54/Inputs!$S$83, "")</f>
        <v/>
      </c>
    </row>
    <row r="55" spans="1:16" x14ac:dyDescent="0.35">
      <c r="A55" t="str">
        <f>IF(Inputs!J77&lt;&gt;"",A54, "")</f>
        <v/>
      </c>
      <c r="B55" t="str">
        <f>IF(Inputs!J77&lt;&gt;"", Inputs!J77, "")</f>
        <v/>
      </c>
      <c r="C55" t="str">
        <f>IF(Inputs!P77&lt;&gt;"", Inputs!P77, "")</f>
        <v/>
      </c>
      <c r="D55" t="str">
        <f>IF(Inputs!P77&lt;&gt;"", IF(Inputs!B$76&lt;&gt;"", Inputs!B$76, IF(Inputs!B$64&lt;&gt;"", Inputs!B$64, IF(Inputs!B$52&lt;&gt;"", Inputs!B$52, Inputs!B$38))), "")</f>
        <v/>
      </c>
      <c r="E55" t="str">
        <f>IF(Inputs!P77&lt;&gt;"", IF(Inputs!D$76&lt;&gt;"", Inputs!D$76, IF(Inputs!D$64&lt;&gt;"", Inputs!D$64, IF(Inputs!D$52&lt;&gt;"", Inputs!D$52, Inputs!D$38))), "")</f>
        <v/>
      </c>
      <c r="F55" t="str">
        <f>IF(Inputs!P77&lt;&gt;"", IF(Inputs!F$76&lt;&gt;"", Inputs!F$76, IF(Inputs!F$64&lt;&gt;"", Inputs!F$64, IF(Inputs!F$52&lt;&gt;"", Inputs!F$52, Inputs!F$38))), "")</f>
        <v/>
      </c>
      <c r="G55" t="str">
        <f>IF(Inputs!P77&lt;&gt;"", IF(Inputs!B$75&lt;&gt;"", Inputs!B$75, IF(Inputs!B$63&lt;&gt;"", Inputs!B$63, IF(Inputs!B$51&lt;&gt;"", Inputs!B$51, Inputs!B$37))), "")</f>
        <v/>
      </c>
      <c r="H55" t="str">
        <f>IF(Inputs!P77&lt;&gt;"", IF(Inputs!D$75&lt;&gt;"", Inputs!D$75, IF(Inputs!D$63&lt;&gt;"", Inputs!D$63, IF(Inputs!D$51&lt;&gt;"", Inputs!D$51, Inputs!D$37))), "")</f>
        <v/>
      </c>
      <c r="I55" t="str">
        <f>IF(Inputs!P77&lt;&gt;"", IF(Inputs!F$75&lt;&gt;"", Inputs!F$75, IF(Inputs!F$63&lt;&gt;"", Inputs!F$63, IF(Inputs!F$51&lt;&gt;"", Inputs!F$51, Inputs!F$37))), "")</f>
        <v/>
      </c>
      <c r="J55" t="str">
        <f>IF(Inputs!P77&lt;&gt;"", IF(Inputs!F$80&lt;&gt;"", Inputs!F$80, IF(Inputs!F$68&lt;&gt;"", Inputs!F$68, IF(Inputs!F$56&lt;&gt;"", Inputs!F$56, Inputs!F$42))), "")</f>
        <v/>
      </c>
      <c r="K55" s="79" t="str">
        <f>IF(Inputs!P77&lt;&gt;"", IF(Inputs!F$81&lt;&gt;"", Inputs!F$81, IF(Inputs!F$69&lt;&gt;"", Inputs!F$69, IF(Inputs!F$57&lt;&gt;"", Inputs!F$57, IF(Inputs!F$43="", "", Inputs!F$43)))), "")</f>
        <v/>
      </c>
      <c r="L55" t="str">
        <f>IF(Inputs!P77&lt;&gt;"", IF(Inputs!F$79&lt;&gt;"", Inputs!F$79, IF(Inputs!F$67&lt;&gt;"", Inputs!F$67, IF(Inputs!F$55&lt;&gt;"", Inputs!F$55, Inputs!F$41))), "")</f>
        <v/>
      </c>
      <c r="M55" t="str">
        <f>IF(Inputs!P77&lt;&gt;"",IF(Inputs!F$82&lt;&gt;"", Inputs!F$82, IF(Inputs!F$70&lt;&gt;"", Inputs!F$70,IF(Inputs!F$58&lt;&gt;"",Inputs!F$58,IF(Inputs!F$44&lt;&gt;"",Inputs!F$44,"")))),"")</f>
        <v/>
      </c>
      <c r="N55" t="str">
        <f>IF(Inputs!P77&lt;&gt;"", Inputs!F$8, "")</f>
        <v/>
      </c>
      <c r="O55" t="str">
        <f>IF(Inputs!J77&lt;&gt;"", B55/Inputs!$M$83, "")</f>
        <v/>
      </c>
      <c r="P55" t="str">
        <f>IF(Inputs!P77&lt;&gt;"", C55/Inputs!$S$83, "")</f>
        <v/>
      </c>
    </row>
    <row r="56" spans="1:16" x14ac:dyDescent="0.35">
      <c r="A56" t="str">
        <f>IF(Inputs!J78&lt;&gt;"",A55, "")</f>
        <v/>
      </c>
      <c r="B56" t="str">
        <f>IF(Inputs!J78&lt;&gt;"", Inputs!J78, "")</f>
        <v/>
      </c>
      <c r="C56" t="str">
        <f>IF(Inputs!P78&lt;&gt;"", Inputs!P78, "")</f>
        <v/>
      </c>
      <c r="D56" t="str">
        <f>IF(Inputs!P78&lt;&gt;"", IF(Inputs!B$76&lt;&gt;"", Inputs!B$76, IF(Inputs!B$64&lt;&gt;"", Inputs!B$64, IF(Inputs!B$52&lt;&gt;"", Inputs!B$52, Inputs!B$38))), "")</f>
        <v/>
      </c>
      <c r="E56" t="str">
        <f>IF(Inputs!P78&lt;&gt;"", IF(Inputs!D$76&lt;&gt;"", Inputs!D$76, IF(Inputs!D$64&lt;&gt;"", Inputs!D$64, IF(Inputs!D$52&lt;&gt;"", Inputs!D$52, Inputs!D$38))), "")</f>
        <v/>
      </c>
      <c r="F56" t="str">
        <f>IF(Inputs!P78&lt;&gt;"", IF(Inputs!F$76&lt;&gt;"", Inputs!F$76, IF(Inputs!F$64&lt;&gt;"", Inputs!F$64, IF(Inputs!F$52&lt;&gt;"", Inputs!F$52, Inputs!F$38))), "")</f>
        <v/>
      </c>
      <c r="G56" t="str">
        <f>IF(Inputs!P78&lt;&gt;"", IF(Inputs!B$75&lt;&gt;"", Inputs!B$75, IF(Inputs!B$63&lt;&gt;"", Inputs!B$63, IF(Inputs!B$51&lt;&gt;"", Inputs!B$51, Inputs!B$37))), "")</f>
        <v/>
      </c>
      <c r="H56" t="str">
        <f>IF(Inputs!P78&lt;&gt;"", IF(Inputs!D$75&lt;&gt;"", Inputs!D$75, IF(Inputs!D$63&lt;&gt;"", Inputs!D$63, IF(Inputs!D$51&lt;&gt;"", Inputs!D$51, Inputs!D$37))), "")</f>
        <v/>
      </c>
      <c r="I56" t="str">
        <f>IF(Inputs!P78&lt;&gt;"", IF(Inputs!F$75&lt;&gt;"", Inputs!F$75, IF(Inputs!F$63&lt;&gt;"", Inputs!F$63, IF(Inputs!F$51&lt;&gt;"", Inputs!F$51, Inputs!F$37))), "")</f>
        <v/>
      </c>
      <c r="J56" t="str">
        <f>IF(Inputs!P78&lt;&gt;"", IF(Inputs!F$80&lt;&gt;"", Inputs!F$80, IF(Inputs!F$68&lt;&gt;"", Inputs!F$68, IF(Inputs!F$56&lt;&gt;"", Inputs!F$56, Inputs!F$42))), "")</f>
        <v/>
      </c>
      <c r="K56" s="79" t="str">
        <f>IF(Inputs!P78&lt;&gt;"", IF(Inputs!F$81&lt;&gt;"", Inputs!F$81, IF(Inputs!F$69&lt;&gt;"", Inputs!F$69, IF(Inputs!F$57&lt;&gt;"", Inputs!F$57, IF(Inputs!F$43="", "", Inputs!F$43)))), "")</f>
        <v/>
      </c>
      <c r="L56" t="str">
        <f>IF(Inputs!P78&lt;&gt;"", IF(Inputs!F$79&lt;&gt;"", Inputs!F$79, IF(Inputs!F$67&lt;&gt;"", Inputs!F$67, IF(Inputs!F$55&lt;&gt;"", Inputs!F$55, Inputs!F$41))), "")</f>
        <v/>
      </c>
      <c r="M56" t="str">
        <f>IF(Inputs!P78&lt;&gt;"",IF(Inputs!F$82&lt;&gt;"", Inputs!F$82, IF(Inputs!F$70&lt;&gt;"", Inputs!F$70,IF(Inputs!F$58&lt;&gt;"",Inputs!F$58,IF(Inputs!F$44&lt;&gt;"",Inputs!F$44,"")))),"")</f>
        <v/>
      </c>
      <c r="N56" t="str">
        <f>IF(Inputs!P78&lt;&gt;"", Inputs!F$8, "")</f>
        <v/>
      </c>
      <c r="O56" t="str">
        <f>IF(Inputs!J78&lt;&gt;"", B56/Inputs!$M$83, "")</f>
        <v/>
      </c>
      <c r="P56" t="str">
        <f>IF(Inputs!P78&lt;&gt;"", C56/Inputs!$S$83, "")</f>
        <v/>
      </c>
    </row>
    <row r="57" spans="1:16" x14ac:dyDescent="0.35">
      <c r="A57" t="str">
        <f>IF(Inputs!J79&lt;&gt;"",A56, "")</f>
        <v/>
      </c>
      <c r="B57" t="str">
        <f>IF(Inputs!J79&lt;&gt;"", Inputs!J79, "")</f>
        <v/>
      </c>
      <c r="C57" t="str">
        <f>IF(Inputs!P79&lt;&gt;"", Inputs!P79, "")</f>
        <v/>
      </c>
      <c r="D57" t="str">
        <f>IF(Inputs!P79&lt;&gt;"", IF(Inputs!B$76&lt;&gt;"", Inputs!B$76, IF(Inputs!B$64&lt;&gt;"", Inputs!B$64, IF(Inputs!B$52&lt;&gt;"", Inputs!B$52, Inputs!B$38))), "")</f>
        <v/>
      </c>
      <c r="E57" t="str">
        <f>IF(Inputs!P79&lt;&gt;"", IF(Inputs!D$76&lt;&gt;"", Inputs!D$76, IF(Inputs!D$64&lt;&gt;"", Inputs!D$64, IF(Inputs!D$52&lt;&gt;"", Inputs!D$52, Inputs!D$38))), "")</f>
        <v/>
      </c>
      <c r="F57" t="str">
        <f>IF(Inputs!P79&lt;&gt;"", IF(Inputs!F$76&lt;&gt;"", Inputs!F$76, IF(Inputs!F$64&lt;&gt;"", Inputs!F$64, IF(Inputs!F$52&lt;&gt;"", Inputs!F$52, Inputs!F$38))), "")</f>
        <v/>
      </c>
      <c r="G57" t="str">
        <f>IF(Inputs!P79&lt;&gt;"", IF(Inputs!B$75&lt;&gt;"", Inputs!B$75, IF(Inputs!B$63&lt;&gt;"", Inputs!B$63, IF(Inputs!B$51&lt;&gt;"", Inputs!B$51, Inputs!B$37))), "")</f>
        <v/>
      </c>
      <c r="H57" t="str">
        <f>IF(Inputs!P79&lt;&gt;"", IF(Inputs!D$75&lt;&gt;"", Inputs!D$75, IF(Inputs!D$63&lt;&gt;"", Inputs!D$63, IF(Inputs!D$51&lt;&gt;"", Inputs!D$51, Inputs!D$37))), "")</f>
        <v/>
      </c>
      <c r="I57" t="str">
        <f>IF(Inputs!P79&lt;&gt;"", IF(Inputs!F$75&lt;&gt;"", Inputs!F$75, IF(Inputs!F$63&lt;&gt;"", Inputs!F$63, IF(Inputs!F$51&lt;&gt;"", Inputs!F$51, Inputs!F$37))), "")</f>
        <v/>
      </c>
      <c r="J57" t="str">
        <f>IF(Inputs!P79&lt;&gt;"", IF(Inputs!F$80&lt;&gt;"", Inputs!F$80, IF(Inputs!F$68&lt;&gt;"", Inputs!F$68, IF(Inputs!F$56&lt;&gt;"", Inputs!F$56, Inputs!F$42))), "")</f>
        <v/>
      </c>
      <c r="K57" s="79" t="str">
        <f>IF(Inputs!P79&lt;&gt;"", IF(Inputs!F$81&lt;&gt;"", Inputs!F$81, IF(Inputs!F$69&lt;&gt;"", Inputs!F$69, IF(Inputs!F$57&lt;&gt;"", Inputs!F$57, IF(Inputs!F$43="", "", Inputs!F$43)))), "")</f>
        <v/>
      </c>
      <c r="L57" t="str">
        <f>IF(Inputs!P79&lt;&gt;"", IF(Inputs!F$79&lt;&gt;"", Inputs!F$79, IF(Inputs!F$67&lt;&gt;"", Inputs!F$67, IF(Inputs!F$55&lt;&gt;"", Inputs!F$55, Inputs!F$41))), "")</f>
        <v/>
      </c>
      <c r="M57" t="str">
        <f>IF(Inputs!P79&lt;&gt;"",IF(Inputs!F$82&lt;&gt;"", Inputs!F$82, IF(Inputs!F$70&lt;&gt;"", Inputs!F$70,IF(Inputs!F$58&lt;&gt;"",Inputs!F$58,IF(Inputs!F$44&lt;&gt;"",Inputs!F$44,"")))),"")</f>
        <v/>
      </c>
      <c r="N57" t="str">
        <f>IF(Inputs!P79&lt;&gt;"", Inputs!F$8, "")</f>
        <v/>
      </c>
      <c r="O57" t="str">
        <f>IF(Inputs!J79&lt;&gt;"", B57/Inputs!$M$83, "")</f>
        <v/>
      </c>
      <c r="P57" t="str">
        <f>IF(Inputs!P79&lt;&gt;"", C57/Inputs!$S$83, "")</f>
        <v/>
      </c>
    </row>
    <row r="58" spans="1:16" x14ac:dyDescent="0.35">
      <c r="A58" t="str">
        <f>IF(Inputs!J80&lt;&gt;"",A57, "")</f>
        <v/>
      </c>
      <c r="B58" t="str">
        <f>IF(Inputs!J80&lt;&gt;"", Inputs!J80, "")</f>
        <v/>
      </c>
      <c r="C58" t="str">
        <f>IF(Inputs!P80&lt;&gt;"", Inputs!P80, "")</f>
        <v/>
      </c>
      <c r="D58" t="str">
        <f>IF(Inputs!P80&lt;&gt;"", IF(Inputs!B$76&lt;&gt;"", Inputs!B$76, IF(Inputs!B$64&lt;&gt;"", Inputs!B$64, IF(Inputs!B$52&lt;&gt;"", Inputs!B$52, Inputs!B$38))), "")</f>
        <v/>
      </c>
      <c r="E58" t="str">
        <f>IF(Inputs!P80&lt;&gt;"", IF(Inputs!D$76&lt;&gt;"", Inputs!D$76, IF(Inputs!D$64&lt;&gt;"", Inputs!D$64, IF(Inputs!D$52&lt;&gt;"", Inputs!D$52, Inputs!D$38))), "")</f>
        <v/>
      </c>
      <c r="F58" t="str">
        <f>IF(Inputs!P80&lt;&gt;"", IF(Inputs!F$76&lt;&gt;"", Inputs!F$76, IF(Inputs!F$64&lt;&gt;"", Inputs!F$64, IF(Inputs!F$52&lt;&gt;"", Inputs!F$52, Inputs!F$38))), "")</f>
        <v/>
      </c>
      <c r="G58" t="str">
        <f>IF(Inputs!P80&lt;&gt;"", IF(Inputs!B$75&lt;&gt;"", Inputs!B$75, IF(Inputs!B$63&lt;&gt;"", Inputs!B$63, IF(Inputs!B$51&lt;&gt;"", Inputs!B$51, Inputs!B$37))), "")</f>
        <v/>
      </c>
      <c r="H58" t="str">
        <f>IF(Inputs!P80&lt;&gt;"", IF(Inputs!D$75&lt;&gt;"", Inputs!D$75, IF(Inputs!D$63&lt;&gt;"", Inputs!D$63, IF(Inputs!D$51&lt;&gt;"", Inputs!D$51, Inputs!D$37))), "")</f>
        <v/>
      </c>
      <c r="I58" t="str">
        <f>IF(Inputs!P80&lt;&gt;"", IF(Inputs!F$75&lt;&gt;"", Inputs!F$75, IF(Inputs!F$63&lt;&gt;"", Inputs!F$63, IF(Inputs!F$51&lt;&gt;"", Inputs!F$51, Inputs!F$37))), "")</f>
        <v/>
      </c>
      <c r="J58" t="str">
        <f>IF(Inputs!P80&lt;&gt;"", IF(Inputs!F$80&lt;&gt;"", Inputs!F$80, IF(Inputs!F$68&lt;&gt;"", Inputs!F$68, IF(Inputs!F$56&lt;&gt;"", Inputs!F$56, Inputs!F$42))), "")</f>
        <v/>
      </c>
      <c r="K58" s="79" t="str">
        <f>IF(Inputs!P80&lt;&gt;"", IF(Inputs!F$81&lt;&gt;"", Inputs!F$81, IF(Inputs!F$69&lt;&gt;"", Inputs!F$69, IF(Inputs!F$57&lt;&gt;"", Inputs!F$57, IF(Inputs!F$43="", "", Inputs!F$43)))), "")</f>
        <v/>
      </c>
      <c r="L58" t="str">
        <f>IF(Inputs!P80&lt;&gt;"", IF(Inputs!F$79&lt;&gt;"", Inputs!F$79, IF(Inputs!F$67&lt;&gt;"", Inputs!F$67, IF(Inputs!F$55&lt;&gt;"", Inputs!F$55, Inputs!F$41))), "")</f>
        <v/>
      </c>
      <c r="M58" t="str">
        <f>IF(Inputs!P80&lt;&gt;"",IF(Inputs!F$82&lt;&gt;"", Inputs!F$82, IF(Inputs!F$70&lt;&gt;"", Inputs!F$70,IF(Inputs!F$58&lt;&gt;"",Inputs!F$58,IF(Inputs!F$44&lt;&gt;"",Inputs!F$44,"")))),"")</f>
        <v/>
      </c>
      <c r="N58" t="str">
        <f>IF(Inputs!P80&lt;&gt;"", Inputs!F$8, "")</f>
        <v/>
      </c>
      <c r="O58" t="str">
        <f>IF(Inputs!J80&lt;&gt;"", B58/Inputs!$M$83, "")</f>
        <v/>
      </c>
      <c r="P58" t="str">
        <f>IF(Inputs!P80&lt;&gt;"", C58/Inputs!$S$83, "")</f>
        <v/>
      </c>
    </row>
    <row r="59" spans="1:16" x14ac:dyDescent="0.35">
      <c r="A59" t="str">
        <f>IF(Inputs!J81&lt;&gt;"",A58, "")</f>
        <v/>
      </c>
      <c r="B59" t="str">
        <f>IF(Inputs!J81&lt;&gt;"", Inputs!J81, "")</f>
        <v/>
      </c>
      <c r="C59" t="str">
        <f>IF(Inputs!P81&lt;&gt;"", Inputs!P81, "")</f>
        <v/>
      </c>
      <c r="D59" t="str">
        <f>IF(Inputs!P81&lt;&gt;"", IF(Inputs!B$76&lt;&gt;"", Inputs!B$76, IF(Inputs!B$64&lt;&gt;"", Inputs!B$64, IF(Inputs!B$52&lt;&gt;"", Inputs!B$52, Inputs!B$38))), "")</f>
        <v/>
      </c>
      <c r="E59" t="str">
        <f>IF(Inputs!P81&lt;&gt;"", IF(Inputs!D$76&lt;&gt;"", Inputs!D$76, IF(Inputs!D$64&lt;&gt;"", Inputs!D$64, IF(Inputs!D$52&lt;&gt;"", Inputs!D$52, Inputs!D$38))), "")</f>
        <v/>
      </c>
      <c r="F59" t="str">
        <f>IF(Inputs!P81&lt;&gt;"", IF(Inputs!F$76&lt;&gt;"", Inputs!F$76, IF(Inputs!F$64&lt;&gt;"", Inputs!F$64, IF(Inputs!F$52&lt;&gt;"", Inputs!F$52, Inputs!F$38))), "")</f>
        <v/>
      </c>
      <c r="G59" t="str">
        <f>IF(Inputs!P81&lt;&gt;"", IF(Inputs!B$75&lt;&gt;"", Inputs!B$75, IF(Inputs!B$63&lt;&gt;"", Inputs!B$63, IF(Inputs!B$51&lt;&gt;"", Inputs!B$51, Inputs!B$37))), "")</f>
        <v/>
      </c>
      <c r="H59" t="str">
        <f>IF(Inputs!P81&lt;&gt;"", IF(Inputs!D$75&lt;&gt;"", Inputs!D$75, IF(Inputs!D$63&lt;&gt;"", Inputs!D$63, IF(Inputs!D$51&lt;&gt;"", Inputs!D$51, Inputs!D$37))), "")</f>
        <v/>
      </c>
      <c r="I59" t="str">
        <f>IF(Inputs!P81&lt;&gt;"", IF(Inputs!F$75&lt;&gt;"", Inputs!F$75, IF(Inputs!F$63&lt;&gt;"", Inputs!F$63, IF(Inputs!F$51&lt;&gt;"", Inputs!F$51, Inputs!F$37))), "")</f>
        <v/>
      </c>
      <c r="J59" t="str">
        <f>IF(Inputs!P81&lt;&gt;"", IF(Inputs!F$80&lt;&gt;"", Inputs!F$80, IF(Inputs!F$68&lt;&gt;"", Inputs!F$68, IF(Inputs!F$56&lt;&gt;"", Inputs!F$56, Inputs!F$42))), "")</f>
        <v/>
      </c>
      <c r="K59" s="79" t="str">
        <f>IF(Inputs!P81&lt;&gt;"", IF(Inputs!F$81&lt;&gt;"", Inputs!F$81, IF(Inputs!F$69&lt;&gt;"", Inputs!F$69, IF(Inputs!F$57&lt;&gt;"", Inputs!F$57, IF(Inputs!F$43="", "", Inputs!F$43)))), "")</f>
        <v/>
      </c>
      <c r="L59" t="str">
        <f>IF(Inputs!P81&lt;&gt;"", IF(Inputs!F$79&lt;&gt;"", Inputs!F$79, IF(Inputs!F$67&lt;&gt;"", Inputs!F$67, IF(Inputs!F$55&lt;&gt;"", Inputs!F$55, Inputs!F$41))), "")</f>
        <v/>
      </c>
      <c r="M59" t="str">
        <f>IF(Inputs!P81&lt;&gt;"",IF(Inputs!F$82&lt;&gt;"", Inputs!F$82, IF(Inputs!F$70&lt;&gt;"", Inputs!F$70,IF(Inputs!F$58&lt;&gt;"",Inputs!F$58,IF(Inputs!F$44&lt;&gt;"",Inputs!F$44,"")))),"")</f>
        <v/>
      </c>
      <c r="N59" t="str">
        <f>IF(Inputs!P81&lt;&gt;"", Inputs!F$8, "")</f>
        <v/>
      </c>
      <c r="O59" t="str">
        <f>IF(Inputs!J81&lt;&gt;"", B59/Inputs!$M$83, "")</f>
        <v/>
      </c>
      <c r="P59" t="str">
        <f>IF(Inputs!P81&lt;&gt;"", C59/Inputs!$S$83, "")</f>
        <v/>
      </c>
    </row>
    <row r="60" spans="1:16" x14ac:dyDescent="0.35">
      <c r="A60" t="str">
        <f>IF(Inputs!J82&lt;&gt;"",A59, "")</f>
        <v/>
      </c>
      <c r="B60" t="str">
        <f>IF(Inputs!J82&lt;&gt;"", Inputs!J82, "")</f>
        <v/>
      </c>
      <c r="C60" t="str">
        <f>IF(Inputs!P82&lt;&gt;"", Inputs!P82, "")</f>
        <v/>
      </c>
      <c r="D60" t="str">
        <f>IF(Inputs!P82&lt;&gt;"", IF(Inputs!B$76&lt;&gt;"", Inputs!B$76, IF(Inputs!B$64&lt;&gt;"", Inputs!B$64, IF(Inputs!B$52&lt;&gt;"", Inputs!B$52, Inputs!B$38))), "")</f>
        <v/>
      </c>
      <c r="E60" t="str">
        <f>IF(Inputs!P82&lt;&gt;"", IF(Inputs!D$76&lt;&gt;"", Inputs!D$76, IF(Inputs!D$64&lt;&gt;"", Inputs!D$64, IF(Inputs!D$52&lt;&gt;"", Inputs!D$52, Inputs!D$38))), "")</f>
        <v/>
      </c>
      <c r="F60" t="str">
        <f>IF(Inputs!P82&lt;&gt;"", IF(Inputs!F$76&lt;&gt;"", Inputs!F$76, IF(Inputs!F$64&lt;&gt;"", Inputs!F$64, IF(Inputs!F$52&lt;&gt;"", Inputs!F$52, Inputs!F$38))), "")</f>
        <v/>
      </c>
      <c r="G60" t="str">
        <f>IF(Inputs!P82&lt;&gt;"", IF(Inputs!B$75&lt;&gt;"", Inputs!B$75, IF(Inputs!B$63&lt;&gt;"", Inputs!B$63, IF(Inputs!B$51&lt;&gt;"", Inputs!B$51, Inputs!B$37))), "")</f>
        <v/>
      </c>
      <c r="H60" t="str">
        <f>IF(Inputs!P82&lt;&gt;"", IF(Inputs!D$75&lt;&gt;"", Inputs!D$75, IF(Inputs!D$63&lt;&gt;"", Inputs!D$63, IF(Inputs!D$51&lt;&gt;"", Inputs!D$51, Inputs!D$37))), "")</f>
        <v/>
      </c>
      <c r="I60" t="str">
        <f>IF(Inputs!P82&lt;&gt;"", IF(Inputs!F$75&lt;&gt;"", Inputs!F$75, IF(Inputs!F$63&lt;&gt;"", Inputs!F$63, IF(Inputs!F$51&lt;&gt;"", Inputs!F$51, Inputs!F$37))), "")</f>
        <v/>
      </c>
      <c r="J60" t="str">
        <f>IF(Inputs!P82&lt;&gt;"", IF(Inputs!F$80&lt;&gt;"", Inputs!F$80, IF(Inputs!F$68&lt;&gt;"", Inputs!F$68, IF(Inputs!F$56&lt;&gt;"", Inputs!F$56, Inputs!F$42))), "")</f>
        <v/>
      </c>
      <c r="K60" s="79" t="str">
        <f>IF(Inputs!P82&lt;&gt;"", IF(Inputs!F$81&lt;&gt;"", Inputs!F$81, IF(Inputs!F$69&lt;&gt;"", Inputs!F$69, IF(Inputs!F$57&lt;&gt;"", Inputs!F$57, IF(Inputs!F$43="", "", Inputs!F$43)))), "")</f>
        <v/>
      </c>
      <c r="L60" t="str">
        <f>IF(Inputs!P82&lt;&gt;"", IF(Inputs!F$79&lt;&gt;"", Inputs!F$79, IF(Inputs!F$67&lt;&gt;"", Inputs!F$67, IF(Inputs!F$55&lt;&gt;"", Inputs!F$55, Inputs!F$41))), "")</f>
        <v/>
      </c>
      <c r="M60" t="str">
        <f>IF(Inputs!P82&lt;&gt;"",IF(Inputs!F$82&lt;&gt;"", Inputs!F$82, IF(Inputs!F$70&lt;&gt;"", Inputs!F$70,IF(Inputs!F$58&lt;&gt;"",Inputs!F$58,IF(Inputs!F$44&lt;&gt;"",Inputs!F$44,"")))),"")</f>
        <v/>
      </c>
      <c r="N60" t="str">
        <f>IF(Inputs!P82&lt;&gt;"", Inputs!F$8, "")</f>
        <v/>
      </c>
      <c r="O60" t="str">
        <f>IF(Inputs!J82&lt;&gt;"", B60/Inputs!$M$83, "")</f>
        <v/>
      </c>
      <c r="P60" t="str">
        <f>IF(Inputs!P82&lt;&gt;"", C60/Inputs!$S$83, "")</f>
        <v/>
      </c>
    </row>
    <row r="61" spans="1:16" x14ac:dyDescent="0.35">
      <c r="A61" t="str">
        <f>IF(Inputs!J83&lt;&gt;"",A60, "")</f>
        <v/>
      </c>
      <c r="B61" t="str">
        <f>IF(Inputs!J83&lt;&gt;"", Inputs!J83, "")</f>
        <v/>
      </c>
      <c r="C61" t="str">
        <f>IF(Inputs!P83&lt;&gt;"", Inputs!P83, "")</f>
        <v/>
      </c>
      <c r="D61" t="str">
        <f>IF(Inputs!P83&lt;&gt;"", IF(Inputs!B$76&lt;&gt;"", Inputs!B$76, IF(Inputs!B$64&lt;&gt;"", Inputs!B$64, IF(Inputs!B$52&lt;&gt;"", Inputs!B$52, Inputs!B$38))), "")</f>
        <v/>
      </c>
      <c r="E61" t="str">
        <f>IF(Inputs!P83&lt;&gt;"", IF(Inputs!D$76&lt;&gt;"", Inputs!D$76, IF(Inputs!D$64&lt;&gt;"", Inputs!D$64, IF(Inputs!D$52&lt;&gt;"", Inputs!D$52, Inputs!D$38))), "")</f>
        <v/>
      </c>
      <c r="F61" t="str">
        <f>IF(Inputs!P83&lt;&gt;"", IF(Inputs!F$76&lt;&gt;"", Inputs!F$76, IF(Inputs!F$64&lt;&gt;"", Inputs!F$64, IF(Inputs!F$52&lt;&gt;"", Inputs!F$52, Inputs!F$38))), "")</f>
        <v/>
      </c>
      <c r="G61" t="str">
        <f>IF(Inputs!P83&lt;&gt;"", IF(Inputs!B$75&lt;&gt;"", Inputs!B$75, IF(Inputs!B$63&lt;&gt;"", Inputs!B$63, IF(Inputs!B$51&lt;&gt;"", Inputs!B$51, Inputs!B$37))), "")</f>
        <v/>
      </c>
      <c r="H61" t="str">
        <f>IF(Inputs!P83&lt;&gt;"", IF(Inputs!D$75&lt;&gt;"", Inputs!D$75, IF(Inputs!D$63&lt;&gt;"", Inputs!D$63, IF(Inputs!D$51&lt;&gt;"", Inputs!D$51, Inputs!D$37))), "")</f>
        <v/>
      </c>
      <c r="I61" t="str">
        <f>IF(Inputs!P83&lt;&gt;"", IF(Inputs!F$75&lt;&gt;"", Inputs!F$75, IF(Inputs!F$63&lt;&gt;"", Inputs!F$63, IF(Inputs!F$51&lt;&gt;"", Inputs!F$51, Inputs!F$37))), "")</f>
        <v/>
      </c>
      <c r="J61" t="str">
        <f>IF(Inputs!P83&lt;&gt;"", IF(Inputs!F$80&lt;&gt;"", Inputs!F$80, IF(Inputs!F$68&lt;&gt;"", Inputs!F$68, IF(Inputs!F$56&lt;&gt;"", Inputs!F$56, Inputs!F$42))), "")</f>
        <v/>
      </c>
      <c r="K61" s="79" t="str">
        <f>IF(Inputs!P83&lt;&gt;"", IF(Inputs!F$81&lt;&gt;"", Inputs!F$81, IF(Inputs!F$69&lt;&gt;"", Inputs!F$69, IF(Inputs!F$57&lt;&gt;"", Inputs!F$57, IF(Inputs!F$43="", "", Inputs!F$43)))), "")</f>
        <v/>
      </c>
      <c r="L61" t="str">
        <f>IF(Inputs!P83&lt;&gt;"", IF(Inputs!F$79&lt;&gt;"", Inputs!F$79, IF(Inputs!F$67&lt;&gt;"", Inputs!F$67, IF(Inputs!F$55&lt;&gt;"", Inputs!F$55, Inputs!F$41))), "")</f>
        <v/>
      </c>
      <c r="M61" t="str">
        <f>IF(Inputs!P83&lt;&gt;"",IF(Inputs!F$82&lt;&gt;"", Inputs!F$82, IF(Inputs!F$70&lt;&gt;"", Inputs!F$70,IF(Inputs!F$58&lt;&gt;"",Inputs!F$58,IF(Inputs!F$44&lt;&gt;"",Inputs!F$44,"")))),"")</f>
        <v/>
      </c>
      <c r="N61" t="str">
        <f>IF(Inputs!P83&lt;&gt;"", Inputs!F$8, "")</f>
        <v/>
      </c>
      <c r="O61" t="str">
        <f>IF(Inputs!J83&lt;&gt;"", B61/Inputs!$M$83, "")</f>
        <v/>
      </c>
      <c r="P61" t="str">
        <f>IF(Inputs!P83&lt;&gt;"", C61/Inputs!$S$83, "")</f>
        <v/>
      </c>
    </row>
    <row r="62" spans="1:16" x14ac:dyDescent="0.35">
      <c r="E62" t="str">
        <f>IF(Inputs!P84&lt;&gt;"", IF(Inputs!D$76&lt;&gt;"", Inputs!D$76, IF(Inputs!D$64&lt;&gt;"", Inputs!D$64, IF(Inputs!D$52&lt;&gt;"", Inputs!D$52, Inputs!D$38))), "")</f>
        <v/>
      </c>
      <c r="F62" t="str">
        <f>IF(Inputs!P84&lt;&gt;"", IF(Inputs!F$76&lt;&gt;"", Inputs!F$76, IF(Inputs!F$64&lt;&gt;"", Inputs!F$64, IF(Inputs!F$52&lt;&gt;"", Inputs!F$52, Inputs!F$38))), "")</f>
        <v/>
      </c>
    </row>
  </sheetData>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70"/>
  <sheetViews>
    <sheetView workbookViewId="0">
      <selection activeCell="H59" sqref="H59"/>
    </sheetView>
  </sheetViews>
  <sheetFormatPr defaultColWidth="10.90625" defaultRowHeight="14.5" x14ac:dyDescent="0.35"/>
  <cols>
    <col min="1" max="1" width="9.81640625" customWidth="1"/>
    <col min="2" max="2" width="10.1796875" customWidth="1"/>
    <col min="3" max="3" width="12.1796875" customWidth="1"/>
    <col min="4" max="4" width="14.26953125" customWidth="1"/>
    <col min="5" max="5" width="11.453125" customWidth="1"/>
    <col min="6" max="6" width="13.7265625" customWidth="1"/>
    <col min="7" max="7" width="17.1796875" customWidth="1"/>
    <col min="8" max="8" width="15.54296875" customWidth="1"/>
    <col min="9" max="9" width="9.81640625" customWidth="1"/>
    <col min="10" max="10" width="10.1796875" customWidth="1"/>
    <col min="11" max="11" width="12.1796875" customWidth="1"/>
    <col min="12" max="12" width="14.26953125" customWidth="1"/>
    <col min="13" max="13" width="11.453125" customWidth="1"/>
    <col min="14" max="14" width="13.7265625" customWidth="1"/>
    <col min="15" max="15" width="17.1796875" customWidth="1"/>
    <col min="16" max="16" width="15.54296875" customWidth="1"/>
    <col min="18" max="18" width="17.1796875" customWidth="1"/>
  </cols>
  <sheetData>
    <row r="1" spans="1:18" x14ac:dyDescent="0.35">
      <c r="A1" t="s">
        <v>150</v>
      </c>
      <c r="I1" t="s">
        <v>151</v>
      </c>
    </row>
    <row r="2" spans="1:18" ht="30" customHeight="1" x14ac:dyDescent="0.35">
      <c r="A2" t="s">
        <v>142</v>
      </c>
      <c r="B2" t="s">
        <v>143</v>
      </c>
      <c r="C2" s="81" t="s">
        <v>144</v>
      </c>
      <c r="D2" t="s">
        <v>145</v>
      </c>
      <c r="E2" t="s">
        <v>146</v>
      </c>
      <c r="F2" t="s">
        <v>147</v>
      </c>
      <c r="G2" t="s">
        <v>149</v>
      </c>
      <c r="H2" s="81" t="s">
        <v>152</v>
      </c>
      <c r="I2" t="s">
        <v>142</v>
      </c>
      <c r="J2" t="s">
        <v>143</v>
      </c>
      <c r="K2" s="81" t="s">
        <v>144</v>
      </c>
      <c r="L2" t="s">
        <v>145</v>
      </c>
      <c r="M2" t="s">
        <v>146</v>
      </c>
      <c r="N2" t="s">
        <v>147</v>
      </c>
      <c r="O2" t="s">
        <v>149</v>
      </c>
      <c r="P2" s="81" t="s">
        <v>152</v>
      </c>
      <c r="R2" t="s">
        <v>148</v>
      </c>
    </row>
    <row r="3" spans="1:18" x14ac:dyDescent="0.35">
      <c r="A3" t="e">
        <f>Inputs!B24*100</f>
        <v>#VALUE!</v>
      </c>
      <c r="B3" s="82"/>
      <c r="C3">
        <v>0</v>
      </c>
      <c r="D3">
        <f>MAX(0, $B$3 + (-1.37*2*C3) + (0.18*2^2*C3^2) - (0.03*2^3*C3^3))</f>
        <v>0</v>
      </c>
      <c r="E3">
        <f>AVERAGE(D3:D10)</f>
        <v>0</v>
      </c>
      <c r="F3" t="e">
        <f>ABS(A3-E3)</f>
        <v>#VALUE!</v>
      </c>
      <c r="G3" s="83">
        <f>D3/100</f>
        <v>0</v>
      </c>
      <c r="H3">
        <v>0</v>
      </c>
      <c r="I3" t="e">
        <f>Inputs!B23*100</f>
        <v>#VALUE!</v>
      </c>
      <c r="J3" s="82"/>
      <c r="K3">
        <v>0</v>
      </c>
      <c r="L3">
        <f t="shared" ref="L3:L14" si="0">MAX(0, $J$3 + (-1.37*2*K3) + (0.18*2^2*K3^2) - (0.03*2^3*K3^3))</f>
        <v>0</v>
      </c>
      <c r="M3">
        <f>AVERAGE(L3:L10)</f>
        <v>0</v>
      </c>
      <c r="N3" t="e">
        <f>ABS(I3-M3)</f>
        <v>#VALUE!</v>
      </c>
      <c r="O3" s="83">
        <f>L3/100</f>
        <v>0</v>
      </c>
      <c r="P3">
        <v>0</v>
      </c>
      <c r="R3" s="84">
        <f>(1-O3)/(1-G3)</f>
        <v>1</v>
      </c>
    </row>
    <row r="4" spans="1:18" x14ac:dyDescent="0.35">
      <c r="C4">
        <v>1</v>
      </c>
      <c r="D4">
        <f t="shared" ref="D4:D14" si="1">MAX(0, $B$3 + (-1.37*2*C4) + (0.18*2^2*C4^2) - (0.03*2^3*C4^3))</f>
        <v>0</v>
      </c>
      <c r="G4" s="83">
        <f t="shared" ref="G4:G67" si="2">D4/100</f>
        <v>0</v>
      </c>
      <c r="H4" s="83">
        <f>G3-G4</f>
        <v>0</v>
      </c>
      <c r="K4">
        <v>1</v>
      </c>
      <c r="L4">
        <f t="shared" si="0"/>
        <v>0</v>
      </c>
      <c r="O4" s="83">
        <f t="shared" ref="O4:O67" si="3">L4/100</f>
        <v>0</v>
      </c>
      <c r="P4" s="83">
        <f>O3-O4</f>
        <v>0</v>
      </c>
      <c r="R4" s="84">
        <f t="shared" ref="R4:R67" si="4">(1-O4)/(1-G4)</f>
        <v>1</v>
      </c>
    </row>
    <row r="5" spans="1:18" x14ac:dyDescent="0.35">
      <c r="C5">
        <v>2</v>
      </c>
      <c r="D5">
        <f t="shared" si="1"/>
        <v>0</v>
      </c>
      <c r="G5" s="83">
        <f t="shared" si="2"/>
        <v>0</v>
      </c>
      <c r="H5" s="83">
        <f t="shared" ref="H5:H14" si="5">G4-G5</f>
        <v>0</v>
      </c>
      <c r="K5">
        <v>2</v>
      </c>
      <c r="L5">
        <f t="shared" si="0"/>
        <v>0</v>
      </c>
      <c r="O5" s="83">
        <f t="shared" si="3"/>
        <v>0</v>
      </c>
      <c r="P5" s="83">
        <f t="shared" ref="P5:P14" si="6">O4-O5</f>
        <v>0</v>
      </c>
      <c r="R5" s="84">
        <f t="shared" si="4"/>
        <v>1</v>
      </c>
    </row>
    <row r="6" spans="1:18" x14ac:dyDescent="0.35">
      <c r="C6">
        <v>3</v>
      </c>
      <c r="D6">
        <f t="shared" si="1"/>
        <v>0</v>
      </c>
      <c r="G6" s="83">
        <f t="shared" si="2"/>
        <v>0</v>
      </c>
      <c r="H6" s="83">
        <f t="shared" si="5"/>
        <v>0</v>
      </c>
      <c r="K6">
        <v>3</v>
      </c>
      <c r="L6">
        <f t="shared" si="0"/>
        <v>0</v>
      </c>
      <c r="O6" s="83">
        <f t="shared" si="3"/>
        <v>0</v>
      </c>
      <c r="P6" s="83">
        <f t="shared" si="6"/>
        <v>0</v>
      </c>
      <c r="R6" s="84">
        <f t="shared" si="4"/>
        <v>1</v>
      </c>
    </row>
    <row r="7" spans="1:18" x14ac:dyDescent="0.35">
      <c r="C7">
        <v>4</v>
      </c>
      <c r="D7">
        <f t="shared" si="1"/>
        <v>0</v>
      </c>
      <c r="G7" s="83">
        <f t="shared" si="2"/>
        <v>0</v>
      </c>
      <c r="H7" s="83">
        <f t="shared" si="5"/>
        <v>0</v>
      </c>
      <c r="K7">
        <v>4</v>
      </c>
      <c r="L7">
        <f t="shared" si="0"/>
        <v>0</v>
      </c>
      <c r="O7" s="83">
        <f t="shared" si="3"/>
        <v>0</v>
      </c>
      <c r="P7" s="83">
        <f t="shared" si="6"/>
        <v>0</v>
      </c>
      <c r="R7" s="84">
        <f t="shared" si="4"/>
        <v>1</v>
      </c>
    </row>
    <row r="8" spans="1:18" x14ac:dyDescent="0.35">
      <c r="C8">
        <v>5</v>
      </c>
      <c r="D8">
        <f t="shared" si="1"/>
        <v>0</v>
      </c>
      <c r="G8" s="83">
        <f t="shared" si="2"/>
        <v>0</v>
      </c>
      <c r="H8" s="83">
        <f t="shared" si="5"/>
        <v>0</v>
      </c>
      <c r="K8">
        <v>5</v>
      </c>
      <c r="L8">
        <f t="shared" si="0"/>
        <v>0</v>
      </c>
      <c r="O8" s="83">
        <f t="shared" si="3"/>
        <v>0</v>
      </c>
      <c r="P8" s="83">
        <f t="shared" si="6"/>
        <v>0</v>
      </c>
      <c r="R8" s="84">
        <f t="shared" si="4"/>
        <v>1</v>
      </c>
    </row>
    <row r="9" spans="1:18" x14ac:dyDescent="0.35">
      <c r="C9">
        <v>6</v>
      </c>
      <c r="D9">
        <f t="shared" si="1"/>
        <v>0</v>
      </c>
      <c r="G9" s="83">
        <f t="shared" si="2"/>
        <v>0</v>
      </c>
      <c r="H9" s="83">
        <f t="shared" si="5"/>
        <v>0</v>
      </c>
      <c r="K9">
        <v>6</v>
      </c>
      <c r="L9">
        <f t="shared" si="0"/>
        <v>0</v>
      </c>
      <c r="O9" s="83">
        <f t="shared" si="3"/>
        <v>0</v>
      </c>
      <c r="P9" s="83">
        <f t="shared" si="6"/>
        <v>0</v>
      </c>
      <c r="R9" s="84">
        <f t="shared" si="4"/>
        <v>1</v>
      </c>
    </row>
    <row r="10" spans="1:18" x14ac:dyDescent="0.35">
      <c r="C10">
        <v>7</v>
      </c>
      <c r="D10">
        <f t="shared" si="1"/>
        <v>0</v>
      </c>
      <c r="G10" s="83">
        <f t="shared" si="2"/>
        <v>0</v>
      </c>
      <c r="H10" s="83">
        <f t="shared" si="5"/>
        <v>0</v>
      </c>
      <c r="K10">
        <v>7</v>
      </c>
      <c r="L10">
        <f t="shared" si="0"/>
        <v>0</v>
      </c>
      <c r="O10" s="83">
        <f t="shared" si="3"/>
        <v>0</v>
      </c>
      <c r="P10" s="83">
        <f t="shared" si="6"/>
        <v>0</v>
      </c>
      <c r="R10" s="84">
        <f t="shared" si="4"/>
        <v>1</v>
      </c>
    </row>
    <row r="11" spans="1:18" x14ac:dyDescent="0.35">
      <c r="C11">
        <v>8</v>
      </c>
      <c r="D11">
        <f t="shared" si="1"/>
        <v>0</v>
      </c>
      <c r="G11" s="83">
        <f t="shared" si="2"/>
        <v>0</v>
      </c>
      <c r="H11" s="83">
        <f t="shared" si="5"/>
        <v>0</v>
      </c>
      <c r="K11">
        <v>8</v>
      </c>
      <c r="L11">
        <f t="shared" si="0"/>
        <v>0</v>
      </c>
      <c r="O11" s="83">
        <f t="shared" si="3"/>
        <v>0</v>
      </c>
      <c r="P11" s="83">
        <f t="shared" si="6"/>
        <v>0</v>
      </c>
      <c r="R11" s="84">
        <f t="shared" si="4"/>
        <v>1</v>
      </c>
    </row>
    <row r="12" spans="1:18" x14ac:dyDescent="0.35">
      <c r="C12">
        <v>9</v>
      </c>
      <c r="D12">
        <f t="shared" si="1"/>
        <v>0</v>
      </c>
      <c r="G12" s="83">
        <f t="shared" si="2"/>
        <v>0</v>
      </c>
      <c r="H12" s="83">
        <f t="shared" si="5"/>
        <v>0</v>
      </c>
      <c r="K12">
        <v>9</v>
      </c>
      <c r="L12">
        <f t="shared" si="0"/>
        <v>0</v>
      </c>
      <c r="O12" s="83">
        <f t="shared" si="3"/>
        <v>0</v>
      </c>
      <c r="P12" s="83">
        <f t="shared" si="6"/>
        <v>0</v>
      </c>
      <c r="R12" s="84">
        <f t="shared" si="4"/>
        <v>1</v>
      </c>
    </row>
    <row r="13" spans="1:18" x14ac:dyDescent="0.35">
      <c r="C13">
        <v>10</v>
      </c>
      <c r="D13">
        <f t="shared" si="1"/>
        <v>0</v>
      </c>
      <c r="G13" s="83">
        <f t="shared" si="2"/>
        <v>0</v>
      </c>
      <c r="H13" s="83">
        <f t="shared" si="5"/>
        <v>0</v>
      </c>
      <c r="K13">
        <v>10</v>
      </c>
      <c r="L13">
        <f t="shared" si="0"/>
        <v>0</v>
      </c>
      <c r="O13" s="83">
        <f t="shared" si="3"/>
        <v>0</v>
      </c>
      <c r="P13" s="83">
        <f t="shared" si="6"/>
        <v>0</v>
      </c>
      <c r="R13" s="84">
        <f t="shared" si="4"/>
        <v>1</v>
      </c>
    </row>
    <row r="14" spans="1:18" x14ac:dyDescent="0.35">
      <c r="C14">
        <v>11</v>
      </c>
      <c r="D14">
        <f t="shared" si="1"/>
        <v>0</v>
      </c>
      <c r="G14" s="83">
        <f t="shared" si="2"/>
        <v>0</v>
      </c>
      <c r="H14" s="83">
        <f t="shared" si="5"/>
        <v>0</v>
      </c>
      <c r="K14">
        <v>11</v>
      </c>
      <c r="L14">
        <f t="shared" si="0"/>
        <v>0</v>
      </c>
      <c r="O14" s="83">
        <f t="shared" si="3"/>
        <v>0</v>
      </c>
      <c r="P14" s="83">
        <f t="shared" si="6"/>
        <v>0</v>
      </c>
      <c r="R14" s="84">
        <f t="shared" si="4"/>
        <v>1</v>
      </c>
    </row>
    <row r="15" spans="1:18" x14ac:dyDescent="0.35">
      <c r="A15" t="s">
        <v>55</v>
      </c>
      <c r="I15" t="s">
        <v>55</v>
      </c>
      <c r="O15" s="83"/>
      <c r="R15" s="84"/>
    </row>
    <row r="16" spans="1:18" ht="30" customHeight="1" x14ac:dyDescent="0.35">
      <c r="A16" t="s">
        <v>142</v>
      </c>
      <c r="B16" t="s">
        <v>143</v>
      </c>
      <c r="C16" s="81" t="s">
        <v>144</v>
      </c>
      <c r="D16" t="s">
        <v>145</v>
      </c>
      <c r="E16" t="s">
        <v>146</v>
      </c>
      <c r="F16" t="s">
        <v>147</v>
      </c>
      <c r="G16" t="s">
        <v>149</v>
      </c>
      <c r="H16" s="81" t="s">
        <v>152</v>
      </c>
      <c r="I16" t="s">
        <v>142</v>
      </c>
      <c r="J16" t="s">
        <v>143</v>
      </c>
      <c r="K16" s="81" t="s">
        <v>144</v>
      </c>
      <c r="L16" t="s">
        <v>145</v>
      </c>
      <c r="M16" t="s">
        <v>146</v>
      </c>
      <c r="N16" t="s">
        <v>147</v>
      </c>
      <c r="O16" t="s">
        <v>149</v>
      </c>
      <c r="P16" s="81" t="s">
        <v>152</v>
      </c>
      <c r="R16" t="s">
        <v>148</v>
      </c>
    </row>
    <row r="17" spans="1:18" x14ac:dyDescent="0.35">
      <c r="A17">
        <f>Inputs!B38*100</f>
        <v>0</v>
      </c>
      <c r="B17" s="82"/>
      <c r="C17">
        <v>0</v>
      </c>
      <c r="D17">
        <f t="shared" ref="D17:D28" si="7">MAX(0, $B$17 + (-1.37*2*C17) + (0.18*2^2*C17^2) - (0.03*2^3*C17^3))</f>
        <v>0</v>
      </c>
      <c r="E17">
        <f>AVERAGE(D17:D24)</f>
        <v>0</v>
      </c>
      <c r="F17">
        <f>ABS(A17-E17)</f>
        <v>0</v>
      </c>
      <c r="G17" s="83">
        <f t="shared" si="2"/>
        <v>0</v>
      </c>
      <c r="H17">
        <v>0</v>
      </c>
      <c r="I17">
        <f>Inputs!B37*100</f>
        <v>0</v>
      </c>
      <c r="J17" s="82"/>
      <c r="K17">
        <v>0</v>
      </c>
      <c r="L17">
        <f t="shared" ref="L17:L28" si="8">MAX(0, $J$17 + (-1.37*2*K17) + (0.18*2^2*K17^2) - (0.03*2^3*K17^3))</f>
        <v>0</v>
      </c>
      <c r="M17">
        <f>AVERAGE(L17:L24)</f>
        <v>0</v>
      </c>
      <c r="N17">
        <f>ABS(I17-M17)</f>
        <v>0</v>
      </c>
      <c r="O17" s="83">
        <f t="shared" si="3"/>
        <v>0</v>
      </c>
      <c r="P17">
        <v>0</v>
      </c>
      <c r="R17" s="84">
        <f t="shared" si="4"/>
        <v>1</v>
      </c>
    </row>
    <row r="18" spans="1:18" x14ac:dyDescent="0.35">
      <c r="C18">
        <v>1</v>
      </c>
      <c r="D18">
        <f t="shared" si="7"/>
        <v>0</v>
      </c>
      <c r="G18" s="83">
        <f t="shared" si="2"/>
        <v>0</v>
      </c>
      <c r="H18" s="83">
        <f>G17-G18</f>
        <v>0</v>
      </c>
      <c r="K18">
        <v>1</v>
      </c>
      <c r="L18">
        <f t="shared" si="8"/>
        <v>0</v>
      </c>
      <c r="O18" s="83">
        <f t="shared" si="3"/>
        <v>0</v>
      </c>
      <c r="P18" s="83">
        <f>O17-O18</f>
        <v>0</v>
      </c>
      <c r="R18" s="84">
        <f t="shared" si="4"/>
        <v>1</v>
      </c>
    </row>
    <row r="19" spans="1:18" x14ac:dyDescent="0.35">
      <c r="C19">
        <v>2</v>
      </c>
      <c r="D19">
        <f t="shared" si="7"/>
        <v>0</v>
      </c>
      <c r="G19" s="83">
        <f t="shared" si="2"/>
        <v>0</v>
      </c>
      <c r="H19" s="83">
        <f t="shared" ref="H19:H28" si="9">G18-G19</f>
        <v>0</v>
      </c>
      <c r="K19">
        <v>2</v>
      </c>
      <c r="L19">
        <f t="shared" si="8"/>
        <v>0</v>
      </c>
      <c r="O19" s="83">
        <f t="shared" si="3"/>
        <v>0</v>
      </c>
      <c r="P19" s="83">
        <f t="shared" ref="P19:P28" si="10">O18-O19</f>
        <v>0</v>
      </c>
      <c r="R19" s="84">
        <f t="shared" si="4"/>
        <v>1</v>
      </c>
    </row>
    <row r="20" spans="1:18" x14ac:dyDescent="0.35">
      <c r="C20">
        <v>3</v>
      </c>
      <c r="D20">
        <f t="shared" si="7"/>
        <v>0</v>
      </c>
      <c r="G20" s="83">
        <f t="shared" si="2"/>
        <v>0</v>
      </c>
      <c r="H20" s="83">
        <f t="shared" si="9"/>
        <v>0</v>
      </c>
      <c r="K20">
        <v>3</v>
      </c>
      <c r="L20">
        <f t="shared" si="8"/>
        <v>0</v>
      </c>
      <c r="O20" s="83">
        <f t="shared" si="3"/>
        <v>0</v>
      </c>
      <c r="P20" s="83">
        <f t="shared" si="10"/>
        <v>0</v>
      </c>
      <c r="R20" s="84">
        <f t="shared" si="4"/>
        <v>1</v>
      </c>
    </row>
    <row r="21" spans="1:18" x14ac:dyDescent="0.35">
      <c r="C21">
        <v>4</v>
      </c>
      <c r="D21">
        <f t="shared" si="7"/>
        <v>0</v>
      </c>
      <c r="G21" s="83">
        <f t="shared" si="2"/>
        <v>0</v>
      </c>
      <c r="H21" s="83">
        <f t="shared" si="9"/>
        <v>0</v>
      </c>
      <c r="K21">
        <v>4</v>
      </c>
      <c r="L21">
        <f t="shared" si="8"/>
        <v>0</v>
      </c>
      <c r="O21" s="83">
        <f t="shared" si="3"/>
        <v>0</v>
      </c>
      <c r="P21" s="83">
        <f t="shared" si="10"/>
        <v>0</v>
      </c>
      <c r="R21" s="84">
        <f t="shared" si="4"/>
        <v>1</v>
      </c>
    </row>
    <row r="22" spans="1:18" x14ac:dyDescent="0.35">
      <c r="C22">
        <v>5</v>
      </c>
      <c r="D22">
        <f t="shared" si="7"/>
        <v>0</v>
      </c>
      <c r="G22" s="83">
        <f t="shared" si="2"/>
        <v>0</v>
      </c>
      <c r="H22" s="83">
        <f t="shared" si="9"/>
        <v>0</v>
      </c>
      <c r="K22">
        <v>5</v>
      </c>
      <c r="L22">
        <f t="shared" si="8"/>
        <v>0</v>
      </c>
      <c r="O22" s="83">
        <f t="shared" si="3"/>
        <v>0</v>
      </c>
      <c r="P22" s="83">
        <f t="shared" si="10"/>
        <v>0</v>
      </c>
      <c r="R22" s="84">
        <f t="shared" si="4"/>
        <v>1</v>
      </c>
    </row>
    <row r="23" spans="1:18" x14ac:dyDescent="0.35">
      <c r="C23">
        <v>6</v>
      </c>
      <c r="D23">
        <f t="shared" si="7"/>
        <v>0</v>
      </c>
      <c r="G23" s="83">
        <f t="shared" si="2"/>
        <v>0</v>
      </c>
      <c r="H23" s="83">
        <f t="shared" si="9"/>
        <v>0</v>
      </c>
      <c r="K23">
        <v>6</v>
      </c>
      <c r="L23">
        <f t="shared" si="8"/>
        <v>0</v>
      </c>
      <c r="O23" s="83">
        <f t="shared" si="3"/>
        <v>0</v>
      </c>
      <c r="P23" s="83">
        <f t="shared" si="10"/>
        <v>0</v>
      </c>
      <c r="R23" s="84">
        <f t="shared" si="4"/>
        <v>1</v>
      </c>
    </row>
    <row r="24" spans="1:18" x14ac:dyDescent="0.35">
      <c r="C24">
        <v>7</v>
      </c>
      <c r="D24">
        <f t="shared" si="7"/>
        <v>0</v>
      </c>
      <c r="G24" s="83">
        <f t="shared" si="2"/>
        <v>0</v>
      </c>
      <c r="H24" s="83">
        <f t="shared" si="9"/>
        <v>0</v>
      </c>
      <c r="K24">
        <v>7</v>
      </c>
      <c r="L24">
        <f t="shared" si="8"/>
        <v>0</v>
      </c>
      <c r="O24" s="83">
        <f t="shared" si="3"/>
        <v>0</v>
      </c>
      <c r="P24" s="83">
        <f t="shared" si="10"/>
        <v>0</v>
      </c>
      <c r="R24" s="84">
        <f t="shared" si="4"/>
        <v>1</v>
      </c>
    </row>
    <row r="25" spans="1:18" x14ac:dyDescent="0.35">
      <c r="C25">
        <v>8</v>
      </c>
      <c r="D25">
        <f t="shared" si="7"/>
        <v>0</v>
      </c>
      <c r="G25" s="83">
        <f t="shared" si="2"/>
        <v>0</v>
      </c>
      <c r="H25" s="83">
        <f t="shared" si="9"/>
        <v>0</v>
      </c>
      <c r="K25">
        <v>8</v>
      </c>
      <c r="L25">
        <f t="shared" si="8"/>
        <v>0</v>
      </c>
      <c r="O25" s="83">
        <f t="shared" si="3"/>
        <v>0</v>
      </c>
      <c r="P25" s="83">
        <f t="shared" si="10"/>
        <v>0</v>
      </c>
      <c r="R25" s="84">
        <f t="shared" si="4"/>
        <v>1</v>
      </c>
    </row>
    <row r="26" spans="1:18" x14ac:dyDescent="0.35">
      <c r="C26">
        <v>9</v>
      </c>
      <c r="D26">
        <f t="shared" si="7"/>
        <v>0</v>
      </c>
      <c r="G26" s="83">
        <f t="shared" si="2"/>
        <v>0</v>
      </c>
      <c r="H26" s="83">
        <f t="shared" si="9"/>
        <v>0</v>
      </c>
      <c r="K26">
        <v>9</v>
      </c>
      <c r="L26">
        <f t="shared" si="8"/>
        <v>0</v>
      </c>
      <c r="O26" s="83">
        <f t="shared" si="3"/>
        <v>0</v>
      </c>
      <c r="P26" s="83">
        <f t="shared" si="10"/>
        <v>0</v>
      </c>
      <c r="R26" s="84">
        <f t="shared" si="4"/>
        <v>1</v>
      </c>
    </row>
    <row r="27" spans="1:18" x14ac:dyDescent="0.35">
      <c r="C27">
        <v>10</v>
      </c>
      <c r="D27">
        <f t="shared" si="7"/>
        <v>0</v>
      </c>
      <c r="G27" s="83">
        <f t="shared" si="2"/>
        <v>0</v>
      </c>
      <c r="H27" s="83">
        <f t="shared" si="9"/>
        <v>0</v>
      </c>
      <c r="K27">
        <v>10</v>
      </c>
      <c r="L27">
        <f t="shared" si="8"/>
        <v>0</v>
      </c>
      <c r="O27" s="83">
        <f t="shared" si="3"/>
        <v>0</v>
      </c>
      <c r="P27" s="83">
        <f t="shared" si="10"/>
        <v>0</v>
      </c>
      <c r="R27" s="84">
        <f t="shared" si="4"/>
        <v>1</v>
      </c>
    </row>
    <row r="28" spans="1:18" x14ac:dyDescent="0.35">
      <c r="C28">
        <v>11</v>
      </c>
      <c r="D28">
        <f t="shared" si="7"/>
        <v>0</v>
      </c>
      <c r="G28" s="83">
        <f t="shared" si="2"/>
        <v>0</v>
      </c>
      <c r="H28" s="83">
        <f t="shared" si="9"/>
        <v>0</v>
      </c>
      <c r="K28">
        <v>11</v>
      </c>
      <c r="L28">
        <f t="shared" si="8"/>
        <v>0</v>
      </c>
      <c r="O28" s="83">
        <f t="shared" si="3"/>
        <v>0</v>
      </c>
      <c r="P28" s="83">
        <f t="shared" si="10"/>
        <v>0</v>
      </c>
      <c r="R28" s="84">
        <f t="shared" si="4"/>
        <v>1</v>
      </c>
    </row>
    <row r="29" spans="1:18" x14ac:dyDescent="0.35">
      <c r="A29" t="s">
        <v>47</v>
      </c>
      <c r="I29" t="s">
        <v>47</v>
      </c>
      <c r="O29" s="83"/>
      <c r="R29" s="84"/>
    </row>
    <row r="30" spans="1:18" ht="30" customHeight="1" x14ac:dyDescent="0.35">
      <c r="A30" t="s">
        <v>142</v>
      </c>
      <c r="B30" t="s">
        <v>143</v>
      </c>
      <c r="C30" s="81" t="s">
        <v>144</v>
      </c>
      <c r="D30" t="s">
        <v>145</v>
      </c>
      <c r="E30" t="s">
        <v>146</v>
      </c>
      <c r="F30" t="s">
        <v>147</v>
      </c>
      <c r="G30" t="s">
        <v>149</v>
      </c>
      <c r="H30" s="81" t="s">
        <v>152</v>
      </c>
      <c r="I30" t="s">
        <v>142</v>
      </c>
      <c r="J30" t="s">
        <v>143</v>
      </c>
      <c r="K30" s="81" t="s">
        <v>144</v>
      </c>
      <c r="L30" t="s">
        <v>145</v>
      </c>
      <c r="M30" t="s">
        <v>146</v>
      </c>
      <c r="N30" t="s">
        <v>147</v>
      </c>
      <c r="O30" t="s">
        <v>149</v>
      </c>
      <c r="P30" s="81" t="s">
        <v>152</v>
      </c>
      <c r="R30" t="s">
        <v>148</v>
      </c>
    </row>
    <row r="31" spans="1:18" x14ac:dyDescent="0.35">
      <c r="A31">
        <f>IF(Inputs!B12&lt;=12, 0, IF(Inputs!B52&lt;&gt;"",Inputs!B52,Inputs!B38))*100</f>
        <v>0</v>
      </c>
      <c r="B31" s="82"/>
      <c r="C31">
        <v>0</v>
      </c>
      <c r="D31">
        <f t="shared" ref="D31:D42" si="11">MAX(0, $B$31 + (-1.37*2*C31) + (0.18*2^2*C31^2) - (0.03*2^3*C31^3))</f>
        <v>0</v>
      </c>
      <c r="E31">
        <f>AVERAGE(D31:D38)</f>
        <v>0</v>
      </c>
      <c r="F31">
        <f>ABS(A31-E31)</f>
        <v>0</v>
      </c>
      <c r="G31" s="83">
        <f t="shared" si="2"/>
        <v>0</v>
      </c>
      <c r="H31">
        <v>0</v>
      </c>
      <c r="I31">
        <f>IF(Inputs!B12&lt;=12, 0, IF(Inputs!B51&lt;&gt;"",Inputs!B51,Inputs!B37))*100</f>
        <v>0</v>
      </c>
      <c r="J31" s="82"/>
      <c r="K31">
        <v>0</v>
      </c>
      <c r="L31">
        <f t="shared" ref="L31:L42" si="12">MAX(0, $J$31 + (-1.37*2*K31) + (0.18*2^2*K31^2) - (0.03*2^3*K31^3))</f>
        <v>0</v>
      </c>
      <c r="M31">
        <f>AVERAGE(L31:L38)</f>
        <v>0</v>
      </c>
      <c r="N31">
        <f>ABS(I31-M31)</f>
        <v>0</v>
      </c>
      <c r="O31" s="83">
        <f t="shared" si="3"/>
        <v>0</v>
      </c>
      <c r="P31">
        <v>0</v>
      </c>
      <c r="R31" s="84">
        <f t="shared" si="4"/>
        <v>1</v>
      </c>
    </row>
    <row r="32" spans="1:18" x14ac:dyDescent="0.35">
      <c r="C32">
        <v>1</v>
      </c>
      <c r="D32">
        <f t="shared" si="11"/>
        <v>0</v>
      </c>
      <c r="G32" s="83">
        <f t="shared" si="2"/>
        <v>0</v>
      </c>
      <c r="H32" s="83">
        <f>G31-G32</f>
        <v>0</v>
      </c>
      <c r="K32">
        <v>1</v>
      </c>
      <c r="L32">
        <f t="shared" si="12"/>
        <v>0</v>
      </c>
      <c r="O32" s="83">
        <f t="shared" si="3"/>
        <v>0</v>
      </c>
      <c r="P32" s="83">
        <f>O31-O32</f>
        <v>0</v>
      </c>
      <c r="R32" s="84">
        <f t="shared" si="4"/>
        <v>1</v>
      </c>
    </row>
    <row r="33" spans="1:18" x14ac:dyDescent="0.35">
      <c r="C33">
        <v>2</v>
      </c>
      <c r="D33">
        <f t="shared" si="11"/>
        <v>0</v>
      </c>
      <c r="G33" s="83">
        <f t="shared" si="2"/>
        <v>0</v>
      </c>
      <c r="H33" s="83">
        <f t="shared" ref="H33:H42" si="13">G32-G33</f>
        <v>0</v>
      </c>
      <c r="K33">
        <v>2</v>
      </c>
      <c r="L33">
        <f t="shared" si="12"/>
        <v>0</v>
      </c>
      <c r="O33" s="83">
        <f t="shared" si="3"/>
        <v>0</v>
      </c>
      <c r="P33" s="83">
        <f t="shared" ref="P33:P42" si="14">O32-O33</f>
        <v>0</v>
      </c>
      <c r="R33" s="84">
        <f t="shared" si="4"/>
        <v>1</v>
      </c>
    </row>
    <row r="34" spans="1:18" x14ac:dyDescent="0.35">
      <c r="C34">
        <v>3</v>
      </c>
      <c r="D34">
        <f t="shared" si="11"/>
        <v>0</v>
      </c>
      <c r="G34" s="83">
        <f t="shared" si="2"/>
        <v>0</v>
      </c>
      <c r="H34" s="83">
        <f t="shared" si="13"/>
        <v>0</v>
      </c>
      <c r="K34">
        <v>3</v>
      </c>
      <c r="L34">
        <f t="shared" si="12"/>
        <v>0</v>
      </c>
      <c r="O34" s="83">
        <f t="shared" si="3"/>
        <v>0</v>
      </c>
      <c r="P34" s="83">
        <f t="shared" si="14"/>
        <v>0</v>
      </c>
      <c r="R34" s="84">
        <f t="shared" si="4"/>
        <v>1</v>
      </c>
    </row>
    <row r="35" spans="1:18" x14ac:dyDescent="0.35">
      <c r="C35">
        <v>4</v>
      </c>
      <c r="D35">
        <f t="shared" si="11"/>
        <v>0</v>
      </c>
      <c r="G35" s="83">
        <f t="shared" si="2"/>
        <v>0</v>
      </c>
      <c r="H35" s="83">
        <f t="shared" si="13"/>
        <v>0</v>
      </c>
      <c r="K35">
        <v>4</v>
      </c>
      <c r="L35">
        <f t="shared" si="12"/>
        <v>0</v>
      </c>
      <c r="O35" s="83">
        <f t="shared" si="3"/>
        <v>0</v>
      </c>
      <c r="P35" s="83">
        <f t="shared" si="14"/>
        <v>0</v>
      </c>
      <c r="R35" s="84">
        <f t="shared" si="4"/>
        <v>1</v>
      </c>
    </row>
    <row r="36" spans="1:18" x14ac:dyDescent="0.35">
      <c r="C36">
        <v>5</v>
      </c>
      <c r="D36">
        <f t="shared" si="11"/>
        <v>0</v>
      </c>
      <c r="G36" s="83">
        <f t="shared" si="2"/>
        <v>0</v>
      </c>
      <c r="H36" s="83">
        <f t="shared" si="13"/>
        <v>0</v>
      </c>
      <c r="K36">
        <v>5</v>
      </c>
      <c r="L36">
        <f t="shared" si="12"/>
        <v>0</v>
      </c>
      <c r="O36" s="83">
        <f t="shared" si="3"/>
        <v>0</v>
      </c>
      <c r="P36" s="83">
        <f t="shared" si="14"/>
        <v>0</v>
      </c>
      <c r="R36" s="84">
        <f t="shared" si="4"/>
        <v>1</v>
      </c>
    </row>
    <row r="37" spans="1:18" x14ac:dyDescent="0.35">
      <c r="C37">
        <v>6</v>
      </c>
      <c r="D37">
        <f t="shared" si="11"/>
        <v>0</v>
      </c>
      <c r="G37" s="83">
        <f t="shared" si="2"/>
        <v>0</v>
      </c>
      <c r="H37" s="83">
        <f t="shared" si="13"/>
        <v>0</v>
      </c>
      <c r="K37">
        <v>6</v>
      </c>
      <c r="L37">
        <f t="shared" si="12"/>
        <v>0</v>
      </c>
      <c r="O37" s="83">
        <f t="shared" si="3"/>
        <v>0</v>
      </c>
      <c r="P37" s="83">
        <f t="shared" si="14"/>
        <v>0</v>
      </c>
      <c r="R37" s="84">
        <f t="shared" si="4"/>
        <v>1</v>
      </c>
    </row>
    <row r="38" spans="1:18" x14ac:dyDescent="0.35">
      <c r="C38">
        <v>7</v>
      </c>
      <c r="D38">
        <f t="shared" si="11"/>
        <v>0</v>
      </c>
      <c r="G38" s="83">
        <f t="shared" si="2"/>
        <v>0</v>
      </c>
      <c r="H38" s="83">
        <f t="shared" si="13"/>
        <v>0</v>
      </c>
      <c r="K38">
        <v>7</v>
      </c>
      <c r="L38">
        <f t="shared" si="12"/>
        <v>0</v>
      </c>
      <c r="O38" s="83">
        <f t="shared" si="3"/>
        <v>0</v>
      </c>
      <c r="P38" s="83">
        <f t="shared" si="14"/>
        <v>0</v>
      </c>
      <c r="R38" s="84">
        <f t="shared" si="4"/>
        <v>1</v>
      </c>
    </row>
    <row r="39" spans="1:18" x14ac:dyDescent="0.35">
      <c r="C39">
        <v>8</v>
      </c>
      <c r="D39">
        <f t="shared" si="11"/>
        <v>0</v>
      </c>
      <c r="G39" s="83">
        <f t="shared" si="2"/>
        <v>0</v>
      </c>
      <c r="H39" s="83">
        <f t="shared" si="13"/>
        <v>0</v>
      </c>
      <c r="K39">
        <v>8</v>
      </c>
      <c r="L39">
        <f t="shared" si="12"/>
        <v>0</v>
      </c>
      <c r="O39" s="83">
        <f t="shared" si="3"/>
        <v>0</v>
      </c>
      <c r="P39" s="83">
        <f t="shared" si="14"/>
        <v>0</v>
      </c>
      <c r="R39" s="84">
        <f t="shared" si="4"/>
        <v>1</v>
      </c>
    </row>
    <row r="40" spans="1:18" x14ac:dyDescent="0.35">
      <c r="C40">
        <v>9</v>
      </c>
      <c r="D40">
        <f t="shared" si="11"/>
        <v>0</v>
      </c>
      <c r="G40" s="83">
        <f t="shared" si="2"/>
        <v>0</v>
      </c>
      <c r="H40" s="83">
        <f t="shared" si="13"/>
        <v>0</v>
      </c>
      <c r="K40">
        <v>9</v>
      </c>
      <c r="L40">
        <f t="shared" si="12"/>
        <v>0</v>
      </c>
      <c r="O40" s="83">
        <f t="shared" si="3"/>
        <v>0</v>
      </c>
      <c r="P40" s="83">
        <f t="shared" si="14"/>
        <v>0</v>
      </c>
      <c r="R40" s="84">
        <f t="shared" si="4"/>
        <v>1</v>
      </c>
    </row>
    <row r="41" spans="1:18" x14ac:dyDescent="0.35">
      <c r="C41">
        <v>10</v>
      </c>
      <c r="D41">
        <f t="shared" si="11"/>
        <v>0</v>
      </c>
      <c r="G41" s="83">
        <f t="shared" si="2"/>
        <v>0</v>
      </c>
      <c r="H41" s="83">
        <f t="shared" si="13"/>
        <v>0</v>
      </c>
      <c r="K41">
        <v>10</v>
      </c>
      <c r="L41">
        <f t="shared" si="12"/>
        <v>0</v>
      </c>
      <c r="O41" s="83">
        <f t="shared" si="3"/>
        <v>0</v>
      </c>
      <c r="P41" s="83">
        <f t="shared" si="14"/>
        <v>0</v>
      </c>
      <c r="R41" s="84">
        <f t="shared" si="4"/>
        <v>1</v>
      </c>
    </row>
    <row r="42" spans="1:18" x14ac:dyDescent="0.35">
      <c r="C42">
        <v>11</v>
      </c>
      <c r="D42">
        <f t="shared" si="11"/>
        <v>0</v>
      </c>
      <c r="G42" s="83">
        <f t="shared" si="2"/>
        <v>0</v>
      </c>
      <c r="H42" s="83">
        <f t="shared" si="13"/>
        <v>0</v>
      </c>
      <c r="K42">
        <v>11</v>
      </c>
      <c r="L42">
        <f t="shared" si="12"/>
        <v>0</v>
      </c>
      <c r="O42" s="83">
        <f t="shared" si="3"/>
        <v>0</v>
      </c>
      <c r="P42" s="83">
        <f t="shared" si="14"/>
        <v>0</v>
      </c>
      <c r="R42" s="84">
        <f t="shared" si="4"/>
        <v>1</v>
      </c>
    </row>
    <row r="43" spans="1:18" x14ac:dyDescent="0.35">
      <c r="A43" t="s">
        <v>56</v>
      </c>
      <c r="I43" t="s">
        <v>56</v>
      </c>
      <c r="O43" s="83"/>
      <c r="R43" s="84"/>
    </row>
    <row r="44" spans="1:18" ht="30" customHeight="1" x14ac:dyDescent="0.35">
      <c r="A44" t="s">
        <v>142</v>
      </c>
      <c r="B44" t="s">
        <v>143</v>
      </c>
      <c r="C44" s="81" t="s">
        <v>144</v>
      </c>
      <c r="D44" t="s">
        <v>145</v>
      </c>
      <c r="E44" t="s">
        <v>146</v>
      </c>
      <c r="F44" t="s">
        <v>147</v>
      </c>
      <c r="G44" t="s">
        <v>149</v>
      </c>
      <c r="H44" s="81" t="s">
        <v>152</v>
      </c>
      <c r="I44" t="s">
        <v>142</v>
      </c>
      <c r="J44" t="s">
        <v>143</v>
      </c>
      <c r="K44" s="81" t="s">
        <v>144</v>
      </c>
      <c r="L44" t="s">
        <v>145</v>
      </c>
      <c r="M44" t="s">
        <v>146</v>
      </c>
      <c r="N44" t="s">
        <v>147</v>
      </c>
      <c r="O44" t="s">
        <v>149</v>
      </c>
      <c r="P44" s="81" t="s">
        <v>152</v>
      </c>
      <c r="R44" t="s">
        <v>148</v>
      </c>
    </row>
    <row r="45" spans="1:18" x14ac:dyDescent="0.35">
      <c r="A45">
        <f>IF(Inputs!B12&lt;=24, 0, IF(Inputs!B64&lt;&gt;"",Inputs!B64,IF(Inputs!B52&lt;&gt;"",Inputs!B52,Inputs!B38)))*100</f>
        <v>0</v>
      </c>
      <c r="B45" s="82"/>
      <c r="C45">
        <v>0</v>
      </c>
      <c r="D45">
        <f t="shared" ref="D45:D56" si="15">MAX(0, $B$45 + (-1.37*2*C45) + (0.18*2^2*C45^2) - (0.03*2^3*C45^3))</f>
        <v>0</v>
      </c>
      <c r="E45">
        <f>AVERAGE(D45:D52)</f>
        <v>0</v>
      </c>
      <c r="F45">
        <f>ABS(A45-E45)</f>
        <v>0</v>
      </c>
      <c r="G45" s="83">
        <f t="shared" si="2"/>
        <v>0</v>
      </c>
      <c r="H45">
        <v>0</v>
      </c>
      <c r="I45">
        <f>IF(Inputs!B12&lt;=24, 0, IF(Inputs!B63&lt;&gt;"",Inputs!B63,IF(Inputs!B51&lt;&gt;"",Inputs!B51,Inputs!B37)))*100</f>
        <v>0</v>
      </c>
      <c r="J45" s="82"/>
      <c r="K45">
        <v>0</v>
      </c>
      <c r="L45">
        <f t="shared" ref="L45:L56" si="16">MAX(0, $J$45 + (-1.37*2*K45) + (0.18*2^2*K45^2) - (0.03*2^3*K45^3))</f>
        <v>0</v>
      </c>
      <c r="M45">
        <f>AVERAGE(L45:L52)</f>
        <v>0</v>
      </c>
      <c r="N45">
        <f>ABS(I45-M45)</f>
        <v>0</v>
      </c>
      <c r="O45" s="83">
        <f t="shared" si="3"/>
        <v>0</v>
      </c>
      <c r="P45">
        <v>0</v>
      </c>
      <c r="R45" s="84">
        <f t="shared" si="4"/>
        <v>1</v>
      </c>
    </row>
    <row r="46" spans="1:18" x14ac:dyDescent="0.35">
      <c r="C46">
        <v>1</v>
      </c>
      <c r="D46">
        <f t="shared" si="15"/>
        <v>0</v>
      </c>
      <c r="G46" s="83">
        <f t="shared" si="2"/>
        <v>0</v>
      </c>
      <c r="H46" s="83">
        <f>G45-G46</f>
        <v>0</v>
      </c>
      <c r="K46">
        <v>1</v>
      </c>
      <c r="L46">
        <f t="shared" si="16"/>
        <v>0</v>
      </c>
      <c r="O46" s="83">
        <f t="shared" si="3"/>
        <v>0</v>
      </c>
      <c r="P46" s="83">
        <f>O45-O46</f>
        <v>0</v>
      </c>
      <c r="R46" s="84">
        <f t="shared" si="4"/>
        <v>1</v>
      </c>
    </row>
    <row r="47" spans="1:18" x14ac:dyDescent="0.35">
      <c r="C47">
        <v>2</v>
      </c>
      <c r="D47">
        <f t="shared" si="15"/>
        <v>0</v>
      </c>
      <c r="G47" s="83">
        <f t="shared" si="2"/>
        <v>0</v>
      </c>
      <c r="H47" s="83">
        <f t="shared" ref="H47:H56" si="17">G46-G47</f>
        <v>0</v>
      </c>
      <c r="K47">
        <v>2</v>
      </c>
      <c r="L47">
        <f t="shared" si="16"/>
        <v>0</v>
      </c>
      <c r="O47" s="83">
        <f t="shared" si="3"/>
        <v>0</v>
      </c>
      <c r="P47" s="83">
        <f t="shared" ref="P47:P56" si="18">O46-O47</f>
        <v>0</v>
      </c>
      <c r="R47" s="84">
        <f t="shared" si="4"/>
        <v>1</v>
      </c>
    </row>
    <row r="48" spans="1:18" x14ac:dyDescent="0.35">
      <c r="C48">
        <v>3</v>
      </c>
      <c r="D48">
        <f t="shared" si="15"/>
        <v>0</v>
      </c>
      <c r="G48" s="83">
        <f t="shared" si="2"/>
        <v>0</v>
      </c>
      <c r="H48" s="83">
        <f t="shared" si="17"/>
        <v>0</v>
      </c>
      <c r="K48">
        <v>3</v>
      </c>
      <c r="L48">
        <f t="shared" si="16"/>
        <v>0</v>
      </c>
      <c r="O48" s="83">
        <f t="shared" si="3"/>
        <v>0</v>
      </c>
      <c r="P48" s="83">
        <f t="shared" si="18"/>
        <v>0</v>
      </c>
      <c r="R48" s="84">
        <f t="shared" si="4"/>
        <v>1</v>
      </c>
    </row>
    <row r="49" spans="1:18" x14ac:dyDescent="0.35">
      <c r="C49">
        <v>4</v>
      </c>
      <c r="D49">
        <f t="shared" si="15"/>
        <v>0</v>
      </c>
      <c r="G49" s="83">
        <f t="shared" si="2"/>
        <v>0</v>
      </c>
      <c r="H49" s="83">
        <f t="shared" si="17"/>
        <v>0</v>
      </c>
      <c r="K49">
        <v>4</v>
      </c>
      <c r="L49">
        <f t="shared" si="16"/>
        <v>0</v>
      </c>
      <c r="O49" s="83">
        <f t="shared" si="3"/>
        <v>0</v>
      </c>
      <c r="P49" s="83">
        <f t="shared" si="18"/>
        <v>0</v>
      </c>
      <c r="R49" s="84">
        <f t="shared" si="4"/>
        <v>1</v>
      </c>
    </row>
    <row r="50" spans="1:18" x14ac:dyDescent="0.35">
      <c r="C50">
        <v>5</v>
      </c>
      <c r="D50">
        <f t="shared" si="15"/>
        <v>0</v>
      </c>
      <c r="G50" s="83">
        <f t="shared" si="2"/>
        <v>0</v>
      </c>
      <c r="H50" s="83">
        <f t="shared" si="17"/>
        <v>0</v>
      </c>
      <c r="K50">
        <v>5</v>
      </c>
      <c r="L50">
        <f t="shared" si="16"/>
        <v>0</v>
      </c>
      <c r="O50" s="83">
        <f t="shared" si="3"/>
        <v>0</v>
      </c>
      <c r="P50" s="83">
        <f t="shared" si="18"/>
        <v>0</v>
      </c>
      <c r="R50" s="84">
        <f t="shared" si="4"/>
        <v>1</v>
      </c>
    </row>
    <row r="51" spans="1:18" x14ac:dyDescent="0.35">
      <c r="C51">
        <v>6</v>
      </c>
      <c r="D51">
        <f t="shared" si="15"/>
        <v>0</v>
      </c>
      <c r="G51" s="83">
        <f t="shared" si="2"/>
        <v>0</v>
      </c>
      <c r="H51" s="83">
        <f t="shared" si="17"/>
        <v>0</v>
      </c>
      <c r="K51">
        <v>6</v>
      </c>
      <c r="L51">
        <f t="shared" si="16"/>
        <v>0</v>
      </c>
      <c r="O51" s="83">
        <f t="shared" si="3"/>
        <v>0</v>
      </c>
      <c r="P51" s="83">
        <f t="shared" si="18"/>
        <v>0</v>
      </c>
      <c r="R51" s="84">
        <f t="shared" si="4"/>
        <v>1</v>
      </c>
    </row>
    <row r="52" spans="1:18" x14ac:dyDescent="0.35">
      <c r="C52">
        <v>7</v>
      </c>
      <c r="D52">
        <f t="shared" si="15"/>
        <v>0</v>
      </c>
      <c r="G52" s="83">
        <f t="shared" si="2"/>
        <v>0</v>
      </c>
      <c r="H52" s="83">
        <f t="shared" si="17"/>
        <v>0</v>
      </c>
      <c r="K52">
        <v>7</v>
      </c>
      <c r="L52">
        <f t="shared" si="16"/>
        <v>0</v>
      </c>
      <c r="O52" s="83">
        <f t="shared" si="3"/>
        <v>0</v>
      </c>
      <c r="P52" s="83">
        <f t="shared" si="18"/>
        <v>0</v>
      </c>
      <c r="R52" s="84">
        <f t="shared" si="4"/>
        <v>1</v>
      </c>
    </row>
    <row r="53" spans="1:18" x14ac:dyDescent="0.35">
      <c r="C53">
        <v>8</v>
      </c>
      <c r="D53">
        <f t="shared" si="15"/>
        <v>0</v>
      </c>
      <c r="G53" s="83">
        <f t="shared" si="2"/>
        <v>0</v>
      </c>
      <c r="H53" s="83">
        <f t="shared" si="17"/>
        <v>0</v>
      </c>
      <c r="K53">
        <v>8</v>
      </c>
      <c r="L53">
        <f t="shared" si="16"/>
        <v>0</v>
      </c>
      <c r="O53" s="83">
        <f t="shared" si="3"/>
        <v>0</v>
      </c>
      <c r="P53" s="83">
        <f t="shared" si="18"/>
        <v>0</v>
      </c>
      <c r="R53" s="84">
        <f t="shared" si="4"/>
        <v>1</v>
      </c>
    </row>
    <row r="54" spans="1:18" x14ac:dyDescent="0.35">
      <c r="C54">
        <v>9</v>
      </c>
      <c r="D54">
        <f t="shared" si="15"/>
        <v>0</v>
      </c>
      <c r="G54" s="83">
        <f t="shared" si="2"/>
        <v>0</v>
      </c>
      <c r="H54" s="83">
        <f t="shared" si="17"/>
        <v>0</v>
      </c>
      <c r="K54">
        <v>9</v>
      </c>
      <c r="L54">
        <f t="shared" si="16"/>
        <v>0</v>
      </c>
      <c r="O54" s="83">
        <f t="shared" si="3"/>
        <v>0</v>
      </c>
      <c r="P54" s="83">
        <f t="shared" si="18"/>
        <v>0</v>
      </c>
      <c r="R54" s="84">
        <f t="shared" si="4"/>
        <v>1</v>
      </c>
    </row>
    <row r="55" spans="1:18" x14ac:dyDescent="0.35">
      <c r="C55">
        <v>10</v>
      </c>
      <c r="D55">
        <f t="shared" si="15"/>
        <v>0</v>
      </c>
      <c r="G55" s="83">
        <f t="shared" si="2"/>
        <v>0</v>
      </c>
      <c r="H55" s="83">
        <f t="shared" si="17"/>
        <v>0</v>
      </c>
      <c r="K55">
        <v>10</v>
      </c>
      <c r="L55">
        <f t="shared" si="16"/>
        <v>0</v>
      </c>
      <c r="O55" s="83">
        <f t="shared" si="3"/>
        <v>0</v>
      </c>
      <c r="P55" s="83">
        <f t="shared" si="18"/>
        <v>0</v>
      </c>
      <c r="R55" s="84">
        <f t="shared" si="4"/>
        <v>1</v>
      </c>
    </row>
    <row r="56" spans="1:18" x14ac:dyDescent="0.35">
      <c r="C56">
        <v>11</v>
      </c>
      <c r="D56">
        <f t="shared" si="15"/>
        <v>0</v>
      </c>
      <c r="G56" s="83">
        <f t="shared" si="2"/>
        <v>0</v>
      </c>
      <c r="H56" s="83">
        <f t="shared" si="17"/>
        <v>0</v>
      </c>
      <c r="K56">
        <v>11</v>
      </c>
      <c r="L56">
        <f t="shared" si="16"/>
        <v>0</v>
      </c>
      <c r="O56" s="83">
        <f t="shared" si="3"/>
        <v>0</v>
      </c>
      <c r="P56" s="83">
        <f t="shared" si="18"/>
        <v>0</v>
      </c>
      <c r="R56" s="84">
        <f t="shared" si="4"/>
        <v>1</v>
      </c>
    </row>
    <row r="57" spans="1:18" x14ac:dyDescent="0.35">
      <c r="A57" t="s">
        <v>140</v>
      </c>
      <c r="I57" t="s">
        <v>140</v>
      </c>
      <c r="O57" s="83"/>
      <c r="R57" s="84"/>
    </row>
    <row r="58" spans="1:18" ht="30" customHeight="1" x14ac:dyDescent="0.35">
      <c r="A58" t="s">
        <v>142</v>
      </c>
      <c r="B58" t="s">
        <v>143</v>
      </c>
      <c r="C58" s="81" t="s">
        <v>144</v>
      </c>
      <c r="D58" t="s">
        <v>145</v>
      </c>
      <c r="E58" t="s">
        <v>146</v>
      </c>
      <c r="F58" t="s">
        <v>147</v>
      </c>
      <c r="G58" t="s">
        <v>149</v>
      </c>
      <c r="H58" s="81" t="s">
        <v>152</v>
      </c>
      <c r="I58" t="s">
        <v>142</v>
      </c>
      <c r="J58" t="s">
        <v>143</v>
      </c>
      <c r="K58" s="81" t="s">
        <v>144</v>
      </c>
      <c r="L58" t="s">
        <v>145</v>
      </c>
      <c r="M58" t="s">
        <v>146</v>
      </c>
      <c r="N58" t="s">
        <v>147</v>
      </c>
      <c r="O58" t="s">
        <v>149</v>
      </c>
      <c r="P58" s="81" t="s">
        <v>152</v>
      </c>
      <c r="R58" t="s">
        <v>148</v>
      </c>
    </row>
    <row r="59" spans="1:18" x14ac:dyDescent="0.35">
      <c r="A59">
        <f>IF(Inputs!B12&lt;=36, 0, IF(Inputs!B76&lt;&gt;"",Inputs!B76,IF(Inputs!B64&lt;&gt;"",Inputs!B64,IF(Inputs!B52&lt;&gt;"",Inputs!B52,Inputs!B38))))*100</f>
        <v>0</v>
      </c>
      <c r="B59" s="82"/>
      <c r="C59">
        <v>0</v>
      </c>
      <c r="D59">
        <f t="shared" ref="D59:D70" si="19">MAX(0, $B$59 + (-1.37*2*C59) + (0.18*2^2*C59^2) - (0.03*2^3*C59^3))</f>
        <v>0</v>
      </c>
      <c r="E59">
        <f>AVERAGE(D59:D66)</f>
        <v>0</v>
      </c>
      <c r="F59">
        <f>ABS(A59-E59)</f>
        <v>0</v>
      </c>
      <c r="G59" s="83">
        <f t="shared" si="2"/>
        <v>0</v>
      </c>
      <c r="H59">
        <v>0</v>
      </c>
      <c r="I59">
        <f>IF(Inputs!B12&lt;=36, 0, IF(Inputs!B75&lt;&gt;"",Inputs!B75,IF(Inputs!B63&lt;&gt;"",Inputs!B63,IF(Inputs!B51&lt;&gt;"",Inputs!B51,Inputs!B37))))*100</f>
        <v>0</v>
      </c>
      <c r="J59" s="82"/>
      <c r="K59">
        <v>0</v>
      </c>
      <c r="L59">
        <f t="shared" ref="L59:L70" si="20">MAX(0, $J$59 + (-1.37*2*K59) + (0.18*2^2*K59^2) - (0.03*2^3*K59^3))</f>
        <v>0</v>
      </c>
      <c r="M59">
        <f>AVERAGE(L59:L66)</f>
        <v>0</v>
      </c>
      <c r="N59">
        <f>ABS(I59-M59)</f>
        <v>0</v>
      </c>
      <c r="O59" s="83">
        <f t="shared" si="3"/>
        <v>0</v>
      </c>
      <c r="P59">
        <v>0</v>
      </c>
      <c r="R59" s="84">
        <f t="shared" si="4"/>
        <v>1</v>
      </c>
    </row>
    <row r="60" spans="1:18" x14ac:dyDescent="0.35">
      <c r="C60">
        <v>1</v>
      </c>
      <c r="D60">
        <f t="shared" si="19"/>
        <v>0</v>
      </c>
      <c r="G60" s="83">
        <f t="shared" si="2"/>
        <v>0</v>
      </c>
      <c r="H60" s="83">
        <f>G59-G60</f>
        <v>0</v>
      </c>
      <c r="K60">
        <v>1</v>
      </c>
      <c r="L60">
        <f t="shared" si="20"/>
        <v>0</v>
      </c>
      <c r="O60" s="83">
        <f t="shared" si="3"/>
        <v>0</v>
      </c>
      <c r="P60" s="83">
        <f>O59-O60</f>
        <v>0</v>
      </c>
      <c r="R60" s="84">
        <f t="shared" si="4"/>
        <v>1</v>
      </c>
    </row>
    <row r="61" spans="1:18" x14ac:dyDescent="0.35">
      <c r="C61">
        <v>2</v>
      </c>
      <c r="D61">
        <f t="shared" si="19"/>
        <v>0</v>
      </c>
      <c r="G61" s="83">
        <f t="shared" si="2"/>
        <v>0</v>
      </c>
      <c r="H61" s="83">
        <f t="shared" ref="H61:H69" si="21">G60-G61</f>
        <v>0</v>
      </c>
      <c r="K61">
        <v>2</v>
      </c>
      <c r="L61">
        <f t="shared" si="20"/>
        <v>0</v>
      </c>
      <c r="O61" s="83">
        <f t="shared" si="3"/>
        <v>0</v>
      </c>
      <c r="P61" s="83">
        <f t="shared" ref="P61:P70" si="22">O60-O61</f>
        <v>0</v>
      </c>
      <c r="R61" s="84">
        <f t="shared" si="4"/>
        <v>1</v>
      </c>
    </row>
    <row r="62" spans="1:18" x14ac:dyDescent="0.35">
      <c r="C62">
        <v>3</v>
      </c>
      <c r="D62">
        <f t="shared" si="19"/>
        <v>0</v>
      </c>
      <c r="G62" s="83">
        <f t="shared" si="2"/>
        <v>0</v>
      </c>
      <c r="H62" s="83">
        <f t="shared" si="21"/>
        <v>0</v>
      </c>
      <c r="K62">
        <v>3</v>
      </c>
      <c r="L62">
        <f t="shared" si="20"/>
        <v>0</v>
      </c>
      <c r="O62" s="83">
        <f t="shared" si="3"/>
        <v>0</v>
      </c>
      <c r="P62" s="83">
        <f t="shared" si="22"/>
        <v>0</v>
      </c>
      <c r="R62" s="84">
        <f t="shared" si="4"/>
        <v>1</v>
      </c>
    </row>
    <row r="63" spans="1:18" x14ac:dyDescent="0.35">
      <c r="C63">
        <v>4</v>
      </c>
      <c r="D63">
        <f t="shared" si="19"/>
        <v>0</v>
      </c>
      <c r="G63" s="83">
        <f t="shared" si="2"/>
        <v>0</v>
      </c>
      <c r="H63" s="83">
        <f t="shared" si="21"/>
        <v>0</v>
      </c>
      <c r="K63">
        <v>4</v>
      </c>
      <c r="L63">
        <f t="shared" si="20"/>
        <v>0</v>
      </c>
      <c r="O63" s="83">
        <f t="shared" si="3"/>
        <v>0</v>
      </c>
      <c r="P63" s="83">
        <f t="shared" si="22"/>
        <v>0</v>
      </c>
      <c r="R63" s="84">
        <f t="shared" si="4"/>
        <v>1</v>
      </c>
    </row>
    <row r="64" spans="1:18" x14ac:dyDescent="0.35">
      <c r="C64">
        <v>5</v>
      </c>
      <c r="D64">
        <f t="shared" si="19"/>
        <v>0</v>
      </c>
      <c r="G64" s="83">
        <f t="shared" si="2"/>
        <v>0</v>
      </c>
      <c r="H64" s="83">
        <f t="shared" si="21"/>
        <v>0</v>
      </c>
      <c r="K64">
        <v>5</v>
      </c>
      <c r="L64">
        <f t="shared" si="20"/>
        <v>0</v>
      </c>
      <c r="O64" s="83">
        <f t="shared" si="3"/>
        <v>0</v>
      </c>
      <c r="P64" s="83">
        <f t="shared" si="22"/>
        <v>0</v>
      </c>
      <c r="R64" s="84">
        <f t="shared" si="4"/>
        <v>1</v>
      </c>
    </row>
    <row r="65" spans="3:18" x14ac:dyDescent="0.35">
      <c r="C65">
        <v>6</v>
      </c>
      <c r="D65">
        <f t="shared" si="19"/>
        <v>0</v>
      </c>
      <c r="G65" s="83">
        <f t="shared" si="2"/>
        <v>0</v>
      </c>
      <c r="H65" s="83">
        <f t="shared" si="21"/>
        <v>0</v>
      </c>
      <c r="K65">
        <v>6</v>
      </c>
      <c r="L65">
        <f t="shared" si="20"/>
        <v>0</v>
      </c>
      <c r="O65" s="83">
        <f t="shared" si="3"/>
        <v>0</v>
      </c>
      <c r="P65" s="83">
        <f t="shared" si="22"/>
        <v>0</v>
      </c>
      <c r="R65" s="84">
        <f t="shared" si="4"/>
        <v>1</v>
      </c>
    </row>
    <row r="66" spans="3:18" x14ac:dyDescent="0.35">
      <c r="C66">
        <v>7</v>
      </c>
      <c r="D66">
        <f t="shared" si="19"/>
        <v>0</v>
      </c>
      <c r="G66" s="83">
        <f t="shared" si="2"/>
        <v>0</v>
      </c>
      <c r="H66" s="83">
        <f t="shared" si="21"/>
        <v>0</v>
      </c>
      <c r="K66">
        <v>7</v>
      </c>
      <c r="L66">
        <f t="shared" si="20"/>
        <v>0</v>
      </c>
      <c r="O66" s="83">
        <f t="shared" si="3"/>
        <v>0</v>
      </c>
      <c r="P66" s="83">
        <f t="shared" si="22"/>
        <v>0</v>
      </c>
      <c r="R66" s="84">
        <f t="shared" si="4"/>
        <v>1</v>
      </c>
    </row>
    <row r="67" spans="3:18" x14ac:dyDescent="0.35">
      <c r="C67">
        <v>8</v>
      </c>
      <c r="D67">
        <f t="shared" si="19"/>
        <v>0</v>
      </c>
      <c r="G67" s="83">
        <f t="shared" si="2"/>
        <v>0</v>
      </c>
      <c r="H67" s="83">
        <f t="shared" si="21"/>
        <v>0</v>
      </c>
      <c r="K67">
        <v>8</v>
      </c>
      <c r="L67">
        <f t="shared" si="20"/>
        <v>0</v>
      </c>
      <c r="O67" s="83">
        <f t="shared" si="3"/>
        <v>0</v>
      </c>
      <c r="P67" s="83">
        <f t="shared" si="22"/>
        <v>0</v>
      </c>
      <c r="R67" s="84">
        <f t="shared" si="4"/>
        <v>1</v>
      </c>
    </row>
    <row r="68" spans="3:18" x14ac:dyDescent="0.35">
      <c r="C68">
        <v>9</v>
      </c>
      <c r="D68">
        <f t="shared" si="19"/>
        <v>0</v>
      </c>
      <c r="G68" s="83">
        <f t="shared" ref="G68:G69" si="23">D68/100</f>
        <v>0</v>
      </c>
      <c r="H68" s="83">
        <f t="shared" si="21"/>
        <v>0</v>
      </c>
      <c r="K68">
        <v>9</v>
      </c>
      <c r="L68">
        <f t="shared" si="20"/>
        <v>0</v>
      </c>
      <c r="O68" s="83">
        <f t="shared" ref="O68:O70" si="24">L68/100</f>
        <v>0</v>
      </c>
      <c r="P68" s="83">
        <f t="shared" si="22"/>
        <v>0</v>
      </c>
      <c r="R68" s="84">
        <f t="shared" ref="R68:R70" si="25">(1-O68)/(1-G68)</f>
        <v>1</v>
      </c>
    </row>
    <row r="69" spans="3:18" x14ac:dyDescent="0.35">
      <c r="C69">
        <v>10</v>
      </c>
      <c r="D69">
        <f t="shared" si="19"/>
        <v>0</v>
      </c>
      <c r="G69" s="83">
        <f t="shared" si="23"/>
        <v>0</v>
      </c>
      <c r="H69" s="83">
        <f t="shared" si="21"/>
        <v>0</v>
      </c>
      <c r="K69">
        <v>10</v>
      </c>
      <c r="L69">
        <f t="shared" si="20"/>
        <v>0</v>
      </c>
      <c r="O69" s="83">
        <f t="shared" si="24"/>
        <v>0</v>
      </c>
      <c r="P69" s="83">
        <f t="shared" si="22"/>
        <v>0</v>
      </c>
      <c r="R69" s="84">
        <f t="shared" si="25"/>
        <v>1</v>
      </c>
    </row>
    <row r="70" spans="3:18" x14ac:dyDescent="0.35">
      <c r="C70">
        <v>11</v>
      </c>
      <c r="D70">
        <f t="shared" si="19"/>
        <v>0</v>
      </c>
      <c r="K70">
        <v>11</v>
      </c>
      <c r="L70">
        <f t="shared" si="20"/>
        <v>0</v>
      </c>
      <c r="O70" s="83">
        <f t="shared" si="24"/>
        <v>0</v>
      </c>
      <c r="P70" s="83">
        <f t="shared" si="22"/>
        <v>0</v>
      </c>
      <c r="R70" s="84">
        <f t="shared" si="25"/>
        <v>1</v>
      </c>
    </row>
  </sheetData>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1:BK62"/>
  <sheetViews>
    <sheetView workbookViewId="0">
      <selection activeCell="H57" sqref="H57"/>
    </sheetView>
  </sheetViews>
  <sheetFormatPr defaultColWidth="10.90625" defaultRowHeight="14.5" x14ac:dyDescent="0.35"/>
  <cols>
    <col min="4" max="63" width="18.7265625" customWidth="1"/>
  </cols>
  <sheetData>
    <row r="1" spans="2:63" ht="15.75" customHeight="1" x14ac:dyDescent="0.35"/>
    <row r="2" spans="2:63" ht="45" customHeight="1" x14ac:dyDescent="0.35">
      <c r="B2" s="85" t="s">
        <v>153</v>
      </c>
      <c r="C2" s="86" t="s">
        <v>64</v>
      </c>
      <c r="D2" s="91" t="s">
        <v>154</v>
      </c>
      <c r="E2" s="91" t="s">
        <v>155</v>
      </c>
      <c r="F2" s="91" t="s">
        <v>156</v>
      </c>
      <c r="G2" s="91" t="s">
        <v>157</v>
      </c>
      <c r="H2" s="91" t="s">
        <v>158</v>
      </c>
      <c r="I2" s="91" t="s">
        <v>159</v>
      </c>
      <c r="J2" s="91" t="s">
        <v>160</v>
      </c>
      <c r="K2" s="91" t="s">
        <v>161</v>
      </c>
      <c r="L2" s="91" t="s">
        <v>162</v>
      </c>
      <c r="M2" s="91" t="s">
        <v>163</v>
      </c>
      <c r="N2" s="91" t="s">
        <v>164</v>
      </c>
      <c r="O2" s="92" t="s">
        <v>165</v>
      </c>
      <c r="P2" s="91" t="s">
        <v>166</v>
      </c>
      <c r="Q2" s="91" t="s">
        <v>167</v>
      </c>
      <c r="R2" s="91" t="s">
        <v>168</v>
      </c>
      <c r="S2" s="91" t="s">
        <v>169</v>
      </c>
      <c r="T2" s="91" t="s">
        <v>170</v>
      </c>
      <c r="U2" s="91" t="s">
        <v>171</v>
      </c>
      <c r="V2" s="91" t="s">
        <v>172</v>
      </c>
      <c r="W2" s="91" t="s">
        <v>173</v>
      </c>
      <c r="X2" s="91" t="s">
        <v>174</v>
      </c>
      <c r="Y2" s="91" t="s">
        <v>175</v>
      </c>
      <c r="Z2" s="91" t="s">
        <v>176</v>
      </c>
      <c r="AA2" s="92" t="s">
        <v>177</v>
      </c>
      <c r="AB2" s="91" t="s">
        <v>178</v>
      </c>
      <c r="AC2" s="91" t="s">
        <v>179</v>
      </c>
      <c r="AD2" s="91" t="s">
        <v>180</v>
      </c>
      <c r="AE2" s="91" t="s">
        <v>181</v>
      </c>
      <c r="AF2" s="91" t="s">
        <v>182</v>
      </c>
      <c r="AG2" s="91" t="s">
        <v>183</v>
      </c>
      <c r="AH2" s="91" t="s">
        <v>184</v>
      </c>
      <c r="AI2" s="91" t="s">
        <v>185</v>
      </c>
      <c r="AJ2" s="91" t="s">
        <v>186</v>
      </c>
      <c r="AK2" s="91" t="s">
        <v>187</v>
      </c>
      <c r="AL2" s="91" t="s">
        <v>188</v>
      </c>
      <c r="AM2" s="92" t="s">
        <v>189</v>
      </c>
      <c r="AN2" s="91" t="s">
        <v>190</v>
      </c>
      <c r="AO2" s="91" t="s">
        <v>191</v>
      </c>
      <c r="AP2" s="91" t="s">
        <v>192</v>
      </c>
      <c r="AQ2" s="91" t="s">
        <v>193</v>
      </c>
      <c r="AR2" s="91" t="s">
        <v>194</v>
      </c>
      <c r="AS2" s="91" t="s">
        <v>195</v>
      </c>
      <c r="AT2" s="91" t="s">
        <v>196</v>
      </c>
      <c r="AU2" s="91" t="s">
        <v>197</v>
      </c>
      <c r="AV2" s="91" t="s">
        <v>198</v>
      </c>
      <c r="AW2" s="91" t="s">
        <v>199</v>
      </c>
      <c r="AX2" s="91" t="s">
        <v>200</v>
      </c>
      <c r="AY2" s="92" t="s">
        <v>201</v>
      </c>
      <c r="AZ2" s="91" t="s">
        <v>202</v>
      </c>
      <c r="BA2" s="91" t="s">
        <v>203</v>
      </c>
      <c r="BB2" s="91" t="s">
        <v>204</v>
      </c>
      <c r="BC2" s="91" t="s">
        <v>205</v>
      </c>
      <c r="BD2" s="91" t="s">
        <v>206</v>
      </c>
      <c r="BE2" s="91" t="s">
        <v>207</v>
      </c>
      <c r="BF2" s="91" t="s">
        <v>208</v>
      </c>
      <c r="BG2" s="91" t="s">
        <v>209</v>
      </c>
      <c r="BH2" s="91" t="s">
        <v>210</v>
      </c>
      <c r="BI2" s="91" t="s">
        <v>211</v>
      </c>
      <c r="BJ2" s="91" t="s">
        <v>212</v>
      </c>
      <c r="BK2" s="92" t="s">
        <v>213</v>
      </c>
    </row>
    <row r="3" spans="2:63" x14ac:dyDescent="0.35">
      <c r="B3" s="87">
        <v>0</v>
      </c>
      <c r="C3">
        <f>Inputs!I22</f>
        <v>0</v>
      </c>
      <c r="D3">
        <f>Inputs!$F$8*Inputs!J22*HelperFunctions!H3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2:63" x14ac:dyDescent="0.35">
      <c r="B4" s="87">
        <v>0</v>
      </c>
      <c r="C4">
        <f>Inputs!I23</f>
        <v>0</v>
      </c>
      <c r="D4">
        <f>Inputs!$F$8*Inputs!$J$22*HelperFunctions!$H4</f>
        <v>0</v>
      </c>
      <c r="E4">
        <f>Inputs!$F$8*Inputs!$J$23*HelperFunctions!$H3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2:63" x14ac:dyDescent="0.35">
      <c r="B5" s="87">
        <v>0</v>
      </c>
      <c r="C5">
        <f>Inputs!I24</f>
        <v>0</v>
      </c>
      <c r="D5">
        <f>Inputs!$F$8*Inputs!$J$22*HelperFunctions!$H5</f>
        <v>0</v>
      </c>
      <c r="E5">
        <f>Inputs!$F$8*Inputs!$J$23*HelperFunctions!$H4</f>
        <v>0</v>
      </c>
      <c r="F5">
        <f>Inputs!$F$8*Inputs!$J$24*HelperFunctions!$H3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2:63" x14ac:dyDescent="0.35">
      <c r="B6" s="87">
        <v>0</v>
      </c>
      <c r="C6">
        <f>Inputs!I25</f>
        <v>0</v>
      </c>
      <c r="D6">
        <f>Inputs!$F$8*Inputs!$J$22*HelperFunctions!$H6</f>
        <v>0</v>
      </c>
      <c r="E6">
        <f>Inputs!$F$8*Inputs!$J$23*HelperFunctions!$H5</f>
        <v>0</v>
      </c>
      <c r="F6">
        <f>Inputs!$F$8*Inputs!$J$24*HelperFunctions!$H4</f>
        <v>0</v>
      </c>
      <c r="G6">
        <f>Inputs!$F$8*Inputs!$J$25*HelperFunctions!$H3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2:63" x14ac:dyDescent="0.35">
      <c r="B7" s="87">
        <v>0</v>
      </c>
      <c r="C7">
        <f>Inputs!I26</f>
        <v>0</v>
      </c>
      <c r="D7">
        <f>Inputs!$F$8*Inputs!$J$22*HelperFunctions!$H7</f>
        <v>0</v>
      </c>
      <c r="E7">
        <f>Inputs!$F$8*Inputs!$J$23*HelperFunctions!$H6</f>
        <v>0</v>
      </c>
      <c r="F7">
        <f>Inputs!$F$8*Inputs!$J$24*HelperFunctions!$H5</f>
        <v>0</v>
      </c>
      <c r="G7">
        <f>Inputs!$F$8*Inputs!$J$25*HelperFunctions!$H4</f>
        <v>0</v>
      </c>
      <c r="H7">
        <f>Inputs!$F$8*Inputs!$J$26*HelperFunctions!$H3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2:63" x14ac:dyDescent="0.35">
      <c r="B8" s="87">
        <v>0</v>
      </c>
      <c r="C8">
        <f>Inputs!I27</f>
        <v>0</v>
      </c>
      <c r="D8">
        <f>Inputs!$F$8*Inputs!$J$22*HelperFunctions!$H8</f>
        <v>0</v>
      </c>
      <c r="E8">
        <f>Inputs!$F$8*Inputs!$J$23*HelperFunctions!$H7</f>
        <v>0</v>
      </c>
      <c r="F8">
        <f>Inputs!$F$8*Inputs!$J$24*HelperFunctions!$H6</f>
        <v>0</v>
      </c>
      <c r="G8">
        <f>Inputs!$F$8*Inputs!$J$25*HelperFunctions!$H5</f>
        <v>0</v>
      </c>
      <c r="H8">
        <f>Inputs!$F$8*Inputs!$J$26*HelperFunctions!$H4</f>
        <v>0</v>
      </c>
      <c r="I8">
        <f>Inputs!$F$8*Inputs!$J$27*HelperFunctions!$H3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2:63" x14ac:dyDescent="0.35">
      <c r="B9" s="87">
        <v>0</v>
      </c>
      <c r="C9">
        <f>Inputs!I28</f>
        <v>0</v>
      </c>
      <c r="D9">
        <f>Inputs!$F$8*Inputs!$J$22*HelperFunctions!$H9</f>
        <v>0</v>
      </c>
      <c r="E9">
        <f>Inputs!$F$8*Inputs!$J$23*HelperFunctions!$H8</f>
        <v>0</v>
      </c>
      <c r="F9">
        <f>Inputs!$F$8*Inputs!$J$24*HelperFunctions!$H7</f>
        <v>0</v>
      </c>
      <c r="G9">
        <f>Inputs!$F$8*Inputs!$J$25*HelperFunctions!$H6</f>
        <v>0</v>
      </c>
      <c r="H9">
        <f>Inputs!$F$8*Inputs!$J$26*HelperFunctions!$H5</f>
        <v>0</v>
      </c>
      <c r="I9">
        <f>Inputs!$F$8*Inputs!$J$27*HelperFunctions!$H4</f>
        <v>0</v>
      </c>
      <c r="J9">
        <f>Inputs!$F$8*Inputs!$J$28*HelperFunctions!$H3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2:63" x14ac:dyDescent="0.35">
      <c r="B10" s="87">
        <v>0</v>
      </c>
      <c r="C10">
        <f>Inputs!I29</f>
        <v>0</v>
      </c>
      <c r="D10">
        <f>Inputs!$F$8*Inputs!$J$22*HelperFunctions!$H10</f>
        <v>0</v>
      </c>
      <c r="E10">
        <f>Inputs!$F$8*Inputs!$J$23*HelperFunctions!$H9</f>
        <v>0</v>
      </c>
      <c r="F10">
        <f>Inputs!$F$8*Inputs!$J$24*HelperFunctions!$H8</f>
        <v>0</v>
      </c>
      <c r="G10">
        <f>Inputs!$F$8*Inputs!$J$25*HelperFunctions!$H7</f>
        <v>0</v>
      </c>
      <c r="H10">
        <f>Inputs!$F$8*Inputs!$J$26*HelperFunctions!$H6</f>
        <v>0</v>
      </c>
      <c r="I10">
        <f>Inputs!$F$8*Inputs!$J$27*HelperFunctions!$H5</f>
        <v>0</v>
      </c>
      <c r="J10">
        <f>Inputs!$F$8*Inputs!$J$28*HelperFunctions!$H4</f>
        <v>0</v>
      </c>
      <c r="K10">
        <f>Inputs!$F$8*Inputs!$J$29*HelperFunctions!$H3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2:63" x14ac:dyDescent="0.35">
      <c r="B11" s="87">
        <v>0</v>
      </c>
      <c r="C11">
        <f>Inputs!I30</f>
        <v>0</v>
      </c>
      <c r="D11">
        <f>Inputs!$F$8*Inputs!$J$22*HelperFunctions!$H11</f>
        <v>0</v>
      </c>
      <c r="E11">
        <f>Inputs!$F$8*Inputs!$J$23*HelperFunctions!$H10</f>
        <v>0</v>
      </c>
      <c r="F11">
        <f>Inputs!$F$8*Inputs!$J$24*HelperFunctions!$H9</f>
        <v>0</v>
      </c>
      <c r="G11">
        <f>Inputs!$F$8*Inputs!$J$25*HelperFunctions!$H8</f>
        <v>0</v>
      </c>
      <c r="H11">
        <f>Inputs!$F$8*Inputs!$J$26*HelperFunctions!$H7</f>
        <v>0</v>
      </c>
      <c r="I11">
        <f>Inputs!$F$8*Inputs!$J$27*HelperFunctions!$H6</f>
        <v>0</v>
      </c>
      <c r="J11">
        <f>Inputs!$F$8*Inputs!$J$28*HelperFunctions!$H5</f>
        <v>0</v>
      </c>
      <c r="K11">
        <f>Inputs!$F$8*Inputs!$J$29*HelperFunctions!$H4</f>
        <v>0</v>
      </c>
      <c r="L11">
        <f>Inputs!$F$8*Inputs!$J$30*HelperFunctions!$H3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2:63" x14ac:dyDescent="0.35">
      <c r="B12" s="87">
        <v>0</v>
      </c>
      <c r="C12">
        <f>Inputs!I31</f>
        <v>0</v>
      </c>
      <c r="D12">
        <f>Inputs!$F$8*Inputs!$J$22*HelperFunctions!$H12</f>
        <v>0</v>
      </c>
      <c r="E12">
        <f>Inputs!$F$8*Inputs!$J$23*HelperFunctions!$H11</f>
        <v>0</v>
      </c>
      <c r="F12">
        <f>Inputs!$F$8*Inputs!$J$24*HelperFunctions!$H10</f>
        <v>0</v>
      </c>
      <c r="G12">
        <f>Inputs!$F$8*Inputs!$J$25*HelperFunctions!$H9</f>
        <v>0</v>
      </c>
      <c r="H12">
        <f>Inputs!$F$8*Inputs!$J$26*HelperFunctions!$H8</f>
        <v>0</v>
      </c>
      <c r="I12">
        <f>Inputs!$F$8*Inputs!$J$27*HelperFunctions!$H7</f>
        <v>0</v>
      </c>
      <c r="J12">
        <f>Inputs!$F$8*Inputs!$J$28*HelperFunctions!$H6</f>
        <v>0</v>
      </c>
      <c r="K12">
        <f>Inputs!$F$8*Inputs!$J$29*HelperFunctions!$H5</f>
        <v>0</v>
      </c>
      <c r="L12">
        <f>Inputs!$F$8*Inputs!$J$30*HelperFunctions!$H4</f>
        <v>0</v>
      </c>
      <c r="M12">
        <f>Inputs!$F$8*Inputs!$J$31*HelperFunctions!$H3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2:63" x14ac:dyDescent="0.35">
      <c r="B13" s="87">
        <v>0</v>
      </c>
      <c r="C13">
        <f>Inputs!I32</f>
        <v>0</v>
      </c>
      <c r="D13">
        <f>Inputs!$F$8*Inputs!$J$22*HelperFunctions!$H13</f>
        <v>0</v>
      </c>
      <c r="E13">
        <f>Inputs!$F$8*Inputs!$J$23*HelperFunctions!$H12</f>
        <v>0</v>
      </c>
      <c r="F13">
        <f>Inputs!$F$8*Inputs!$J$24*HelperFunctions!$H11</f>
        <v>0</v>
      </c>
      <c r="G13">
        <f>Inputs!$F$8*Inputs!$J$25*HelperFunctions!$H10</f>
        <v>0</v>
      </c>
      <c r="H13">
        <f>Inputs!$F$8*Inputs!$J$26*HelperFunctions!$H9</f>
        <v>0</v>
      </c>
      <c r="I13">
        <f>Inputs!$F$8*Inputs!$J$27*HelperFunctions!$H8</f>
        <v>0</v>
      </c>
      <c r="J13">
        <f>Inputs!$F$8*Inputs!$J$28*HelperFunctions!$H7</f>
        <v>0</v>
      </c>
      <c r="K13">
        <f>Inputs!$F$8*Inputs!$J$29*HelperFunctions!$H6</f>
        <v>0</v>
      </c>
      <c r="L13">
        <f>Inputs!$F$8*Inputs!$J$30*HelperFunctions!$H5</f>
        <v>0</v>
      </c>
      <c r="M13">
        <f>Inputs!$F$8*Inputs!$J$31*HelperFunctions!$H4</f>
        <v>0</v>
      </c>
      <c r="N13">
        <f>Inputs!$F$8*Inputs!$J$32*HelperFunctions!$H3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2:63" ht="15.75" customHeight="1" x14ac:dyDescent="0.35">
      <c r="B14" s="88">
        <v>0</v>
      </c>
      <c r="C14" s="89">
        <f>Inputs!I33</f>
        <v>0</v>
      </c>
      <c r="D14" s="89">
        <f>Inputs!$F$8*Inputs!$J$22*HelperFunctions!$H$14</f>
        <v>0</v>
      </c>
      <c r="E14" s="89">
        <f>Inputs!$F$8*Inputs!$J$23*HelperFunctions!$H13</f>
        <v>0</v>
      </c>
      <c r="F14" s="89">
        <f>Inputs!$F$8*Inputs!$J$24*HelperFunctions!$H12</f>
        <v>0</v>
      </c>
      <c r="G14" s="89">
        <f>Inputs!$F$8*Inputs!$J$25*HelperFunctions!$H11</f>
        <v>0</v>
      </c>
      <c r="H14" s="89">
        <f>Inputs!$F$8*Inputs!$J$26*HelperFunctions!$H10</f>
        <v>0</v>
      </c>
      <c r="I14" s="89">
        <f>Inputs!$F$8*Inputs!$J$27*HelperFunctions!$H9</f>
        <v>0</v>
      </c>
      <c r="J14" s="89">
        <f>Inputs!$F$8*Inputs!$J$28*HelperFunctions!$H8</f>
        <v>0</v>
      </c>
      <c r="K14" s="89">
        <f>Inputs!$F$8*Inputs!$J$29*HelperFunctions!$H7</f>
        <v>0</v>
      </c>
      <c r="L14" s="89">
        <f>Inputs!$F$8*Inputs!$J$30*HelperFunctions!$H6</f>
        <v>0</v>
      </c>
      <c r="M14" s="89">
        <f>Inputs!$F$8*Inputs!$J$31*HelperFunctions!$H5</f>
        <v>0</v>
      </c>
      <c r="N14" s="89">
        <f>Inputs!$F$8*Inputs!$J$32*HelperFunctions!$H4</f>
        <v>0</v>
      </c>
      <c r="O14" s="90">
        <f>Inputs!$F$8*Inputs!$J$33*HelperFunctions!$H3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2:63" x14ac:dyDescent="0.35">
      <c r="B15" s="87">
        <v>1</v>
      </c>
      <c r="C15">
        <f>Inputs!I36</f>
        <v>0</v>
      </c>
      <c r="D15">
        <f>Inputs!$F$8*Inputs!$J$22*HelperFunctions!$H$14</f>
        <v>0</v>
      </c>
      <c r="E15">
        <f>Inputs!$F$8*Inputs!$J$23*HelperFunctions!$H$14</f>
        <v>0</v>
      </c>
      <c r="F15">
        <f>Inputs!$F$8*Inputs!$J$24*HelperFunctions!$H13</f>
        <v>0</v>
      </c>
      <c r="G15">
        <f>Inputs!$F$8*Inputs!$J$25*HelperFunctions!$H12</f>
        <v>0</v>
      </c>
      <c r="H15">
        <f>Inputs!$F$8*Inputs!$J$26*HelperFunctions!$H11</f>
        <v>0</v>
      </c>
      <c r="I15">
        <f>Inputs!$F$8*Inputs!$J$27*HelperFunctions!$H10</f>
        <v>0</v>
      </c>
      <c r="J15">
        <f>Inputs!$F$8*Inputs!$J$28*HelperFunctions!$H9</f>
        <v>0</v>
      </c>
      <c r="K15">
        <f>Inputs!$F$8*Inputs!$J$29*HelperFunctions!$H8</f>
        <v>0</v>
      </c>
      <c r="L15">
        <f>Inputs!$F$8*Inputs!$J$30*HelperFunctions!$H7</f>
        <v>0</v>
      </c>
      <c r="M15">
        <f>Inputs!$F$8*Inputs!$J$31*HelperFunctions!$H6</f>
        <v>0</v>
      </c>
      <c r="N15">
        <f>Inputs!$F$8*Inputs!$J$32*HelperFunctions!$H5</f>
        <v>0</v>
      </c>
      <c r="O15">
        <f>Inputs!$F$8*Inputs!$J$33*HelperFunctions!$H4</f>
        <v>0</v>
      </c>
      <c r="P15">
        <f>Inputs!$F$8*Inputs!$J$36*HelperFunctions!$H17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2:63" x14ac:dyDescent="0.35">
      <c r="B16" s="87">
        <v>1</v>
      </c>
      <c r="C16">
        <f>Inputs!I37</f>
        <v>0</v>
      </c>
      <c r="D16">
        <f>Inputs!$F$8*Inputs!$J$22*HelperFunctions!$H$14</f>
        <v>0</v>
      </c>
      <c r="E16">
        <f>Inputs!$F$8*Inputs!$J$23*HelperFunctions!$H$14</f>
        <v>0</v>
      </c>
      <c r="F16">
        <f>Inputs!$F$8*Inputs!$J$24*HelperFunctions!$H$14</f>
        <v>0</v>
      </c>
      <c r="G16">
        <f>Inputs!$F$8*Inputs!$J$25*HelperFunctions!$H13</f>
        <v>0</v>
      </c>
      <c r="H16">
        <f>Inputs!$F$8*Inputs!$J$26*HelperFunctions!$H12</f>
        <v>0</v>
      </c>
      <c r="I16">
        <f>Inputs!$F$8*Inputs!$J$27*HelperFunctions!$H11</f>
        <v>0</v>
      </c>
      <c r="J16">
        <f>Inputs!$F$8*Inputs!$J$28*HelperFunctions!$H10</f>
        <v>0</v>
      </c>
      <c r="K16">
        <f>Inputs!$F$8*Inputs!$J$29*HelperFunctions!$H9</f>
        <v>0</v>
      </c>
      <c r="L16">
        <f>Inputs!$F$8*Inputs!$J$30*HelperFunctions!$H8</f>
        <v>0</v>
      </c>
      <c r="M16">
        <f>Inputs!$F$8*Inputs!$J$31*HelperFunctions!$H7</f>
        <v>0</v>
      </c>
      <c r="N16">
        <f>Inputs!$F$8*Inputs!$J$32*HelperFunctions!$H6</f>
        <v>0</v>
      </c>
      <c r="O16">
        <f>Inputs!$F$8*Inputs!$J$33*HelperFunctions!$H5</f>
        <v>0</v>
      </c>
      <c r="P16">
        <f>Inputs!$F$8*Inputs!$J$36*HelperFunctions!$H18</f>
        <v>0</v>
      </c>
      <c r="Q16">
        <f>Inputs!$F$8*Inputs!$J$37*HelperFunctions!$H17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2:63" x14ac:dyDescent="0.35">
      <c r="B17" s="87">
        <v>1</v>
      </c>
      <c r="C17">
        <f>Inputs!I38</f>
        <v>0</v>
      </c>
      <c r="D17">
        <f>Inputs!$F$8*Inputs!$J$22*HelperFunctions!$H$14</f>
        <v>0</v>
      </c>
      <c r="E17">
        <f>Inputs!$F$8*Inputs!$J$23*HelperFunctions!$H$14</f>
        <v>0</v>
      </c>
      <c r="F17">
        <f>Inputs!$F$8*Inputs!$J$24*HelperFunctions!$H$14</f>
        <v>0</v>
      </c>
      <c r="G17">
        <f>Inputs!$F$8*Inputs!$J$25*HelperFunctions!$H$14</f>
        <v>0</v>
      </c>
      <c r="H17">
        <f>Inputs!$F$8*Inputs!$J$26*HelperFunctions!$H13</f>
        <v>0</v>
      </c>
      <c r="I17">
        <f>Inputs!$F$8*Inputs!$J$27*HelperFunctions!$H12</f>
        <v>0</v>
      </c>
      <c r="J17">
        <f>Inputs!$F$8*Inputs!$J$28*HelperFunctions!$H11</f>
        <v>0</v>
      </c>
      <c r="K17">
        <f>Inputs!$F$8*Inputs!$J$29*HelperFunctions!$H10</f>
        <v>0</v>
      </c>
      <c r="L17">
        <f>Inputs!$F$8*Inputs!$J$30*HelperFunctions!$H9</f>
        <v>0</v>
      </c>
      <c r="M17">
        <f>Inputs!$F$8*Inputs!$J$31*HelperFunctions!$H8</f>
        <v>0</v>
      </c>
      <c r="N17">
        <f>Inputs!$F$8*Inputs!$J$32*HelperFunctions!$H7</f>
        <v>0</v>
      </c>
      <c r="O17">
        <f>Inputs!$F$8*Inputs!$J$33*HelperFunctions!$H6</f>
        <v>0</v>
      </c>
      <c r="P17">
        <f>Inputs!$F$8*Inputs!$J$36*HelperFunctions!$H19</f>
        <v>0</v>
      </c>
      <c r="Q17">
        <f>Inputs!$F$8*Inputs!$J$37*HelperFunctions!$H18</f>
        <v>0</v>
      </c>
      <c r="R17">
        <f>Inputs!$F$8*Inputs!$J$38*HelperFunctions!$H17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2:63" x14ac:dyDescent="0.35">
      <c r="B18" s="87">
        <v>1</v>
      </c>
      <c r="C18">
        <f>Inputs!I39</f>
        <v>0</v>
      </c>
      <c r="D18">
        <f>Inputs!$F$8*Inputs!$J$22*HelperFunctions!$H$14</f>
        <v>0</v>
      </c>
      <c r="E18">
        <f>Inputs!$F$8*Inputs!$J$23*HelperFunctions!$H$14</f>
        <v>0</v>
      </c>
      <c r="F18">
        <f>Inputs!$F$8*Inputs!$J$24*HelperFunctions!$H$14</f>
        <v>0</v>
      </c>
      <c r="G18">
        <f>Inputs!$F$8*Inputs!$J$25*HelperFunctions!$H$14</f>
        <v>0</v>
      </c>
      <c r="H18">
        <f>Inputs!$F$8*Inputs!$J$26*HelperFunctions!$H$14</f>
        <v>0</v>
      </c>
      <c r="I18">
        <f>Inputs!$F$8*Inputs!$J$27*HelperFunctions!$H13</f>
        <v>0</v>
      </c>
      <c r="J18">
        <f>Inputs!$F$8*Inputs!$J$28*HelperFunctions!$H12</f>
        <v>0</v>
      </c>
      <c r="K18">
        <f>Inputs!$F$8*Inputs!$J$29*HelperFunctions!$H11</f>
        <v>0</v>
      </c>
      <c r="L18">
        <f>Inputs!$F$8*Inputs!$J$30*HelperFunctions!$H10</f>
        <v>0</v>
      </c>
      <c r="M18">
        <f>Inputs!$F$8*Inputs!$J$31*HelperFunctions!$H9</f>
        <v>0</v>
      </c>
      <c r="N18">
        <f>Inputs!$F$8*Inputs!$J$32*HelperFunctions!$H8</f>
        <v>0</v>
      </c>
      <c r="O18">
        <f>Inputs!$F$8*Inputs!$J$33*HelperFunctions!$H7</f>
        <v>0</v>
      </c>
      <c r="P18">
        <f>Inputs!$F$8*Inputs!$J$36*HelperFunctions!$H20</f>
        <v>0</v>
      </c>
      <c r="Q18">
        <f>Inputs!$F$8*Inputs!$J$37*HelperFunctions!$H19</f>
        <v>0</v>
      </c>
      <c r="R18">
        <f>Inputs!$F$8*Inputs!$J$38*HelperFunctions!$H18</f>
        <v>0</v>
      </c>
      <c r="S18">
        <f>Inputs!$F$8*Inputs!$J$39*HelperFunctions!$H17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2:63" x14ac:dyDescent="0.35">
      <c r="B19" s="87">
        <v>1</v>
      </c>
      <c r="C19">
        <f>Inputs!I40</f>
        <v>0</v>
      </c>
      <c r="D19">
        <f>Inputs!$F$8*Inputs!$J$22*HelperFunctions!$H$14</f>
        <v>0</v>
      </c>
      <c r="E19">
        <f>Inputs!$F$8*Inputs!$J$23*HelperFunctions!$H$14</f>
        <v>0</v>
      </c>
      <c r="F19">
        <f>Inputs!$F$8*Inputs!$J$24*HelperFunctions!$H$14</f>
        <v>0</v>
      </c>
      <c r="G19">
        <f>Inputs!$F$8*Inputs!$J$25*HelperFunctions!$H$14</f>
        <v>0</v>
      </c>
      <c r="H19">
        <f>Inputs!$F$8*Inputs!$J$26*HelperFunctions!$H$14</f>
        <v>0</v>
      </c>
      <c r="I19">
        <f>Inputs!$F$8*Inputs!$J$27*HelperFunctions!$H$14</f>
        <v>0</v>
      </c>
      <c r="J19">
        <f>Inputs!$F$8*Inputs!$J$28*HelperFunctions!$H13</f>
        <v>0</v>
      </c>
      <c r="K19">
        <f>Inputs!$F$8*Inputs!$J$29*HelperFunctions!$H12</f>
        <v>0</v>
      </c>
      <c r="L19">
        <f>Inputs!$F$8*Inputs!$J$30*HelperFunctions!$H11</f>
        <v>0</v>
      </c>
      <c r="M19">
        <f>Inputs!$F$8*Inputs!$J$31*HelperFunctions!$H10</f>
        <v>0</v>
      </c>
      <c r="N19">
        <f>Inputs!$F$8*Inputs!$J$32*HelperFunctions!$H9</f>
        <v>0</v>
      </c>
      <c r="O19">
        <f>Inputs!$F$8*Inputs!$J$33*HelperFunctions!$H8</f>
        <v>0</v>
      </c>
      <c r="P19">
        <f>Inputs!$F$8*Inputs!$J$36*HelperFunctions!$H21</f>
        <v>0</v>
      </c>
      <c r="Q19">
        <f>Inputs!$F$8*Inputs!$J$37*HelperFunctions!$H20</f>
        <v>0</v>
      </c>
      <c r="R19">
        <f>Inputs!$F$8*Inputs!$J$38*HelperFunctions!$H19</f>
        <v>0</v>
      </c>
      <c r="S19">
        <f>Inputs!$F$8*Inputs!$J$39*HelperFunctions!$H18</f>
        <v>0</v>
      </c>
      <c r="T19">
        <f>Inputs!$F$8*Inputs!$J$40*HelperFunctions!$H17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2:63" x14ac:dyDescent="0.35">
      <c r="B20" s="87">
        <v>1</v>
      </c>
      <c r="C20">
        <f>Inputs!I41</f>
        <v>0</v>
      </c>
      <c r="D20">
        <f>Inputs!$F$8*Inputs!$J$22*HelperFunctions!$H$14</f>
        <v>0</v>
      </c>
      <c r="E20">
        <f>Inputs!$F$8*Inputs!$J$23*HelperFunctions!$H$14</f>
        <v>0</v>
      </c>
      <c r="F20">
        <f>Inputs!$F$8*Inputs!$J$24*HelperFunctions!$H$14</f>
        <v>0</v>
      </c>
      <c r="G20">
        <f>Inputs!$F$8*Inputs!$J$25*HelperFunctions!$H$14</f>
        <v>0</v>
      </c>
      <c r="H20">
        <f>Inputs!$F$8*Inputs!$J$26*HelperFunctions!$H$14</f>
        <v>0</v>
      </c>
      <c r="I20">
        <f>Inputs!$F$8*Inputs!$J$27*HelperFunctions!$H$14</f>
        <v>0</v>
      </c>
      <c r="J20">
        <f>Inputs!$F$8*Inputs!$J$28*HelperFunctions!$H$14</f>
        <v>0</v>
      </c>
      <c r="K20">
        <f>Inputs!$F$8*Inputs!$J$29*HelperFunctions!$H13</f>
        <v>0</v>
      </c>
      <c r="L20">
        <f>Inputs!$F$8*Inputs!$J$30*HelperFunctions!$H12</f>
        <v>0</v>
      </c>
      <c r="M20">
        <f>Inputs!$F$8*Inputs!$J$31*HelperFunctions!$H11</f>
        <v>0</v>
      </c>
      <c r="N20">
        <f>Inputs!$F$8*Inputs!$J$32*HelperFunctions!$H10</f>
        <v>0</v>
      </c>
      <c r="O20">
        <f>Inputs!$F$8*Inputs!$J$33*HelperFunctions!$H9</f>
        <v>0</v>
      </c>
      <c r="P20">
        <f>Inputs!$F$8*Inputs!$J$36*HelperFunctions!$H22</f>
        <v>0</v>
      </c>
      <c r="Q20">
        <f>Inputs!$F$8*Inputs!$J$37*HelperFunctions!$H21</f>
        <v>0</v>
      </c>
      <c r="R20">
        <f>Inputs!$F$8*Inputs!$J$38*HelperFunctions!$H20</f>
        <v>0</v>
      </c>
      <c r="S20">
        <f>Inputs!$F$8*Inputs!$J$39*HelperFunctions!$H19</f>
        <v>0</v>
      </c>
      <c r="T20">
        <f>Inputs!$F$8*Inputs!$J$40*HelperFunctions!$H18</f>
        <v>0</v>
      </c>
      <c r="U20">
        <f>Inputs!$F$8*Inputs!$J$41*HelperFunctions!$H17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2:63" x14ac:dyDescent="0.35">
      <c r="B21" s="87">
        <v>1</v>
      </c>
      <c r="C21">
        <f>Inputs!I42</f>
        <v>0</v>
      </c>
      <c r="D21">
        <f>Inputs!$F$8*Inputs!$J$22*HelperFunctions!$H$14</f>
        <v>0</v>
      </c>
      <c r="E21">
        <f>Inputs!$F$8*Inputs!$J$23*HelperFunctions!$H$14</f>
        <v>0</v>
      </c>
      <c r="F21">
        <f>Inputs!$F$8*Inputs!$J$24*HelperFunctions!$H$14</f>
        <v>0</v>
      </c>
      <c r="G21">
        <f>Inputs!$F$8*Inputs!$J$25*HelperFunctions!$H$14</f>
        <v>0</v>
      </c>
      <c r="H21">
        <f>Inputs!$F$8*Inputs!$J$26*HelperFunctions!$H$14</f>
        <v>0</v>
      </c>
      <c r="I21">
        <f>Inputs!$F$8*Inputs!$J$27*HelperFunctions!$H$14</f>
        <v>0</v>
      </c>
      <c r="J21">
        <f>Inputs!$F$8*Inputs!$J$28*HelperFunctions!$H$14</f>
        <v>0</v>
      </c>
      <c r="K21">
        <f>Inputs!$F$8*Inputs!$J$29*HelperFunctions!$H$14</f>
        <v>0</v>
      </c>
      <c r="L21">
        <f>Inputs!$F$8*Inputs!$J$30*HelperFunctions!$H13</f>
        <v>0</v>
      </c>
      <c r="M21">
        <f>Inputs!$F$8*Inputs!$J$31*HelperFunctions!$H12</f>
        <v>0</v>
      </c>
      <c r="N21">
        <f>Inputs!$F$8*Inputs!$J$32*HelperFunctions!$H11</f>
        <v>0</v>
      </c>
      <c r="O21">
        <f>Inputs!$F$8*Inputs!$J$33*HelperFunctions!$H10</f>
        <v>0</v>
      </c>
      <c r="P21">
        <f>Inputs!$F$8*Inputs!$J$36*HelperFunctions!$H23</f>
        <v>0</v>
      </c>
      <c r="Q21">
        <f>Inputs!$F$8*Inputs!$J$37*HelperFunctions!$H22</f>
        <v>0</v>
      </c>
      <c r="R21">
        <f>Inputs!$F$8*Inputs!$J$38*HelperFunctions!$H21</f>
        <v>0</v>
      </c>
      <c r="S21">
        <f>Inputs!$F$8*Inputs!$J$39*HelperFunctions!$H20</f>
        <v>0</v>
      </c>
      <c r="T21">
        <f>Inputs!$F$8*Inputs!$J$40*HelperFunctions!$H19</f>
        <v>0</v>
      </c>
      <c r="U21">
        <f>Inputs!$F$8*Inputs!$J$41*HelperFunctions!$H18</f>
        <v>0</v>
      </c>
      <c r="V21">
        <f>Inputs!$F$8*Inputs!$J$42*HelperFunctions!$H17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2:63" x14ac:dyDescent="0.35">
      <c r="B22" s="87">
        <v>1</v>
      </c>
      <c r="C22">
        <f>Inputs!I43</f>
        <v>0</v>
      </c>
      <c r="D22">
        <f>Inputs!$F$8*Inputs!$J$22*HelperFunctions!$H$14</f>
        <v>0</v>
      </c>
      <c r="E22">
        <f>Inputs!$F$8*Inputs!$J$23*HelperFunctions!$H$14</f>
        <v>0</v>
      </c>
      <c r="F22">
        <f>Inputs!$F$8*Inputs!$J$24*HelperFunctions!$H$14</f>
        <v>0</v>
      </c>
      <c r="G22">
        <f>Inputs!$F$8*Inputs!$J$25*HelperFunctions!$H$14</f>
        <v>0</v>
      </c>
      <c r="H22">
        <f>Inputs!$F$8*Inputs!$J$26*HelperFunctions!$H$14</f>
        <v>0</v>
      </c>
      <c r="I22">
        <f>Inputs!$F$8*Inputs!$J$27*HelperFunctions!$H$14</f>
        <v>0</v>
      </c>
      <c r="J22">
        <f>Inputs!$F$8*Inputs!$J$28*HelperFunctions!$H$14</f>
        <v>0</v>
      </c>
      <c r="K22">
        <f>Inputs!$F$8*Inputs!$J$29*HelperFunctions!$H$14</f>
        <v>0</v>
      </c>
      <c r="L22">
        <f>Inputs!$F$8*Inputs!$J$30*HelperFunctions!$H$14</f>
        <v>0</v>
      </c>
      <c r="M22">
        <f>Inputs!$F$8*Inputs!$J$31*HelperFunctions!$H13</f>
        <v>0</v>
      </c>
      <c r="N22">
        <f>Inputs!$F$8*Inputs!$J$32*HelperFunctions!$H12</f>
        <v>0</v>
      </c>
      <c r="O22">
        <f>Inputs!$F$8*Inputs!$J$33*HelperFunctions!$H11</f>
        <v>0</v>
      </c>
      <c r="P22">
        <f>Inputs!$F$8*Inputs!$J$36*HelperFunctions!$H24</f>
        <v>0</v>
      </c>
      <c r="Q22">
        <f>Inputs!$F$8*Inputs!$J$37*HelperFunctions!$H23</f>
        <v>0</v>
      </c>
      <c r="R22">
        <f>Inputs!$F$8*Inputs!$J$38*HelperFunctions!$H22</f>
        <v>0</v>
      </c>
      <c r="S22">
        <f>Inputs!$F$8*Inputs!$J$39*HelperFunctions!$H21</f>
        <v>0</v>
      </c>
      <c r="T22">
        <f>Inputs!$F$8*Inputs!$J$40*HelperFunctions!$H20</f>
        <v>0</v>
      </c>
      <c r="U22">
        <f>Inputs!$F$8*Inputs!$J$41*HelperFunctions!$H19</f>
        <v>0</v>
      </c>
      <c r="V22">
        <f>Inputs!$F$8*Inputs!$J$42*HelperFunctions!$H18</f>
        <v>0</v>
      </c>
      <c r="W22">
        <f>Inputs!$F$8*Inputs!$J$43*HelperFunctions!$H17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2:63" x14ac:dyDescent="0.35">
      <c r="B23" s="87">
        <v>1</v>
      </c>
      <c r="C23">
        <f>Inputs!I44</f>
        <v>0</v>
      </c>
      <c r="D23">
        <f>Inputs!$F$8*Inputs!$J$22*HelperFunctions!$H$14</f>
        <v>0</v>
      </c>
      <c r="E23">
        <f>Inputs!$F$8*Inputs!$J$23*HelperFunctions!$H$14</f>
        <v>0</v>
      </c>
      <c r="F23">
        <f>Inputs!$F$8*Inputs!$J$24*HelperFunctions!$H$14</f>
        <v>0</v>
      </c>
      <c r="G23">
        <f>Inputs!$F$8*Inputs!$J$25*HelperFunctions!$H$14</f>
        <v>0</v>
      </c>
      <c r="H23">
        <f>Inputs!$F$8*Inputs!$J$26*HelperFunctions!$H$14</f>
        <v>0</v>
      </c>
      <c r="I23">
        <f>Inputs!$F$8*Inputs!$J$27*HelperFunctions!$H$14</f>
        <v>0</v>
      </c>
      <c r="J23">
        <f>Inputs!$F$8*Inputs!$J$28*HelperFunctions!$H$14</f>
        <v>0</v>
      </c>
      <c r="K23">
        <f>Inputs!$F$8*Inputs!$J$29*HelperFunctions!$H$14</f>
        <v>0</v>
      </c>
      <c r="L23">
        <f>Inputs!$F$8*Inputs!$J$30*HelperFunctions!$H$14</f>
        <v>0</v>
      </c>
      <c r="M23">
        <f>Inputs!$F$8*Inputs!$J$31*HelperFunctions!$H$14</f>
        <v>0</v>
      </c>
      <c r="N23">
        <f>Inputs!$F$8*Inputs!$J$32*HelperFunctions!$H13</f>
        <v>0</v>
      </c>
      <c r="O23">
        <f>Inputs!$F$8*Inputs!$J$33*HelperFunctions!$H12</f>
        <v>0</v>
      </c>
      <c r="P23">
        <f>Inputs!$F$8*Inputs!$J$36*HelperFunctions!$H25</f>
        <v>0</v>
      </c>
      <c r="Q23">
        <f>Inputs!$F$8*Inputs!$J$37*HelperFunctions!$H24</f>
        <v>0</v>
      </c>
      <c r="R23">
        <f>Inputs!$F$8*Inputs!$J$38*HelperFunctions!$H23</f>
        <v>0</v>
      </c>
      <c r="S23">
        <f>Inputs!$F$8*Inputs!$J$39*HelperFunctions!$H22</f>
        <v>0</v>
      </c>
      <c r="T23">
        <f>Inputs!$F$8*Inputs!$J$40*HelperFunctions!$H21</f>
        <v>0</v>
      </c>
      <c r="U23">
        <f>Inputs!$F$8*Inputs!$J$41*HelperFunctions!$H20</f>
        <v>0</v>
      </c>
      <c r="V23">
        <f>Inputs!$F$8*Inputs!$J$42*HelperFunctions!$H19</f>
        <v>0</v>
      </c>
      <c r="W23">
        <f>Inputs!$F$8*Inputs!$J$43*HelperFunctions!$H18</f>
        <v>0</v>
      </c>
      <c r="X23">
        <f>Inputs!$F$8*Inputs!$J$44*HelperFunctions!$H17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2:63" x14ac:dyDescent="0.35">
      <c r="B24" s="87">
        <v>1</v>
      </c>
      <c r="C24">
        <f>Inputs!I45</f>
        <v>0</v>
      </c>
      <c r="D24">
        <f>Inputs!$F$8*Inputs!$J$22*HelperFunctions!$H$14</f>
        <v>0</v>
      </c>
      <c r="E24">
        <f>Inputs!$F$8*Inputs!$J$23*HelperFunctions!$H$14</f>
        <v>0</v>
      </c>
      <c r="F24">
        <f>Inputs!$F$8*Inputs!$J$24*HelperFunctions!$H$14</f>
        <v>0</v>
      </c>
      <c r="G24">
        <f>Inputs!$F$8*Inputs!$J$25*HelperFunctions!$H$14</f>
        <v>0</v>
      </c>
      <c r="H24">
        <f>Inputs!$F$8*Inputs!$J$26*HelperFunctions!$H$14</f>
        <v>0</v>
      </c>
      <c r="I24">
        <f>Inputs!$F$8*Inputs!$J$27*HelperFunctions!$H$14</f>
        <v>0</v>
      </c>
      <c r="J24">
        <f>Inputs!$F$8*Inputs!$J$28*HelperFunctions!$H$14</f>
        <v>0</v>
      </c>
      <c r="K24">
        <f>Inputs!$F$8*Inputs!$J$29*HelperFunctions!$H$14</f>
        <v>0</v>
      </c>
      <c r="L24">
        <f>Inputs!$F$8*Inputs!$J$30*HelperFunctions!$H$14</f>
        <v>0</v>
      </c>
      <c r="M24">
        <f>Inputs!$F$8*Inputs!$J$31*HelperFunctions!$H$14</f>
        <v>0</v>
      </c>
      <c r="N24">
        <f>Inputs!$F$8*Inputs!$J$32*HelperFunctions!$H$14</f>
        <v>0</v>
      </c>
      <c r="O24">
        <f>Inputs!$F$8*Inputs!$J$33*HelperFunctions!$H13</f>
        <v>0</v>
      </c>
      <c r="P24">
        <f>Inputs!$F$8*Inputs!$J$36*HelperFunctions!$H26</f>
        <v>0</v>
      </c>
      <c r="Q24">
        <f>Inputs!$F$8*Inputs!$J$37*HelperFunctions!$H25</f>
        <v>0</v>
      </c>
      <c r="R24">
        <f>Inputs!$F$8*Inputs!$J$38*HelperFunctions!$H24</f>
        <v>0</v>
      </c>
      <c r="S24">
        <f>Inputs!$F$8*Inputs!$J$39*HelperFunctions!$H23</f>
        <v>0</v>
      </c>
      <c r="T24">
        <f>Inputs!$F$8*Inputs!$J$40*HelperFunctions!$H22</f>
        <v>0</v>
      </c>
      <c r="U24">
        <f>Inputs!$F$8*Inputs!$J$41*HelperFunctions!$H21</f>
        <v>0</v>
      </c>
      <c r="V24">
        <f>Inputs!$F$8*Inputs!$J$42*HelperFunctions!$H20</f>
        <v>0</v>
      </c>
      <c r="W24">
        <f>Inputs!$F$8*Inputs!$J$43*HelperFunctions!$H19</f>
        <v>0</v>
      </c>
      <c r="X24">
        <f>Inputs!$F$8*Inputs!$J$44*HelperFunctions!$H18</f>
        <v>0</v>
      </c>
      <c r="Y24">
        <f>Inputs!$F$8*Inputs!$J$45*HelperFunctions!$H17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2:63" x14ac:dyDescent="0.35">
      <c r="B25" s="87">
        <v>1</v>
      </c>
      <c r="C25">
        <f>Inputs!I46</f>
        <v>0</v>
      </c>
      <c r="D25">
        <f>Inputs!$F$8*Inputs!$J$22*HelperFunctions!$H$14</f>
        <v>0</v>
      </c>
      <c r="E25">
        <f>Inputs!$F$8*Inputs!$J$23*HelperFunctions!$H$14</f>
        <v>0</v>
      </c>
      <c r="F25">
        <f>Inputs!$F$8*Inputs!$J$24*HelperFunctions!$H$14</f>
        <v>0</v>
      </c>
      <c r="G25">
        <f>Inputs!$F$8*Inputs!$J$25*HelperFunctions!$H$14</f>
        <v>0</v>
      </c>
      <c r="H25">
        <f>Inputs!$F$8*Inputs!$J$26*HelperFunctions!$H$14</f>
        <v>0</v>
      </c>
      <c r="I25">
        <f>Inputs!$F$8*Inputs!$J$27*HelperFunctions!$H$14</f>
        <v>0</v>
      </c>
      <c r="J25">
        <f>Inputs!$F$8*Inputs!$J$28*HelperFunctions!$H$14</f>
        <v>0</v>
      </c>
      <c r="K25">
        <f>Inputs!$F$8*Inputs!$J$29*HelperFunctions!$H$14</f>
        <v>0</v>
      </c>
      <c r="L25">
        <f>Inputs!$F$8*Inputs!$J$30*HelperFunctions!$H$14</f>
        <v>0</v>
      </c>
      <c r="M25">
        <f>Inputs!$F$8*Inputs!$J$31*HelperFunctions!$H$14</f>
        <v>0</v>
      </c>
      <c r="N25">
        <f>Inputs!$F$8*Inputs!$J$32*HelperFunctions!$H$14</f>
        <v>0</v>
      </c>
      <c r="O25">
        <f>Inputs!$F$8*Inputs!$J$33*HelperFunctions!$H$14</f>
        <v>0</v>
      </c>
      <c r="P25">
        <f>Inputs!$F$8*Inputs!$J$36*HelperFunctions!$H27</f>
        <v>0</v>
      </c>
      <c r="Q25">
        <f>Inputs!$F$8*Inputs!$J$37*HelperFunctions!$H26</f>
        <v>0</v>
      </c>
      <c r="R25">
        <f>Inputs!$F$8*Inputs!$J$38*HelperFunctions!$H25</f>
        <v>0</v>
      </c>
      <c r="S25">
        <f>Inputs!$F$8*Inputs!$J$39*HelperFunctions!$H24</f>
        <v>0</v>
      </c>
      <c r="T25">
        <f>Inputs!$F$8*Inputs!$J$40*HelperFunctions!$H23</f>
        <v>0</v>
      </c>
      <c r="U25">
        <f>Inputs!$F$8*Inputs!$J$41*HelperFunctions!$H22</f>
        <v>0</v>
      </c>
      <c r="V25">
        <f>Inputs!$F$8*Inputs!$J$42*HelperFunctions!$H21</f>
        <v>0</v>
      </c>
      <c r="W25">
        <f>Inputs!$F$8*Inputs!$J$43*HelperFunctions!$H20</f>
        <v>0</v>
      </c>
      <c r="X25">
        <f>Inputs!$F$8*Inputs!$J$44*HelperFunctions!$H19</f>
        <v>0</v>
      </c>
      <c r="Y25">
        <f>Inputs!$F$8*Inputs!$J$45*HelperFunctions!$H18</f>
        <v>0</v>
      </c>
      <c r="Z25">
        <f>Inputs!$F$8*Inputs!$J$46*HelperFunctions!$H17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2:63" ht="15.75" customHeight="1" x14ac:dyDescent="0.35">
      <c r="B26" s="88">
        <v>1</v>
      </c>
      <c r="C26" s="89">
        <f>Inputs!I47</f>
        <v>0</v>
      </c>
      <c r="D26" s="89">
        <f>Inputs!$F$8*Inputs!$J$22*HelperFunctions!$H$14</f>
        <v>0</v>
      </c>
      <c r="E26" s="89">
        <f>Inputs!$F$8*Inputs!$J$23*HelperFunctions!$H$14</f>
        <v>0</v>
      </c>
      <c r="F26" s="89">
        <f>Inputs!$F$8*Inputs!$J$24*HelperFunctions!$H$14</f>
        <v>0</v>
      </c>
      <c r="G26" s="89">
        <f>Inputs!$F$8*Inputs!$J$25*HelperFunctions!$H$14</f>
        <v>0</v>
      </c>
      <c r="H26" s="89">
        <f>Inputs!$F$8*Inputs!$J$26*HelperFunctions!$H$14</f>
        <v>0</v>
      </c>
      <c r="I26" s="89">
        <f>Inputs!$F$8*Inputs!$J$27*HelperFunctions!$H$14</f>
        <v>0</v>
      </c>
      <c r="J26" s="89">
        <f>Inputs!$F$8*Inputs!$J$28*HelperFunctions!$H$14</f>
        <v>0</v>
      </c>
      <c r="K26" s="89">
        <f>Inputs!$F$8*Inputs!$J$29*HelperFunctions!$H$14</f>
        <v>0</v>
      </c>
      <c r="L26" s="89">
        <f>Inputs!$F$8*Inputs!$J$30*HelperFunctions!$H$14</f>
        <v>0</v>
      </c>
      <c r="M26" s="89">
        <f>Inputs!$F$8*Inputs!$J$31*HelperFunctions!$H$14</f>
        <v>0</v>
      </c>
      <c r="N26" s="89">
        <f>Inputs!$F$8*Inputs!$J$32*HelperFunctions!$H$14</f>
        <v>0</v>
      </c>
      <c r="O26" s="89">
        <f>Inputs!$F$8*Inputs!$J$33*HelperFunctions!$H$14</f>
        <v>0</v>
      </c>
      <c r="P26" s="89">
        <f>Inputs!$F$8*Inputs!$J$36*HelperFunctions!$H$28</f>
        <v>0</v>
      </c>
      <c r="Q26" s="89">
        <f>Inputs!$F$8*Inputs!$J$37*HelperFunctions!$H27</f>
        <v>0</v>
      </c>
      <c r="R26" s="89">
        <f>Inputs!$F$8*Inputs!$J$38*HelperFunctions!$H26</f>
        <v>0</v>
      </c>
      <c r="S26" s="89">
        <f>Inputs!$F$8*Inputs!$J$39*HelperFunctions!$H25</f>
        <v>0</v>
      </c>
      <c r="T26" s="89">
        <f>Inputs!$F$8*Inputs!$J$40*HelperFunctions!$H24</f>
        <v>0</v>
      </c>
      <c r="U26" s="89">
        <f>Inputs!$F$8*Inputs!$J$41*HelperFunctions!$H23</f>
        <v>0</v>
      </c>
      <c r="V26" s="89">
        <f>Inputs!$F$8*Inputs!$J$42*HelperFunctions!$H22</f>
        <v>0</v>
      </c>
      <c r="W26" s="89">
        <f>Inputs!$F$8*Inputs!$J$43*HelperFunctions!$H21</f>
        <v>0</v>
      </c>
      <c r="X26" s="89">
        <f>Inputs!$F$8*Inputs!$J$44*HelperFunctions!$H20</f>
        <v>0</v>
      </c>
      <c r="Y26" s="89">
        <f>Inputs!$F$8*Inputs!$J$45*HelperFunctions!$H19</f>
        <v>0</v>
      </c>
      <c r="Z26" s="89">
        <f>Inputs!$F$8*Inputs!$J$46*HelperFunctions!$H18</f>
        <v>0</v>
      </c>
      <c r="AA26" s="90">
        <f>Inputs!$F$8*Inputs!$J$47*HelperFunctions!$H17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2:63" x14ac:dyDescent="0.35">
      <c r="B27" s="87">
        <v>2</v>
      </c>
      <c r="C27" t="str">
        <f>Inputs!I48</f>
        <v/>
      </c>
      <c r="D27">
        <f>Inputs!$F$8*Inputs!$J$22*HelperFunctions!$H$14</f>
        <v>0</v>
      </c>
      <c r="E27">
        <f>Inputs!$F$8*Inputs!$J$23*HelperFunctions!$H$14</f>
        <v>0</v>
      </c>
      <c r="F27">
        <f>Inputs!$F$8*Inputs!$J$24*HelperFunctions!$H$14</f>
        <v>0</v>
      </c>
      <c r="G27">
        <f>Inputs!$F$8*Inputs!$J$25*HelperFunctions!$H$14</f>
        <v>0</v>
      </c>
      <c r="H27">
        <f>Inputs!$F$8*Inputs!$J$26*HelperFunctions!$H$14</f>
        <v>0</v>
      </c>
      <c r="I27">
        <f>Inputs!$F$8*Inputs!$J$27*HelperFunctions!$H$14</f>
        <v>0</v>
      </c>
      <c r="J27">
        <f>Inputs!$F$8*Inputs!$J$28*HelperFunctions!$H$14</f>
        <v>0</v>
      </c>
      <c r="K27">
        <f>Inputs!$F$8*Inputs!$J$29*HelperFunctions!$H$14</f>
        <v>0</v>
      </c>
      <c r="L27">
        <f>Inputs!$F$8*Inputs!$J$30*HelperFunctions!$H$14</f>
        <v>0</v>
      </c>
      <c r="M27">
        <f>Inputs!$F$8*Inputs!$J$31*HelperFunctions!$H$14</f>
        <v>0</v>
      </c>
      <c r="N27">
        <f>Inputs!$F$8*Inputs!$J$32*HelperFunctions!$H$14</f>
        <v>0</v>
      </c>
      <c r="O27">
        <f>Inputs!$F$8*Inputs!$J$33*HelperFunctions!$H$14</f>
        <v>0</v>
      </c>
      <c r="P27">
        <f>Inputs!$F$8*Inputs!$J$36*HelperFunctions!$H$28</f>
        <v>0</v>
      </c>
      <c r="Q27">
        <f>Inputs!$F$8*Inputs!$J$37*HelperFunctions!$H$28</f>
        <v>0</v>
      </c>
      <c r="R27">
        <f>Inputs!$F$8*Inputs!$J$38*HelperFunctions!$H27</f>
        <v>0</v>
      </c>
      <c r="S27">
        <f>Inputs!$F$8*Inputs!$J$39*HelperFunctions!$H26</f>
        <v>0</v>
      </c>
      <c r="T27">
        <f>Inputs!$F$8*Inputs!$J$40*HelperFunctions!$H25</f>
        <v>0</v>
      </c>
      <c r="U27">
        <f>Inputs!$F$8*Inputs!$J$41*HelperFunctions!$H24</f>
        <v>0</v>
      </c>
      <c r="V27">
        <f>Inputs!$F$8*Inputs!$J$42*HelperFunctions!$H23</f>
        <v>0</v>
      </c>
      <c r="W27">
        <f>Inputs!$F$8*Inputs!$J$43*HelperFunctions!$H22</f>
        <v>0</v>
      </c>
      <c r="X27">
        <f>Inputs!$F$8*Inputs!$J$44*HelperFunctions!$H21</f>
        <v>0</v>
      </c>
      <c r="Y27">
        <f>Inputs!$F$8*Inputs!$J$45*HelperFunctions!$H20</f>
        <v>0</v>
      </c>
      <c r="Z27">
        <f>Inputs!$F$8*Inputs!$J$46*HelperFunctions!$H19</f>
        <v>0</v>
      </c>
      <c r="AA27">
        <f>Inputs!$F$8*Inputs!$J$47*HelperFunctions!$H18</f>
        <v>0</v>
      </c>
      <c r="AB27">
        <f>Inputs!$F$8*Inputs!$J$48*HelperFunctions!$H31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2:63" x14ac:dyDescent="0.35">
      <c r="B28" s="87">
        <v>2</v>
      </c>
      <c r="C28" t="str">
        <f>Inputs!I49</f>
        <v/>
      </c>
      <c r="D28">
        <f>Inputs!$F$8*Inputs!$J$22*HelperFunctions!$H$14</f>
        <v>0</v>
      </c>
      <c r="E28">
        <f>Inputs!$F$8*Inputs!$J$23*HelperFunctions!$H$14</f>
        <v>0</v>
      </c>
      <c r="F28">
        <f>Inputs!$F$8*Inputs!$J$24*HelperFunctions!$H$14</f>
        <v>0</v>
      </c>
      <c r="G28">
        <f>Inputs!$F$8*Inputs!$J$25*HelperFunctions!$H$14</f>
        <v>0</v>
      </c>
      <c r="H28">
        <f>Inputs!$F$8*Inputs!$J$26*HelperFunctions!$H$14</f>
        <v>0</v>
      </c>
      <c r="I28">
        <f>Inputs!$F$8*Inputs!$J$27*HelperFunctions!$H$14</f>
        <v>0</v>
      </c>
      <c r="J28">
        <f>Inputs!$F$8*Inputs!$J$28*HelperFunctions!$H$14</f>
        <v>0</v>
      </c>
      <c r="K28">
        <f>Inputs!$F$8*Inputs!$J$29*HelperFunctions!$H$14</f>
        <v>0</v>
      </c>
      <c r="L28">
        <f>Inputs!$F$8*Inputs!$J$30*HelperFunctions!$H$14</f>
        <v>0</v>
      </c>
      <c r="M28">
        <f>Inputs!$F$8*Inputs!$J$31*HelperFunctions!$H$14</f>
        <v>0</v>
      </c>
      <c r="N28">
        <f>Inputs!$F$8*Inputs!$J$32*HelperFunctions!$H$14</f>
        <v>0</v>
      </c>
      <c r="O28">
        <f>Inputs!$F$8*Inputs!$J$33*HelperFunctions!$H$14</f>
        <v>0</v>
      </c>
      <c r="P28">
        <f>Inputs!$F$8*Inputs!$J$36*HelperFunctions!$H$28</f>
        <v>0</v>
      </c>
      <c r="Q28">
        <f>Inputs!$F$8*Inputs!$J$37*HelperFunctions!$H$28</f>
        <v>0</v>
      </c>
      <c r="R28">
        <f>Inputs!$F$8*Inputs!$J$38*HelperFunctions!$H$28</f>
        <v>0</v>
      </c>
      <c r="S28">
        <f>Inputs!$F$8*Inputs!$J$39*HelperFunctions!$H27</f>
        <v>0</v>
      </c>
      <c r="T28">
        <f>Inputs!$F$8*Inputs!$J$40*HelperFunctions!$H26</f>
        <v>0</v>
      </c>
      <c r="U28">
        <f>Inputs!$F$8*Inputs!$J$41*HelperFunctions!$H25</f>
        <v>0</v>
      </c>
      <c r="V28">
        <f>Inputs!$F$8*Inputs!$J$42*HelperFunctions!$H24</f>
        <v>0</v>
      </c>
      <c r="W28">
        <f>Inputs!$F$8*Inputs!$J$43*HelperFunctions!$H23</f>
        <v>0</v>
      </c>
      <c r="X28">
        <f>Inputs!$F$8*Inputs!$J$44*HelperFunctions!$H22</f>
        <v>0</v>
      </c>
      <c r="Y28">
        <f>Inputs!$F$8*Inputs!$J$45*HelperFunctions!$H21</f>
        <v>0</v>
      </c>
      <c r="Z28">
        <f>Inputs!$F$8*Inputs!$J$46*HelperFunctions!$H20</f>
        <v>0</v>
      </c>
      <c r="AA28">
        <f>Inputs!$F$8*Inputs!$J$47*HelperFunctions!$H19</f>
        <v>0</v>
      </c>
      <c r="AB28">
        <f>Inputs!$F$8*Inputs!$J$48*HelperFunctions!$H32</f>
        <v>0</v>
      </c>
      <c r="AC28">
        <f>Inputs!$F$8*Inputs!$J$49*HelperFunctions!$H31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2:63" x14ac:dyDescent="0.35">
      <c r="B29" s="87">
        <v>2</v>
      </c>
      <c r="C29" t="str">
        <f>Inputs!I50</f>
        <v/>
      </c>
      <c r="D29">
        <f>Inputs!$F$8*Inputs!$J$22*HelperFunctions!$H$14</f>
        <v>0</v>
      </c>
      <c r="E29">
        <f>Inputs!$F$8*Inputs!$J$23*HelperFunctions!$H$14</f>
        <v>0</v>
      </c>
      <c r="F29">
        <f>Inputs!$F$8*Inputs!$J$24*HelperFunctions!$H$14</f>
        <v>0</v>
      </c>
      <c r="G29">
        <f>Inputs!$F$8*Inputs!$J$25*HelperFunctions!$H$14</f>
        <v>0</v>
      </c>
      <c r="H29">
        <f>Inputs!$F$8*Inputs!$J$26*HelperFunctions!$H$14</f>
        <v>0</v>
      </c>
      <c r="I29">
        <f>Inputs!$F$8*Inputs!$J$27*HelperFunctions!$H$14</f>
        <v>0</v>
      </c>
      <c r="J29">
        <f>Inputs!$F$8*Inputs!$J$28*HelperFunctions!$H$14</f>
        <v>0</v>
      </c>
      <c r="K29">
        <f>Inputs!$F$8*Inputs!$J$29*HelperFunctions!$H$14</f>
        <v>0</v>
      </c>
      <c r="L29">
        <f>Inputs!$F$8*Inputs!$J$30*HelperFunctions!$H$14</f>
        <v>0</v>
      </c>
      <c r="M29">
        <f>Inputs!$F$8*Inputs!$J$31*HelperFunctions!$H$14</f>
        <v>0</v>
      </c>
      <c r="N29">
        <f>Inputs!$F$8*Inputs!$J$32*HelperFunctions!$H$14</f>
        <v>0</v>
      </c>
      <c r="O29">
        <f>Inputs!$F$8*Inputs!$J$33*HelperFunctions!$H$14</f>
        <v>0</v>
      </c>
      <c r="P29">
        <f>Inputs!$F$8*Inputs!$J$36*HelperFunctions!$H$28</f>
        <v>0</v>
      </c>
      <c r="Q29">
        <f>Inputs!$F$8*Inputs!$J$37*HelperFunctions!$H$28</f>
        <v>0</v>
      </c>
      <c r="R29">
        <f>Inputs!$F$8*Inputs!$J$38*HelperFunctions!$H$28</f>
        <v>0</v>
      </c>
      <c r="S29">
        <f>Inputs!$F$8*Inputs!$J$39*HelperFunctions!$H$28</f>
        <v>0</v>
      </c>
      <c r="T29">
        <f>Inputs!$F$8*Inputs!$J$40*HelperFunctions!$H27</f>
        <v>0</v>
      </c>
      <c r="U29">
        <f>Inputs!$F$8*Inputs!$J$41*HelperFunctions!$H26</f>
        <v>0</v>
      </c>
      <c r="V29">
        <f>Inputs!$F$8*Inputs!$J$42*HelperFunctions!$H25</f>
        <v>0</v>
      </c>
      <c r="W29">
        <f>Inputs!$F$8*Inputs!$J$43*HelperFunctions!$H24</f>
        <v>0</v>
      </c>
      <c r="X29">
        <f>Inputs!$F$8*Inputs!$J$44*HelperFunctions!$H23</f>
        <v>0</v>
      </c>
      <c r="Y29">
        <f>Inputs!$F$8*Inputs!$J$45*HelperFunctions!$H22</f>
        <v>0</v>
      </c>
      <c r="Z29">
        <f>Inputs!$F$8*Inputs!$J$46*HelperFunctions!$H21</f>
        <v>0</v>
      </c>
      <c r="AA29">
        <f>Inputs!$F$8*Inputs!$J$47*HelperFunctions!$H20</f>
        <v>0</v>
      </c>
      <c r="AB29">
        <f>Inputs!$F$8*Inputs!$J$48*HelperFunctions!$H33</f>
        <v>0</v>
      </c>
      <c r="AC29">
        <f>Inputs!$F$8*Inputs!$J$49*HelperFunctions!$H32</f>
        <v>0</v>
      </c>
      <c r="AD29">
        <f>Inputs!$F$8*Inputs!$J$50*HelperFunctions!$H31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2:63" x14ac:dyDescent="0.35">
      <c r="B30" s="87">
        <v>2</v>
      </c>
      <c r="C30" t="str">
        <f>Inputs!I51</f>
        <v/>
      </c>
      <c r="D30">
        <f>Inputs!$F$8*Inputs!$J$22*HelperFunctions!$H$14</f>
        <v>0</v>
      </c>
      <c r="E30">
        <f>Inputs!$F$8*Inputs!$J$23*HelperFunctions!$H$14</f>
        <v>0</v>
      </c>
      <c r="F30">
        <f>Inputs!$F$8*Inputs!$J$24*HelperFunctions!$H$14</f>
        <v>0</v>
      </c>
      <c r="G30">
        <f>Inputs!$F$8*Inputs!$J$25*HelperFunctions!$H$14</f>
        <v>0</v>
      </c>
      <c r="H30">
        <f>Inputs!$F$8*Inputs!$J$26*HelperFunctions!$H$14</f>
        <v>0</v>
      </c>
      <c r="I30">
        <f>Inputs!$F$8*Inputs!$J$27*HelperFunctions!$H$14</f>
        <v>0</v>
      </c>
      <c r="J30">
        <f>Inputs!$F$8*Inputs!$J$28*HelperFunctions!$H$14</f>
        <v>0</v>
      </c>
      <c r="K30">
        <f>Inputs!$F$8*Inputs!$J$29*HelperFunctions!$H$14</f>
        <v>0</v>
      </c>
      <c r="L30">
        <f>Inputs!$F$8*Inputs!$J$30*HelperFunctions!$H$14</f>
        <v>0</v>
      </c>
      <c r="M30">
        <f>Inputs!$F$8*Inputs!$J$31*HelperFunctions!$H$14</f>
        <v>0</v>
      </c>
      <c r="N30">
        <f>Inputs!$F$8*Inputs!$J$32*HelperFunctions!$H$14</f>
        <v>0</v>
      </c>
      <c r="O30">
        <f>Inputs!$F$8*Inputs!$J$33*HelperFunctions!$H$14</f>
        <v>0</v>
      </c>
      <c r="P30">
        <f>Inputs!$F$8*Inputs!$J$36*HelperFunctions!$H$28</f>
        <v>0</v>
      </c>
      <c r="Q30">
        <f>Inputs!$F$8*Inputs!$J$37*HelperFunctions!$H$28</f>
        <v>0</v>
      </c>
      <c r="R30">
        <f>Inputs!$F$8*Inputs!$J$38*HelperFunctions!$H$28</f>
        <v>0</v>
      </c>
      <c r="S30">
        <f>Inputs!$F$8*Inputs!$J$39*HelperFunctions!$H$28</f>
        <v>0</v>
      </c>
      <c r="T30">
        <f>Inputs!$F$8*Inputs!$J$40*HelperFunctions!$H$28</f>
        <v>0</v>
      </c>
      <c r="U30">
        <f>Inputs!$F$8*Inputs!$J$41*HelperFunctions!$H27</f>
        <v>0</v>
      </c>
      <c r="V30">
        <f>Inputs!$F$8*Inputs!$J$42*HelperFunctions!$H26</f>
        <v>0</v>
      </c>
      <c r="W30">
        <f>Inputs!$F$8*Inputs!$J$43*HelperFunctions!$H25</f>
        <v>0</v>
      </c>
      <c r="X30">
        <f>Inputs!$F$8*Inputs!$J$44*HelperFunctions!$H24</f>
        <v>0</v>
      </c>
      <c r="Y30">
        <f>Inputs!$F$8*Inputs!$J$45*HelperFunctions!$H23</f>
        <v>0</v>
      </c>
      <c r="Z30">
        <f>Inputs!$F$8*Inputs!$J$46*HelperFunctions!$H22</f>
        <v>0</v>
      </c>
      <c r="AA30">
        <f>Inputs!$F$8*Inputs!$J$47*HelperFunctions!$H21</f>
        <v>0</v>
      </c>
      <c r="AB30">
        <f>Inputs!$F$8*Inputs!$J$48*HelperFunctions!$H34</f>
        <v>0</v>
      </c>
      <c r="AC30">
        <f>Inputs!$F$8*Inputs!$J$49*HelperFunctions!$H33</f>
        <v>0</v>
      </c>
      <c r="AD30">
        <f>Inputs!$F$8*Inputs!$J$50*HelperFunctions!$H32</f>
        <v>0</v>
      </c>
      <c r="AE30">
        <f>Inputs!$F$8*Inputs!$J$51*HelperFunctions!$H31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2:63" x14ac:dyDescent="0.35">
      <c r="B31" s="87">
        <v>2</v>
      </c>
      <c r="C31" t="str">
        <f>Inputs!I52</f>
        <v/>
      </c>
      <c r="D31">
        <f>Inputs!$F$8*Inputs!$J$22*HelperFunctions!$H$14</f>
        <v>0</v>
      </c>
      <c r="E31">
        <f>Inputs!$F$8*Inputs!$J$23*HelperFunctions!$H$14</f>
        <v>0</v>
      </c>
      <c r="F31">
        <f>Inputs!$F$8*Inputs!$J$24*HelperFunctions!$H$14</f>
        <v>0</v>
      </c>
      <c r="G31">
        <f>Inputs!$F$8*Inputs!$J$25*HelperFunctions!$H$14</f>
        <v>0</v>
      </c>
      <c r="H31">
        <f>Inputs!$F$8*Inputs!$J$26*HelperFunctions!$H$14</f>
        <v>0</v>
      </c>
      <c r="I31">
        <f>Inputs!$F$8*Inputs!$J$27*HelperFunctions!$H$14</f>
        <v>0</v>
      </c>
      <c r="J31">
        <f>Inputs!$F$8*Inputs!$J$28*HelperFunctions!$H$14</f>
        <v>0</v>
      </c>
      <c r="K31">
        <f>Inputs!$F$8*Inputs!$J$29*HelperFunctions!$H$14</f>
        <v>0</v>
      </c>
      <c r="L31">
        <f>Inputs!$F$8*Inputs!$J$30*HelperFunctions!$H$14</f>
        <v>0</v>
      </c>
      <c r="M31">
        <f>Inputs!$F$8*Inputs!$J$31*HelperFunctions!$H$14</f>
        <v>0</v>
      </c>
      <c r="N31">
        <f>Inputs!$F$8*Inputs!$J$32*HelperFunctions!$H$14</f>
        <v>0</v>
      </c>
      <c r="O31">
        <f>Inputs!$F$8*Inputs!$J$33*HelperFunctions!$H$14</f>
        <v>0</v>
      </c>
      <c r="P31">
        <f>Inputs!$F$8*Inputs!$J$36*HelperFunctions!$H$28</f>
        <v>0</v>
      </c>
      <c r="Q31">
        <f>Inputs!$F$8*Inputs!$J$37*HelperFunctions!$H$28</f>
        <v>0</v>
      </c>
      <c r="R31">
        <f>Inputs!$F$8*Inputs!$J$38*HelperFunctions!$H$28</f>
        <v>0</v>
      </c>
      <c r="S31">
        <f>Inputs!$F$8*Inputs!$J$39*HelperFunctions!$H$28</f>
        <v>0</v>
      </c>
      <c r="T31">
        <f>Inputs!$F$8*Inputs!$J$40*HelperFunctions!$H$28</f>
        <v>0</v>
      </c>
      <c r="U31">
        <f>Inputs!$F$8*Inputs!$J$41*HelperFunctions!$H$28</f>
        <v>0</v>
      </c>
      <c r="V31">
        <f>Inputs!$F$8*Inputs!$J$42*HelperFunctions!$H27</f>
        <v>0</v>
      </c>
      <c r="W31">
        <f>Inputs!$F$8*Inputs!$J$43*HelperFunctions!$H26</f>
        <v>0</v>
      </c>
      <c r="X31">
        <f>Inputs!$F$8*Inputs!$J$44*HelperFunctions!$H25</f>
        <v>0</v>
      </c>
      <c r="Y31">
        <f>Inputs!$F$8*Inputs!$J$45*HelperFunctions!$H24</f>
        <v>0</v>
      </c>
      <c r="Z31">
        <f>Inputs!$F$8*Inputs!$J$46*HelperFunctions!$H23</f>
        <v>0</v>
      </c>
      <c r="AA31">
        <f>Inputs!$F$8*Inputs!$J$47*HelperFunctions!$H22</f>
        <v>0</v>
      </c>
      <c r="AB31">
        <f>Inputs!$F$8*Inputs!$J$48*HelperFunctions!$H35</f>
        <v>0</v>
      </c>
      <c r="AC31">
        <f>Inputs!$F$8*Inputs!$J$49*HelperFunctions!$H34</f>
        <v>0</v>
      </c>
      <c r="AD31">
        <f>Inputs!$F$8*Inputs!$J$50*HelperFunctions!$H33</f>
        <v>0</v>
      </c>
      <c r="AE31">
        <f>Inputs!$F$8*Inputs!$J$51*HelperFunctions!$H32</f>
        <v>0</v>
      </c>
      <c r="AF31">
        <f>Inputs!$F$8*Inputs!$J$52*HelperFunctions!$H31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2:63" x14ac:dyDescent="0.35">
      <c r="B32" s="87">
        <v>2</v>
      </c>
      <c r="C32" t="str">
        <f>Inputs!I53</f>
        <v/>
      </c>
      <c r="D32">
        <f>Inputs!$F$8*Inputs!$J$22*HelperFunctions!$H$14</f>
        <v>0</v>
      </c>
      <c r="E32">
        <f>Inputs!$F$8*Inputs!$J$23*HelperFunctions!$H$14</f>
        <v>0</v>
      </c>
      <c r="F32">
        <f>Inputs!$F$8*Inputs!$J$24*HelperFunctions!$H$14</f>
        <v>0</v>
      </c>
      <c r="G32">
        <f>Inputs!$F$8*Inputs!$J$25*HelperFunctions!$H$14</f>
        <v>0</v>
      </c>
      <c r="H32">
        <f>Inputs!$F$8*Inputs!$J$26*HelperFunctions!$H$14</f>
        <v>0</v>
      </c>
      <c r="I32">
        <f>Inputs!$F$8*Inputs!$J$27*HelperFunctions!$H$14</f>
        <v>0</v>
      </c>
      <c r="J32">
        <f>Inputs!$F$8*Inputs!$J$28*HelperFunctions!$H$14</f>
        <v>0</v>
      </c>
      <c r="K32">
        <f>Inputs!$F$8*Inputs!$J$29*HelperFunctions!$H$14</f>
        <v>0</v>
      </c>
      <c r="L32">
        <f>Inputs!$F$8*Inputs!$J$30*HelperFunctions!$H$14</f>
        <v>0</v>
      </c>
      <c r="M32">
        <f>Inputs!$F$8*Inputs!$J$31*HelperFunctions!$H$14</f>
        <v>0</v>
      </c>
      <c r="N32">
        <f>Inputs!$F$8*Inputs!$J$32*HelperFunctions!$H$14</f>
        <v>0</v>
      </c>
      <c r="O32">
        <f>Inputs!$F$8*Inputs!$J$33*HelperFunctions!$H$14</f>
        <v>0</v>
      </c>
      <c r="P32">
        <f>Inputs!$F$8*Inputs!$J$36*HelperFunctions!$H$28</f>
        <v>0</v>
      </c>
      <c r="Q32">
        <f>Inputs!$F$8*Inputs!$J$37*HelperFunctions!$H$28</f>
        <v>0</v>
      </c>
      <c r="R32">
        <f>Inputs!$F$8*Inputs!$J$38*HelperFunctions!$H$28</f>
        <v>0</v>
      </c>
      <c r="S32">
        <f>Inputs!$F$8*Inputs!$J$39*HelperFunctions!$H$28</f>
        <v>0</v>
      </c>
      <c r="T32">
        <f>Inputs!$F$8*Inputs!$J$40*HelperFunctions!$H$28</f>
        <v>0</v>
      </c>
      <c r="U32">
        <f>Inputs!$F$8*Inputs!$J$41*HelperFunctions!$H$28</f>
        <v>0</v>
      </c>
      <c r="V32">
        <f>Inputs!$F$8*Inputs!$J$42*HelperFunctions!$H$28</f>
        <v>0</v>
      </c>
      <c r="W32">
        <f>Inputs!$F$8*Inputs!$J$43*HelperFunctions!$H27</f>
        <v>0</v>
      </c>
      <c r="X32">
        <f>Inputs!$F$8*Inputs!$J$44*HelperFunctions!$H26</f>
        <v>0</v>
      </c>
      <c r="Y32">
        <f>Inputs!$F$8*Inputs!$J$45*HelperFunctions!$H25</f>
        <v>0</v>
      </c>
      <c r="Z32">
        <f>Inputs!$F$8*Inputs!$J$46*HelperFunctions!$H24</f>
        <v>0</v>
      </c>
      <c r="AA32">
        <f>Inputs!$F$8*Inputs!$J$47*HelperFunctions!$H23</f>
        <v>0</v>
      </c>
      <c r="AB32">
        <f>Inputs!$F$8*Inputs!$J$48*HelperFunctions!$H36</f>
        <v>0</v>
      </c>
      <c r="AC32">
        <f>Inputs!$F$8*Inputs!$J$49*HelperFunctions!$H35</f>
        <v>0</v>
      </c>
      <c r="AD32">
        <f>Inputs!$F$8*Inputs!$J$50*HelperFunctions!$H34</f>
        <v>0</v>
      </c>
      <c r="AE32">
        <f>Inputs!$F$8*Inputs!$J$51*HelperFunctions!$H33</f>
        <v>0</v>
      </c>
      <c r="AF32">
        <f>Inputs!$F$8*Inputs!$J$52*HelperFunctions!$H32</f>
        <v>0</v>
      </c>
      <c r="AG32">
        <f>Inputs!$F$8*Inputs!$J$53*HelperFunctions!$H31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2:63" x14ac:dyDescent="0.35">
      <c r="B33" s="87">
        <v>2</v>
      </c>
      <c r="C33" t="str">
        <f>Inputs!I54</f>
        <v/>
      </c>
      <c r="D33">
        <f>Inputs!$F$8*Inputs!$J$22*HelperFunctions!$H$14</f>
        <v>0</v>
      </c>
      <c r="E33">
        <f>Inputs!$F$8*Inputs!$J$23*HelperFunctions!$H$14</f>
        <v>0</v>
      </c>
      <c r="F33">
        <f>Inputs!$F$8*Inputs!$J$24*HelperFunctions!$H$14</f>
        <v>0</v>
      </c>
      <c r="G33">
        <f>Inputs!$F$8*Inputs!$J$25*HelperFunctions!$H$14</f>
        <v>0</v>
      </c>
      <c r="H33">
        <f>Inputs!$F$8*Inputs!$J$26*HelperFunctions!$H$14</f>
        <v>0</v>
      </c>
      <c r="I33">
        <f>Inputs!$F$8*Inputs!$J$27*HelperFunctions!$H$14</f>
        <v>0</v>
      </c>
      <c r="J33">
        <f>Inputs!$F$8*Inputs!$J$28*HelperFunctions!$H$14</f>
        <v>0</v>
      </c>
      <c r="K33">
        <f>Inputs!$F$8*Inputs!$J$29*HelperFunctions!$H$14</f>
        <v>0</v>
      </c>
      <c r="L33">
        <f>Inputs!$F$8*Inputs!$J$30*HelperFunctions!$H$14</f>
        <v>0</v>
      </c>
      <c r="M33">
        <f>Inputs!$F$8*Inputs!$J$31*HelperFunctions!$H$14</f>
        <v>0</v>
      </c>
      <c r="N33">
        <f>Inputs!$F$8*Inputs!$J$32*HelperFunctions!$H$14</f>
        <v>0</v>
      </c>
      <c r="O33">
        <f>Inputs!$F$8*Inputs!$J$33*HelperFunctions!$H$14</f>
        <v>0</v>
      </c>
      <c r="P33">
        <f>Inputs!$F$8*Inputs!$J$36*HelperFunctions!$H$28</f>
        <v>0</v>
      </c>
      <c r="Q33">
        <f>Inputs!$F$8*Inputs!$J$37*HelperFunctions!$H$28</f>
        <v>0</v>
      </c>
      <c r="R33">
        <f>Inputs!$F$8*Inputs!$J$38*HelperFunctions!$H$28</f>
        <v>0</v>
      </c>
      <c r="S33">
        <f>Inputs!$F$8*Inputs!$J$39*HelperFunctions!$H$28</f>
        <v>0</v>
      </c>
      <c r="T33">
        <f>Inputs!$F$8*Inputs!$J$40*HelperFunctions!$H$28</f>
        <v>0</v>
      </c>
      <c r="U33">
        <f>Inputs!$F$8*Inputs!$J$41*HelperFunctions!$H$28</f>
        <v>0</v>
      </c>
      <c r="V33">
        <f>Inputs!$F$8*Inputs!$J$42*HelperFunctions!$H$28</f>
        <v>0</v>
      </c>
      <c r="W33">
        <f>Inputs!$F$8*Inputs!$J$43*HelperFunctions!$H$28</f>
        <v>0</v>
      </c>
      <c r="X33">
        <f>Inputs!$F$8*Inputs!$J$44*HelperFunctions!$H27</f>
        <v>0</v>
      </c>
      <c r="Y33">
        <f>Inputs!$F$8*Inputs!$J$45*HelperFunctions!$H26</f>
        <v>0</v>
      </c>
      <c r="Z33">
        <f>Inputs!$F$8*Inputs!$J$46*HelperFunctions!$H25</f>
        <v>0</v>
      </c>
      <c r="AA33">
        <f>Inputs!$F$8*Inputs!$J$47*HelperFunctions!$H24</f>
        <v>0</v>
      </c>
      <c r="AB33">
        <f>Inputs!$F$8*Inputs!$J$48*HelperFunctions!$H37</f>
        <v>0</v>
      </c>
      <c r="AC33">
        <f>Inputs!$F$8*Inputs!$J$49*HelperFunctions!$H36</f>
        <v>0</v>
      </c>
      <c r="AD33">
        <f>Inputs!$F$8*Inputs!$J$50*HelperFunctions!$H35</f>
        <v>0</v>
      </c>
      <c r="AE33">
        <f>Inputs!$F$8*Inputs!$J$51*HelperFunctions!$H34</f>
        <v>0</v>
      </c>
      <c r="AF33">
        <f>Inputs!$F$8*Inputs!$J$52*HelperFunctions!$H33</f>
        <v>0</v>
      </c>
      <c r="AG33">
        <f>Inputs!$F$8*Inputs!$J$53*HelperFunctions!$H32</f>
        <v>0</v>
      </c>
      <c r="AH33">
        <f>Inputs!$F$8*Inputs!$J$54*HelperFunctions!$H31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2:63" x14ac:dyDescent="0.35">
      <c r="B34" s="87">
        <v>2</v>
      </c>
      <c r="C34" t="str">
        <f>Inputs!I55</f>
        <v/>
      </c>
      <c r="D34">
        <f>Inputs!$F$8*Inputs!$J$22*HelperFunctions!$H$14</f>
        <v>0</v>
      </c>
      <c r="E34">
        <f>Inputs!$F$8*Inputs!$J$23*HelperFunctions!$H$14</f>
        <v>0</v>
      </c>
      <c r="F34">
        <f>Inputs!$F$8*Inputs!$J$24*HelperFunctions!$H$14</f>
        <v>0</v>
      </c>
      <c r="G34">
        <f>Inputs!$F$8*Inputs!$J$25*HelperFunctions!$H$14</f>
        <v>0</v>
      </c>
      <c r="H34">
        <f>Inputs!$F$8*Inputs!$J$26*HelperFunctions!$H$14</f>
        <v>0</v>
      </c>
      <c r="I34">
        <f>Inputs!$F$8*Inputs!$J$27*HelperFunctions!$H$14</f>
        <v>0</v>
      </c>
      <c r="J34">
        <f>Inputs!$F$8*Inputs!$J$28*HelperFunctions!$H$14</f>
        <v>0</v>
      </c>
      <c r="K34">
        <f>Inputs!$F$8*Inputs!$J$29*HelperFunctions!$H$14</f>
        <v>0</v>
      </c>
      <c r="L34">
        <f>Inputs!$F$8*Inputs!$J$30*HelperFunctions!$H$14</f>
        <v>0</v>
      </c>
      <c r="M34">
        <f>Inputs!$F$8*Inputs!$J$31*HelperFunctions!$H$14</f>
        <v>0</v>
      </c>
      <c r="N34">
        <f>Inputs!$F$8*Inputs!$J$32*HelperFunctions!$H$14</f>
        <v>0</v>
      </c>
      <c r="O34">
        <f>Inputs!$F$8*Inputs!$J$33*HelperFunctions!$H$14</f>
        <v>0</v>
      </c>
      <c r="P34">
        <f>Inputs!$F$8*Inputs!$J$36*HelperFunctions!$H$28</f>
        <v>0</v>
      </c>
      <c r="Q34">
        <f>Inputs!$F$8*Inputs!$J$37*HelperFunctions!$H$28</f>
        <v>0</v>
      </c>
      <c r="R34">
        <f>Inputs!$F$8*Inputs!$J$38*HelperFunctions!$H$28</f>
        <v>0</v>
      </c>
      <c r="S34">
        <f>Inputs!$F$8*Inputs!$J$39*HelperFunctions!$H$28</f>
        <v>0</v>
      </c>
      <c r="T34">
        <f>Inputs!$F$8*Inputs!$J$40*HelperFunctions!$H$28</f>
        <v>0</v>
      </c>
      <c r="U34">
        <f>Inputs!$F$8*Inputs!$J$41*HelperFunctions!$H$28</f>
        <v>0</v>
      </c>
      <c r="V34">
        <f>Inputs!$F$8*Inputs!$J$42*HelperFunctions!$H$28</f>
        <v>0</v>
      </c>
      <c r="W34">
        <f>Inputs!$F$8*Inputs!$J$43*HelperFunctions!$H$28</f>
        <v>0</v>
      </c>
      <c r="X34">
        <f>Inputs!$F$8*Inputs!$J$44*HelperFunctions!$H$28</f>
        <v>0</v>
      </c>
      <c r="Y34">
        <f>Inputs!$F$8*Inputs!$J$45*HelperFunctions!$H27</f>
        <v>0</v>
      </c>
      <c r="Z34">
        <f>Inputs!$F$8*Inputs!$J$46*HelperFunctions!$H26</f>
        <v>0</v>
      </c>
      <c r="AA34">
        <f>Inputs!$F$8*Inputs!$J$47*HelperFunctions!$H25</f>
        <v>0</v>
      </c>
      <c r="AB34">
        <f>Inputs!$F$8*Inputs!$J$48*HelperFunctions!$H38</f>
        <v>0</v>
      </c>
      <c r="AC34">
        <f>Inputs!$F$8*Inputs!$J$49*HelperFunctions!$H37</f>
        <v>0</v>
      </c>
      <c r="AD34">
        <f>Inputs!$F$8*Inputs!$J$50*HelperFunctions!$H36</f>
        <v>0</v>
      </c>
      <c r="AE34">
        <f>Inputs!$F$8*Inputs!$J$51*HelperFunctions!$H35</f>
        <v>0</v>
      </c>
      <c r="AF34">
        <f>Inputs!$F$8*Inputs!$J$52*HelperFunctions!$H34</f>
        <v>0</v>
      </c>
      <c r="AG34">
        <f>Inputs!$F$8*Inputs!$J$53*HelperFunctions!$H33</f>
        <v>0</v>
      </c>
      <c r="AH34">
        <f>Inputs!$F$8*Inputs!$J$54*HelperFunctions!$H32</f>
        <v>0</v>
      </c>
      <c r="AI34">
        <f>Inputs!$F$8*Inputs!$J$55*HelperFunctions!$H31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2:63" x14ac:dyDescent="0.35">
      <c r="B35" s="87">
        <v>2</v>
      </c>
      <c r="C35" t="str">
        <f>Inputs!I56</f>
        <v/>
      </c>
      <c r="D35">
        <f>Inputs!$F$8*Inputs!$J$22*HelperFunctions!$H$14</f>
        <v>0</v>
      </c>
      <c r="E35">
        <f>Inputs!$F$8*Inputs!$J$23*HelperFunctions!$H$14</f>
        <v>0</v>
      </c>
      <c r="F35">
        <f>Inputs!$F$8*Inputs!$J$24*HelperFunctions!$H$14</f>
        <v>0</v>
      </c>
      <c r="G35">
        <f>Inputs!$F$8*Inputs!$J$25*HelperFunctions!$H$14</f>
        <v>0</v>
      </c>
      <c r="H35">
        <f>Inputs!$F$8*Inputs!$J$26*HelperFunctions!$H$14</f>
        <v>0</v>
      </c>
      <c r="I35">
        <f>Inputs!$F$8*Inputs!$J$27*HelperFunctions!$H$14</f>
        <v>0</v>
      </c>
      <c r="J35">
        <f>Inputs!$F$8*Inputs!$J$28*HelperFunctions!$H$14</f>
        <v>0</v>
      </c>
      <c r="K35">
        <f>Inputs!$F$8*Inputs!$J$29*HelperFunctions!$H$14</f>
        <v>0</v>
      </c>
      <c r="L35">
        <f>Inputs!$F$8*Inputs!$J$30*HelperFunctions!$H$14</f>
        <v>0</v>
      </c>
      <c r="M35">
        <f>Inputs!$F$8*Inputs!$J$31*HelperFunctions!$H$14</f>
        <v>0</v>
      </c>
      <c r="N35">
        <f>Inputs!$F$8*Inputs!$J$32*HelperFunctions!$H$14</f>
        <v>0</v>
      </c>
      <c r="O35">
        <f>Inputs!$F$8*Inputs!$J$33*HelperFunctions!$H$14</f>
        <v>0</v>
      </c>
      <c r="P35">
        <f>Inputs!$F$8*Inputs!$J$36*HelperFunctions!$H$28</f>
        <v>0</v>
      </c>
      <c r="Q35">
        <f>Inputs!$F$8*Inputs!$J$37*HelperFunctions!$H$28</f>
        <v>0</v>
      </c>
      <c r="R35">
        <f>Inputs!$F$8*Inputs!$J$38*HelperFunctions!$H$28</f>
        <v>0</v>
      </c>
      <c r="S35">
        <f>Inputs!$F$8*Inputs!$J$39*HelperFunctions!$H$28</f>
        <v>0</v>
      </c>
      <c r="T35">
        <f>Inputs!$F$8*Inputs!$J$40*HelperFunctions!$H$28</f>
        <v>0</v>
      </c>
      <c r="U35">
        <f>Inputs!$F$8*Inputs!$J$41*HelperFunctions!$H$28</f>
        <v>0</v>
      </c>
      <c r="V35">
        <f>Inputs!$F$8*Inputs!$J$42*HelperFunctions!$H$28</f>
        <v>0</v>
      </c>
      <c r="W35">
        <f>Inputs!$F$8*Inputs!$J$43*HelperFunctions!$H$28</f>
        <v>0</v>
      </c>
      <c r="X35">
        <f>Inputs!$F$8*Inputs!$J$44*HelperFunctions!$H$28</f>
        <v>0</v>
      </c>
      <c r="Y35">
        <f>Inputs!$F$8*Inputs!$J$45*HelperFunctions!$H$28</f>
        <v>0</v>
      </c>
      <c r="Z35">
        <f>Inputs!$F$8*Inputs!$J$46*HelperFunctions!$H27</f>
        <v>0</v>
      </c>
      <c r="AA35">
        <f>Inputs!$F$8*Inputs!$J$47*HelperFunctions!$H26</f>
        <v>0</v>
      </c>
      <c r="AB35">
        <f>Inputs!$F$8*Inputs!$J$48*HelperFunctions!$H39</f>
        <v>0</v>
      </c>
      <c r="AC35">
        <f>Inputs!$F$8*Inputs!$J$49*HelperFunctions!$H38</f>
        <v>0</v>
      </c>
      <c r="AD35">
        <f>Inputs!$F$8*Inputs!$J$50*HelperFunctions!$H37</f>
        <v>0</v>
      </c>
      <c r="AE35">
        <f>Inputs!$F$8*Inputs!$J$51*HelperFunctions!$H36</f>
        <v>0</v>
      </c>
      <c r="AF35">
        <f>Inputs!$F$8*Inputs!$J$52*HelperFunctions!$H35</f>
        <v>0</v>
      </c>
      <c r="AG35">
        <f>Inputs!$F$8*Inputs!$J$53*HelperFunctions!$H34</f>
        <v>0</v>
      </c>
      <c r="AH35">
        <f>Inputs!$F$8*Inputs!$J$54*HelperFunctions!$H33</f>
        <v>0</v>
      </c>
      <c r="AI35">
        <f>Inputs!$F$8*Inputs!$J$55*HelperFunctions!$H32</f>
        <v>0</v>
      </c>
      <c r="AJ35">
        <f>Inputs!$F$8*Inputs!$J$56*HelperFunctions!$H31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2:63" x14ac:dyDescent="0.35">
      <c r="B36" s="87">
        <v>2</v>
      </c>
      <c r="C36" t="str">
        <f>Inputs!I57</f>
        <v/>
      </c>
      <c r="D36">
        <f>Inputs!$F$8*Inputs!$J$22*HelperFunctions!$H$14</f>
        <v>0</v>
      </c>
      <c r="E36">
        <f>Inputs!$F$8*Inputs!$J$23*HelperFunctions!$H$14</f>
        <v>0</v>
      </c>
      <c r="F36">
        <f>Inputs!$F$8*Inputs!$J$24*HelperFunctions!$H$14</f>
        <v>0</v>
      </c>
      <c r="G36">
        <f>Inputs!$F$8*Inputs!$J$25*HelperFunctions!$H$14</f>
        <v>0</v>
      </c>
      <c r="H36">
        <f>Inputs!$F$8*Inputs!$J$26*HelperFunctions!$H$14</f>
        <v>0</v>
      </c>
      <c r="I36">
        <f>Inputs!$F$8*Inputs!$J$27*HelperFunctions!$H$14</f>
        <v>0</v>
      </c>
      <c r="J36">
        <f>Inputs!$F$8*Inputs!$J$28*HelperFunctions!$H$14</f>
        <v>0</v>
      </c>
      <c r="K36">
        <f>Inputs!$F$8*Inputs!$J$29*HelperFunctions!$H$14</f>
        <v>0</v>
      </c>
      <c r="L36">
        <f>Inputs!$F$8*Inputs!$J$30*HelperFunctions!$H$14</f>
        <v>0</v>
      </c>
      <c r="M36">
        <f>Inputs!$F$8*Inputs!$J$31*HelperFunctions!$H$14</f>
        <v>0</v>
      </c>
      <c r="N36">
        <f>Inputs!$F$8*Inputs!$J$32*HelperFunctions!$H$14</f>
        <v>0</v>
      </c>
      <c r="O36">
        <f>Inputs!$F$8*Inputs!$J$33*HelperFunctions!$H$14</f>
        <v>0</v>
      </c>
      <c r="P36">
        <f>Inputs!$F$8*Inputs!$J$36*HelperFunctions!$H$28</f>
        <v>0</v>
      </c>
      <c r="Q36">
        <f>Inputs!$F$8*Inputs!$J$37*HelperFunctions!$H$28</f>
        <v>0</v>
      </c>
      <c r="R36">
        <f>Inputs!$F$8*Inputs!$J$38*HelperFunctions!$H$28</f>
        <v>0</v>
      </c>
      <c r="S36">
        <f>Inputs!$F$8*Inputs!$J$39*HelperFunctions!$H$28</f>
        <v>0</v>
      </c>
      <c r="T36">
        <f>Inputs!$F$8*Inputs!$J$40*HelperFunctions!$H$28</f>
        <v>0</v>
      </c>
      <c r="U36">
        <f>Inputs!$F$8*Inputs!$J$41*HelperFunctions!$H$28</f>
        <v>0</v>
      </c>
      <c r="V36">
        <f>Inputs!$F$8*Inputs!$J$42*HelperFunctions!$H$28</f>
        <v>0</v>
      </c>
      <c r="W36">
        <f>Inputs!$F$8*Inputs!$J$43*HelperFunctions!$H$28</f>
        <v>0</v>
      </c>
      <c r="X36">
        <f>Inputs!$F$8*Inputs!$J$44*HelperFunctions!$H$28</f>
        <v>0</v>
      </c>
      <c r="Y36">
        <f>Inputs!$F$8*Inputs!$J$45*HelperFunctions!$H$28</f>
        <v>0</v>
      </c>
      <c r="Z36">
        <f>Inputs!$F$8*Inputs!$J$46*HelperFunctions!$H$28</f>
        <v>0</v>
      </c>
      <c r="AA36">
        <f>Inputs!$F$8*Inputs!$J$47*HelperFunctions!$H27</f>
        <v>0</v>
      </c>
      <c r="AB36">
        <f>Inputs!$F$8*Inputs!$J$48*HelperFunctions!$H40</f>
        <v>0</v>
      </c>
      <c r="AC36">
        <f>Inputs!$F$8*Inputs!$J$49*HelperFunctions!$H39</f>
        <v>0</v>
      </c>
      <c r="AD36">
        <f>Inputs!$F$8*Inputs!$J$50*HelperFunctions!$H38</f>
        <v>0</v>
      </c>
      <c r="AE36">
        <f>Inputs!$F$8*Inputs!$J$51*HelperFunctions!$H37</f>
        <v>0</v>
      </c>
      <c r="AF36">
        <f>Inputs!$F$8*Inputs!$J$52*HelperFunctions!$H36</f>
        <v>0</v>
      </c>
      <c r="AG36">
        <f>Inputs!$F$8*Inputs!$J$53*HelperFunctions!$H35</f>
        <v>0</v>
      </c>
      <c r="AH36">
        <f>Inputs!$F$8*Inputs!$J$54*HelperFunctions!$H34</f>
        <v>0</v>
      </c>
      <c r="AI36">
        <f>Inputs!$F$8*Inputs!$J$55*HelperFunctions!$H33</f>
        <v>0</v>
      </c>
      <c r="AJ36">
        <f>Inputs!$F$8*Inputs!$J$56*HelperFunctions!$H32</f>
        <v>0</v>
      </c>
      <c r="AK36">
        <f>Inputs!$F$8*Inputs!$J$57*HelperFunctions!$H31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2:63" x14ac:dyDescent="0.35">
      <c r="B37" s="87">
        <v>2</v>
      </c>
      <c r="C37" t="str">
        <f>Inputs!I58</f>
        <v/>
      </c>
      <c r="D37">
        <f>Inputs!$F$8*Inputs!$J$22*HelperFunctions!$H$14</f>
        <v>0</v>
      </c>
      <c r="E37">
        <f>Inputs!$F$8*Inputs!$J$23*HelperFunctions!$H$14</f>
        <v>0</v>
      </c>
      <c r="F37">
        <f>Inputs!$F$8*Inputs!$J$24*HelperFunctions!$H$14</f>
        <v>0</v>
      </c>
      <c r="G37">
        <f>Inputs!$F$8*Inputs!$J$25*HelperFunctions!$H$14</f>
        <v>0</v>
      </c>
      <c r="H37">
        <f>Inputs!$F$8*Inputs!$J$26*HelperFunctions!$H$14</f>
        <v>0</v>
      </c>
      <c r="I37">
        <f>Inputs!$F$8*Inputs!$J$27*HelperFunctions!$H$14</f>
        <v>0</v>
      </c>
      <c r="J37">
        <f>Inputs!$F$8*Inputs!$J$28*HelperFunctions!$H$14</f>
        <v>0</v>
      </c>
      <c r="K37">
        <f>Inputs!$F$8*Inputs!$J$29*HelperFunctions!$H$14</f>
        <v>0</v>
      </c>
      <c r="L37">
        <f>Inputs!$F$8*Inputs!$J$30*HelperFunctions!$H$14</f>
        <v>0</v>
      </c>
      <c r="M37">
        <f>Inputs!$F$8*Inputs!$J$31*HelperFunctions!$H$14</f>
        <v>0</v>
      </c>
      <c r="N37">
        <f>Inputs!$F$8*Inputs!$J$32*HelperFunctions!$H$14</f>
        <v>0</v>
      </c>
      <c r="O37">
        <f>Inputs!$F$8*Inputs!$J$33*HelperFunctions!$H$14</f>
        <v>0</v>
      </c>
      <c r="P37">
        <f>Inputs!$F$8*Inputs!$J$36*HelperFunctions!$H$28</f>
        <v>0</v>
      </c>
      <c r="Q37">
        <f>Inputs!$F$8*Inputs!$J$37*HelperFunctions!$H$28</f>
        <v>0</v>
      </c>
      <c r="R37">
        <f>Inputs!$F$8*Inputs!$J$38*HelperFunctions!$H$28</f>
        <v>0</v>
      </c>
      <c r="S37">
        <f>Inputs!$F$8*Inputs!$J$39*HelperFunctions!$H$28</f>
        <v>0</v>
      </c>
      <c r="T37">
        <f>Inputs!$F$8*Inputs!$J$40*HelperFunctions!$H$28</f>
        <v>0</v>
      </c>
      <c r="U37">
        <f>Inputs!$F$8*Inputs!$J$41*HelperFunctions!$H$28</f>
        <v>0</v>
      </c>
      <c r="V37">
        <f>Inputs!$F$8*Inputs!$J$42*HelperFunctions!$H$28</f>
        <v>0</v>
      </c>
      <c r="W37">
        <f>Inputs!$F$8*Inputs!$J$43*HelperFunctions!$H$28</f>
        <v>0</v>
      </c>
      <c r="X37">
        <f>Inputs!$F$8*Inputs!$J$44*HelperFunctions!$H$28</f>
        <v>0</v>
      </c>
      <c r="Y37">
        <f>Inputs!$F$8*Inputs!$J$45*HelperFunctions!$H$28</f>
        <v>0</v>
      </c>
      <c r="Z37">
        <f>Inputs!$F$8*Inputs!$J$46*HelperFunctions!$H$28</f>
        <v>0</v>
      </c>
      <c r="AA37">
        <f>Inputs!$F$8*Inputs!$J$47*HelperFunctions!$H$28</f>
        <v>0</v>
      </c>
      <c r="AB37">
        <f>Inputs!$F$8*Inputs!$J$48*HelperFunctions!$H41</f>
        <v>0</v>
      </c>
      <c r="AC37">
        <f>Inputs!$F$8*Inputs!$J$49*HelperFunctions!$H40</f>
        <v>0</v>
      </c>
      <c r="AD37">
        <f>Inputs!$F$8*Inputs!$J$50*HelperFunctions!$H39</f>
        <v>0</v>
      </c>
      <c r="AE37">
        <f>Inputs!$F$8*Inputs!$J$51*HelperFunctions!$H38</f>
        <v>0</v>
      </c>
      <c r="AF37">
        <f>Inputs!$F$8*Inputs!$J$52*HelperFunctions!$H37</f>
        <v>0</v>
      </c>
      <c r="AG37">
        <f>Inputs!$F$8*Inputs!$J$53*HelperFunctions!$H36</f>
        <v>0</v>
      </c>
      <c r="AH37">
        <f>Inputs!$F$8*Inputs!$J$54*HelperFunctions!$H35</f>
        <v>0</v>
      </c>
      <c r="AI37">
        <f>Inputs!$F$8*Inputs!$J$55*HelperFunctions!$H34</f>
        <v>0</v>
      </c>
      <c r="AJ37">
        <f>Inputs!$F$8*Inputs!$J$56*HelperFunctions!$H33</f>
        <v>0</v>
      </c>
      <c r="AK37">
        <f>Inputs!$F$8*Inputs!$J$57*HelperFunctions!$H32</f>
        <v>0</v>
      </c>
      <c r="AL37">
        <f>Inputs!$F$8*Inputs!$J$58*HelperFunctions!$H31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2:63" ht="15.75" customHeight="1" x14ac:dyDescent="0.35">
      <c r="B38" s="88">
        <v>2</v>
      </c>
      <c r="C38" s="89" t="str">
        <f>Inputs!I59</f>
        <v/>
      </c>
      <c r="D38" s="89">
        <f>Inputs!$F$8*Inputs!$J$22*HelperFunctions!$H$14</f>
        <v>0</v>
      </c>
      <c r="E38" s="89">
        <f>Inputs!$F$8*Inputs!$J$23*HelperFunctions!$H$14</f>
        <v>0</v>
      </c>
      <c r="F38" s="89">
        <f>Inputs!$F$8*Inputs!$J$24*HelperFunctions!$H$14</f>
        <v>0</v>
      </c>
      <c r="G38" s="89">
        <f>Inputs!$F$8*Inputs!$J$25*HelperFunctions!$H$14</f>
        <v>0</v>
      </c>
      <c r="H38" s="89">
        <f>Inputs!$F$8*Inputs!$J$26*HelperFunctions!$H$14</f>
        <v>0</v>
      </c>
      <c r="I38" s="89">
        <f>Inputs!$F$8*Inputs!$J$27*HelperFunctions!$H$14</f>
        <v>0</v>
      </c>
      <c r="J38" s="89">
        <f>Inputs!$F$8*Inputs!$J$28*HelperFunctions!$H$14</f>
        <v>0</v>
      </c>
      <c r="K38" s="89">
        <f>Inputs!$F$8*Inputs!$J$29*HelperFunctions!$H$14</f>
        <v>0</v>
      </c>
      <c r="L38" s="89">
        <f>Inputs!$F$8*Inputs!$J$30*HelperFunctions!$H$14</f>
        <v>0</v>
      </c>
      <c r="M38" s="89">
        <f>Inputs!$F$8*Inputs!$J$31*HelperFunctions!$H$14</f>
        <v>0</v>
      </c>
      <c r="N38" s="89">
        <f>Inputs!$F$8*Inputs!$J$32*HelperFunctions!$H$14</f>
        <v>0</v>
      </c>
      <c r="O38" s="89">
        <f>Inputs!$F$8*Inputs!$J$33*HelperFunctions!$H$14</f>
        <v>0</v>
      </c>
      <c r="P38" s="89">
        <f>Inputs!$F$8*Inputs!$J$36*HelperFunctions!$H$28</f>
        <v>0</v>
      </c>
      <c r="Q38" s="89">
        <f>Inputs!$F$8*Inputs!$J$37*HelperFunctions!$H$28</f>
        <v>0</v>
      </c>
      <c r="R38" s="89">
        <f>Inputs!$F$8*Inputs!$J$38*HelperFunctions!$H$28</f>
        <v>0</v>
      </c>
      <c r="S38" s="89">
        <f>Inputs!$F$8*Inputs!$J$39*HelperFunctions!$H$28</f>
        <v>0</v>
      </c>
      <c r="T38" s="89">
        <f>Inputs!$F$8*Inputs!$J$40*HelperFunctions!$H$28</f>
        <v>0</v>
      </c>
      <c r="U38" s="89">
        <f>Inputs!$F$8*Inputs!$J$41*HelperFunctions!$H$28</f>
        <v>0</v>
      </c>
      <c r="V38" s="89">
        <f>Inputs!$F$8*Inputs!$J$42*HelperFunctions!$H$28</f>
        <v>0</v>
      </c>
      <c r="W38" s="89">
        <f>Inputs!$F$8*Inputs!$J$43*HelperFunctions!$H$28</f>
        <v>0</v>
      </c>
      <c r="X38" s="89">
        <f>Inputs!$F$8*Inputs!$J$44*HelperFunctions!$H$28</f>
        <v>0</v>
      </c>
      <c r="Y38" s="89">
        <f>Inputs!$F$8*Inputs!$J$45*HelperFunctions!$H$28</f>
        <v>0</v>
      </c>
      <c r="Z38" s="89">
        <f>Inputs!$F$8*Inputs!$J$46*HelperFunctions!$H$28</f>
        <v>0</v>
      </c>
      <c r="AA38" s="89">
        <f>Inputs!$F$8*Inputs!$J$47*HelperFunctions!$H$28</f>
        <v>0</v>
      </c>
      <c r="AB38" s="89">
        <f>Inputs!$F$8*Inputs!$J$48*HelperFunctions!$H$42</f>
        <v>0</v>
      </c>
      <c r="AC38" s="89">
        <f>Inputs!$F$8*Inputs!$J$49*HelperFunctions!$H41</f>
        <v>0</v>
      </c>
      <c r="AD38" s="89">
        <f>Inputs!$F$8*Inputs!$J$50*HelperFunctions!$H40</f>
        <v>0</v>
      </c>
      <c r="AE38" s="89">
        <f>Inputs!$F$8*Inputs!$J$51*HelperFunctions!$H39</f>
        <v>0</v>
      </c>
      <c r="AF38" s="89">
        <f>Inputs!$F$8*Inputs!$J$52*HelperFunctions!$H38</f>
        <v>0</v>
      </c>
      <c r="AG38" s="89">
        <f>Inputs!$F$8*Inputs!$J$53*HelperFunctions!$H37</f>
        <v>0</v>
      </c>
      <c r="AH38" s="89">
        <f>Inputs!$F$8*Inputs!$J$54*HelperFunctions!$H36</f>
        <v>0</v>
      </c>
      <c r="AI38" s="89">
        <f>Inputs!$F$8*Inputs!$J$55*HelperFunctions!$H35</f>
        <v>0</v>
      </c>
      <c r="AJ38" s="89">
        <f>Inputs!$F$8*Inputs!$J$56*HelperFunctions!$H34</f>
        <v>0</v>
      </c>
      <c r="AK38" s="89">
        <f>Inputs!$F$8*Inputs!$J$57*HelperFunctions!$H33</f>
        <v>0</v>
      </c>
      <c r="AL38" s="89">
        <f>Inputs!$F$8*Inputs!$J$58*HelperFunctions!$H32</f>
        <v>0</v>
      </c>
      <c r="AM38" s="90">
        <f>Inputs!$F$8*Inputs!$J$59*HelperFunctions!$H31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2:63" x14ac:dyDescent="0.35">
      <c r="B39" s="87">
        <v>3</v>
      </c>
      <c r="C39" t="str">
        <f>Inputs!I60</f>
        <v/>
      </c>
      <c r="D39">
        <f>Inputs!$F$8*Inputs!$J$22*HelperFunctions!$H$14</f>
        <v>0</v>
      </c>
      <c r="E39">
        <f>Inputs!$F$8*Inputs!$J$23*HelperFunctions!$H$14</f>
        <v>0</v>
      </c>
      <c r="F39">
        <f>Inputs!$F$8*Inputs!$J$24*HelperFunctions!$H$14</f>
        <v>0</v>
      </c>
      <c r="G39">
        <f>Inputs!$F$8*Inputs!$J$25*HelperFunctions!$H$14</f>
        <v>0</v>
      </c>
      <c r="H39">
        <f>Inputs!$F$8*Inputs!$J$26*HelperFunctions!$H$14</f>
        <v>0</v>
      </c>
      <c r="I39">
        <f>Inputs!$F$8*Inputs!$J$27*HelperFunctions!$H$14</f>
        <v>0</v>
      </c>
      <c r="J39">
        <f>Inputs!$F$8*Inputs!$J$28*HelperFunctions!$H$14</f>
        <v>0</v>
      </c>
      <c r="K39">
        <f>Inputs!$F$8*Inputs!$J$29*HelperFunctions!$H$14</f>
        <v>0</v>
      </c>
      <c r="L39">
        <f>Inputs!$F$8*Inputs!$J$30*HelperFunctions!$H$14</f>
        <v>0</v>
      </c>
      <c r="M39">
        <f>Inputs!$F$8*Inputs!$J$31*HelperFunctions!$H$14</f>
        <v>0</v>
      </c>
      <c r="N39">
        <f>Inputs!$F$8*Inputs!$J$32*HelperFunctions!$H$14</f>
        <v>0</v>
      </c>
      <c r="O39">
        <f>Inputs!$F$8*Inputs!$J$33*HelperFunctions!$H$14</f>
        <v>0</v>
      </c>
      <c r="P39">
        <f>Inputs!$F$8*Inputs!$J$36*HelperFunctions!$H$28</f>
        <v>0</v>
      </c>
      <c r="Q39">
        <f>Inputs!$F$8*Inputs!$J$37*HelperFunctions!$H$28</f>
        <v>0</v>
      </c>
      <c r="R39">
        <f>Inputs!$F$8*Inputs!$J$38*HelperFunctions!$H$28</f>
        <v>0</v>
      </c>
      <c r="S39">
        <f>Inputs!$F$8*Inputs!$J$39*HelperFunctions!$H$28</f>
        <v>0</v>
      </c>
      <c r="T39">
        <f>Inputs!$F$8*Inputs!$J$40*HelperFunctions!$H$28</f>
        <v>0</v>
      </c>
      <c r="U39">
        <f>Inputs!$F$8*Inputs!$J$41*HelperFunctions!$H$28</f>
        <v>0</v>
      </c>
      <c r="V39">
        <f>Inputs!$F$8*Inputs!$J$42*HelperFunctions!$H$28</f>
        <v>0</v>
      </c>
      <c r="W39">
        <f>Inputs!$F$8*Inputs!$J$43*HelperFunctions!$H$28</f>
        <v>0</v>
      </c>
      <c r="X39">
        <f>Inputs!$F$8*Inputs!$J$44*HelperFunctions!$H$28</f>
        <v>0</v>
      </c>
      <c r="Y39">
        <f>Inputs!$F$8*Inputs!$J$45*HelperFunctions!$H$28</f>
        <v>0</v>
      </c>
      <c r="Z39">
        <f>Inputs!$F$8*Inputs!$J$46*HelperFunctions!$H$28</f>
        <v>0</v>
      </c>
      <c r="AA39">
        <f>Inputs!$F$8*Inputs!$J$47*HelperFunctions!$H$28</f>
        <v>0</v>
      </c>
      <c r="AB39">
        <f>Inputs!$F$8*Inputs!$J$48*HelperFunctions!$H$42</f>
        <v>0</v>
      </c>
      <c r="AC39">
        <f>Inputs!$F$8*Inputs!$J$49*HelperFunctions!$H$42</f>
        <v>0</v>
      </c>
      <c r="AD39">
        <f>Inputs!$F$8*Inputs!$J$50*HelperFunctions!$H41</f>
        <v>0</v>
      </c>
      <c r="AE39">
        <f>Inputs!$F$8*Inputs!$J$51*HelperFunctions!$H40</f>
        <v>0</v>
      </c>
      <c r="AF39">
        <f>Inputs!$F$8*Inputs!$J$52*HelperFunctions!$H39</f>
        <v>0</v>
      </c>
      <c r="AG39">
        <f>Inputs!$F$8*Inputs!$J$53*HelperFunctions!$H38</f>
        <v>0</v>
      </c>
      <c r="AH39">
        <f>Inputs!$F$8*Inputs!$J$54*HelperFunctions!$H37</f>
        <v>0</v>
      </c>
      <c r="AI39">
        <f>Inputs!$F$8*Inputs!$J$55*HelperFunctions!$H36</f>
        <v>0</v>
      </c>
      <c r="AJ39">
        <f>Inputs!$F$8*Inputs!$J$56*HelperFunctions!$H35</f>
        <v>0</v>
      </c>
      <c r="AK39">
        <f>Inputs!$F$8*Inputs!$J$57*HelperFunctions!$H34</f>
        <v>0</v>
      </c>
      <c r="AL39">
        <f>Inputs!$F$8*Inputs!$J$58*HelperFunctions!$H33</f>
        <v>0</v>
      </c>
      <c r="AM39">
        <f>Inputs!$F$8*Inputs!$J$59*HelperFunctions!$H32</f>
        <v>0</v>
      </c>
      <c r="AN39">
        <f>Inputs!$F$8*Inputs!$J$60*HelperFunctions!$H45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2:63" x14ac:dyDescent="0.35">
      <c r="B40" s="87">
        <v>3</v>
      </c>
      <c r="C40" t="str">
        <f>Inputs!I61</f>
        <v/>
      </c>
      <c r="D40">
        <f>Inputs!$F$8*Inputs!$J$22*HelperFunctions!$H$14</f>
        <v>0</v>
      </c>
      <c r="E40">
        <f>Inputs!$F$8*Inputs!$J$23*HelperFunctions!$H$14</f>
        <v>0</v>
      </c>
      <c r="F40">
        <f>Inputs!$F$8*Inputs!$J$24*HelperFunctions!$H$14</f>
        <v>0</v>
      </c>
      <c r="G40">
        <f>Inputs!$F$8*Inputs!$J$25*HelperFunctions!$H$14</f>
        <v>0</v>
      </c>
      <c r="H40">
        <f>Inputs!$F$8*Inputs!$J$26*HelperFunctions!$H$14</f>
        <v>0</v>
      </c>
      <c r="I40">
        <f>Inputs!$F$8*Inputs!$J$27*HelperFunctions!$H$14</f>
        <v>0</v>
      </c>
      <c r="J40">
        <f>Inputs!$F$8*Inputs!$J$28*HelperFunctions!$H$14</f>
        <v>0</v>
      </c>
      <c r="K40">
        <f>Inputs!$F$8*Inputs!$J$29*HelperFunctions!$H$14</f>
        <v>0</v>
      </c>
      <c r="L40">
        <f>Inputs!$F$8*Inputs!$J$30*HelperFunctions!$H$14</f>
        <v>0</v>
      </c>
      <c r="M40">
        <f>Inputs!$F$8*Inputs!$J$31*HelperFunctions!$H$14</f>
        <v>0</v>
      </c>
      <c r="N40">
        <f>Inputs!$F$8*Inputs!$J$32*HelperFunctions!$H$14</f>
        <v>0</v>
      </c>
      <c r="O40">
        <f>Inputs!$F$8*Inputs!$J$33*HelperFunctions!$H$14</f>
        <v>0</v>
      </c>
      <c r="P40">
        <f>Inputs!$F$8*Inputs!$J$36*HelperFunctions!$H$28</f>
        <v>0</v>
      </c>
      <c r="Q40">
        <f>Inputs!$F$8*Inputs!$J$37*HelperFunctions!$H$28</f>
        <v>0</v>
      </c>
      <c r="R40">
        <f>Inputs!$F$8*Inputs!$J$38*HelperFunctions!$H$28</f>
        <v>0</v>
      </c>
      <c r="S40">
        <f>Inputs!$F$8*Inputs!$J$39*HelperFunctions!$H$28</f>
        <v>0</v>
      </c>
      <c r="T40">
        <f>Inputs!$F$8*Inputs!$J$40*HelperFunctions!$H$28</f>
        <v>0</v>
      </c>
      <c r="U40">
        <f>Inputs!$F$8*Inputs!$J$41*HelperFunctions!$H$28</f>
        <v>0</v>
      </c>
      <c r="V40">
        <f>Inputs!$F$8*Inputs!$J$42*HelperFunctions!$H$28</f>
        <v>0</v>
      </c>
      <c r="W40">
        <f>Inputs!$F$8*Inputs!$J$43*HelperFunctions!$H$28</f>
        <v>0</v>
      </c>
      <c r="X40">
        <f>Inputs!$F$8*Inputs!$J$44*HelperFunctions!$H$28</f>
        <v>0</v>
      </c>
      <c r="Y40">
        <f>Inputs!$F$8*Inputs!$J$45*HelperFunctions!$H$28</f>
        <v>0</v>
      </c>
      <c r="Z40">
        <f>Inputs!$F$8*Inputs!$J$46*HelperFunctions!$H$28</f>
        <v>0</v>
      </c>
      <c r="AA40">
        <f>Inputs!$F$8*Inputs!$J$47*HelperFunctions!$H$28</f>
        <v>0</v>
      </c>
      <c r="AB40">
        <f>Inputs!$F$8*Inputs!$J$48*HelperFunctions!$H$42</f>
        <v>0</v>
      </c>
      <c r="AC40">
        <f>Inputs!$F$8*Inputs!$J$49*HelperFunctions!$H$42</f>
        <v>0</v>
      </c>
      <c r="AD40">
        <f>Inputs!$F$8*Inputs!$J$50*HelperFunctions!$H$42</f>
        <v>0</v>
      </c>
      <c r="AE40">
        <f>Inputs!$F$8*Inputs!$J$51*HelperFunctions!$H41</f>
        <v>0</v>
      </c>
      <c r="AF40">
        <f>Inputs!$F$8*Inputs!$J$52*HelperFunctions!$H40</f>
        <v>0</v>
      </c>
      <c r="AG40">
        <f>Inputs!$F$8*Inputs!$J$53*HelperFunctions!$H39</f>
        <v>0</v>
      </c>
      <c r="AH40">
        <f>Inputs!$F$8*Inputs!$J$54*HelperFunctions!$H38</f>
        <v>0</v>
      </c>
      <c r="AI40">
        <f>Inputs!$F$8*Inputs!$J$55*HelperFunctions!$H37</f>
        <v>0</v>
      </c>
      <c r="AJ40">
        <f>Inputs!$F$8*Inputs!$J$56*HelperFunctions!$H36</f>
        <v>0</v>
      </c>
      <c r="AK40">
        <f>Inputs!$F$8*Inputs!$J$57*HelperFunctions!$H35</f>
        <v>0</v>
      </c>
      <c r="AL40">
        <f>Inputs!$F$8*Inputs!$J$58*HelperFunctions!$H34</f>
        <v>0</v>
      </c>
      <c r="AM40">
        <f>Inputs!$F$8*Inputs!$J$59*HelperFunctions!$H33</f>
        <v>0</v>
      </c>
      <c r="AN40">
        <f>Inputs!$F$8*Inputs!$J$60*HelperFunctions!$H46</f>
        <v>0</v>
      </c>
      <c r="AO40">
        <f>Inputs!$F$8*Inputs!$J$61*HelperFunctions!$H45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2:63" x14ac:dyDescent="0.35">
      <c r="B41" s="87">
        <v>3</v>
      </c>
      <c r="C41" t="str">
        <f>Inputs!I62</f>
        <v/>
      </c>
      <c r="D41">
        <f>Inputs!$F$8*Inputs!$J$22*HelperFunctions!$H$14</f>
        <v>0</v>
      </c>
      <c r="E41">
        <f>Inputs!$F$8*Inputs!$J$23*HelperFunctions!$H$14</f>
        <v>0</v>
      </c>
      <c r="F41">
        <f>Inputs!$F$8*Inputs!$J$24*HelperFunctions!$H$14</f>
        <v>0</v>
      </c>
      <c r="G41">
        <f>Inputs!$F$8*Inputs!$J$25*HelperFunctions!$H$14</f>
        <v>0</v>
      </c>
      <c r="H41">
        <f>Inputs!$F$8*Inputs!$J$26*HelperFunctions!$H$14</f>
        <v>0</v>
      </c>
      <c r="I41">
        <f>Inputs!$F$8*Inputs!$J$27*HelperFunctions!$H$14</f>
        <v>0</v>
      </c>
      <c r="J41">
        <f>Inputs!$F$8*Inputs!$J$28*HelperFunctions!$H$14</f>
        <v>0</v>
      </c>
      <c r="K41">
        <f>Inputs!$F$8*Inputs!$J$29*HelperFunctions!$H$14</f>
        <v>0</v>
      </c>
      <c r="L41">
        <f>Inputs!$F$8*Inputs!$J$30*HelperFunctions!$H$14</f>
        <v>0</v>
      </c>
      <c r="M41">
        <f>Inputs!$F$8*Inputs!$J$31*HelperFunctions!$H$14</f>
        <v>0</v>
      </c>
      <c r="N41">
        <f>Inputs!$F$8*Inputs!$J$32*HelperFunctions!$H$14</f>
        <v>0</v>
      </c>
      <c r="O41">
        <f>Inputs!$F$8*Inputs!$J$33*HelperFunctions!$H$14</f>
        <v>0</v>
      </c>
      <c r="P41">
        <f>Inputs!$F$8*Inputs!$J$36*HelperFunctions!$H$28</f>
        <v>0</v>
      </c>
      <c r="Q41">
        <f>Inputs!$F$8*Inputs!$J$37*HelperFunctions!$H$28</f>
        <v>0</v>
      </c>
      <c r="R41">
        <f>Inputs!$F$8*Inputs!$J$38*HelperFunctions!$H$28</f>
        <v>0</v>
      </c>
      <c r="S41">
        <f>Inputs!$F$8*Inputs!$J$39*HelperFunctions!$H$28</f>
        <v>0</v>
      </c>
      <c r="T41">
        <f>Inputs!$F$8*Inputs!$J$40*HelperFunctions!$H$28</f>
        <v>0</v>
      </c>
      <c r="U41">
        <f>Inputs!$F$8*Inputs!$J$41*HelperFunctions!$H$28</f>
        <v>0</v>
      </c>
      <c r="V41">
        <f>Inputs!$F$8*Inputs!$J$42*HelperFunctions!$H$28</f>
        <v>0</v>
      </c>
      <c r="W41">
        <f>Inputs!$F$8*Inputs!$J$43*HelperFunctions!$H$28</f>
        <v>0</v>
      </c>
      <c r="X41">
        <f>Inputs!$F$8*Inputs!$J$44*HelperFunctions!$H$28</f>
        <v>0</v>
      </c>
      <c r="Y41">
        <f>Inputs!$F$8*Inputs!$J$45*HelperFunctions!$H$28</f>
        <v>0</v>
      </c>
      <c r="Z41">
        <f>Inputs!$F$8*Inputs!$J$46*HelperFunctions!$H$28</f>
        <v>0</v>
      </c>
      <c r="AA41">
        <f>Inputs!$F$8*Inputs!$J$47*HelperFunctions!$H$28</f>
        <v>0</v>
      </c>
      <c r="AB41">
        <f>Inputs!$F$8*Inputs!$J$48*HelperFunctions!$H$42</f>
        <v>0</v>
      </c>
      <c r="AC41">
        <f>Inputs!$F$8*Inputs!$J$49*HelperFunctions!$H$42</f>
        <v>0</v>
      </c>
      <c r="AD41">
        <f>Inputs!$F$8*Inputs!$J$50*HelperFunctions!$H$42</f>
        <v>0</v>
      </c>
      <c r="AE41">
        <f>Inputs!$F$8*Inputs!$J$51*HelperFunctions!$H$42</f>
        <v>0</v>
      </c>
      <c r="AF41">
        <f>Inputs!$F$8*Inputs!$J$52*HelperFunctions!$H41</f>
        <v>0</v>
      </c>
      <c r="AG41">
        <f>Inputs!$F$8*Inputs!$J$53*HelperFunctions!$H40</f>
        <v>0</v>
      </c>
      <c r="AH41">
        <f>Inputs!$F$8*Inputs!$J$54*HelperFunctions!$H39</f>
        <v>0</v>
      </c>
      <c r="AI41">
        <f>Inputs!$F$8*Inputs!$J$55*HelperFunctions!$H38</f>
        <v>0</v>
      </c>
      <c r="AJ41">
        <f>Inputs!$F$8*Inputs!$J$56*HelperFunctions!$H37</f>
        <v>0</v>
      </c>
      <c r="AK41">
        <f>Inputs!$F$8*Inputs!$J$57*HelperFunctions!$H36</f>
        <v>0</v>
      </c>
      <c r="AL41">
        <f>Inputs!$F$8*Inputs!$J$58*HelperFunctions!$H35</f>
        <v>0</v>
      </c>
      <c r="AM41">
        <f>Inputs!$F$8*Inputs!$J$59*HelperFunctions!$H34</f>
        <v>0</v>
      </c>
      <c r="AN41">
        <f>Inputs!$F$8*Inputs!$J$60*HelperFunctions!$H47</f>
        <v>0</v>
      </c>
      <c r="AO41">
        <f>Inputs!$F$8*Inputs!$J$61*HelperFunctions!$H46</f>
        <v>0</v>
      </c>
      <c r="AP41">
        <f>Inputs!$F$8*Inputs!$J$62*HelperFunctions!$H45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2:63" x14ac:dyDescent="0.35">
      <c r="B42" s="87">
        <v>3</v>
      </c>
      <c r="C42" t="str">
        <f>Inputs!I63</f>
        <v/>
      </c>
      <c r="D42">
        <f>Inputs!$F$8*Inputs!$J$22*HelperFunctions!$H$14</f>
        <v>0</v>
      </c>
      <c r="E42">
        <f>Inputs!$F$8*Inputs!$J$23*HelperFunctions!$H$14</f>
        <v>0</v>
      </c>
      <c r="F42">
        <f>Inputs!$F$8*Inputs!$J$24*HelperFunctions!$H$14</f>
        <v>0</v>
      </c>
      <c r="G42">
        <f>Inputs!$F$8*Inputs!$J$25*HelperFunctions!$H$14</f>
        <v>0</v>
      </c>
      <c r="H42">
        <f>Inputs!$F$8*Inputs!$J$26*HelperFunctions!$H$14</f>
        <v>0</v>
      </c>
      <c r="I42">
        <f>Inputs!$F$8*Inputs!$J$27*HelperFunctions!$H$14</f>
        <v>0</v>
      </c>
      <c r="J42">
        <f>Inputs!$F$8*Inputs!$J$28*HelperFunctions!$H$14</f>
        <v>0</v>
      </c>
      <c r="K42">
        <f>Inputs!$F$8*Inputs!$J$29*HelperFunctions!$H$14</f>
        <v>0</v>
      </c>
      <c r="L42">
        <f>Inputs!$F$8*Inputs!$J$30*HelperFunctions!$H$14</f>
        <v>0</v>
      </c>
      <c r="M42">
        <f>Inputs!$F$8*Inputs!$J$31*HelperFunctions!$H$14</f>
        <v>0</v>
      </c>
      <c r="N42">
        <f>Inputs!$F$8*Inputs!$J$32*HelperFunctions!$H$14</f>
        <v>0</v>
      </c>
      <c r="O42">
        <f>Inputs!$F$8*Inputs!$J$33*HelperFunctions!$H$14</f>
        <v>0</v>
      </c>
      <c r="P42">
        <f>Inputs!$F$8*Inputs!$J$36*HelperFunctions!$H$28</f>
        <v>0</v>
      </c>
      <c r="Q42">
        <f>Inputs!$F$8*Inputs!$J$37*HelperFunctions!$H$28</f>
        <v>0</v>
      </c>
      <c r="R42">
        <f>Inputs!$F$8*Inputs!$J$38*HelperFunctions!$H$28</f>
        <v>0</v>
      </c>
      <c r="S42">
        <f>Inputs!$F$8*Inputs!$J$39*HelperFunctions!$H$28</f>
        <v>0</v>
      </c>
      <c r="T42">
        <f>Inputs!$F$8*Inputs!$J$40*HelperFunctions!$H$28</f>
        <v>0</v>
      </c>
      <c r="U42">
        <f>Inputs!$F$8*Inputs!$J$41*HelperFunctions!$H$28</f>
        <v>0</v>
      </c>
      <c r="V42">
        <f>Inputs!$F$8*Inputs!$J$42*HelperFunctions!$H$28</f>
        <v>0</v>
      </c>
      <c r="W42">
        <f>Inputs!$F$8*Inputs!$J$43*HelperFunctions!$H$28</f>
        <v>0</v>
      </c>
      <c r="X42">
        <f>Inputs!$F$8*Inputs!$J$44*HelperFunctions!$H$28</f>
        <v>0</v>
      </c>
      <c r="Y42">
        <f>Inputs!$F$8*Inputs!$J$45*HelperFunctions!$H$28</f>
        <v>0</v>
      </c>
      <c r="Z42">
        <f>Inputs!$F$8*Inputs!$J$46*HelperFunctions!$H$28</f>
        <v>0</v>
      </c>
      <c r="AA42">
        <f>Inputs!$F$8*Inputs!$J$47*HelperFunctions!$H$28</f>
        <v>0</v>
      </c>
      <c r="AB42">
        <f>Inputs!$F$8*Inputs!$J$48*HelperFunctions!$H$42</f>
        <v>0</v>
      </c>
      <c r="AC42">
        <f>Inputs!$F$8*Inputs!$J$49*HelperFunctions!$H$42</f>
        <v>0</v>
      </c>
      <c r="AD42">
        <f>Inputs!$F$8*Inputs!$J$50*HelperFunctions!$H$42</f>
        <v>0</v>
      </c>
      <c r="AE42">
        <f>Inputs!$F$8*Inputs!$J$51*HelperFunctions!$H$42</f>
        <v>0</v>
      </c>
      <c r="AF42">
        <f>Inputs!$F$8*Inputs!$J$52*HelperFunctions!$H$42</f>
        <v>0</v>
      </c>
      <c r="AG42">
        <f>Inputs!$F$8*Inputs!$J$53*HelperFunctions!$H41</f>
        <v>0</v>
      </c>
      <c r="AH42">
        <f>Inputs!$F$8*Inputs!$J$54*HelperFunctions!$H40</f>
        <v>0</v>
      </c>
      <c r="AI42">
        <f>Inputs!$F$8*Inputs!$J$55*HelperFunctions!$H39</f>
        <v>0</v>
      </c>
      <c r="AJ42">
        <f>Inputs!$F$8*Inputs!$J$56*HelperFunctions!$H38</f>
        <v>0</v>
      </c>
      <c r="AK42">
        <f>Inputs!$F$8*Inputs!$J$57*HelperFunctions!$H37</f>
        <v>0</v>
      </c>
      <c r="AL42">
        <f>Inputs!$F$8*Inputs!$J$58*HelperFunctions!$H36</f>
        <v>0</v>
      </c>
      <c r="AM42">
        <f>Inputs!$F$8*Inputs!$J$59*HelperFunctions!$H35</f>
        <v>0</v>
      </c>
      <c r="AN42">
        <f>Inputs!$F$8*Inputs!$J$60*HelperFunctions!$H48</f>
        <v>0</v>
      </c>
      <c r="AO42">
        <f>Inputs!$F$8*Inputs!$J$61*HelperFunctions!$H47</f>
        <v>0</v>
      </c>
      <c r="AP42">
        <f>Inputs!$F$8*Inputs!$J$62*HelperFunctions!$H46</f>
        <v>0</v>
      </c>
      <c r="AQ42">
        <f>Inputs!$F$8*Inputs!$J$63*HelperFunctions!$H45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2:63" x14ac:dyDescent="0.35">
      <c r="B43" s="87">
        <v>3</v>
      </c>
      <c r="C43" t="str">
        <f>Inputs!I64</f>
        <v/>
      </c>
      <c r="D43">
        <f>Inputs!$F$8*Inputs!$J$22*HelperFunctions!$H$14</f>
        <v>0</v>
      </c>
      <c r="E43">
        <f>Inputs!$F$8*Inputs!$J$23*HelperFunctions!$H$14</f>
        <v>0</v>
      </c>
      <c r="F43">
        <f>Inputs!$F$8*Inputs!$J$24*HelperFunctions!$H$14</f>
        <v>0</v>
      </c>
      <c r="G43">
        <f>Inputs!$F$8*Inputs!$J$25*HelperFunctions!$H$14</f>
        <v>0</v>
      </c>
      <c r="H43">
        <f>Inputs!$F$8*Inputs!$J$26*HelperFunctions!$H$14</f>
        <v>0</v>
      </c>
      <c r="I43">
        <f>Inputs!$F$8*Inputs!$J$27*HelperFunctions!$H$14</f>
        <v>0</v>
      </c>
      <c r="J43">
        <f>Inputs!$F$8*Inputs!$J$28*HelperFunctions!$H$14</f>
        <v>0</v>
      </c>
      <c r="K43">
        <f>Inputs!$F$8*Inputs!$J$29*HelperFunctions!$H$14</f>
        <v>0</v>
      </c>
      <c r="L43">
        <f>Inputs!$F$8*Inputs!$J$30*HelperFunctions!$H$14</f>
        <v>0</v>
      </c>
      <c r="M43">
        <f>Inputs!$F$8*Inputs!$J$31*HelperFunctions!$H$14</f>
        <v>0</v>
      </c>
      <c r="N43">
        <f>Inputs!$F$8*Inputs!$J$32*HelperFunctions!$H$14</f>
        <v>0</v>
      </c>
      <c r="O43">
        <f>Inputs!$F$8*Inputs!$J$33*HelperFunctions!$H$14</f>
        <v>0</v>
      </c>
      <c r="P43">
        <f>Inputs!$F$8*Inputs!$J$36*HelperFunctions!$H$28</f>
        <v>0</v>
      </c>
      <c r="Q43">
        <f>Inputs!$F$8*Inputs!$J$37*HelperFunctions!$H$28</f>
        <v>0</v>
      </c>
      <c r="R43">
        <f>Inputs!$F$8*Inputs!$J$38*HelperFunctions!$H$28</f>
        <v>0</v>
      </c>
      <c r="S43">
        <f>Inputs!$F$8*Inputs!$J$39*HelperFunctions!$H$28</f>
        <v>0</v>
      </c>
      <c r="T43">
        <f>Inputs!$F$8*Inputs!$J$40*HelperFunctions!$H$28</f>
        <v>0</v>
      </c>
      <c r="U43">
        <f>Inputs!$F$8*Inputs!$J$41*HelperFunctions!$H$28</f>
        <v>0</v>
      </c>
      <c r="V43">
        <f>Inputs!$F$8*Inputs!$J$42*HelperFunctions!$H$28</f>
        <v>0</v>
      </c>
      <c r="W43">
        <f>Inputs!$F$8*Inputs!$J$43*HelperFunctions!$H$28</f>
        <v>0</v>
      </c>
      <c r="X43">
        <f>Inputs!$F$8*Inputs!$J$44*HelperFunctions!$H$28</f>
        <v>0</v>
      </c>
      <c r="Y43">
        <f>Inputs!$F$8*Inputs!$J$45*HelperFunctions!$H$28</f>
        <v>0</v>
      </c>
      <c r="Z43">
        <f>Inputs!$F$8*Inputs!$J$46*HelperFunctions!$H$28</f>
        <v>0</v>
      </c>
      <c r="AA43">
        <f>Inputs!$F$8*Inputs!$J$47*HelperFunctions!$H$28</f>
        <v>0</v>
      </c>
      <c r="AB43">
        <f>Inputs!$F$8*Inputs!$J$48*HelperFunctions!$H$42</f>
        <v>0</v>
      </c>
      <c r="AC43">
        <f>Inputs!$F$8*Inputs!$J$49*HelperFunctions!$H$42</f>
        <v>0</v>
      </c>
      <c r="AD43">
        <f>Inputs!$F$8*Inputs!$J$50*HelperFunctions!$H$42</f>
        <v>0</v>
      </c>
      <c r="AE43">
        <f>Inputs!$F$8*Inputs!$J$51*HelperFunctions!$H$42</f>
        <v>0</v>
      </c>
      <c r="AF43">
        <f>Inputs!$F$8*Inputs!$J$52*HelperFunctions!$H$42</f>
        <v>0</v>
      </c>
      <c r="AG43">
        <f>Inputs!$F$8*Inputs!$J$53*HelperFunctions!$H$42</f>
        <v>0</v>
      </c>
      <c r="AH43">
        <f>Inputs!$F$8*Inputs!$J$54*HelperFunctions!$H41</f>
        <v>0</v>
      </c>
      <c r="AI43">
        <f>Inputs!$F$8*Inputs!$J$55*HelperFunctions!$H40</f>
        <v>0</v>
      </c>
      <c r="AJ43">
        <f>Inputs!$F$8*Inputs!$J$56*HelperFunctions!$H39</f>
        <v>0</v>
      </c>
      <c r="AK43">
        <f>Inputs!$F$8*Inputs!$J$57*HelperFunctions!$H38</f>
        <v>0</v>
      </c>
      <c r="AL43">
        <f>Inputs!$F$8*Inputs!$J$58*HelperFunctions!$H37</f>
        <v>0</v>
      </c>
      <c r="AM43">
        <f>Inputs!$F$8*Inputs!$J$59*HelperFunctions!$H36</f>
        <v>0</v>
      </c>
      <c r="AN43">
        <f>Inputs!$F$8*Inputs!$J$60*HelperFunctions!$H49</f>
        <v>0</v>
      </c>
      <c r="AO43">
        <f>Inputs!$F$8*Inputs!$J$61*HelperFunctions!$H48</f>
        <v>0</v>
      </c>
      <c r="AP43">
        <f>Inputs!$F$8*Inputs!$J$62*HelperFunctions!$H47</f>
        <v>0</v>
      </c>
      <c r="AQ43">
        <f>Inputs!$F$8*Inputs!$J$63*HelperFunctions!$H46</f>
        <v>0</v>
      </c>
      <c r="AR43">
        <f>Inputs!$F$8*Inputs!$J$64*HelperFunctions!$H45</f>
        <v>0</v>
      </c>
      <c r="AS43" s="93"/>
      <c r="AT43" s="93"/>
      <c r="AU43" s="93"/>
      <c r="AV43" s="93"/>
      <c r="AW43" s="93"/>
      <c r="AX43" s="93"/>
      <c r="AY43" s="94"/>
      <c r="AZ43" s="93"/>
      <c r="BA43" s="93"/>
      <c r="BB43" s="93"/>
      <c r="BC43" s="93"/>
      <c r="BD43" s="93"/>
      <c r="BE43" s="93"/>
      <c r="BF43" s="93"/>
      <c r="BG43" s="93"/>
      <c r="BH43" s="93"/>
      <c r="BI43" s="93"/>
      <c r="BJ43" s="93"/>
      <c r="BK43" s="94"/>
    </row>
    <row r="44" spans="2:63" x14ac:dyDescent="0.35">
      <c r="B44" s="87">
        <v>3</v>
      </c>
      <c r="C44" t="str">
        <f>Inputs!I65</f>
        <v/>
      </c>
      <c r="D44">
        <f>Inputs!$F$8*Inputs!$J$22*HelperFunctions!$H$14</f>
        <v>0</v>
      </c>
      <c r="E44">
        <f>Inputs!$F$8*Inputs!$J$23*HelperFunctions!$H$14</f>
        <v>0</v>
      </c>
      <c r="F44">
        <f>Inputs!$F$8*Inputs!$J$24*HelperFunctions!$H$14</f>
        <v>0</v>
      </c>
      <c r="G44">
        <f>Inputs!$F$8*Inputs!$J$25*HelperFunctions!$H$14</f>
        <v>0</v>
      </c>
      <c r="H44">
        <f>Inputs!$F$8*Inputs!$J$26*HelperFunctions!$H$14</f>
        <v>0</v>
      </c>
      <c r="I44">
        <f>Inputs!$F$8*Inputs!$J$27*HelperFunctions!$H$14</f>
        <v>0</v>
      </c>
      <c r="J44">
        <f>Inputs!$F$8*Inputs!$J$28*HelperFunctions!$H$14</f>
        <v>0</v>
      </c>
      <c r="K44">
        <f>Inputs!$F$8*Inputs!$J$29*HelperFunctions!$H$14</f>
        <v>0</v>
      </c>
      <c r="L44">
        <f>Inputs!$F$8*Inputs!$J$30*HelperFunctions!$H$14</f>
        <v>0</v>
      </c>
      <c r="M44">
        <f>Inputs!$F$8*Inputs!$J$31*HelperFunctions!$H$14</f>
        <v>0</v>
      </c>
      <c r="N44">
        <f>Inputs!$F$8*Inputs!$J$32*HelperFunctions!$H$14</f>
        <v>0</v>
      </c>
      <c r="O44">
        <f>Inputs!$F$8*Inputs!$J$33*HelperFunctions!$H$14</f>
        <v>0</v>
      </c>
      <c r="P44">
        <f>Inputs!$F$8*Inputs!$J$36*HelperFunctions!$H$28</f>
        <v>0</v>
      </c>
      <c r="Q44">
        <f>Inputs!$F$8*Inputs!$J$37*HelperFunctions!$H$28</f>
        <v>0</v>
      </c>
      <c r="R44">
        <f>Inputs!$F$8*Inputs!$J$38*HelperFunctions!$H$28</f>
        <v>0</v>
      </c>
      <c r="S44">
        <f>Inputs!$F$8*Inputs!$J$39*HelperFunctions!$H$28</f>
        <v>0</v>
      </c>
      <c r="T44">
        <f>Inputs!$F$8*Inputs!$J$40*HelperFunctions!$H$28</f>
        <v>0</v>
      </c>
      <c r="U44">
        <f>Inputs!$F$8*Inputs!$J$41*HelperFunctions!$H$28</f>
        <v>0</v>
      </c>
      <c r="V44">
        <f>Inputs!$F$8*Inputs!$J$42*HelperFunctions!$H$28</f>
        <v>0</v>
      </c>
      <c r="W44">
        <f>Inputs!$F$8*Inputs!$J$43*HelperFunctions!$H$28</f>
        <v>0</v>
      </c>
      <c r="X44">
        <f>Inputs!$F$8*Inputs!$J$44*HelperFunctions!$H$28</f>
        <v>0</v>
      </c>
      <c r="Y44">
        <f>Inputs!$F$8*Inputs!$J$45*HelperFunctions!$H$28</f>
        <v>0</v>
      </c>
      <c r="Z44">
        <f>Inputs!$F$8*Inputs!$J$46*HelperFunctions!$H$28</f>
        <v>0</v>
      </c>
      <c r="AA44">
        <f>Inputs!$F$8*Inputs!$J$47*HelperFunctions!$H$28</f>
        <v>0</v>
      </c>
      <c r="AB44">
        <f>Inputs!$F$8*Inputs!$J$48*HelperFunctions!$H$42</f>
        <v>0</v>
      </c>
      <c r="AC44">
        <f>Inputs!$F$8*Inputs!$J$49*HelperFunctions!$H$42</f>
        <v>0</v>
      </c>
      <c r="AD44">
        <f>Inputs!$F$8*Inputs!$J$50*HelperFunctions!$H$42</f>
        <v>0</v>
      </c>
      <c r="AE44">
        <f>Inputs!$F$8*Inputs!$J$51*HelperFunctions!$H$42</f>
        <v>0</v>
      </c>
      <c r="AF44">
        <f>Inputs!$F$8*Inputs!$J$52*HelperFunctions!$H$42</f>
        <v>0</v>
      </c>
      <c r="AG44">
        <f>Inputs!$F$8*Inputs!$J$53*HelperFunctions!$H$42</f>
        <v>0</v>
      </c>
      <c r="AH44">
        <f>Inputs!$F$8*Inputs!$J$54*HelperFunctions!$H$42</f>
        <v>0</v>
      </c>
      <c r="AI44">
        <f>Inputs!$F$8*Inputs!$J$55*HelperFunctions!$H41</f>
        <v>0</v>
      </c>
      <c r="AJ44">
        <f>Inputs!$F$8*Inputs!$J$56*HelperFunctions!$H40</f>
        <v>0</v>
      </c>
      <c r="AK44">
        <f>Inputs!$F$8*Inputs!$J$57*HelperFunctions!$H39</f>
        <v>0</v>
      </c>
      <c r="AL44">
        <f>Inputs!$F$8*Inputs!$J$58*HelperFunctions!$H38</f>
        <v>0</v>
      </c>
      <c r="AM44">
        <f>Inputs!$F$8*Inputs!$J$59*HelperFunctions!$H37</f>
        <v>0</v>
      </c>
      <c r="AN44">
        <f>Inputs!$F$8*Inputs!$J$60*HelperFunctions!$H50</f>
        <v>0</v>
      </c>
      <c r="AO44">
        <f>Inputs!$F$8*Inputs!$J$61*HelperFunctions!$H49</f>
        <v>0</v>
      </c>
      <c r="AP44">
        <f>Inputs!$F$8*Inputs!$J$62*HelperFunctions!$H48</f>
        <v>0</v>
      </c>
      <c r="AQ44">
        <f>Inputs!$F$8*Inputs!$J$63*HelperFunctions!$H47</f>
        <v>0</v>
      </c>
      <c r="AR44">
        <f>Inputs!$F$8*Inputs!$J$64*HelperFunctions!$H46</f>
        <v>0</v>
      </c>
      <c r="AS44">
        <f>Inputs!$F$8*Inputs!$J$65*HelperFunctions!$H45</f>
        <v>0</v>
      </c>
      <c r="AT44" s="93"/>
      <c r="AU44" s="93"/>
      <c r="AV44" s="93"/>
      <c r="AW44" s="93"/>
      <c r="AX44" s="93"/>
      <c r="AY44" s="94"/>
      <c r="AZ44" s="93"/>
      <c r="BA44" s="93"/>
      <c r="BB44" s="93"/>
      <c r="BC44" s="93"/>
      <c r="BD44" s="93"/>
      <c r="BE44" s="93"/>
      <c r="BF44" s="93"/>
      <c r="BG44" s="93"/>
      <c r="BH44" s="93"/>
      <c r="BI44" s="93"/>
      <c r="BJ44" s="93"/>
      <c r="BK44" s="94"/>
    </row>
    <row r="45" spans="2:63" x14ac:dyDescent="0.35">
      <c r="B45" s="87">
        <v>3</v>
      </c>
      <c r="C45" t="str">
        <f>Inputs!I66</f>
        <v/>
      </c>
      <c r="D45">
        <f>Inputs!$F$8*Inputs!$J$22*HelperFunctions!$H$14</f>
        <v>0</v>
      </c>
      <c r="E45">
        <f>Inputs!$F$8*Inputs!$J$23*HelperFunctions!$H$14</f>
        <v>0</v>
      </c>
      <c r="F45">
        <f>Inputs!$F$8*Inputs!$J$24*HelperFunctions!$H$14</f>
        <v>0</v>
      </c>
      <c r="G45">
        <f>Inputs!$F$8*Inputs!$J$25*HelperFunctions!$H$14</f>
        <v>0</v>
      </c>
      <c r="H45">
        <f>Inputs!$F$8*Inputs!$J$26*HelperFunctions!$H$14</f>
        <v>0</v>
      </c>
      <c r="I45">
        <f>Inputs!$F$8*Inputs!$J$27*HelperFunctions!$H$14</f>
        <v>0</v>
      </c>
      <c r="J45">
        <f>Inputs!$F$8*Inputs!$J$28*HelperFunctions!$H$14</f>
        <v>0</v>
      </c>
      <c r="K45">
        <f>Inputs!$F$8*Inputs!$J$29*HelperFunctions!$H$14</f>
        <v>0</v>
      </c>
      <c r="L45">
        <f>Inputs!$F$8*Inputs!$J$30*HelperFunctions!$H$14</f>
        <v>0</v>
      </c>
      <c r="M45">
        <f>Inputs!$F$8*Inputs!$J$31*HelperFunctions!$H$14</f>
        <v>0</v>
      </c>
      <c r="N45">
        <f>Inputs!$F$8*Inputs!$J$32*HelperFunctions!$H$14</f>
        <v>0</v>
      </c>
      <c r="O45">
        <f>Inputs!$F$8*Inputs!$J$33*HelperFunctions!$H$14</f>
        <v>0</v>
      </c>
      <c r="P45">
        <f>Inputs!$F$8*Inputs!$J$36*HelperFunctions!$H$28</f>
        <v>0</v>
      </c>
      <c r="Q45">
        <f>Inputs!$F$8*Inputs!$J$37*HelperFunctions!$H$28</f>
        <v>0</v>
      </c>
      <c r="R45">
        <f>Inputs!$F$8*Inputs!$J$38*HelperFunctions!$H$28</f>
        <v>0</v>
      </c>
      <c r="S45">
        <f>Inputs!$F$8*Inputs!$J$39*HelperFunctions!$H$28</f>
        <v>0</v>
      </c>
      <c r="T45">
        <f>Inputs!$F$8*Inputs!$J$40*HelperFunctions!$H$28</f>
        <v>0</v>
      </c>
      <c r="U45">
        <f>Inputs!$F$8*Inputs!$J$41*HelperFunctions!$H$28</f>
        <v>0</v>
      </c>
      <c r="V45">
        <f>Inputs!$F$8*Inputs!$J$42*HelperFunctions!$H$28</f>
        <v>0</v>
      </c>
      <c r="W45">
        <f>Inputs!$F$8*Inputs!$J$43*HelperFunctions!$H$28</f>
        <v>0</v>
      </c>
      <c r="X45">
        <f>Inputs!$F$8*Inputs!$J$44*HelperFunctions!$H$28</f>
        <v>0</v>
      </c>
      <c r="Y45">
        <f>Inputs!$F$8*Inputs!$J$45*HelperFunctions!$H$28</f>
        <v>0</v>
      </c>
      <c r="Z45">
        <f>Inputs!$F$8*Inputs!$J$46*HelperFunctions!$H$28</f>
        <v>0</v>
      </c>
      <c r="AA45">
        <f>Inputs!$F$8*Inputs!$J$47*HelperFunctions!$H$28</f>
        <v>0</v>
      </c>
      <c r="AB45">
        <f>Inputs!$F$8*Inputs!$J$48*HelperFunctions!$H$42</f>
        <v>0</v>
      </c>
      <c r="AC45">
        <f>Inputs!$F$8*Inputs!$J$49*HelperFunctions!$H$42</f>
        <v>0</v>
      </c>
      <c r="AD45">
        <f>Inputs!$F$8*Inputs!$J$50*HelperFunctions!$H$42</f>
        <v>0</v>
      </c>
      <c r="AE45">
        <f>Inputs!$F$8*Inputs!$J$51*HelperFunctions!$H$42</f>
        <v>0</v>
      </c>
      <c r="AF45">
        <f>Inputs!$F$8*Inputs!$J$52*HelperFunctions!$H$42</f>
        <v>0</v>
      </c>
      <c r="AG45">
        <f>Inputs!$F$8*Inputs!$J$53*HelperFunctions!$H$42</f>
        <v>0</v>
      </c>
      <c r="AH45">
        <f>Inputs!$F$8*Inputs!$J$54*HelperFunctions!$H$42</f>
        <v>0</v>
      </c>
      <c r="AI45">
        <f>Inputs!$F$8*Inputs!$J$55*HelperFunctions!$H$42</f>
        <v>0</v>
      </c>
      <c r="AJ45">
        <f>Inputs!$F$8*Inputs!$J$56*HelperFunctions!$H41</f>
        <v>0</v>
      </c>
      <c r="AK45">
        <f>Inputs!$F$8*Inputs!$J$57*HelperFunctions!$H40</f>
        <v>0</v>
      </c>
      <c r="AL45">
        <f>Inputs!$F$8*Inputs!$J$58*HelperFunctions!$H39</f>
        <v>0</v>
      </c>
      <c r="AM45">
        <f>Inputs!$F$8*Inputs!$J$59*HelperFunctions!$H38</f>
        <v>0</v>
      </c>
      <c r="AN45">
        <f>Inputs!$F$8*Inputs!$J$60*HelperFunctions!$H51</f>
        <v>0</v>
      </c>
      <c r="AO45">
        <f>Inputs!$F$8*Inputs!$J$61*HelperFunctions!$H50</f>
        <v>0</v>
      </c>
      <c r="AP45">
        <f>Inputs!$F$8*Inputs!$J$62*HelperFunctions!$H49</f>
        <v>0</v>
      </c>
      <c r="AQ45">
        <f>Inputs!$F$8*Inputs!$J$63*HelperFunctions!$H48</f>
        <v>0</v>
      </c>
      <c r="AR45">
        <f>Inputs!$F$8*Inputs!$J$64*HelperFunctions!$H47</f>
        <v>0</v>
      </c>
      <c r="AS45">
        <f>Inputs!$F$8*Inputs!$J$65*HelperFunctions!$H46</f>
        <v>0</v>
      </c>
      <c r="AT45">
        <f>Inputs!$F$8*Inputs!$J$66*HelperFunctions!$H45</f>
        <v>0</v>
      </c>
      <c r="AU45" s="93"/>
      <c r="AV45" s="93"/>
      <c r="AW45" s="93"/>
      <c r="AX45" s="93"/>
      <c r="AY45" s="94"/>
      <c r="AZ45" s="93"/>
      <c r="BA45" s="93"/>
      <c r="BB45" s="93"/>
      <c r="BC45" s="93"/>
      <c r="BD45" s="93"/>
      <c r="BE45" s="93"/>
      <c r="BF45" s="93"/>
      <c r="BG45" s="93"/>
      <c r="BH45" s="93"/>
      <c r="BI45" s="93"/>
      <c r="BJ45" s="93"/>
      <c r="BK45" s="94"/>
    </row>
    <row r="46" spans="2:63" x14ac:dyDescent="0.35">
      <c r="B46" s="87">
        <v>3</v>
      </c>
      <c r="C46" t="str">
        <f>Inputs!I67</f>
        <v/>
      </c>
      <c r="D46">
        <f>Inputs!$F$8*Inputs!$J$22*HelperFunctions!$H$14</f>
        <v>0</v>
      </c>
      <c r="E46">
        <f>Inputs!$F$8*Inputs!$J$23*HelperFunctions!$H$14</f>
        <v>0</v>
      </c>
      <c r="F46">
        <f>Inputs!$F$8*Inputs!$J$24*HelperFunctions!$H$14</f>
        <v>0</v>
      </c>
      <c r="G46">
        <f>Inputs!$F$8*Inputs!$J$25*HelperFunctions!$H$14</f>
        <v>0</v>
      </c>
      <c r="H46">
        <f>Inputs!$F$8*Inputs!$J$26*HelperFunctions!$H$14</f>
        <v>0</v>
      </c>
      <c r="I46">
        <f>Inputs!$F$8*Inputs!$J$27*HelperFunctions!$H$14</f>
        <v>0</v>
      </c>
      <c r="J46">
        <f>Inputs!$F$8*Inputs!$J$28*HelperFunctions!$H$14</f>
        <v>0</v>
      </c>
      <c r="K46">
        <f>Inputs!$F$8*Inputs!$J$29*HelperFunctions!$H$14</f>
        <v>0</v>
      </c>
      <c r="L46">
        <f>Inputs!$F$8*Inputs!$J$30*HelperFunctions!$H$14</f>
        <v>0</v>
      </c>
      <c r="M46">
        <f>Inputs!$F$8*Inputs!$J$31*HelperFunctions!$H$14</f>
        <v>0</v>
      </c>
      <c r="N46">
        <f>Inputs!$F$8*Inputs!$J$32*HelperFunctions!$H$14</f>
        <v>0</v>
      </c>
      <c r="O46">
        <f>Inputs!$F$8*Inputs!$J$33*HelperFunctions!$H$14</f>
        <v>0</v>
      </c>
      <c r="P46">
        <f>Inputs!$F$8*Inputs!$J$36*HelperFunctions!$H$28</f>
        <v>0</v>
      </c>
      <c r="Q46">
        <f>Inputs!$F$8*Inputs!$J$37*HelperFunctions!$H$28</f>
        <v>0</v>
      </c>
      <c r="R46">
        <f>Inputs!$F$8*Inputs!$J$38*HelperFunctions!$H$28</f>
        <v>0</v>
      </c>
      <c r="S46">
        <f>Inputs!$F$8*Inputs!$J$39*HelperFunctions!$H$28</f>
        <v>0</v>
      </c>
      <c r="T46">
        <f>Inputs!$F$8*Inputs!$J$40*HelperFunctions!$H$28</f>
        <v>0</v>
      </c>
      <c r="U46">
        <f>Inputs!$F$8*Inputs!$J$41*HelperFunctions!$H$28</f>
        <v>0</v>
      </c>
      <c r="V46">
        <f>Inputs!$F$8*Inputs!$J$42*HelperFunctions!$H$28</f>
        <v>0</v>
      </c>
      <c r="W46">
        <f>Inputs!$F$8*Inputs!$J$43*HelperFunctions!$H$28</f>
        <v>0</v>
      </c>
      <c r="X46">
        <f>Inputs!$F$8*Inputs!$J$44*HelperFunctions!$H$28</f>
        <v>0</v>
      </c>
      <c r="Y46">
        <f>Inputs!$F$8*Inputs!$J$45*HelperFunctions!$H$28</f>
        <v>0</v>
      </c>
      <c r="Z46">
        <f>Inputs!$F$8*Inputs!$J$46*HelperFunctions!$H$28</f>
        <v>0</v>
      </c>
      <c r="AA46">
        <f>Inputs!$F$8*Inputs!$J$47*HelperFunctions!$H$28</f>
        <v>0</v>
      </c>
      <c r="AB46">
        <f>Inputs!$F$8*Inputs!$J$48*HelperFunctions!$H$42</f>
        <v>0</v>
      </c>
      <c r="AC46">
        <f>Inputs!$F$8*Inputs!$J$49*HelperFunctions!$H$42</f>
        <v>0</v>
      </c>
      <c r="AD46">
        <f>Inputs!$F$8*Inputs!$J$50*HelperFunctions!$H$42</f>
        <v>0</v>
      </c>
      <c r="AE46">
        <f>Inputs!$F$8*Inputs!$J$51*HelperFunctions!$H$42</f>
        <v>0</v>
      </c>
      <c r="AF46">
        <f>Inputs!$F$8*Inputs!$J$52*HelperFunctions!$H$42</f>
        <v>0</v>
      </c>
      <c r="AG46">
        <f>Inputs!$F$8*Inputs!$J$53*HelperFunctions!$H$42</f>
        <v>0</v>
      </c>
      <c r="AH46">
        <f>Inputs!$F$8*Inputs!$J$54*HelperFunctions!$H$42</f>
        <v>0</v>
      </c>
      <c r="AI46">
        <f>Inputs!$F$8*Inputs!$J$55*HelperFunctions!$H$42</f>
        <v>0</v>
      </c>
      <c r="AJ46">
        <f>Inputs!$F$8*Inputs!$J$56*HelperFunctions!$H$42</f>
        <v>0</v>
      </c>
      <c r="AK46">
        <f>Inputs!$F$8*Inputs!$J$57*HelperFunctions!$H41</f>
        <v>0</v>
      </c>
      <c r="AL46">
        <f>Inputs!$F$8*Inputs!$J$58*HelperFunctions!$H40</f>
        <v>0</v>
      </c>
      <c r="AM46">
        <f>Inputs!$F$8*Inputs!$J$59*HelperFunctions!$H39</f>
        <v>0</v>
      </c>
      <c r="AN46">
        <f>Inputs!$F$8*Inputs!$J$60*HelperFunctions!$H52</f>
        <v>0</v>
      </c>
      <c r="AO46">
        <f>Inputs!$F$8*Inputs!$J$61*HelperFunctions!$H51</f>
        <v>0</v>
      </c>
      <c r="AP46">
        <f>Inputs!$F$8*Inputs!$J$62*HelperFunctions!$H50</f>
        <v>0</v>
      </c>
      <c r="AQ46">
        <f>Inputs!$F$8*Inputs!$J$63*HelperFunctions!$H49</f>
        <v>0</v>
      </c>
      <c r="AR46">
        <f>Inputs!$F$8*Inputs!$J$64*HelperFunctions!$H48</f>
        <v>0</v>
      </c>
      <c r="AS46">
        <f>Inputs!$F$8*Inputs!$J$65*HelperFunctions!$H47</f>
        <v>0</v>
      </c>
      <c r="AT46">
        <f>Inputs!$F$8*Inputs!$J$66*HelperFunctions!$H46</f>
        <v>0</v>
      </c>
      <c r="AU46">
        <f>Inputs!$F$8*Inputs!$J$67*HelperFunctions!$H45</f>
        <v>0</v>
      </c>
      <c r="AV46" s="93"/>
      <c r="AW46" s="93"/>
      <c r="AX46" s="93"/>
      <c r="AY46" s="94"/>
      <c r="AZ46" s="93"/>
      <c r="BA46" s="93"/>
      <c r="BB46" s="93"/>
      <c r="BC46" s="93"/>
      <c r="BD46" s="93"/>
      <c r="BE46" s="93"/>
      <c r="BF46" s="93"/>
      <c r="BG46" s="93"/>
      <c r="BH46" s="93"/>
      <c r="BI46" s="93"/>
      <c r="BJ46" s="93"/>
      <c r="BK46" s="94"/>
    </row>
    <row r="47" spans="2:63" x14ac:dyDescent="0.35">
      <c r="B47" s="87">
        <v>3</v>
      </c>
      <c r="C47" t="str">
        <f>Inputs!I68</f>
        <v/>
      </c>
      <c r="D47">
        <f>Inputs!$F$8*Inputs!$J$22*HelperFunctions!$H$14</f>
        <v>0</v>
      </c>
      <c r="E47">
        <f>Inputs!$F$8*Inputs!$J$23*HelperFunctions!$H$14</f>
        <v>0</v>
      </c>
      <c r="F47">
        <f>Inputs!$F$8*Inputs!$J$24*HelperFunctions!$H$14</f>
        <v>0</v>
      </c>
      <c r="G47">
        <f>Inputs!$F$8*Inputs!$J$25*HelperFunctions!$H$14</f>
        <v>0</v>
      </c>
      <c r="H47">
        <f>Inputs!$F$8*Inputs!$J$26*HelperFunctions!$H$14</f>
        <v>0</v>
      </c>
      <c r="I47">
        <f>Inputs!$F$8*Inputs!$J$27*HelperFunctions!$H$14</f>
        <v>0</v>
      </c>
      <c r="J47">
        <f>Inputs!$F$8*Inputs!$J$28*HelperFunctions!$H$14</f>
        <v>0</v>
      </c>
      <c r="K47">
        <f>Inputs!$F$8*Inputs!$J$29*HelperFunctions!$H$14</f>
        <v>0</v>
      </c>
      <c r="L47">
        <f>Inputs!$F$8*Inputs!$J$30*HelperFunctions!$H$14</f>
        <v>0</v>
      </c>
      <c r="M47">
        <f>Inputs!$F$8*Inputs!$J$31*HelperFunctions!$H$14</f>
        <v>0</v>
      </c>
      <c r="N47">
        <f>Inputs!$F$8*Inputs!$J$32*HelperFunctions!$H$14</f>
        <v>0</v>
      </c>
      <c r="O47">
        <f>Inputs!$F$8*Inputs!$J$33*HelperFunctions!$H$14</f>
        <v>0</v>
      </c>
      <c r="P47">
        <f>Inputs!$F$8*Inputs!$J$36*HelperFunctions!$H$28</f>
        <v>0</v>
      </c>
      <c r="Q47">
        <f>Inputs!$F$8*Inputs!$J$37*HelperFunctions!$H$28</f>
        <v>0</v>
      </c>
      <c r="R47">
        <f>Inputs!$F$8*Inputs!$J$38*HelperFunctions!$H$28</f>
        <v>0</v>
      </c>
      <c r="S47">
        <f>Inputs!$F$8*Inputs!$J$39*HelperFunctions!$H$28</f>
        <v>0</v>
      </c>
      <c r="T47">
        <f>Inputs!$F$8*Inputs!$J$40*HelperFunctions!$H$28</f>
        <v>0</v>
      </c>
      <c r="U47">
        <f>Inputs!$F$8*Inputs!$J$41*HelperFunctions!$H$28</f>
        <v>0</v>
      </c>
      <c r="V47">
        <f>Inputs!$F$8*Inputs!$J$42*HelperFunctions!$H$28</f>
        <v>0</v>
      </c>
      <c r="W47">
        <f>Inputs!$F$8*Inputs!$J$43*HelperFunctions!$H$28</f>
        <v>0</v>
      </c>
      <c r="X47">
        <f>Inputs!$F$8*Inputs!$J$44*HelperFunctions!$H$28</f>
        <v>0</v>
      </c>
      <c r="Y47">
        <f>Inputs!$F$8*Inputs!$J$45*HelperFunctions!$H$28</f>
        <v>0</v>
      </c>
      <c r="Z47">
        <f>Inputs!$F$8*Inputs!$J$46*HelperFunctions!$H$28</f>
        <v>0</v>
      </c>
      <c r="AA47">
        <f>Inputs!$F$8*Inputs!$J$47*HelperFunctions!$H$28</f>
        <v>0</v>
      </c>
      <c r="AB47">
        <f>Inputs!$F$8*Inputs!$J$48*HelperFunctions!$H$42</f>
        <v>0</v>
      </c>
      <c r="AC47">
        <f>Inputs!$F$8*Inputs!$J$49*HelperFunctions!$H$42</f>
        <v>0</v>
      </c>
      <c r="AD47">
        <f>Inputs!$F$8*Inputs!$J$50*HelperFunctions!$H$42</f>
        <v>0</v>
      </c>
      <c r="AE47">
        <f>Inputs!$F$8*Inputs!$J$51*HelperFunctions!$H$42</f>
        <v>0</v>
      </c>
      <c r="AF47">
        <f>Inputs!$F$8*Inputs!$J$52*HelperFunctions!$H$42</f>
        <v>0</v>
      </c>
      <c r="AG47">
        <f>Inputs!$F$8*Inputs!$J$53*HelperFunctions!$H$42</f>
        <v>0</v>
      </c>
      <c r="AH47">
        <f>Inputs!$F$8*Inputs!$J$54*HelperFunctions!$H$42</f>
        <v>0</v>
      </c>
      <c r="AI47">
        <f>Inputs!$F$8*Inputs!$J$55*HelperFunctions!$H$42</f>
        <v>0</v>
      </c>
      <c r="AJ47">
        <f>Inputs!$F$8*Inputs!$J$56*HelperFunctions!$H$42</f>
        <v>0</v>
      </c>
      <c r="AK47">
        <f>Inputs!$F$8*Inputs!$J$57*HelperFunctions!$H$42</f>
        <v>0</v>
      </c>
      <c r="AL47">
        <f>Inputs!$F$8*Inputs!$J$58*HelperFunctions!$H41</f>
        <v>0</v>
      </c>
      <c r="AM47">
        <f>Inputs!$F$8*Inputs!$J$59*HelperFunctions!$H40</f>
        <v>0</v>
      </c>
      <c r="AN47">
        <f>Inputs!$F$8*Inputs!$J$60*HelperFunctions!$H53</f>
        <v>0</v>
      </c>
      <c r="AO47">
        <f>Inputs!$F$8*Inputs!$J$61*HelperFunctions!$H52</f>
        <v>0</v>
      </c>
      <c r="AP47">
        <f>Inputs!$F$8*Inputs!$J$62*HelperFunctions!$H51</f>
        <v>0</v>
      </c>
      <c r="AQ47">
        <f>Inputs!$F$8*Inputs!$J$63*HelperFunctions!$H50</f>
        <v>0</v>
      </c>
      <c r="AR47">
        <f>Inputs!$F$8*Inputs!$J$64*HelperFunctions!$H49</f>
        <v>0</v>
      </c>
      <c r="AS47">
        <f>Inputs!$F$8*Inputs!$J$65*HelperFunctions!$H48</f>
        <v>0</v>
      </c>
      <c r="AT47">
        <f>Inputs!$F$8*Inputs!$J$66*HelperFunctions!$H47</f>
        <v>0</v>
      </c>
      <c r="AU47">
        <f>Inputs!$F$8*Inputs!$J$67*HelperFunctions!$H46</f>
        <v>0</v>
      </c>
      <c r="AV47">
        <f>Inputs!$F$8*Inputs!$J$68*HelperFunctions!$H45</f>
        <v>0</v>
      </c>
      <c r="AW47" s="93"/>
      <c r="AX47" s="93"/>
      <c r="AY47" s="94"/>
      <c r="AZ47" s="93"/>
      <c r="BA47" s="93"/>
      <c r="BB47" s="93"/>
      <c r="BC47" s="93"/>
      <c r="BD47" s="93"/>
      <c r="BE47" s="93"/>
      <c r="BF47" s="93"/>
      <c r="BG47" s="93"/>
      <c r="BH47" s="93"/>
      <c r="BI47" s="93"/>
      <c r="BJ47" s="93"/>
      <c r="BK47" s="94"/>
    </row>
    <row r="48" spans="2:63" x14ac:dyDescent="0.35">
      <c r="B48" s="87">
        <v>3</v>
      </c>
      <c r="C48" t="str">
        <f>Inputs!I69</f>
        <v/>
      </c>
      <c r="D48">
        <f>Inputs!$F$8*Inputs!$J$22*HelperFunctions!$H$14</f>
        <v>0</v>
      </c>
      <c r="E48">
        <f>Inputs!$F$8*Inputs!$J$23*HelperFunctions!$H$14</f>
        <v>0</v>
      </c>
      <c r="F48">
        <f>Inputs!$F$8*Inputs!$J$24*HelperFunctions!$H$14</f>
        <v>0</v>
      </c>
      <c r="G48">
        <f>Inputs!$F$8*Inputs!$J$25*HelperFunctions!$H$14</f>
        <v>0</v>
      </c>
      <c r="H48">
        <f>Inputs!$F$8*Inputs!$J$26*HelperFunctions!$H$14</f>
        <v>0</v>
      </c>
      <c r="I48">
        <f>Inputs!$F$8*Inputs!$J$27*HelperFunctions!$H$14</f>
        <v>0</v>
      </c>
      <c r="J48">
        <f>Inputs!$F$8*Inputs!$J$28*HelperFunctions!$H$14</f>
        <v>0</v>
      </c>
      <c r="K48">
        <f>Inputs!$F$8*Inputs!$J$29*HelperFunctions!$H$14</f>
        <v>0</v>
      </c>
      <c r="L48">
        <f>Inputs!$F$8*Inputs!$J$30*HelperFunctions!$H$14</f>
        <v>0</v>
      </c>
      <c r="M48">
        <f>Inputs!$F$8*Inputs!$J$31*HelperFunctions!$H$14</f>
        <v>0</v>
      </c>
      <c r="N48">
        <f>Inputs!$F$8*Inputs!$J$32*HelperFunctions!$H$14</f>
        <v>0</v>
      </c>
      <c r="O48">
        <f>Inputs!$F$8*Inputs!$J$33*HelperFunctions!$H$14</f>
        <v>0</v>
      </c>
      <c r="P48">
        <f>Inputs!$F$8*Inputs!$J$36*HelperFunctions!$H$28</f>
        <v>0</v>
      </c>
      <c r="Q48">
        <f>Inputs!$F$8*Inputs!$J$37*HelperFunctions!$H$28</f>
        <v>0</v>
      </c>
      <c r="R48">
        <f>Inputs!$F$8*Inputs!$J$38*HelperFunctions!$H$28</f>
        <v>0</v>
      </c>
      <c r="S48">
        <f>Inputs!$F$8*Inputs!$J$39*HelperFunctions!$H$28</f>
        <v>0</v>
      </c>
      <c r="T48">
        <f>Inputs!$F$8*Inputs!$J$40*HelperFunctions!$H$28</f>
        <v>0</v>
      </c>
      <c r="U48">
        <f>Inputs!$F$8*Inputs!$J$41*HelperFunctions!$H$28</f>
        <v>0</v>
      </c>
      <c r="V48">
        <f>Inputs!$F$8*Inputs!$J$42*HelperFunctions!$H$28</f>
        <v>0</v>
      </c>
      <c r="W48">
        <f>Inputs!$F$8*Inputs!$J$43*HelperFunctions!$H$28</f>
        <v>0</v>
      </c>
      <c r="X48">
        <f>Inputs!$F$8*Inputs!$J$44*HelperFunctions!$H$28</f>
        <v>0</v>
      </c>
      <c r="Y48">
        <f>Inputs!$F$8*Inputs!$J$45*HelperFunctions!$H$28</f>
        <v>0</v>
      </c>
      <c r="Z48">
        <f>Inputs!$F$8*Inputs!$J$46*HelperFunctions!$H$28</f>
        <v>0</v>
      </c>
      <c r="AA48">
        <f>Inputs!$F$8*Inputs!$J$47*HelperFunctions!$H$28</f>
        <v>0</v>
      </c>
      <c r="AB48">
        <f>Inputs!$F$8*Inputs!$J$48*HelperFunctions!$H$42</f>
        <v>0</v>
      </c>
      <c r="AC48">
        <f>Inputs!$F$8*Inputs!$J$49*HelperFunctions!$H$42</f>
        <v>0</v>
      </c>
      <c r="AD48">
        <f>Inputs!$F$8*Inputs!$J$50*HelperFunctions!$H$42</f>
        <v>0</v>
      </c>
      <c r="AE48">
        <f>Inputs!$F$8*Inputs!$J$51*HelperFunctions!$H$42</f>
        <v>0</v>
      </c>
      <c r="AF48">
        <f>Inputs!$F$8*Inputs!$J$52*HelperFunctions!$H$42</f>
        <v>0</v>
      </c>
      <c r="AG48">
        <f>Inputs!$F$8*Inputs!$J$53*HelperFunctions!$H$42</f>
        <v>0</v>
      </c>
      <c r="AH48">
        <f>Inputs!$F$8*Inputs!$J$54*HelperFunctions!$H$42</f>
        <v>0</v>
      </c>
      <c r="AI48">
        <f>Inputs!$F$8*Inputs!$J$55*HelperFunctions!$H$42</f>
        <v>0</v>
      </c>
      <c r="AJ48">
        <f>Inputs!$F$8*Inputs!$J$56*HelperFunctions!$H$42</f>
        <v>0</v>
      </c>
      <c r="AK48">
        <f>Inputs!$F$8*Inputs!$J$57*HelperFunctions!$H$42</f>
        <v>0</v>
      </c>
      <c r="AL48">
        <f>Inputs!$F$8*Inputs!$J$58*HelperFunctions!$H$42</f>
        <v>0</v>
      </c>
      <c r="AM48">
        <f>Inputs!$F$8*Inputs!$J$59*HelperFunctions!$H41</f>
        <v>0</v>
      </c>
      <c r="AN48">
        <f>Inputs!$F$8*Inputs!$J$60*HelperFunctions!$H54</f>
        <v>0</v>
      </c>
      <c r="AO48">
        <f>Inputs!$F$8*Inputs!$J$61*HelperFunctions!$H53</f>
        <v>0</v>
      </c>
      <c r="AP48">
        <f>Inputs!$F$8*Inputs!$J$62*HelperFunctions!$H52</f>
        <v>0</v>
      </c>
      <c r="AQ48">
        <f>Inputs!$F$8*Inputs!$J$63*HelperFunctions!$H51</f>
        <v>0</v>
      </c>
      <c r="AR48">
        <f>Inputs!$F$8*Inputs!$J$64*HelperFunctions!$H50</f>
        <v>0</v>
      </c>
      <c r="AS48">
        <f>Inputs!$F$8*Inputs!$J$65*HelperFunctions!$H49</f>
        <v>0</v>
      </c>
      <c r="AT48">
        <f>Inputs!$F$8*Inputs!$J$66*HelperFunctions!$H48</f>
        <v>0</v>
      </c>
      <c r="AU48">
        <f>Inputs!$F$8*Inputs!$J$67*HelperFunctions!$H47</f>
        <v>0</v>
      </c>
      <c r="AV48">
        <f>Inputs!$F$8*Inputs!$J$68*HelperFunctions!$H46</f>
        <v>0</v>
      </c>
      <c r="AW48">
        <f>Inputs!$F$8*Inputs!$J$69*HelperFunctions!$H45</f>
        <v>0</v>
      </c>
      <c r="AX48" s="93"/>
      <c r="AY48" s="94"/>
      <c r="AZ48" s="93"/>
      <c r="BA48" s="93"/>
      <c r="BB48" s="93"/>
      <c r="BC48" s="93"/>
      <c r="BD48" s="93"/>
      <c r="BE48" s="93"/>
      <c r="BF48" s="93"/>
      <c r="BG48" s="93"/>
      <c r="BH48" s="93"/>
      <c r="BI48" s="93"/>
      <c r="BJ48" s="93"/>
      <c r="BK48" s="94"/>
    </row>
    <row r="49" spans="2:63" x14ac:dyDescent="0.35">
      <c r="B49" s="87">
        <v>3</v>
      </c>
      <c r="C49" t="str">
        <f>Inputs!I70</f>
        <v/>
      </c>
      <c r="D49">
        <f>Inputs!$F$8*Inputs!$J$22*HelperFunctions!$H$14</f>
        <v>0</v>
      </c>
      <c r="E49">
        <f>Inputs!$F$8*Inputs!$J$23*HelperFunctions!$H$14</f>
        <v>0</v>
      </c>
      <c r="F49">
        <f>Inputs!$F$8*Inputs!$J$24*HelperFunctions!$H$14</f>
        <v>0</v>
      </c>
      <c r="G49">
        <f>Inputs!$F$8*Inputs!$J$25*HelperFunctions!$H$14</f>
        <v>0</v>
      </c>
      <c r="H49">
        <f>Inputs!$F$8*Inputs!$J$26*HelperFunctions!$H$14</f>
        <v>0</v>
      </c>
      <c r="I49">
        <f>Inputs!$F$8*Inputs!$J$27*HelperFunctions!$H$14</f>
        <v>0</v>
      </c>
      <c r="J49">
        <f>Inputs!$F$8*Inputs!$J$28*HelperFunctions!$H$14</f>
        <v>0</v>
      </c>
      <c r="K49">
        <f>Inputs!$F$8*Inputs!$J$29*HelperFunctions!$H$14</f>
        <v>0</v>
      </c>
      <c r="L49">
        <f>Inputs!$F$8*Inputs!$J$30*HelperFunctions!$H$14</f>
        <v>0</v>
      </c>
      <c r="M49">
        <f>Inputs!$F$8*Inputs!$J$31*HelperFunctions!$H$14</f>
        <v>0</v>
      </c>
      <c r="N49">
        <f>Inputs!$F$8*Inputs!$J$32*HelperFunctions!$H$14</f>
        <v>0</v>
      </c>
      <c r="O49">
        <f>Inputs!$F$8*Inputs!$J$33*HelperFunctions!$H$14</f>
        <v>0</v>
      </c>
      <c r="P49">
        <f>Inputs!$F$8*Inputs!$J$36*HelperFunctions!$H$28</f>
        <v>0</v>
      </c>
      <c r="Q49">
        <f>Inputs!$F$8*Inputs!$J$37*HelperFunctions!$H$28</f>
        <v>0</v>
      </c>
      <c r="R49">
        <f>Inputs!$F$8*Inputs!$J$38*HelperFunctions!$H$28</f>
        <v>0</v>
      </c>
      <c r="S49">
        <f>Inputs!$F$8*Inputs!$J$39*HelperFunctions!$H$28</f>
        <v>0</v>
      </c>
      <c r="T49">
        <f>Inputs!$F$8*Inputs!$J$40*HelperFunctions!$H$28</f>
        <v>0</v>
      </c>
      <c r="U49">
        <f>Inputs!$F$8*Inputs!$J$41*HelperFunctions!$H$28</f>
        <v>0</v>
      </c>
      <c r="V49">
        <f>Inputs!$F$8*Inputs!$J$42*HelperFunctions!$H$28</f>
        <v>0</v>
      </c>
      <c r="W49">
        <f>Inputs!$F$8*Inputs!$J$43*HelperFunctions!$H$28</f>
        <v>0</v>
      </c>
      <c r="X49">
        <f>Inputs!$F$8*Inputs!$J$44*HelperFunctions!$H$28</f>
        <v>0</v>
      </c>
      <c r="Y49">
        <f>Inputs!$F$8*Inputs!$J$45*HelperFunctions!$H$28</f>
        <v>0</v>
      </c>
      <c r="Z49">
        <f>Inputs!$F$8*Inputs!$J$46*HelperFunctions!$H$28</f>
        <v>0</v>
      </c>
      <c r="AA49">
        <f>Inputs!$F$8*Inputs!$J$47*HelperFunctions!$H$28</f>
        <v>0</v>
      </c>
      <c r="AB49">
        <f>Inputs!$F$8*Inputs!$J$48*HelperFunctions!$H$42</f>
        <v>0</v>
      </c>
      <c r="AC49">
        <f>Inputs!$F$8*Inputs!$J$49*HelperFunctions!$H$42</f>
        <v>0</v>
      </c>
      <c r="AD49">
        <f>Inputs!$F$8*Inputs!$J$50*HelperFunctions!$H$42</f>
        <v>0</v>
      </c>
      <c r="AE49">
        <f>Inputs!$F$8*Inputs!$J$51*HelperFunctions!$H$42</f>
        <v>0</v>
      </c>
      <c r="AF49">
        <f>Inputs!$F$8*Inputs!$J$52*HelperFunctions!$H$42</f>
        <v>0</v>
      </c>
      <c r="AG49">
        <f>Inputs!$F$8*Inputs!$J$53*HelperFunctions!$H$42</f>
        <v>0</v>
      </c>
      <c r="AH49">
        <f>Inputs!$F$8*Inputs!$J$54*HelperFunctions!$H$42</f>
        <v>0</v>
      </c>
      <c r="AI49">
        <f>Inputs!$F$8*Inputs!$J$55*HelperFunctions!$H$42</f>
        <v>0</v>
      </c>
      <c r="AJ49">
        <f>Inputs!$F$8*Inputs!$J$56*HelperFunctions!$H$42</f>
        <v>0</v>
      </c>
      <c r="AK49">
        <f>Inputs!$F$8*Inputs!$J$57*HelperFunctions!$H$42</f>
        <v>0</v>
      </c>
      <c r="AL49">
        <f>Inputs!$F$8*Inputs!$J$58*HelperFunctions!$H$42</f>
        <v>0</v>
      </c>
      <c r="AM49">
        <f>Inputs!$F$8*Inputs!$J$59*HelperFunctions!$H$42</f>
        <v>0</v>
      </c>
      <c r="AN49">
        <f>Inputs!$F$8*Inputs!$J$60*HelperFunctions!$H55</f>
        <v>0</v>
      </c>
      <c r="AO49">
        <f>Inputs!$F$8*Inputs!$J$61*HelperFunctions!$H54</f>
        <v>0</v>
      </c>
      <c r="AP49">
        <f>Inputs!$F$8*Inputs!$J$62*HelperFunctions!$H53</f>
        <v>0</v>
      </c>
      <c r="AQ49">
        <f>Inputs!$F$8*Inputs!$J$63*HelperFunctions!$H52</f>
        <v>0</v>
      </c>
      <c r="AR49">
        <f>Inputs!$F$8*Inputs!$J$64*HelperFunctions!$H51</f>
        <v>0</v>
      </c>
      <c r="AS49">
        <f>Inputs!$F$8*Inputs!$J$65*HelperFunctions!$H50</f>
        <v>0</v>
      </c>
      <c r="AT49">
        <f>Inputs!$F$8*Inputs!$J$66*HelperFunctions!$H49</f>
        <v>0</v>
      </c>
      <c r="AU49">
        <f>Inputs!$F$8*Inputs!$J$67*HelperFunctions!$H48</f>
        <v>0</v>
      </c>
      <c r="AV49">
        <f>Inputs!$F$8*Inputs!$J$68*HelperFunctions!$H47</f>
        <v>0</v>
      </c>
      <c r="AW49">
        <f>Inputs!$F$8*Inputs!$J$69*HelperFunctions!$H46</f>
        <v>0</v>
      </c>
      <c r="AX49">
        <f>Inputs!$F$8*Inputs!$J$70*HelperFunctions!$H45</f>
        <v>0</v>
      </c>
      <c r="AY49" s="94"/>
      <c r="AZ49" s="93"/>
      <c r="BA49" s="93"/>
      <c r="BB49" s="93"/>
      <c r="BC49" s="93"/>
      <c r="BD49" s="93"/>
      <c r="BE49" s="93"/>
      <c r="BF49" s="93"/>
      <c r="BG49" s="93"/>
      <c r="BH49" s="93"/>
      <c r="BI49" s="93"/>
      <c r="BJ49" s="93"/>
      <c r="BK49" s="94"/>
    </row>
    <row r="50" spans="2:63" ht="15.75" customHeight="1" x14ac:dyDescent="0.35">
      <c r="B50" s="88">
        <v>3</v>
      </c>
      <c r="C50" s="89" t="str">
        <f>Inputs!I71</f>
        <v/>
      </c>
      <c r="D50" s="89">
        <f>Inputs!$F$8*Inputs!$J$22*HelperFunctions!$H$14</f>
        <v>0</v>
      </c>
      <c r="E50" s="89">
        <f>Inputs!$F$8*Inputs!$J$23*HelperFunctions!$H$14</f>
        <v>0</v>
      </c>
      <c r="F50" s="89">
        <f>Inputs!$F$8*Inputs!$J$24*HelperFunctions!$H$14</f>
        <v>0</v>
      </c>
      <c r="G50" s="89">
        <f>Inputs!$F$8*Inputs!$J$25*HelperFunctions!$H$14</f>
        <v>0</v>
      </c>
      <c r="H50" s="89">
        <f>Inputs!$F$8*Inputs!$J$26*HelperFunctions!$H$14</f>
        <v>0</v>
      </c>
      <c r="I50" s="89">
        <f>Inputs!$F$8*Inputs!$J$27*HelperFunctions!$H$14</f>
        <v>0</v>
      </c>
      <c r="J50" s="89">
        <f>Inputs!$F$8*Inputs!$J$28*HelperFunctions!$H$14</f>
        <v>0</v>
      </c>
      <c r="K50" s="89">
        <f>Inputs!$F$8*Inputs!$J$29*HelperFunctions!$H$14</f>
        <v>0</v>
      </c>
      <c r="L50" s="89">
        <f>Inputs!$F$8*Inputs!$J$30*HelperFunctions!$H$14</f>
        <v>0</v>
      </c>
      <c r="M50" s="89">
        <f>Inputs!$F$8*Inputs!$J$31*HelperFunctions!$H$14</f>
        <v>0</v>
      </c>
      <c r="N50" s="89">
        <f>Inputs!$F$8*Inputs!$J$32*HelperFunctions!$H$14</f>
        <v>0</v>
      </c>
      <c r="O50" s="89">
        <f>Inputs!$F$8*Inputs!$J$33*HelperFunctions!$H$14</f>
        <v>0</v>
      </c>
      <c r="P50" s="89">
        <f>Inputs!$F$8*Inputs!$J$36*HelperFunctions!$H$28</f>
        <v>0</v>
      </c>
      <c r="Q50" s="89">
        <f>Inputs!$F$8*Inputs!$J$37*HelperFunctions!$H$28</f>
        <v>0</v>
      </c>
      <c r="R50" s="89">
        <f>Inputs!$F$8*Inputs!$J$38*HelperFunctions!$H$28</f>
        <v>0</v>
      </c>
      <c r="S50" s="89">
        <f>Inputs!$F$8*Inputs!$J$39*HelperFunctions!$H$28</f>
        <v>0</v>
      </c>
      <c r="T50" s="89">
        <f>Inputs!$F$8*Inputs!$J$40*HelperFunctions!$H$28</f>
        <v>0</v>
      </c>
      <c r="U50" s="89">
        <f>Inputs!$F$8*Inputs!$J$41*HelperFunctions!$H$28</f>
        <v>0</v>
      </c>
      <c r="V50" s="89">
        <f>Inputs!$F$8*Inputs!$J$42*HelperFunctions!$H$28</f>
        <v>0</v>
      </c>
      <c r="W50" s="89">
        <f>Inputs!$F$8*Inputs!$J$43*HelperFunctions!$H$28</f>
        <v>0</v>
      </c>
      <c r="X50" s="89">
        <f>Inputs!$F$8*Inputs!$J$44*HelperFunctions!$H$28</f>
        <v>0</v>
      </c>
      <c r="Y50" s="89">
        <f>Inputs!$F$8*Inputs!$J$45*HelperFunctions!$H$28</f>
        <v>0</v>
      </c>
      <c r="Z50" s="89">
        <f>Inputs!$F$8*Inputs!$J$46*HelperFunctions!$H$28</f>
        <v>0</v>
      </c>
      <c r="AA50" s="89">
        <f>Inputs!$F$8*Inputs!$J$47*HelperFunctions!$H$28</f>
        <v>0</v>
      </c>
      <c r="AB50" s="89">
        <f>Inputs!$F$8*Inputs!$J$48*HelperFunctions!$H$42</f>
        <v>0</v>
      </c>
      <c r="AC50" s="89">
        <f>Inputs!$F$8*Inputs!$J$49*HelperFunctions!$H$42</f>
        <v>0</v>
      </c>
      <c r="AD50" s="89">
        <f>Inputs!$F$8*Inputs!$J$50*HelperFunctions!$H$42</f>
        <v>0</v>
      </c>
      <c r="AE50" s="89">
        <f>Inputs!$F$8*Inputs!$J$51*HelperFunctions!$H$42</f>
        <v>0</v>
      </c>
      <c r="AF50" s="89">
        <f>Inputs!$F$8*Inputs!$J$52*HelperFunctions!$H$42</f>
        <v>0</v>
      </c>
      <c r="AG50" s="89">
        <f>Inputs!$F$8*Inputs!$J$53*HelperFunctions!$H$42</f>
        <v>0</v>
      </c>
      <c r="AH50" s="89">
        <f>Inputs!$F$8*Inputs!$J$54*HelperFunctions!$H$42</f>
        <v>0</v>
      </c>
      <c r="AI50" s="89">
        <f>Inputs!$F$8*Inputs!$J$55*HelperFunctions!$H$42</f>
        <v>0</v>
      </c>
      <c r="AJ50" s="89">
        <f>Inputs!$F$8*Inputs!$J$56*HelperFunctions!$H$42</f>
        <v>0</v>
      </c>
      <c r="AK50" s="89">
        <f>Inputs!$F$8*Inputs!$J$57*HelperFunctions!$H$42</f>
        <v>0</v>
      </c>
      <c r="AL50" s="89">
        <f>Inputs!$F$8*Inputs!$J$58*HelperFunctions!$H$42</f>
        <v>0</v>
      </c>
      <c r="AM50" s="89">
        <f>Inputs!$F$8*Inputs!$J$59*HelperFunctions!$H$42</f>
        <v>0</v>
      </c>
      <c r="AN50" s="89">
        <f>Inputs!$F$8*Inputs!$J$60*HelperFunctions!$H$56</f>
        <v>0</v>
      </c>
      <c r="AO50" s="89">
        <f>Inputs!$F$8*Inputs!$J$61*HelperFunctions!$H55</f>
        <v>0</v>
      </c>
      <c r="AP50" s="89">
        <f>Inputs!$F$8*Inputs!$J$62*HelperFunctions!$H54</f>
        <v>0</v>
      </c>
      <c r="AQ50" s="89">
        <f>Inputs!$F$8*Inputs!$J$63*HelperFunctions!$H53</f>
        <v>0</v>
      </c>
      <c r="AR50" s="89">
        <f>Inputs!$F$8*Inputs!$J$64*HelperFunctions!$H52</f>
        <v>0</v>
      </c>
      <c r="AS50" s="89">
        <f>Inputs!$F$8*Inputs!$J$65*HelperFunctions!$H51</f>
        <v>0</v>
      </c>
      <c r="AT50" s="89">
        <f>Inputs!$F$8*Inputs!$J$66*HelperFunctions!$H50</f>
        <v>0</v>
      </c>
      <c r="AU50" s="89">
        <f>Inputs!$F$8*Inputs!$J$67*HelperFunctions!$H49</f>
        <v>0</v>
      </c>
      <c r="AV50" s="89">
        <f>Inputs!$F$8*Inputs!$J$68*HelperFunctions!$H48</f>
        <v>0</v>
      </c>
      <c r="AW50" s="89">
        <f>Inputs!$F$8*Inputs!$J$69*HelperFunctions!$H47</f>
        <v>0</v>
      </c>
      <c r="AX50" s="89">
        <f>Inputs!$F$8*Inputs!$J$70*HelperFunctions!$H46</f>
        <v>0</v>
      </c>
      <c r="AY50" s="90">
        <f>Inputs!$F$8*Inputs!$J$71*HelperFunctions!$H45</f>
        <v>0</v>
      </c>
      <c r="AZ50" s="93"/>
      <c r="BA50" s="93"/>
      <c r="BB50" s="93"/>
      <c r="BC50" s="93"/>
      <c r="BD50" s="93"/>
      <c r="BE50" s="93"/>
      <c r="BF50" s="93"/>
      <c r="BG50" s="93"/>
      <c r="BH50" s="93"/>
      <c r="BI50" s="93"/>
      <c r="BJ50" s="93"/>
      <c r="BK50" s="94"/>
    </row>
    <row r="51" spans="2:63" x14ac:dyDescent="0.35">
      <c r="B51" s="87">
        <v>4</v>
      </c>
      <c r="C51" t="str">
        <f>Inputs!I72</f>
        <v/>
      </c>
      <c r="D51">
        <f>Inputs!$F$8*Inputs!$J$22*HelperFunctions!$H$14</f>
        <v>0</v>
      </c>
      <c r="E51">
        <f>Inputs!$F$8*Inputs!$J$23*HelperFunctions!$H$14</f>
        <v>0</v>
      </c>
      <c r="F51">
        <f>Inputs!$F$8*Inputs!$J$24*HelperFunctions!$H$14</f>
        <v>0</v>
      </c>
      <c r="G51">
        <f>Inputs!$F$8*Inputs!$J$25*HelperFunctions!$H$14</f>
        <v>0</v>
      </c>
      <c r="H51">
        <f>Inputs!$F$8*Inputs!$J$26*HelperFunctions!$H$14</f>
        <v>0</v>
      </c>
      <c r="I51">
        <f>Inputs!$F$8*Inputs!$J$27*HelperFunctions!$H$14</f>
        <v>0</v>
      </c>
      <c r="J51">
        <f>Inputs!$F$8*Inputs!$J$28*HelperFunctions!$H$14</f>
        <v>0</v>
      </c>
      <c r="K51">
        <f>Inputs!$F$8*Inputs!$J$29*HelperFunctions!$H$14</f>
        <v>0</v>
      </c>
      <c r="L51">
        <f>Inputs!$F$8*Inputs!$J$30*HelperFunctions!$H$14</f>
        <v>0</v>
      </c>
      <c r="M51">
        <f>Inputs!$F$8*Inputs!$J$31*HelperFunctions!$H$14</f>
        <v>0</v>
      </c>
      <c r="N51">
        <f>Inputs!$F$8*Inputs!$J$32*HelperFunctions!$H$14</f>
        <v>0</v>
      </c>
      <c r="O51">
        <f>Inputs!$F$8*Inputs!$J$33*HelperFunctions!$H$14</f>
        <v>0</v>
      </c>
      <c r="P51">
        <f>Inputs!$F$8*Inputs!$J$36*HelperFunctions!$H$28</f>
        <v>0</v>
      </c>
      <c r="Q51">
        <f>Inputs!$F$8*Inputs!$J$37*HelperFunctions!$H$28</f>
        <v>0</v>
      </c>
      <c r="R51">
        <f>Inputs!$F$8*Inputs!$J$38*HelperFunctions!$H$28</f>
        <v>0</v>
      </c>
      <c r="S51">
        <f>Inputs!$F$8*Inputs!$J$39*HelperFunctions!$H$28</f>
        <v>0</v>
      </c>
      <c r="T51">
        <f>Inputs!$F$8*Inputs!$J$40*HelperFunctions!$H$28</f>
        <v>0</v>
      </c>
      <c r="U51">
        <f>Inputs!$F$8*Inputs!$J$41*HelperFunctions!$H$28</f>
        <v>0</v>
      </c>
      <c r="V51">
        <f>Inputs!$F$8*Inputs!$J$42*HelperFunctions!$H$28</f>
        <v>0</v>
      </c>
      <c r="W51">
        <f>Inputs!$F$8*Inputs!$J$43*HelperFunctions!$H$28</f>
        <v>0</v>
      </c>
      <c r="X51">
        <f>Inputs!$F$8*Inputs!$J$44*HelperFunctions!$H$28</f>
        <v>0</v>
      </c>
      <c r="Y51">
        <f>Inputs!$F$8*Inputs!$J$45*HelperFunctions!$H$28</f>
        <v>0</v>
      </c>
      <c r="Z51">
        <f>Inputs!$F$8*Inputs!$J$46*HelperFunctions!$H$28</f>
        <v>0</v>
      </c>
      <c r="AA51">
        <f>Inputs!$F$8*Inputs!$J$47*HelperFunctions!$H$28</f>
        <v>0</v>
      </c>
      <c r="AB51">
        <f>Inputs!$F$8*Inputs!$J$48*HelperFunctions!$H$42</f>
        <v>0</v>
      </c>
      <c r="AC51">
        <f>Inputs!$F$8*Inputs!$J$49*HelperFunctions!$H$42</f>
        <v>0</v>
      </c>
      <c r="AD51">
        <f>Inputs!$F$8*Inputs!$J$50*HelperFunctions!$H$42</f>
        <v>0</v>
      </c>
      <c r="AE51">
        <f>Inputs!$F$8*Inputs!$J$51*HelperFunctions!$H$42</f>
        <v>0</v>
      </c>
      <c r="AF51">
        <f>Inputs!$F$8*Inputs!$J$52*HelperFunctions!$H$42</f>
        <v>0</v>
      </c>
      <c r="AG51">
        <f>Inputs!$F$8*Inputs!$J$53*HelperFunctions!$H$42</f>
        <v>0</v>
      </c>
      <c r="AH51">
        <f>Inputs!$F$8*Inputs!$J$54*HelperFunctions!$H$42</f>
        <v>0</v>
      </c>
      <c r="AI51">
        <f>Inputs!$F$8*Inputs!$J$55*HelperFunctions!$H$42</f>
        <v>0</v>
      </c>
      <c r="AJ51">
        <f>Inputs!$F$8*Inputs!$J$56*HelperFunctions!$H$42</f>
        <v>0</v>
      </c>
      <c r="AK51">
        <f>Inputs!$F$8*Inputs!$J$57*HelperFunctions!$H$42</f>
        <v>0</v>
      </c>
      <c r="AL51">
        <f>Inputs!$F$8*Inputs!$J$58*HelperFunctions!$H$42</f>
        <v>0</v>
      </c>
      <c r="AM51">
        <f>Inputs!$F$8*Inputs!$J$59*HelperFunctions!$H$42</f>
        <v>0</v>
      </c>
      <c r="AN51">
        <f>Inputs!$F$8*Inputs!$J$60*HelperFunctions!$H$56</f>
        <v>0</v>
      </c>
      <c r="AO51">
        <f>Inputs!$F$8*Inputs!$J$61*HelperFunctions!$H$56</f>
        <v>0</v>
      </c>
      <c r="AP51">
        <f>Inputs!$F$8*Inputs!$J$62*HelperFunctions!$H55</f>
        <v>0</v>
      </c>
      <c r="AQ51">
        <f>Inputs!$F$8*Inputs!$J$63*HelperFunctions!$H54</f>
        <v>0</v>
      </c>
      <c r="AR51">
        <f>Inputs!$F$8*Inputs!$J$64*HelperFunctions!$H53</f>
        <v>0</v>
      </c>
      <c r="AS51">
        <f>Inputs!$F$8*Inputs!$J$65*HelperFunctions!$H52</f>
        <v>0</v>
      </c>
      <c r="AT51">
        <f>Inputs!$F$8*Inputs!$J$66*HelperFunctions!$H51</f>
        <v>0</v>
      </c>
      <c r="AU51">
        <f>Inputs!$F$8*Inputs!$J$67*HelperFunctions!$H50</f>
        <v>0</v>
      </c>
      <c r="AV51">
        <f>Inputs!$F$8*Inputs!$J$68*HelperFunctions!$H49</f>
        <v>0</v>
      </c>
      <c r="AW51">
        <f>Inputs!$F$8*Inputs!$J$69*HelperFunctions!$H48</f>
        <v>0</v>
      </c>
      <c r="AX51">
        <f>Inputs!$F$8*Inputs!$J$70*HelperFunctions!$H47</f>
        <v>0</v>
      </c>
      <c r="AY51">
        <f>Inputs!$F$8*Inputs!$J$71*HelperFunctions!$H46</f>
        <v>0</v>
      </c>
      <c r="AZ51">
        <f>Inputs!$F$8*Inputs!$J$72*HelperFunctions!$H59</f>
        <v>0</v>
      </c>
      <c r="BA51" s="93"/>
      <c r="BB51" s="93"/>
      <c r="BC51" s="93"/>
      <c r="BD51" s="93"/>
      <c r="BE51" s="93"/>
      <c r="BF51" s="93"/>
      <c r="BG51" s="93"/>
      <c r="BH51" s="93"/>
      <c r="BI51" s="93"/>
      <c r="BJ51" s="93"/>
      <c r="BK51" s="94"/>
    </row>
    <row r="52" spans="2:63" x14ac:dyDescent="0.35">
      <c r="B52" s="87">
        <v>4</v>
      </c>
      <c r="C52" t="str">
        <f>Inputs!I73</f>
        <v/>
      </c>
      <c r="D52">
        <f>Inputs!$F$8*Inputs!$J$22*HelperFunctions!$H$14</f>
        <v>0</v>
      </c>
      <c r="E52">
        <f>Inputs!$F$8*Inputs!$J$23*HelperFunctions!$H$14</f>
        <v>0</v>
      </c>
      <c r="F52">
        <f>Inputs!$F$8*Inputs!$J$24*HelperFunctions!$H$14</f>
        <v>0</v>
      </c>
      <c r="G52">
        <f>Inputs!$F$8*Inputs!$J$25*HelperFunctions!$H$14</f>
        <v>0</v>
      </c>
      <c r="H52">
        <f>Inputs!$F$8*Inputs!$J$26*HelperFunctions!$H$14</f>
        <v>0</v>
      </c>
      <c r="I52">
        <f>Inputs!$F$8*Inputs!$J$27*HelperFunctions!$H$14</f>
        <v>0</v>
      </c>
      <c r="J52">
        <f>Inputs!$F$8*Inputs!$J$28*HelperFunctions!$H$14</f>
        <v>0</v>
      </c>
      <c r="K52">
        <f>Inputs!$F$8*Inputs!$J$29*HelperFunctions!$H$14</f>
        <v>0</v>
      </c>
      <c r="L52">
        <f>Inputs!$F$8*Inputs!$J$30*HelperFunctions!$H$14</f>
        <v>0</v>
      </c>
      <c r="M52">
        <f>Inputs!$F$8*Inputs!$J$31*HelperFunctions!$H$14</f>
        <v>0</v>
      </c>
      <c r="N52">
        <f>Inputs!$F$8*Inputs!$J$32*HelperFunctions!$H$14</f>
        <v>0</v>
      </c>
      <c r="O52">
        <f>Inputs!$F$8*Inputs!$J$33*HelperFunctions!$H$14</f>
        <v>0</v>
      </c>
      <c r="P52">
        <f>Inputs!$F$8*Inputs!$J$36*HelperFunctions!$H$28</f>
        <v>0</v>
      </c>
      <c r="Q52">
        <f>Inputs!$F$8*Inputs!$J$37*HelperFunctions!$H$28</f>
        <v>0</v>
      </c>
      <c r="R52">
        <f>Inputs!$F$8*Inputs!$J$38*HelperFunctions!$H$28</f>
        <v>0</v>
      </c>
      <c r="S52">
        <f>Inputs!$F$8*Inputs!$J$39*HelperFunctions!$H$28</f>
        <v>0</v>
      </c>
      <c r="T52">
        <f>Inputs!$F$8*Inputs!$J$40*HelperFunctions!$H$28</f>
        <v>0</v>
      </c>
      <c r="U52">
        <f>Inputs!$F$8*Inputs!$J$41*HelperFunctions!$H$28</f>
        <v>0</v>
      </c>
      <c r="V52">
        <f>Inputs!$F$8*Inputs!$J$42*HelperFunctions!$H$28</f>
        <v>0</v>
      </c>
      <c r="W52">
        <f>Inputs!$F$8*Inputs!$J$43*HelperFunctions!$H$28</f>
        <v>0</v>
      </c>
      <c r="X52">
        <f>Inputs!$F$8*Inputs!$J$44*HelperFunctions!$H$28</f>
        <v>0</v>
      </c>
      <c r="Y52">
        <f>Inputs!$F$8*Inputs!$J$45*HelperFunctions!$H$28</f>
        <v>0</v>
      </c>
      <c r="Z52">
        <f>Inputs!$F$8*Inputs!$J$46*HelperFunctions!$H$28</f>
        <v>0</v>
      </c>
      <c r="AA52">
        <f>Inputs!$F$8*Inputs!$J$47*HelperFunctions!$H$28</f>
        <v>0</v>
      </c>
      <c r="AB52">
        <f>Inputs!$F$8*Inputs!$J$48*HelperFunctions!$H$42</f>
        <v>0</v>
      </c>
      <c r="AC52">
        <f>Inputs!$F$8*Inputs!$J$49*HelperFunctions!$H$42</f>
        <v>0</v>
      </c>
      <c r="AD52">
        <f>Inputs!$F$8*Inputs!$J$50*HelperFunctions!$H$42</f>
        <v>0</v>
      </c>
      <c r="AE52">
        <f>Inputs!$F$8*Inputs!$J$51*HelperFunctions!$H$42</f>
        <v>0</v>
      </c>
      <c r="AF52">
        <f>Inputs!$F$8*Inputs!$J$52*HelperFunctions!$H$42</f>
        <v>0</v>
      </c>
      <c r="AG52">
        <f>Inputs!$F$8*Inputs!$J$53*HelperFunctions!$H$42</f>
        <v>0</v>
      </c>
      <c r="AH52">
        <f>Inputs!$F$8*Inputs!$J$54*HelperFunctions!$H$42</f>
        <v>0</v>
      </c>
      <c r="AI52">
        <f>Inputs!$F$8*Inputs!$J$55*HelperFunctions!$H$42</f>
        <v>0</v>
      </c>
      <c r="AJ52">
        <f>Inputs!$F$8*Inputs!$J$56*HelperFunctions!$H$42</f>
        <v>0</v>
      </c>
      <c r="AK52">
        <f>Inputs!$F$8*Inputs!$J$57*HelperFunctions!$H$42</f>
        <v>0</v>
      </c>
      <c r="AL52">
        <f>Inputs!$F$8*Inputs!$J$58*HelperFunctions!$H$42</f>
        <v>0</v>
      </c>
      <c r="AM52">
        <f>Inputs!$F$8*Inputs!$J$59*HelperFunctions!$H$42</f>
        <v>0</v>
      </c>
      <c r="AN52">
        <f>Inputs!$F$8*Inputs!$J$60*HelperFunctions!$H$56</f>
        <v>0</v>
      </c>
      <c r="AO52">
        <f>Inputs!$F$8*Inputs!$J$61*HelperFunctions!$H$56</f>
        <v>0</v>
      </c>
      <c r="AP52">
        <f>Inputs!$F$8*Inputs!$J$62*HelperFunctions!$H$56</f>
        <v>0</v>
      </c>
      <c r="AQ52">
        <f>Inputs!$F$8*Inputs!$J$63*HelperFunctions!$H55</f>
        <v>0</v>
      </c>
      <c r="AR52">
        <f>Inputs!$F$8*Inputs!$J$64*HelperFunctions!$H54</f>
        <v>0</v>
      </c>
      <c r="AS52">
        <f>Inputs!$F$8*Inputs!$J$65*HelperFunctions!$H53</f>
        <v>0</v>
      </c>
      <c r="AT52">
        <f>Inputs!$F$8*Inputs!$J$66*HelperFunctions!$H52</f>
        <v>0</v>
      </c>
      <c r="AU52">
        <f>Inputs!$F$8*Inputs!$J$67*HelperFunctions!$H51</f>
        <v>0</v>
      </c>
      <c r="AV52">
        <f>Inputs!$F$8*Inputs!$J$68*HelperFunctions!$H50</f>
        <v>0</v>
      </c>
      <c r="AW52">
        <f>Inputs!$F$8*Inputs!$J$69*HelperFunctions!$H49</f>
        <v>0</v>
      </c>
      <c r="AX52">
        <f>Inputs!$F$8*Inputs!$J$70*HelperFunctions!$H48</f>
        <v>0</v>
      </c>
      <c r="AY52">
        <f>Inputs!$F$8*Inputs!$J$71*HelperFunctions!$H47</f>
        <v>0</v>
      </c>
      <c r="AZ52">
        <f>Inputs!$F$8*Inputs!$J$72*HelperFunctions!$H60</f>
        <v>0</v>
      </c>
      <c r="BA52">
        <f>Inputs!$F$8*Inputs!$J$73*HelperFunctions!$H59</f>
        <v>0</v>
      </c>
      <c r="BB52" s="93"/>
      <c r="BC52" s="93"/>
      <c r="BD52" s="93"/>
      <c r="BE52" s="93"/>
      <c r="BF52" s="93"/>
      <c r="BG52" s="93"/>
      <c r="BH52" s="93"/>
      <c r="BI52" s="93"/>
      <c r="BJ52" s="93"/>
      <c r="BK52" s="94"/>
    </row>
    <row r="53" spans="2:63" x14ac:dyDescent="0.35">
      <c r="B53" s="87">
        <v>4</v>
      </c>
      <c r="C53" t="str">
        <f>Inputs!I74</f>
        <v/>
      </c>
      <c r="D53">
        <f>Inputs!$F$8*Inputs!$J$22*HelperFunctions!$H$14</f>
        <v>0</v>
      </c>
      <c r="E53">
        <f>Inputs!$F$8*Inputs!$J$23*HelperFunctions!$H$14</f>
        <v>0</v>
      </c>
      <c r="F53">
        <f>Inputs!$F$8*Inputs!$J$24*HelperFunctions!$H$14</f>
        <v>0</v>
      </c>
      <c r="G53">
        <f>Inputs!$F$8*Inputs!$J$25*HelperFunctions!$H$14</f>
        <v>0</v>
      </c>
      <c r="H53">
        <f>Inputs!$F$8*Inputs!$J$26*HelperFunctions!$H$14</f>
        <v>0</v>
      </c>
      <c r="I53">
        <f>Inputs!$F$8*Inputs!$J$27*HelperFunctions!$H$14</f>
        <v>0</v>
      </c>
      <c r="J53">
        <f>Inputs!$F$8*Inputs!$J$28*HelperFunctions!$H$14</f>
        <v>0</v>
      </c>
      <c r="K53">
        <f>Inputs!$F$8*Inputs!$J$29*HelperFunctions!$H$14</f>
        <v>0</v>
      </c>
      <c r="L53">
        <f>Inputs!$F$8*Inputs!$J$30*HelperFunctions!$H$14</f>
        <v>0</v>
      </c>
      <c r="M53">
        <f>Inputs!$F$8*Inputs!$J$31*HelperFunctions!$H$14</f>
        <v>0</v>
      </c>
      <c r="N53">
        <f>Inputs!$F$8*Inputs!$J$32*HelperFunctions!$H$14</f>
        <v>0</v>
      </c>
      <c r="O53">
        <f>Inputs!$F$8*Inputs!$J$33*HelperFunctions!$H$14</f>
        <v>0</v>
      </c>
      <c r="P53">
        <f>Inputs!$F$8*Inputs!$J$36*HelperFunctions!$H$28</f>
        <v>0</v>
      </c>
      <c r="Q53">
        <f>Inputs!$F$8*Inputs!$J$37*HelperFunctions!$H$28</f>
        <v>0</v>
      </c>
      <c r="R53">
        <f>Inputs!$F$8*Inputs!$J$38*HelperFunctions!$H$28</f>
        <v>0</v>
      </c>
      <c r="S53">
        <f>Inputs!$F$8*Inputs!$J$39*HelperFunctions!$H$28</f>
        <v>0</v>
      </c>
      <c r="T53">
        <f>Inputs!$F$8*Inputs!$J$40*HelperFunctions!$H$28</f>
        <v>0</v>
      </c>
      <c r="U53">
        <f>Inputs!$F$8*Inputs!$J$41*HelperFunctions!$H$28</f>
        <v>0</v>
      </c>
      <c r="V53">
        <f>Inputs!$F$8*Inputs!$J$42*HelperFunctions!$H$28</f>
        <v>0</v>
      </c>
      <c r="W53">
        <f>Inputs!$F$8*Inputs!$J$43*HelperFunctions!$H$28</f>
        <v>0</v>
      </c>
      <c r="X53">
        <f>Inputs!$F$8*Inputs!$J$44*HelperFunctions!$H$28</f>
        <v>0</v>
      </c>
      <c r="Y53">
        <f>Inputs!$F$8*Inputs!$J$45*HelperFunctions!$H$28</f>
        <v>0</v>
      </c>
      <c r="Z53">
        <f>Inputs!$F$8*Inputs!$J$46*HelperFunctions!$H$28</f>
        <v>0</v>
      </c>
      <c r="AA53">
        <f>Inputs!$F$8*Inputs!$J$47*HelperFunctions!$H$28</f>
        <v>0</v>
      </c>
      <c r="AB53">
        <f>Inputs!$F$8*Inputs!$J$48*HelperFunctions!$H$42</f>
        <v>0</v>
      </c>
      <c r="AC53">
        <f>Inputs!$F$8*Inputs!$J$49*HelperFunctions!$H$42</f>
        <v>0</v>
      </c>
      <c r="AD53">
        <f>Inputs!$F$8*Inputs!$J$50*HelperFunctions!$H$42</f>
        <v>0</v>
      </c>
      <c r="AE53">
        <f>Inputs!$F$8*Inputs!$J$51*HelperFunctions!$H$42</f>
        <v>0</v>
      </c>
      <c r="AF53">
        <f>Inputs!$F$8*Inputs!$J$52*HelperFunctions!$H$42</f>
        <v>0</v>
      </c>
      <c r="AG53">
        <f>Inputs!$F$8*Inputs!$J$53*HelperFunctions!$H$42</f>
        <v>0</v>
      </c>
      <c r="AH53">
        <f>Inputs!$F$8*Inputs!$J$54*HelperFunctions!$H$42</f>
        <v>0</v>
      </c>
      <c r="AI53">
        <f>Inputs!$F$8*Inputs!$J$55*HelperFunctions!$H$42</f>
        <v>0</v>
      </c>
      <c r="AJ53">
        <f>Inputs!$F$8*Inputs!$J$56*HelperFunctions!$H$42</f>
        <v>0</v>
      </c>
      <c r="AK53">
        <f>Inputs!$F$8*Inputs!$J$57*HelperFunctions!$H$42</f>
        <v>0</v>
      </c>
      <c r="AL53">
        <f>Inputs!$F$8*Inputs!$J$58*HelperFunctions!$H$42</f>
        <v>0</v>
      </c>
      <c r="AM53">
        <f>Inputs!$F$8*Inputs!$J$59*HelperFunctions!$H$42</f>
        <v>0</v>
      </c>
      <c r="AN53">
        <f>Inputs!$F$8*Inputs!$J$60*HelperFunctions!$H$56</f>
        <v>0</v>
      </c>
      <c r="AO53">
        <f>Inputs!$F$8*Inputs!$J$61*HelperFunctions!$H$56</f>
        <v>0</v>
      </c>
      <c r="AP53">
        <f>Inputs!$F$8*Inputs!$J$62*HelperFunctions!$H$56</f>
        <v>0</v>
      </c>
      <c r="AQ53">
        <f>Inputs!$F$8*Inputs!$J$63*HelperFunctions!$H$56</f>
        <v>0</v>
      </c>
      <c r="AR53">
        <f>Inputs!$F$8*Inputs!$J$64*HelperFunctions!$H55</f>
        <v>0</v>
      </c>
      <c r="AS53">
        <f>Inputs!$F$8*Inputs!$J$65*HelperFunctions!$H54</f>
        <v>0</v>
      </c>
      <c r="AT53">
        <f>Inputs!$F$8*Inputs!$J$66*HelperFunctions!$H53</f>
        <v>0</v>
      </c>
      <c r="AU53">
        <f>Inputs!$F$8*Inputs!$J$67*HelperFunctions!$H52</f>
        <v>0</v>
      </c>
      <c r="AV53">
        <f>Inputs!$F$8*Inputs!$J$68*HelperFunctions!$H51</f>
        <v>0</v>
      </c>
      <c r="AW53">
        <f>Inputs!$F$8*Inputs!$J$69*HelperFunctions!$H50</f>
        <v>0</v>
      </c>
      <c r="AX53">
        <f>Inputs!$F$8*Inputs!$J$70*HelperFunctions!$H49</f>
        <v>0</v>
      </c>
      <c r="AY53">
        <f>Inputs!$F$8*Inputs!$J$71*HelperFunctions!$H48</f>
        <v>0</v>
      </c>
      <c r="AZ53">
        <f>Inputs!$F$8*Inputs!$J$72*HelperFunctions!$H61</f>
        <v>0</v>
      </c>
      <c r="BA53">
        <f>Inputs!$F$8*Inputs!$J$73*HelperFunctions!$H60</f>
        <v>0</v>
      </c>
      <c r="BB53">
        <f>Inputs!$F$8*Inputs!$J$74*HelperFunctions!$H59</f>
        <v>0</v>
      </c>
      <c r="BC53" s="93"/>
      <c r="BD53" s="93"/>
      <c r="BE53" s="93"/>
      <c r="BF53" s="93"/>
      <c r="BG53" s="93"/>
      <c r="BH53" s="93"/>
      <c r="BI53" s="93"/>
      <c r="BJ53" s="93"/>
      <c r="BK53" s="94"/>
    </row>
    <row r="54" spans="2:63" x14ac:dyDescent="0.35">
      <c r="B54" s="87">
        <v>4</v>
      </c>
      <c r="C54" t="str">
        <f>Inputs!I75</f>
        <v/>
      </c>
      <c r="D54">
        <f>Inputs!$F$8*Inputs!$J$22*HelperFunctions!$H$14</f>
        <v>0</v>
      </c>
      <c r="E54">
        <f>Inputs!$F$8*Inputs!$J$23*HelperFunctions!$H$14</f>
        <v>0</v>
      </c>
      <c r="F54">
        <f>Inputs!$F$8*Inputs!$J$24*HelperFunctions!$H$14</f>
        <v>0</v>
      </c>
      <c r="G54">
        <f>Inputs!$F$8*Inputs!$J$25*HelperFunctions!$H$14</f>
        <v>0</v>
      </c>
      <c r="H54">
        <f>Inputs!$F$8*Inputs!$J$26*HelperFunctions!$H$14</f>
        <v>0</v>
      </c>
      <c r="I54">
        <f>Inputs!$F$8*Inputs!$J$27*HelperFunctions!$H$14</f>
        <v>0</v>
      </c>
      <c r="J54">
        <f>Inputs!$F$8*Inputs!$J$28*HelperFunctions!$H$14</f>
        <v>0</v>
      </c>
      <c r="K54">
        <f>Inputs!$F$8*Inputs!$J$29*HelperFunctions!$H$14</f>
        <v>0</v>
      </c>
      <c r="L54">
        <f>Inputs!$F$8*Inputs!$J$30*HelperFunctions!$H$14</f>
        <v>0</v>
      </c>
      <c r="M54">
        <f>Inputs!$F$8*Inputs!$J$31*HelperFunctions!$H$14</f>
        <v>0</v>
      </c>
      <c r="N54">
        <f>Inputs!$F$8*Inputs!$J$32*HelperFunctions!$H$14</f>
        <v>0</v>
      </c>
      <c r="O54">
        <f>Inputs!$F$8*Inputs!$J$33*HelperFunctions!$H$14</f>
        <v>0</v>
      </c>
      <c r="P54">
        <f>Inputs!$F$8*Inputs!$J$36*HelperFunctions!$H$28</f>
        <v>0</v>
      </c>
      <c r="Q54">
        <f>Inputs!$F$8*Inputs!$J$37*HelperFunctions!$H$28</f>
        <v>0</v>
      </c>
      <c r="R54">
        <f>Inputs!$F$8*Inputs!$J$38*HelperFunctions!$H$28</f>
        <v>0</v>
      </c>
      <c r="S54">
        <f>Inputs!$F$8*Inputs!$J$39*HelperFunctions!$H$28</f>
        <v>0</v>
      </c>
      <c r="T54">
        <f>Inputs!$F$8*Inputs!$J$40*HelperFunctions!$H$28</f>
        <v>0</v>
      </c>
      <c r="U54">
        <f>Inputs!$F$8*Inputs!$J$41*HelperFunctions!$H$28</f>
        <v>0</v>
      </c>
      <c r="V54">
        <f>Inputs!$F$8*Inputs!$J$42*HelperFunctions!$H$28</f>
        <v>0</v>
      </c>
      <c r="W54">
        <f>Inputs!$F$8*Inputs!$J$43*HelperFunctions!$H$28</f>
        <v>0</v>
      </c>
      <c r="X54">
        <f>Inputs!$F$8*Inputs!$J$44*HelperFunctions!$H$28</f>
        <v>0</v>
      </c>
      <c r="Y54">
        <f>Inputs!$F$8*Inputs!$J$45*HelperFunctions!$H$28</f>
        <v>0</v>
      </c>
      <c r="Z54">
        <f>Inputs!$F$8*Inputs!$J$46*HelperFunctions!$H$28</f>
        <v>0</v>
      </c>
      <c r="AA54">
        <f>Inputs!$F$8*Inputs!$J$47*HelperFunctions!$H$28</f>
        <v>0</v>
      </c>
      <c r="AB54">
        <f>Inputs!$F$8*Inputs!$J$48*HelperFunctions!$H$42</f>
        <v>0</v>
      </c>
      <c r="AC54">
        <f>Inputs!$F$8*Inputs!$J$49*HelperFunctions!$H$42</f>
        <v>0</v>
      </c>
      <c r="AD54">
        <f>Inputs!$F$8*Inputs!$J$50*HelperFunctions!$H$42</f>
        <v>0</v>
      </c>
      <c r="AE54">
        <f>Inputs!$F$8*Inputs!$J$51*HelperFunctions!$H$42</f>
        <v>0</v>
      </c>
      <c r="AF54">
        <f>Inputs!$F$8*Inputs!$J$52*HelperFunctions!$H$42</f>
        <v>0</v>
      </c>
      <c r="AG54">
        <f>Inputs!$F$8*Inputs!$J$53*HelperFunctions!$H$42</f>
        <v>0</v>
      </c>
      <c r="AH54">
        <f>Inputs!$F$8*Inputs!$J$54*HelperFunctions!$H$42</f>
        <v>0</v>
      </c>
      <c r="AI54">
        <f>Inputs!$F$8*Inputs!$J$55*HelperFunctions!$H$42</f>
        <v>0</v>
      </c>
      <c r="AJ54">
        <f>Inputs!$F$8*Inputs!$J$56*HelperFunctions!$H$42</f>
        <v>0</v>
      </c>
      <c r="AK54">
        <f>Inputs!$F$8*Inputs!$J$57*HelperFunctions!$H$42</f>
        <v>0</v>
      </c>
      <c r="AL54">
        <f>Inputs!$F$8*Inputs!$J$58*HelperFunctions!$H$42</f>
        <v>0</v>
      </c>
      <c r="AM54">
        <f>Inputs!$F$8*Inputs!$J$59*HelperFunctions!$H$42</f>
        <v>0</v>
      </c>
      <c r="AN54">
        <f>Inputs!$F$8*Inputs!$J$60*HelperFunctions!$H$56</f>
        <v>0</v>
      </c>
      <c r="AO54">
        <f>Inputs!$F$8*Inputs!$J$61*HelperFunctions!$H$56</f>
        <v>0</v>
      </c>
      <c r="AP54">
        <f>Inputs!$F$8*Inputs!$J$62*HelperFunctions!$H$56</f>
        <v>0</v>
      </c>
      <c r="AQ54">
        <f>Inputs!$F$8*Inputs!$J$63*HelperFunctions!$H$56</f>
        <v>0</v>
      </c>
      <c r="AR54">
        <f>Inputs!$F$8*Inputs!$J$64*HelperFunctions!$H$56</f>
        <v>0</v>
      </c>
      <c r="AS54">
        <f>Inputs!$F$8*Inputs!$J$65*HelperFunctions!$H55</f>
        <v>0</v>
      </c>
      <c r="AT54">
        <f>Inputs!$F$8*Inputs!$J$66*HelperFunctions!$H54</f>
        <v>0</v>
      </c>
      <c r="AU54">
        <f>Inputs!$F$8*Inputs!$J$67*HelperFunctions!$H53</f>
        <v>0</v>
      </c>
      <c r="AV54">
        <f>Inputs!$F$8*Inputs!$J$68*HelperFunctions!$H52</f>
        <v>0</v>
      </c>
      <c r="AW54">
        <f>Inputs!$F$8*Inputs!$J$69*HelperFunctions!$H51</f>
        <v>0</v>
      </c>
      <c r="AX54">
        <f>Inputs!$F$8*Inputs!$J$70*HelperFunctions!$H50</f>
        <v>0</v>
      </c>
      <c r="AY54">
        <f>Inputs!$F$8*Inputs!$J$71*HelperFunctions!$H49</f>
        <v>0</v>
      </c>
      <c r="AZ54">
        <f>Inputs!$F$8*Inputs!$J$72*HelperFunctions!$H62</f>
        <v>0</v>
      </c>
      <c r="BA54">
        <f>Inputs!$F$8*Inputs!$J$73*HelperFunctions!$H61</f>
        <v>0</v>
      </c>
      <c r="BB54">
        <f>Inputs!$F$8*Inputs!$J$74*HelperFunctions!$H60</f>
        <v>0</v>
      </c>
      <c r="BC54">
        <f>Inputs!$F$8*Inputs!$J$75*HelperFunctions!$H59</f>
        <v>0</v>
      </c>
      <c r="BD54" s="93"/>
      <c r="BE54" s="93"/>
      <c r="BF54" s="93"/>
      <c r="BG54" s="93"/>
      <c r="BH54" s="93"/>
      <c r="BI54" s="93"/>
      <c r="BJ54" s="93"/>
      <c r="BK54" s="94"/>
    </row>
    <row r="55" spans="2:63" x14ac:dyDescent="0.35">
      <c r="B55" s="87">
        <v>4</v>
      </c>
      <c r="C55" t="str">
        <f>Inputs!I76</f>
        <v/>
      </c>
      <c r="D55">
        <f>Inputs!$F$8*Inputs!$J$22*HelperFunctions!$H$14</f>
        <v>0</v>
      </c>
      <c r="E55">
        <f>Inputs!$F$8*Inputs!$J$23*HelperFunctions!$H$14</f>
        <v>0</v>
      </c>
      <c r="F55">
        <f>Inputs!$F$8*Inputs!$J$24*HelperFunctions!$H$14</f>
        <v>0</v>
      </c>
      <c r="G55">
        <f>Inputs!$F$8*Inputs!$J$25*HelperFunctions!$H$14</f>
        <v>0</v>
      </c>
      <c r="H55">
        <f>Inputs!$F$8*Inputs!$J$26*HelperFunctions!$H$14</f>
        <v>0</v>
      </c>
      <c r="I55">
        <f>Inputs!$F$8*Inputs!$J$27*HelperFunctions!$H$14</f>
        <v>0</v>
      </c>
      <c r="J55">
        <f>Inputs!$F$8*Inputs!$J$28*HelperFunctions!$H$14</f>
        <v>0</v>
      </c>
      <c r="K55">
        <f>Inputs!$F$8*Inputs!$J$29*HelperFunctions!$H$14</f>
        <v>0</v>
      </c>
      <c r="L55">
        <f>Inputs!$F$8*Inputs!$J$30*HelperFunctions!$H$14</f>
        <v>0</v>
      </c>
      <c r="M55">
        <f>Inputs!$F$8*Inputs!$J$31*HelperFunctions!$H$14</f>
        <v>0</v>
      </c>
      <c r="N55">
        <f>Inputs!$F$8*Inputs!$J$32*HelperFunctions!$H$14</f>
        <v>0</v>
      </c>
      <c r="O55">
        <f>Inputs!$F$8*Inputs!$J$33*HelperFunctions!$H$14</f>
        <v>0</v>
      </c>
      <c r="P55">
        <f>Inputs!$F$8*Inputs!$J$36*HelperFunctions!$H$28</f>
        <v>0</v>
      </c>
      <c r="Q55">
        <f>Inputs!$F$8*Inputs!$J$37*HelperFunctions!$H$28</f>
        <v>0</v>
      </c>
      <c r="R55">
        <f>Inputs!$F$8*Inputs!$J$38*HelperFunctions!$H$28</f>
        <v>0</v>
      </c>
      <c r="S55">
        <f>Inputs!$F$8*Inputs!$J$39*HelperFunctions!$H$28</f>
        <v>0</v>
      </c>
      <c r="T55">
        <f>Inputs!$F$8*Inputs!$J$40*HelperFunctions!$H$28</f>
        <v>0</v>
      </c>
      <c r="U55">
        <f>Inputs!$F$8*Inputs!$J$41*HelperFunctions!$H$28</f>
        <v>0</v>
      </c>
      <c r="V55">
        <f>Inputs!$F$8*Inputs!$J$42*HelperFunctions!$H$28</f>
        <v>0</v>
      </c>
      <c r="W55">
        <f>Inputs!$F$8*Inputs!$J$43*HelperFunctions!$H$28</f>
        <v>0</v>
      </c>
      <c r="X55">
        <f>Inputs!$F$8*Inputs!$J$44*HelperFunctions!$H$28</f>
        <v>0</v>
      </c>
      <c r="Y55">
        <f>Inputs!$F$8*Inputs!$J$45*HelperFunctions!$H$28</f>
        <v>0</v>
      </c>
      <c r="Z55">
        <f>Inputs!$F$8*Inputs!$J$46*HelperFunctions!$H$28</f>
        <v>0</v>
      </c>
      <c r="AA55">
        <f>Inputs!$F$8*Inputs!$J$47*HelperFunctions!$H$28</f>
        <v>0</v>
      </c>
      <c r="AB55">
        <f>Inputs!$F$8*Inputs!$J$48*HelperFunctions!$H$42</f>
        <v>0</v>
      </c>
      <c r="AC55">
        <f>Inputs!$F$8*Inputs!$J$49*HelperFunctions!$H$42</f>
        <v>0</v>
      </c>
      <c r="AD55">
        <f>Inputs!$F$8*Inputs!$J$50*HelperFunctions!$H$42</f>
        <v>0</v>
      </c>
      <c r="AE55">
        <f>Inputs!$F$8*Inputs!$J$51*HelperFunctions!$H$42</f>
        <v>0</v>
      </c>
      <c r="AF55">
        <f>Inputs!$F$8*Inputs!$J$52*HelperFunctions!$H$42</f>
        <v>0</v>
      </c>
      <c r="AG55">
        <f>Inputs!$F$8*Inputs!$J$53*HelperFunctions!$H$42</f>
        <v>0</v>
      </c>
      <c r="AH55">
        <f>Inputs!$F$8*Inputs!$J$54*HelperFunctions!$H$42</f>
        <v>0</v>
      </c>
      <c r="AI55">
        <f>Inputs!$F$8*Inputs!$J$55*HelperFunctions!$H$42</f>
        <v>0</v>
      </c>
      <c r="AJ55">
        <f>Inputs!$F$8*Inputs!$J$56*HelperFunctions!$H$42</f>
        <v>0</v>
      </c>
      <c r="AK55">
        <f>Inputs!$F$8*Inputs!$J$57*HelperFunctions!$H$42</f>
        <v>0</v>
      </c>
      <c r="AL55">
        <f>Inputs!$F$8*Inputs!$J$58*HelperFunctions!$H$42</f>
        <v>0</v>
      </c>
      <c r="AM55">
        <f>Inputs!$F$8*Inputs!$J$59*HelperFunctions!$H$42</f>
        <v>0</v>
      </c>
      <c r="AN55">
        <f>Inputs!$F$8*Inputs!$J$60*HelperFunctions!$H$56</f>
        <v>0</v>
      </c>
      <c r="AO55">
        <f>Inputs!$F$8*Inputs!$J$61*HelperFunctions!$H$56</f>
        <v>0</v>
      </c>
      <c r="AP55">
        <f>Inputs!$F$8*Inputs!$J$62*HelperFunctions!$H$56</f>
        <v>0</v>
      </c>
      <c r="AQ55">
        <f>Inputs!$F$8*Inputs!$J$63*HelperFunctions!$H$56</f>
        <v>0</v>
      </c>
      <c r="AR55">
        <f>Inputs!$F$8*Inputs!$J$64*HelperFunctions!$H$56</f>
        <v>0</v>
      </c>
      <c r="AS55">
        <f>Inputs!$F$8*Inputs!$J$65*HelperFunctions!$H$56</f>
        <v>0</v>
      </c>
      <c r="AT55">
        <f>Inputs!$F$8*Inputs!$J$66*HelperFunctions!$H55</f>
        <v>0</v>
      </c>
      <c r="AU55">
        <f>Inputs!$F$8*Inputs!$J$67*HelperFunctions!$H54</f>
        <v>0</v>
      </c>
      <c r="AV55">
        <f>Inputs!$F$8*Inputs!$J$68*HelperFunctions!$H53</f>
        <v>0</v>
      </c>
      <c r="AW55">
        <f>Inputs!$F$8*Inputs!$J$69*HelperFunctions!$H52</f>
        <v>0</v>
      </c>
      <c r="AX55">
        <f>Inputs!$F$8*Inputs!$J$70*HelperFunctions!$H51</f>
        <v>0</v>
      </c>
      <c r="AY55">
        <f>Inputs!$F$8*Inputs!$J$71*HelperFunctions!$H50</f>
        <v>0</v>
      </c>
      <c r="AZ55">
        <f>Inputs!$F$8*Inputs!$J$72*HelperFunctions!$H63</f>
        <v>0</v>
      </c>
      <c r="BA55">
        <f>Inputs!$F$8*Inputs!$J$73*HelperFunctions!$H62</f>
        <v>0</v>
      </c>
      <c r="BB55">
        <f>Inputs!$F$8*Inputs!$J$74*HelperFunctions!$H61</f>
        <v>0</v>
      </c>
      <c r="BC55">
        <f>Inputs!$F$8*Inputs!$J$75*HelperFunctions!$H60</f>
        <v>0</v>
      </c>
      <c r="BD55">
        <f>Inputs!$F$8*Inputs!$J$76*HelperFunctions!$H59</f>
        <v>0</v>
      </c>
      <c r="BE55" s="93"/>
      <c r="BF55" s="93"/>
      <c r="BG55" s="93"/>
      <c r="BH55" s="93"/>
      <c r="BI55" s="93"/>
      <c r="BJ55" s="93"/>
      <c r="BK55" s="94"/>
    </row>
    <row r="56" spans="2:63" x14ac:dyDescent="0.35">
      <c r="B56" s="87">
        <v>4</v>
      </c>
      <c r="C56" t="str">
        <f>Inputs!I77</f>
        <v/>
      </c>
      <c r="D56">
        <f>Inputs!$F$8*Inputs!$J$22*HelperFunctions!$H$14</f>
        <v>0</v>
      </c>
      <c r="E56">
        <f>Inputs!$F$8*Inputs!$J$23*HelperFunctions!$H$14</f>
        <v>0</v>
      </c>
      <c r="F56">
        <f>Inputs!$F$8*Inputs!$J$24*HelperFunctions!$H$14</f>
        <v>0</v>
      </c>
      <c r="G56">
        <f>Inputs!$F$8*Inputs!$J$25*HelperFunctions!$H$14</f>
        <v>0</v>
      </c>
      <c r="H56">
        <f>Inputs!$F$8*Inputs!$J$26*HelperFunctions!$H$14</f>
        <v>0</v>
      </c>
      <c r="I56">
        <f>Inputs!$F$8*Inputs!$J$27*HelperFunctions!$H$14</f>
        <v>0</v>
      </c>
      <c r="J56">
        <f>Inputs!$F$8*Inputs!$J$28*HelperFunctions!$H$14</f>
        <v>0</v>
      </c>
      <c r="K56">
        <f>Inputs!$F$8*Inputs!$J$29*HelperFunctions!$H$14</f>
        <v>0</v>
      </c>
      <c r="L56">
        <f>Inputs!$F$8*Inputs!$J$30*HelperFunctions!$H$14</f>
        <v>0</v>
      </c>
      <c r="M56">
        <f>Inputs!$F$8*Inputs!$J$31*HelperFunctions!$H$14</f>
        <v>0</v>
      </c>
      <c r="N56">
        <f>Inputs!$F$8*Inputs!$J$32*HelperFunctions!$H$14</f>
        <v>0</v>
      </c>
      <c r="O56">
        <f>Inputs!$F$8*Inputs!$J$33*HelperFunctions!$H$14</f>
        <v>0</v>
      </c>
      <c r="P56">
        <f>Inputs!$F$8*Inputs!$J$36*HelperFunctions!$H$28</f>
        <v>0</v>
      </c>
      <c r="Q56">
        <f>Inputs!$F$8*Inputs!$J$37*HelperFunctions!$H$28</f>
        <v>0</v>
      </c>
      <c r="R56">
        <f>Inputs!$F$8*Inputs!$J$38*HelperFunctions!$H$28</f>
        <v>0</v>
      </c>
      <c r="S56">
        <f>Inputs!$F$8*Inputs!$J$39*HelperFunctions!$H$28</f>
        <v>0</v>
      </c>
      <c r="T56">
        <f>Inputs!$F$8*Inputs!$J$40*HelperFunctions!$H$28</f>
        <v>0</v>
      </c>
      <c r="U56">
        <f>Inputs!$F$8*Inputs!$J$41*HelperFunctions!$H$28</f>
        <v>0</v>
      </c>
      <c r="V56">
        <f>Inputs!$F$8*Inputs!$J$42*HelperFunctions!$H$28</f>
        <v>0</v>
      </c>
      <c r="W56">
        <f>Inputs!$F$8*Inputs!$J$43*HelperFunctions!$H$28</f>
        <v>0</v>
      </c>
      <c r="X56">
        <f>Inputs!$F$8*Inputs!$J$44*HelperFunctions!$H$28</f>
        <v>0</v>
      </c>
      <c r="Y56">
        <f>Inputs!$F$8*Inputs!$J$45*HelperFunctions!$H$28</f>
        <v>0</v>
      </c>
      <c r="Z56">
        <f>Inputs!$F$8*Inputs!$J$46*HelperFunctions!$H$28</f>
        <v>0</v>
      </c>
      <c r="AA56">
        <f>Inputs!$F$8*Inputs!$J$47*HelperFunctions!$H$28</f>
        <v>0</v>
      </c>
      <c r="AB56">
        <f>Inputs!$F$8*Inputs!$J$48*HelperFunctions!$H$42</f>
        <v>0</v>
      </c>
      <c r="AC56">
        <f>Inputs!$F$8*Inputs!$J$49*HelperFunctions!$H$42</f>
        <v>0</v>
      </c>
      <c r="AD56">
        <f>Inputs!$F$8*Inputs!$J$50*HelperFunctions!$H$42</f>
        <v>0</v>
      </c>
      <c r="AE56">
        <f>Inputs!$F$8*Inputs!$J$51*HelperFunctions!$H$42</f>
        <v>0</v>
      </c>
      <c r="AF56">
        <f>Inputs!$F$8*Inputs!$J$52*HelperFunctions!$H$42</f>
        <v>0</v>
      </c>
      <c r="AG56">
        <f>Inputs!$F$8*Inputs!$J$53*HelperFunctions!$H$42</f>
        <v>0</v>
      </c>
      <c r="AH56">
        <f>Inputs!$F$8*Inputs!$J$54*HelperFunctions!$H$42</f>
        <v>0</v>
      </c>
      <c r="AI56">
        <f>Inputs!$F$8*Inputs!$J$55*HelperFunctions!$H$42</f>
        <v>0</v>
      </c>
      <c r="AJ56">
        <f>Inputs!$F$8*Inputs!$J$56*HelperFunctions!$H$42</f>
        <v>0</v>
      </c>
      <c r="AK56">
        <f>Inputs!$F$8*Inputs!$J$57*HelperFunctions!$H$42</f>
        <v>0</v>
      </c>
      <c r="AL56">
        <f>Inputs!$F$8*Inputs!$J$58*HelperFunctions!$H$42</f>
        <v>0</v>
      </c>
      <c r="AM56">
        <f>Inputs!$F$8*Inputs!$J$59*HelperFunctions!$H$42</f>
        <v>0</v>
      </c>
      <c r="AN56">
        <f>Inputs!$F$8*Inputs!$J$60*HelperFunctions!$H$56</f>
        <v>0</v>
      </c>
      <c r="AO56">
        <f>Inputs!$F$8*Inputs!$J$61*HelperFunctions!$H$56</f>
        <v>0</v>
      </c>
      <c r="AP56">
        <f>Inputs!$F$8*Inputs!$J$62*HelperFunctions!$H$56</f>
        <v>0</v>
      </c>
      <c r="AQ56">
        <f>Inputs!$F$8*Inputs!$J$63*HelperFunctions!$H$56</f>
        <v>0</v>
      </c>
      <c r="AR56">
        <f>Inputs!$F$8*Inputs!$J$64*HelperFunctions!$H$56</f>
        <v>0</v>
      </c>
      <c r="AS56">
        <f>Inputs!$F$8*Inputs!$J$65*HelperFunctions!$H$56</f>
        <v>0</v>
      </c>
      <c r="AT56">
        <f>Inputs!$F$8*Inputs!$J$66*HelperFunctions!$H$56</f>
        <v>0</v>
      </c>
      <c r="AU56">
        <f>Inputs!$F$8*Inputs!$J$67*HelperFunctions!$H55</f>
        <v>0</v>
      </c>
      <c r="AV56">
        <f>Inputs!$F$8*Inputs!$J$68*HelperFunctions!$H54</f>
        <v>0</v>
      </c>
      <c r="AW56">
        <f>Inputs!$F$8*Inputs!$J$69*HelperFunctions!$H53</f>
        <v>0</v>
      </c>
      <c r="AX56">
        <f>Inputs!$F$8*Inputs!$J$70*HelperFunctions!$H52</f>
        <v>0</v>
      </c>
      <c r="AY56">
        <f>Inputs!$F$8*Inputs!$J$71*HelperFunctions!$H51</f>
        <v>0</v>
      </c>
      <c r="AZ56">
        <f>Inputs!$F$8*Inputs!$J$72*HelperFunctions!$H64</f>
        <v>0</v>
      </c>
      <c r="BA56">
        <f>Inputs!$F$8*Inputs!$J$73*HelperFunctions!$H63</f>
        <v>0</v>
      </c>
      <c r="BB56">
        <f>Inputs!$F$8*Inputs!$J$74*HelperFunctions!$H62</f>
        <v>0</v>
      </c>
      <c r="BC56">
        <f>Inputs!$F$8*Inputs!$J$75*HelperFunctions!$H61</f>
        <v>0</v>
      </c>
      <c r="BD56">
        <f>Inputs!$F$8*Inputs!$J$76*HelperFunctions!$H60</f>
        <v>0</v>
      </c>
      <c r="BE56">
        <f>Inputs!$F$8*Inputs!$J$77*HelperFunctions!$H59</f>
        <v>0</v>
      </c>
      <c r="BF56" s="93"/>
      <c r="BG56" s="93"/>
      <c r="BH56" s="93"/>
      <c r="BI56" s="93"/>
      <c r="BJ56" s="93"/>
      <c r="BK56" s="94"/>
    </row>
    <row r="57" spans="2:63" x14ac:dyDescent="0.35">
      <c r="B57" s="87">
        <v>4</v>
      </c>
      <c r="C57" t="str">
        <f>Inputs!I78</f>
        <v/>
      </c>
      <c r="D57">
        <f>Inputs!$F$8*Inputs!$J$22*HelperFunctions!$H$14</f>
        <v>0</v>
      </c>
      <c r="E57">
        <f>Inputs!$F$8*Inputs!$J$23*HelperFunctions!$H$14</f>
        <v>0</v>
      </c>
      <c r="F57">
        <f>Inputs!$F$8*Inputs!$J$24*HelperFunctions!$H$14</f>
        <v>0</v>
      </c>
      <c r="G57">
        <f>Inputs!$F$8*Inputs!$J$25*HelperFunctions!$H$14</f>
        <v>0</v>
      </c>
      <c r="H57">
        <f>Inputs!$F$8*Inputs!$J$26*HelperFunctions!$H$14</f>
        <v>0</v>
      </c>
      <c r="I57">
        <f>Inputs!$F$8*Inputs!$J$27*HelperFunctions!$H$14</f>
        <v>0</v>
      </c>
      <c r="J57">
        <f>Inputs!$F$8*Inputs!$J$28*HelperFunctions!$H$14</f>
        <v>0</v>
      </c>
      <c r="K57">
        <f>Inputs!$F$8*Inputs!$J$29*HelperFunctions!$H$14</f>
        <v>0</v>
      </c>
      <c r="L57">
        <f>Inputs!$F$8*Inputs!$J$30*HelperFunctions!$H$14</f>
        <v>0</v>
      </c>
      <c r="M57">
        <f>Inputs!$F$8*Inputs!$J$31*HelperFunctions!$H$14</f>
        <v>0</v>
      </c>
      <c r="N57">
        <f>Inputs!$F$8*Inputs!$J$32*HelperFunctions!$H$14</f>
        <v>0</v>
      </c>
      <c r="O57">
        <f>Inputs!$F$8*Inputs!$J$33*HelperFunctions!$H$14</f>
        <v>0</v>
      </c>
      <c r="P57">
        <f>Inputs!$F$8*Inputs!$J$36*HelperFunctions!$H$28</f>
        <v>0</v>
      </c>
      <c r="Q57">
        <f>Inputs!$F$8*Inputs!$J$37*HelperFunctions!$H$28</f>
        <v>0</v>
      </c>
      <c r="R57">
        <f>Inputs!$F$8*Inputs!$J$38*HelperFunctions!$H$28</f>
        <v>0</v>
      </c>
      <c r="S57">
        <f>Inputs!$F$8*Inputs!$J$39*HelperFunctions!$H$28</f>
        <v>0</v>
      </c>
      <c r="T57">
        <f>Inputs!$F$8*Inputs!$J$40*HelperFunctions!$H$28</f>
        <v>0</v>
      </c>
      <c r="U57">
        <f>Inputs!$F$8*Inputs!$J$41*HelperFunctions!$H$28</f>
        <v>0</v>
      </c>
      <c r="V57">
        <f>Inputs!$F$8*Inputs!$J$42*HelperFunctions!$H$28</f>
        <v>0</v>
      </c>
      <c r="W57">
        <f>Inputs!$F$8*Inputs!$J$43*HelperFunctions!$H$28</f>
        <v>0</v>
      </c>
      <c r="X57">
        <f>Inputs!$F$8*Inputs!$J$44*HelperFunctions!$H$28</f>
        <v>0</v>
      </c>
      <c r="Y57">
        <f>Inputs!$F$8*Inputs!$J$45*HelperFunctions!$H$28</f>
        <v>0</v>
      </c>
      <c r="Z57">
        <f>Inputs!$F$8*Inputs!$J$46*HelperFunctions!$H$28</f>
        <v>0</v>
      </c>
      <c r="AA57">
        <f>Inputs!$F$8*Inputs!$J$47*HelperFunctions!$H$28</f>
        <v>0</v>
      </c>
      <c r="AB57">
        <f>Inputs!$F$8*Inputs!$J$48*HelperFunctions!$H$42</f>
        <v>0</v>
      </c>
      <c r="AC57">
        <f>Inputs!$F$8*Inputs!$J$49*HelperFunctions!$H$42</f>
        <v>0</v>
      </c>
      <c r="AD57">
        <f>Inputs!$F$8*Inputs!$J$50*HelperFunctions!$H$42</f>
        <v>0</v>
      </c>
      <c r="AE57">
        <f>Inputs!$F$8*Inputs!$J$51*HelperFunctions!$H$42</f>
        <v>0</v>
      </c>
      <c r="AF57">
        <f>Inputs!$F$8*Inputs!$J$52*HelperFunctions!$H$42</f>
        <v>0</v>
      </c>
      <c r="AG57">
        <f>Inputs!$F$8*Inputs!$J$53*HelperFunctions!$H$42</f>
        <v>0</v>
      </c>
      <c r="AH57">
        <f>Inputs!$F$8*Inputs!$J$54*HelperFunctions!$H$42</f>
        <v>0</v>
      </c>
      <c r="AI57">
        <f>Inputs!$F$8*Inputs!$J$55*HelperFunctions!$H$42</f>
        <v>0</v>
      </c>
      <c r="AJ57">
        <f>Inputs!$F$8*Inputs!$J$56*HelperFunctions!$H$42</f>
        <v>0</v>
      </c>
      <c r="AK57">
        <f>Inputs!$F$8*Inputs!$J$57*HelperFunctions!$H$42</f>
        <v>0</v>
      </c>
      <c r="AL57">
        <f>Inputs!$F$8*Inputs!$J$58*HelperFunctions!$H$42</f>
        <v>0</v>
      </c>
      <c r="AM57">
        <f>Inputs!$F$8*Inputs!$J$59*HelperFunctions!$H$42</f>
        <v>0</v>
      </c>
      <c r="AN57">
        <f>Inputs!$F$8*Inputs!$J$60*HelperFunctions!$H$56</f>
        <v>0</v>
      </c>
      <c r="AO57">
        <f>Inputs!$F$8*Inputs!$J$61*HelperFunctions!$H$56</f>
        <v>0</v>
      </c>
      <c r="AP57">
        <f>Inputs!$F$8*Inputs!$J$62*HelperFunctions!$H$56</f>
        <v>0</v>
      </c>
      <c r="AQ57">
        <f>Inputs!$F$8*Inputs!$J$63*HelperFunctions!$H$56</f>
        <v>0</v>
      </c>
      <c r="AR57">
        <f>Inputs!$F$8*Inputs!$J$64*HelperFunctions!$H$56</f>
        <v>0</v>
      </c>
      <c r="AS57">
        <f>Inputs!$F$8*Inputs!$J$65*HelperFunctions!$H$56</f>
        <v>0</v>
      </c>
      <c r="AT57">
        <f>Inputs!$F$8*Inputs!$J$66*HelperFunctions!$H$56</f>
        <v>0</v>
      </c>
      <c r="AU57">
        <f>Inputs!$F$8*Inputs!$J$67*HelperFunctions!$H$56</f>
        <v>0</v>
      </c>
      <c r="AV57">
        <f>Inputs!$F$8*Inputs!$J$68*HelperFunctions!$H55</f>
        <v>0</v>
      </c>
      <c r="AW57">
        <f>Inputs!$F$8*Inputs!$J$69*HelperFunctions!$H54</f>
        <v>0</v>
      </c>
      <c r="AX57">
        <f>Inputs!$F$8*Inputs!$J$70*HelperFunctions!$H53</f>
        <v>0</v>
      </c>
      <c r="AY57">
        <f>Inputs!$F$8*Inputs!$J$71*HelperFunctions!$H52</f>
        <v>0</v>
      </c>
      <c r="AZ57">
        <f>Inputs!$F$8*Inputs!$J$72*HelperFunctions!$H65</f>
        <v>0</v>
      </c>
      <c r="BA57">
        <f>Inputs!$F$8*Inputs!$J$73*HelperFunctions!$H64</f>
        <v>0</v>
      </c>
      <c r="BB57">
        <f>Inputs!$F$8*Inputs!$J$74*HelperFunctions!$H63</f>
        <v>0</v>
      </c>
      <c r="BC57">
        <f>Inputs!$F$8*Inputs!$J$75*HelperFunctions!$H62</f>
        <v>0</v>
      </c>
      <c r="BD57">
        <f>Inputs!$F$8*Inputs!$J$76*HelperFunctions!$H61</f>
        <v>0</v>
      </c>
      <c r="BE57">
        <f>Inputs!$F$8*Inputs!$J$77*HelperFunctions!$H60</f>
        <v>0</v>
      </c>
      <c r="BF57">
        <f>Inputs!$F$8*Inputs!$J$78*HelperFunctions!$H59</f>
        <v>0</v>
      </c>
      <c r="BG57" s="93"/>
      <c r="BH57" s="93"/>
      <c r="BI57" s="93"/>
      <c r="BJ57" s="93"/>
      <c r="BK57" s="94"/>
    </row>
    <row r="58" spans="2:63" x14ac:dyDescent="0.35">
      <c r="B58" s="87">
        <v>4</v>
      </c>
      <c r="C58" t="str">
        <f>Inputs!I79</f>
        <v/>
      </c>
      <c r="D58">
        <f>Inputs!$F$8*Inputs!$J$22*HelperFunctions!$H$14</f>
        <v>0</v>
      </c>
      <c r="E58">
        <f>Inputs!$F$8*Inputs!$J$23*HelperFunctions!$H$14</f>
        <v>0</v>
      </c>
      <c r="F58">
        <f>Inputs!$F$8*Inputs!$J$24*HelperFunctions!$H$14</f>
        <v>0</v>
      </c>
      <c r="G58">
        <f>Inputs!$F$8*Inputs!$J$25*HelperFunctions!$H$14</f>
        <v>0</v>
      </c>
      <c r="H58">
        <f>Inputs!$F$8*Inputs!$J$26*HelperFunctions!$H$14</f>
        <v>0</v>
      </c>
      <c r="I58">
        <f>Inputs!$F$8*Inputs!$J$27*HelperFunctions!$H$14</f>
        <v>0</v>
      </c>
      <c r="J58">
        <f>Inputs!$F$8*Inputs!$J$28*HelperFunctions!$H$14</f>
        <v>0</v>
      </c>
      <c r="K58">
        <f>Inputs!$F$8*Inputs!$J$29*HelperFunctions!$H$14</f>
        <v>0</v>
      </c>
      <c r="L58">
        <f>Inputs!$F$8*Inputs!$J$30*HelperFunctions!$H$14</f>
        <v>0</v>
      </c>
      <c r="M58">
        <f>Inputs!$F$8*Inputs!$J$31*HelperFunctions!$H$14</f>
        <v>0</v>
      </c>
      <c r="N58">
        <f>Inputs!$F$8*Inputs!$J$32*HelperFunctions!$H$14</f>
        <v>0</v>
      </c>
      <c r="O58">
        <f>Inputs!$F$8*Inputs!$J$33*HelperFunctions!$H$14</f>
        <v>0</v>
      </c>
      <c r="P58">
        <f>Inputs!$F$8*Inputs!$J$36*HelperFunctions!$H$28</f>
        <v>0</v>
      </c>
      <c r="Q58">
        <f>Inputs!$F$8*Inputs!$J$37*HelperFunctions!$H$28</f>
        <v>0</v>
      </c>
      <c r="R58">
        <f>Inputs!$F$8*Inputs!$J$38*HelperFunctions!$H$28</f>
        <v>0</v>
      </c>
      <c r="S58">
        <f>Inputs!$F$8*Inputs!$J$39*HelperFunctions!$H$28</f>
        <v>0</v>
      </c>
      <c r="T58">
        <f>Inputs!$F$8*Inputs!$J$40*HelperFunctions!$H$28</f>
        <v>0</v>
      </c>
      <c r="U58">
        <f>Inputs!$F$8*Inputs!$J$41*HelperFunctions!$H$28</f>
        <v>0</v>
      </c>
      <c r="V58">
        <f>Inputs!$F$8*Inputs!$J$42*HelperFunctions!$H$28</f>
        <v>0</v>
      </c>
      <c r="W58">
        <f>Inputs!$F$8*Inputs!$J$43*HelperFunctions!$H$28</f>
        <v>0</v>
      </c>
      <c r="X58">
        <f>Inputs!$F$8*Inputs!$J$44*HelperFunctions!$H$28</f>
        <v>0</v>
      </c>
      <c r="Y58">
        <f>Inputs!$F$8*Inputs!$J$45*HelperFunctions!$H$28</f>
        <v>0</v>
      </c>
      <c r="Z58">
        <f>Inputs!$F$8*Inputs!$J$46*HelperFunctions!$H$28</f>
        <v>0</v>
      </c>
      <c r="AA58">
        <f>Inputs!$F$8*Inputs!$J$47*HelperFunctions!$H$28</f>
        <v>0</v>
      </c>
      <c r="AB58">
        <f>Inputs!$F$8*Inputs!$J$48*HelperFunctions!$H$42</f>
        <v>0</v>
      </c>
      <c r="AC58">
        <f>Inputs!$F$8*Inputs!$J$49*HelperFunctions!$H$42</f>
        <v>0</v>
      </c>
      <c r="AD58">
        <f>Inputs!$F$8*Inputs!$J$50*HelperFunctions!$H$42</f>
        <v>0</v>
      </c>
      <c r="AE58">
        <f>Inputs!$F$8*Inputs!$J$51*HelperFunctions!$H$42</f>
        <v>0</v>
      </c>
      <c r="AF58">
        <f>Inputs!$F$8*Inputs!$J$52*HelperFunctions!$H$42</f>
        <v>0</v>
      </c>
      <c r="AG58">
        <f>Inputs!$F$8*Inputs!$J$53*HelperFunctions!$H$42</f>
        <v>0</v>
      </c>
      <c r="AH58">
        <f>Inputs!$F$8*Inputs!$J$54*HelperFunctions!$H$42</f>
        <v>0</v>
      </c>
      <c r="AI58">
        <f>Inputs!$F$8*Inputs!$J$55*HelperFunctions!$H$42</f>
        <v>0</v>
      </c>
      <c r="AJ58">
        <f>Inputs!$F$8*Inputs!$J$56*HelperFunctions!$H$42</f>
        <v>0</v>
      </c>
      <c r="AK58">
        <f>Inputs!$F$8*Inputs!$J$57*HelperFunctions!$H$42</f>
        <v>0</v>
      </c>
      <c r="AL58">
        <f>Inputs!$F$8*Inputs!$J$58*HelperFunctions!$H$42</f>
        <v>0</v>
      </c>
      <c r="AM58">
        <f>Inputs!$F$8*Inputs!$J$59*HelperFunctions!$H$42</f>
        <v>0</v>
      </c>
      <c r="AN58">
        <f>Inputs!$F$8*Inputs!$J$60*HelperFunctions!$H$56</f>
        <v>0</v>
      </c>
      <c r="AO58">
        <f>Inputs!$F$8*Inputs!$J$61*HelperFunctions!$H$56</f>
        <v>0</v>
      </c>
      <c r="AP58">
        <f>Inputs!$F$8*Inputs!$J$62*HelperFunctions!$H$56</f>
        <v>0</v>
      </c>
      <c r="AQ58">
        <f>Inputs!$F$8*Inputs!$J$63*HelperFunctions!$H$56</f>
        <v>0</v>
      </c>
      <c r="AR58">
        <f>Inputs!$F$8*Inputs!$J$64*HelperFunctions!$H$56</f>
        <v>0</v>
      </c>
      <c r="AS58">
        <f>Inputs!$F$8*Inputs!$J$65*HelperFunctions!$H$56</f>
        <v>0</v>
      </c>
      <c r="AT58">
        <f>Inputs!$F$8*Inputs!$J$66*HelperFunctions!$H$56</f>
        <v>0</v>
      </c>
      <c r="AU58">
        <f>Inputs!$F$8*Inputs!$J$67*HelperFunctions!$H$56</f>
        <v>0</v>
      </c>
      <c r="AV58">
        <f>Inputs!$F$8*Inputs!$J$68*HelperFunctions!$H$56</f>
        <v>0</v>
      </c>
      <c r="AW58">
        <f>Inputs!$F$8*Inputs!$J$69*HelperFunctions!$H55</f>
        <v>0</v>
      </c>
      <c r="AX58">
        <f>Inputs!$F$8*Inputs!$J$70*HelperFunctions!$H54</f>
        <v>0</v>
      </c>
      <c r="AY58">
        <f>Inputs!$F$8*Inputs!$J$71*HelperFunctions!$H53</f>
        <v>0</v>
      </c>
      <c r="AZ58">
        <f>Inputs!$F$8*Inputs!$J$72*HelperFunctions!$H66</f>
        <v>0</v>
      </c>
      <c r="BA58">
        <f>Inputs!$F$8*Inputs!$J$73*HelperFunctions!$H65</f>
        <v>0</v>
      </c>
      <c r="BB58">
        <f>Inputs!$F$8*Inputs!$J$74*HelperFunctions!$H64</f>
        <v>0</v>
      </c>
      <c r="BC58">
        <f>Inputs!$F$8*Inputs!$J$75*HelperFunctions!$H63</f>
        <v>0</v>
      </c>
      <c r="BD58">
        <f>Inputs!$F$8*Inputs!$J$76*HelperFunctions!$H62</f>
        <v>0</v>
      </c>
      <c r="BE58">
        <f>Inputs!$F$8*Inputs!$J$77*HelperFunctions!$H61</f>
        <v>0</v>
      </c>
      <c r="BF58">
        <f>Inputs!$F$8*Inputs!$J$78*HelperFunctions!$H60</f>
        <v>0</v>
      </c>
      <c r="BG58">
        <f>Inputs!$F$8*Inputs!$J$79*HelperFunctions!$H59</f>
        <v>0</v>
      </c>
      <c r="BH58" s="93"/>
      <c r="BI58" s="93"/>
      <c r="BJ58" s="93"/>
      <c r="BK58" s="94"/>
    </row>
    <row r="59" spans="2:63" x14ac:dyDescent="0.35">
      <c r="B59" s="87">
        <v>4</v>
      </c>
      <c r="C59" t="str">
        <f>Inputs!I80</f>
        <v/>
      </c>
      <c r="D59">
        <f>Inputs!$F$8*Inputs!$J$22*HelperFunctions!$H$14</f>
        <v>0</v>
      </c>
      <c r="E59">
        <f>Inputs!$F$8*Inputs!$J$23*HelperFunctions!$H$14</f>
        <v>0</v>
      </c>
      <c r="F59">
        <f>Inputs!$F$8*Inputs!$J$24*HelperFunctions!$H$14</f>
        <v>0</v>
      </c>
      <c r="G59">
        <f>Inputs!$F$8*Inputs!$J$25*HelperFunctions!$H$14</f>
        <v>0</v>
      </c>
      <c r="H59">
        <f>Inputs!$F$8*Inputs!$J$26*HelperFunctions!$H$14</f>
        <v>0</v>
      </c>
      <c r="I59">
        <f>Inputs!$F$8*Inputs!$J$27*HelperFunctions!$H$14</f>
        <v>0</v>
      </c>
      <c r="J59">
        <f>Inputs!$F$8*Inputs!$J$28*HelperFunctions!$H$14</f>
        <v>0</v>
      </c>
      <c r="K59">
        <f>Inputs!$F$8*Inputs!$J$29*HelperFunctions!$H$14</f>
        <v>0</v>
      </c>
      <c r="L59">
        <f>Inputs!$F$8*Inputs!$J$30*HelperFunctions!$H$14</f>
        <v>0</v>
      </c>
      <c r="M59">
        <f>Inputs!$F$8*Inputs!$J$31*HelperFunctions!$H$14</f>
        <v>0</v>
      </c>
      <c r="N59">
        <f>Inputs!$F$8*Inputs!$J$32*HelperFunctions!$H$14</f>
        <v>0</v>
      </c>
      <c r="O59">
        <f>Inputs!$F$8*Inputs!$J$33*HelperFunctions!$H$14</f>
        <v>0</v>
      </c>
      <c r="P59">
        <f>Inputs!$F$8*Inputs!$J$36*HelperFunctions!$H$28</f>
        <v>0</v>
      </c>
      <c r="Q59">
        <f>Inputs!$F$8*Inputs!$J$37*HelperFunctions!$H$28</f>
        <v>0</v>
      </c>
      <c r="R59">
        <f>Inputs!$F$8*Inputs!$J$38*HelperFunctions!$H$28</f>
        <v>0</v>
      </c>
      <c r="S59">
        <f>Inputs!$F$8*Inputs!$J$39*HelperFunctions!$H$28</f>
        <v>0</v>
      </c>
      <c r="T59">
        <f>Inputs!$F$8*Inputs!$J$40*HelperFunctions!$H$28</f>
        <v>0</v>
      </c>
      <c r="U59">
        <f>Inputs!$F$8*Inputs!$J$41*HelperFunctions!$H$28</f>
        <v>0</v>
      </c>
      <c r="V59">
        <f>Inputs!$F$8*Inputs!$J$42*HelperFunctions!$H$28</f>
        <v>0</v>
      </c>
      <c r="W59">
        <f>Inputs!$F$8*Inputs!$J$43*HelperFunctions!$H$28</f>
        <v>0</v>
      </c>
      <c r="X59">
        <f>Inputs!$F$8*Inputs!$J$44*HelperFunctions!$H$28</f>
        <v>0</v>
      </c>
      <c r="Y59">
        <f>Inputs!$F$8*Inputs!$J$45*HelperFunctions!$H$28</f>
        <v>0</v>
      </c>
      <c r="Z59">
        <f>Inputs!$F$8*Inputs!$J$46*HelperFunctions!$H$28</f>
        <v>0</v>
      </c>
      <c r="AA59">
        <f>Inputs!$F$8*Inputs!$J$47*HelperFunctions!$H$28</f>
        <v>0</v>
      </c>
      <c r="AB59">
        <f>Inputs!$F$8*Inputs!$J$48*HelperFunctions!$H$42</f>
        <v>0</v>
      </c>
      <c r="AC59">
        <f>Inputs!$F$8*Inputs!$J$49*HelperFunctions!$H$42</f>
        <v>0</v>
      </c>
      <c r="AD59">
        <f>Inputs!$F$8*Inputs!$J$50*HelperFunctions!$H$42</f>
        <v>0</v>
      </c>
      <c r="AE59">
        <f>Inputs!$F$8*Inputs!$J$51*HelperFunctions!$H$42</f>
        <v>0</v>
      </c>
      <c r="AF59">
        <f>Inputs!$F$8*Inputs!$J$52*HelperFunctions!$H$42</f>
        <v>0</v>
      </c>
      <c r="AG59">
        <f>Inputs!$F$8*Inputs!$J$53*HelperFunctions!$H$42</f>
        <v>0</v>
      </c>
      <c r="AH59">
        <f>Inputs!$F$8*Inputs!$J$54*HelperFunctions!$H$42</f>
        <v>0</v>
      </c>
      <c r="AI59">
        <f>Inputs!$F$8*Inputs!$J$55*HelperFunctions!$H$42</f>
        <v>0</v>
      </c>
      <c r="AJ59">
        <f>Inputs!$F$8*Inputs!$J$56*HelperFunctions!$H$42</f>
        <v>0</v>
      </c>
      <c r="AK59">
        <f>Inputs!$F$8*Inputs!$J$57*HelperFunctions!$H$42</f>
        <v>0</v>
      </c>
      <c r="AL59">
        <f>Inputs!$F$8*Inputs!$J$58*HelperFunctions!$H$42</f>
        <v>0</v>
      </c>
      <c r="AM59">
        <f>Inputs!$F$8*Inputs!$J$59*HelperFunctions!$H$42</f>
        <v>0</v>
      </c>
      <c r="AN59">
        <f>Inputs!$F$8*Inputs!$J$60*HelperFunctions!$H$56</f>
        <v>0</v>
      </c>
      <c r="AO59">
        <f>Inputs!$F$8*Inputs!$J$61*HelperFunctions!$H$56</f>
        <v>0</v>
      </c>
      <c r="AP59">
        <f>Inputs!$F$8*Inputs!$J$62*HelperFunctions!$H$56</f>
        <v>0</v>
      </c>
      <c r="AQ59">
        <f>Inputs!$F$8*Inputs!$J$63*HelperFunctions!$H$56</f>
        <v>0</v>
      </c>
      <c r="AR59">
        <f>Inputs!$F$8*Inputs!$J$64*HelperFunctions!$H$56</f>
        <v>0</v>
      </c>
      <c r="AS59">
        <f>Inputs!$F$8*Inputs!$J$65*HelperFunctions!$H$56</f>
        <v>0</v>
      </c>
      <c r="AT59">
        <f>Inputs!$F$8*Inputs!$J$66*HelperFunctions!$H$56</f>
        <v>0</v>
      </c>
      <c r="AU59">
        <f>Inputs!$F$8*Inputs!$J$67*HelperFunctions!$H$56</f>
        <v>0</v>
      </c>
      <c r="AV59">
        <f>Inputs!$F$8*Inputs!$J$68*HelperFunctions!$H$56</f>
        <v>0</v>
      </c>
      <c r="AW59">
        <f>Inputs!$F$8*Inputs!$J$69*HelperFunctions!$H$56</f>
        <v>0</v>
      </c>
      <c r="AX59">
        <f>Inputs!$F$8*Inputs!$J$70*HelperFunctions!$H55</f>
        <v>0</v>
      </c>
      <c r="AY59">
        <f>Inputs!$F$8*Inputs!$J$71*HelperFunctions!$H54</f>
        <v>0</v>
      </c>
      <c r="AZ59">
        <f>Inputs!$F$8*Inputs!$J$72*HelperFunctions!$H67</f>
        <v>0</v>
      </c>
      <c r="BA59">
        <f>Inputs!$F$8*Inputs!$J$73*HelperFunctions!$H66</f>
        <v>0</v>
      </c>
      <c r="BB59">
        <f>Inputs!$F$8*Inputs!$J$74*HelperFunctions!$H65</f>
        <v>0</v>
      </c>
      <c r="BC59">
        <f>Inputs!$F$8*Inputs!$J$75*HelperFunctions!$H64</f>
        <v>0</v>
      </c>
      <c r="BD59">
        <f>Inputs!$F$8*Inputs!$J$76*HelperFunctions!$H63</f>
        <v>0</v>
      </c>
      <c r="BE59">
        <f>Inputs!$F$8*Inputs!$J$77*HelperFunctions!$H62</f>
        <v>0</v>
      </c>
      <c r="BF59">
        <f>Inputs!$F$8*Inputs!$J$78*HelperFunctions!$H61</f>
        <v>0</v>
      </c>
      <c r="BG59">
        <f>Inputs!$F$8*Inputs!$J$79*HelperFunctions!$H60</f>
        <v>0</v>
      </c>
      <c r="BH59">
        <f>Inputs!$F$8*Inputs!$J$80*HelperFunctions!$H59</f>
        <v>0</v>
      </c>
      <c r="BI59" s="93"/>
      <c r="BJ59" s="93"/>
      <c r="BK59" s="94"/>
    </row>
    <row r="60" spans="2:63" x14ac:dyDescent="0.35">
      <c r="B60" s="87">
        <v>4</v>
      </c>
      <c r="C60" t="str">
        <f>Inputs!I81</f>
        <v/>
      </c>
      <c r="D60">
        <f>Inputs!$F$8*Inputs!$J$22*HelperFunctions!$H$14</f>
        <v>0</v>
      </c>
      <c r="E60">
        <f>Inputs!$F$8*Inputs!$J$23*HelperFunctions!$H$14</f>
        <v>0</v>
      </c>
      <c r="F60">
        <f>Inputs!$F$8*Inputs!$J$24*HelperFunctions!$H$14</f>
        <v>0</v>
      </c>
      <c r="G60">
        <f>Inputs!$F$8*Inputs!$J$25*HelperFunctions!$H$14</f>
        <v>0</v>
      </c>
      <c r="H60">
        <f>Inputs!$F$8*Inputs!$J$26*HelperFunctions!$H$14</f>
        <v>0</v>
      </c>
      <c r="I60">
        <f>Inputs!$F$8*Inputs!$J$27*HelperFunctions!$H$14</f>
        <v>0</v>
      </c>
      <c r="J60">
        <f>Inputs!$F$8*Inputs!$J$28*HelperFunctions!$H$14</f>
        <v>0</v>
      </c>
      <c r="K60">
        <f>Inputs!$F$8*Inputs!$J$29*HelperFunctions!$H$14</f>
        <v>0</v>
      </c>
      <c r="L60">
        <f>Inputs!$F$8*Inputs!$J$30*HelperFunctions!$H$14</f>
        <v>0</v>
      </c>
      <c r="M60">
        <f>Inputs!$F$8*Inputs!$J$31*HelperFunctions!$H$14</f>
        <v>0</v>
      </c>
      <c r="N60">
        <f>Inputs!$F$8*Inputs!$J$32*HelperFunctions!$H$14</f>
        <v>0</v>
      </c>
      <c r="O60">
        <f>Inputs!$F$8*Inputs!$J$33*HelperFunctions!$H$14</f>
        <v>0</v>
      </c>
      <c r="P60">
        <f>Inputs!$F$8*Inputs!$J$36*HelperFunctions!$H$28</f>
        <v>0</v>
      </c>
      <c r="Q60">
        <f>Inputs!$F$8*Inputs!$J$37*HelperFunctions!$H$28</f>
        <v>0</v>
      </c>
      <c r="R60">
        <f>Inputs!$F$8*Inputs!$J$38*HelperFunctions!$H$28</f>
        <v>0</v>
      </c>
      <c r="S60">
        <f>Inputs!$F$8*Inputs!$J$39*HelperFunctions!$H$28</f>
        <v>0</v>
      </c>
      <c r="T60">
        <f>Inputs!$F$8*Inputs!$J$40*HelperFunctions!$H$28</f>
        <v>0</v>
      </c>
      <c r="U60">
        <f>Inputs!$F$8*Inputs!$J$41*HelperFunctions!$H$28</f>
        <v>0</v>
      </c>
      <c r="V60">
        <f>Inputs!$F$8*Inputs!$J$42*HelperFunctions!$H$28</f>
        <v>0</v>
      </c>
      <c r="W60">
        <f>Inputs!$F$8*Inputs!$J$43*HelperFunctions!$H$28</f>
        <v>0</v>
      </c>
      <c r="X60">
        <f>Inputs!$F$8*Inputs!$J$44*HelperFunctions!$H$28</f>
        <v>0</v>
      </c>
      <c r="Y60">
        <f>Inputs!$F$8*Inputs!$J$45*HelperFunctions!$H$28</f>
        <v>0</v>
      </c>
      <c r="Z60">
        <f>Inputs!$F$8*Inputs!$J$46*HelperFunctions!$H$28</f>
        <v>0</v>
      </c>
      <c r="AA60">
        <f>Inputs!$F$8*Inputs!$J$47*HelperFunctions!$H$28</f>
        <v>0</v>
      </c>
      <c r="AB60">
        <f>Inputs!$F$8*Inputs!$J$48*HelperFunctions!$H$42</f>
        <v>0</v>
      </c>
      <c r="AC60">
        <f>Inputs!$F$8*Inputs!$J$49*HelperFunctions!$H$42</f>
        <v>0</v>
      </c>
      <c r="AD60">
        <f>Inputs!$F$8*Inputs!$J$50*HelperFunctions!$H$42</f>
        <v>0</v>
      </c>
      <c r="AE60">
        <f>Inputs!$F$8*Inputs!$J$51*HelperFunctions!$H$42</f>
        <v>0</v>
      </c>
      <c r="AF60">
        <f>Inputs!$F$8*Inputs!$J$52*HelperFunctions!$H$42</f>
        <v>0</v>
      </c>
      <c r="AG60">
        <f>Inputs!$F$8*Inputs!$J$53*HelperFunctions!$H$42</f>
        <v>0</v>
      </c>
      <c r="AH60">
        <f>Inputs!$F$8*Inputs!$J$54*HelperFunctions!$H$42</f>
        <v>0</v>
      </c>
      <c r="AI60">
        <f>Inputs!$F$8*Inputs!$J$55*HelperFunctions!$H$42</f>
        <v>0</v>
      </c>
      <c r="AJ60">
        <f>Inputs!$F$8*Inputs!$J$56*HelperFunctions!$H$42</f>
        <v>0</v>
      </c>
      <c r="AK60">
        <f>Inputs!$F$8*Inputs!$J$57*HelperFunctions!$H$42</f>
        <v>0</v>
      </c>
      <c r="AL60">
        <f>Inputs!$F$8*Inputs!$J$58*HelperFunctions!$H$42</f>
        <v>0</v>
      </c>
      <c r="AM60">
        <f>Inputs!$F$8*Inputs!$J$59*HelperFunctions!$H$42</f>
        <v>0</v>
      </c>
      <c r="AN60">
        <f>Inputs!$F$8*Inputs!$J$60*HelperFunctions!$H$56</f>
        <v>0</v>
      </c>
      <c r="AO60">
        <f>Inputs!$F$8*Inputs!$J$61*HelperFunctions!$H$56</f>
        <v>0</v>
      </c>
      <c r="AP60">
        <f>Inputs!$F$8*Inputs!$J$62*HelperFunctions!$H$56</f>
        <v>0</v>
      </c>
      <c r="AQ60">
        <f>Inputs!$F$8*Inputs!$J$63*HelperFunctions!$H$56</f>
        <v>0</v>
      </c>
      <c r="AR60">
        <f>Inputs!$F$8*Inputs!$J$64*HelperFunctions!$H$56</f>
        <v>0</v>
      </c>
      <c r="AS60">
        <f>Inputs!$F$8*Inputs!$J$65*HelperFunctions!$H$56</f>
        <v>0</v>
      </c>
      <c r="AT60">
        <f>Inputs!$F$8*Inputs!$J$66*HelperFunctions!$H$56</f>
        <v>0</v>
      </c>
      <c r="AU60">
        <f>Inputs!$F$8*Inputs!$J$67*HelperFunctions!$H$56</f>
        <v>0</v>
      </c>
      <c r="AV60">
        <f>Inputs!$F$8*Inputs!$J$68*HelperFunctions!$H$56</f>
        <v>0</v>
      </c>
      <c r="AW60">
        <f>Inputs!$F$8*Inputs!$J$69*HelperFunctions!$H$56</f>
        <v>0</v>
      </c>
      <c r="AX60">
        <f>Inputs!$F$8*Inputs!$J$70*HelperFunctions!$H$56</f>
        <v>0</v>
      </c>
      <c r="AY60">
        <f>Inputs!$F$8*Inputs!$J$71*HelperFunctions!$H55</f>
        <v>0</v>
      </c>
      <c r="AZ60">
        <f>Inputs!$F$8*Inputs!$J$72*HelperFunctions!$H68</f>
        <v>0</v>
      </c>
      <c r="BA60">
        <f>Inputs!$F$8*Inputs!$J$73*HelperFunctions!$H67</f>
        <v>0</v>
      </c>
      <c r="BB60">
        <f>Inputs!$F$8*Inputs!$J$74*HelperFunctions!$H66</f>
        <v>0</v>
      </c>
      <c r="BC60">
        <f>Inputs!$F$8*Inputs!$J$75*HelperFunctions!$H65</f>
        <v>0</v>
      </c>
      <c r="BD60">
        <f>Inputs!$F$8*Inputs!$J$76*HelperFunctions!$H64</f>
        <v>0</v>
      </c>
      <c r="BE60">
        <f>Inputs!$F$8*Inputs!$J$77*HelperFunctions!$H63</f>
        <v>0</v>
      </c>
      <c r="BF60">
        <f>Inputs!$F$8*Inputs!$J$78*HelperFunctions!$H62</f>
        <v>0</v>
      </c>
      <c r="BG60">
        <f>Inputs!$F$8*Inputs!$J$79*HelperFunctions!$H61</f>
        <v>0</v>
      </c>
      <c r="BH60">
        <f>Inputs!$F$8*Inputs!$J$80*HelperFunctions!$H60</f>
        <v>0</v>
      </c>
      <c r="BI60">
        <f>Inputs!$F$8*Inputs!$J$81*HelperFunctions!$H59</f>
        <v>0</v>
      </c>
      <c r="BJ60" s="93"/>
      <c r="BK60" s="94"/>
    </row>
    <row r="61" spans="2:63" x14ac:dyDescent="0.35">
      <c r="B61" s="87">
        <v>4</v>
      </c>
      <c r="C61" t="str">
        <f>Inputs!I82</f>
        <v/>
      </c>
      <c r="D61">
        <f>Inputs!$F$8*Inputs!$J$22*HelperFunctions!$H$14</f>
        <v>0</v>
      </c>
      <c r="E61">
        <f>Inputs!$F$8*Inputs!$J$23*HelperFunctions!$H$14</f>
        <v>0</v>
      </c>
      <c r="F61">
        <f>Inputs!$F$8*Inputs!$J$24*HelperFunctions!$H$14</f>
        <v>0</v>
      </c>
      <c r="G61">
        <f>Inputs!$F$8*Inputs!$J$25*HelperFunctions!$H$14</f>
        <v>0</v>
      </c>
      <c r="H61">
        <f>Inputs!$F$8*Inputs!$J$26*HelperFunctions!$H$14</f>
        <v>0</v>
      </c>
      <c r="I61">
        <f>Inputs!$F$8*Inputs!$J$27*HelperFunctions!$H$14</f>
        <v>0</v>
      </c>
      <c r="J61">
        <f>Inputs!$F$8*Inputs!$J$28*HelperFunctions!$H$14</f>
        <v>0</v>
      </c>
      <c r="K61">
        <f>Inputs!$F$8*Inputs!$J$29*HelperFunctions!$H$14</f>
        <v>0</v>
      </c>
      <c r="L61">
        <f>Inputs!$F$8*Inputs!$J$30*HelperFunctions!$H$14</f>
        <v>0</v>
      </c>
      <c r="M61">
        <f>Inputs!$F$8*Inputs!$J$31*HelperFunctions!$H$14</f>
        <v>0</v>
      </c>
      <c r="N61">
        <f>Inputs!$F$8*Inputs!$J$32*HelperFunctions!$H$14</f>
        <v>0</v>
      </c>
      <c r="O61">
        <f>Inputs!$F$8*Inputs!$J$33*HelperFunctions!$H$14</f>
        <v>0</v>
      </c>
      <c r="P61">
        <f>Inputs!$F$8*Inputs!$J$36*HelperFunctions!$H$28</f>
        <v>0</v>
      </c>
      <c r="Q61">
        <f>Inputs!$F$8*Inputs!$J$37*HelperFunctions!$H$28</f>
        <v>0</v>
      </c>
      <c r="R61">
        <f>Inputs!$F$8*Inputs!$J$38*HelperFunctions!$H$28</f>
        <v>0</v>
      </c>
      <c r="S61">
        <f>Inputs!$F$8*Inputs!$J$39*HelperFunctions!$H$28</f>
        <v>0</v>
      </c>
      <c r="T61">
        <f>Inputs!$F$8*Inputs!$J$40*HelperFunctions!$H$28</f>
        <v>0</v>
      </c>
      <c r="U61">
        <f>Inputs!$F$8*Inputs!$J$41*HelperFunctions!$H$28</f>
        <v>0</v>
      </c>
      <c r="V61">
        <f>Inputs!$F$8*Inputs!$J$42*HelperFunctions!$H$28</f>
        <v>0</v>
      </c>
      <c r="W61">
        <f>Inputs!$F$8*Inputs!$J$43*HelperFunctions!$H$28</f>
        <v>0</v>
      </c>
      <c r="X61">
        <f>Inputs!$F$8*Inputs!$J$44*HelperFunctions!$H$28</f>
        <v>0</v>
      </c>
      <c r="Y61">
        <f>Inputs!$F$8*Inputs!$J$45*HelperFunctions!$H$28</f>
        <v>0</v>
      </c>
      <c r="Z61">
        <f>Inputs!$F$8*Inputs!$J$46*HelperFunctions!$H$28</f>
        <v>0</v>
      </c>
      <c r="AA61">
        <f>Inputs!$F$8*Inputs!$J$47*HelperFunctions!$H$28</f>
        <v>0</v>
      </c>
      <c r="AB61">
        <f>Inputs!$F$8*Inputs!$J$48*HelperFunctions!$H$42</f>
        <v>0</v>
      </c>
      <c r="AC61">
        <f>Inputs!$F$8*Inputs!$J$49*HelperFunctions!$H$42</f>
        <v>0</v>
      </c>
      <c r="AD61">
        <f>Inputs!$F$8*Inputs!$J$50*HelperFunctions!$H$42</f>
        <v>0</v>
      </c>
      <c r="AE61">
        <f>Inputs!$F$8*Inputs!$J$51*HelperFunctions!$H$42</f>
        <v>0</v>
      </c>
      <c r="AF61">
        <f>Inputs!$F$8*Inputs!$J$52*HelperFunctions!$H$42</f>
        <v>0</v>
      </c>
      <c r="AG61">
        <f>Inputs!$F$8*Inputs!$J$53*HelperFunctions!$H$42</f>
        <v>0</v>
      </c>
      <c r="AH61">
        <f>Inputs!$F$8*Inputs!$J$54*HelperFunctions!$H$42</f>
        <v>0</v>
      </c>
      <c r="AI61">
        <f>Inputs!$F$8*Inputs!$J$55*HelperFunctions!$H$42</f>
        <v>0</v>
      </c>
      <c r="AJ61">
        <f>Inputs!$F$8*Inputs!$J$56*HelperFunctions!$H$42</f>
        <v>0</v>
      </c>
      <c r="AK61">
        <f>Inputs!$F$8*Inputs!$J$57*HelperFunctions!$H$42</f>
        <v>0</v>
      </c>
      <c r="AL61">
        <f>Inputs!$F$8*Inputs!$J$58*HelperFunctions!$H$42</f>
        <v>0</v>
      </c>
      <c r="AM61">
        <f>Inputs!$F$8*Inputs!$J$59*HelperFunctions!$H$42</f>
        <v>0</v>
      </c>
      <c r="AN61">
        <f>Inputs!$F$8*Inputs!$J$60*HelperFunctions!$H$56</f>
        <v>0</v>
      </c>
      <c r="AO61">
        <f>Inputs!$F$8*Inputs!$J$61*HelperFunctions!$H$56</f>
        <v>0</v>
      </c>
      <c r="AP61">
        <f>Inputs!$F$8*Inputs!$J$62*HelperFunctions!$H$56</f>
        <v>0</v>
      </c>
      <c r="AQ61">
        <f>Inputs!$F$8*Inputs!$J$63*HelperFunctions!$H$56</f>
        <v>0</v>
      </c>
      <c r="AR61">
        <f>Inputs!$F$8*Inputs!$J$64*HelperFunctions!$H$56</f>
        <v>0</v>
      </c>
      <c r="AS61">
        <f>Inputs!$F$8*Inputs!$J$65*HelperFunctions!$H$56</f>
        <v>0</v>
      </c>
      <c r="AT61">
        <f>Inputs!$F$8*Inputs!$J$66*HelperFunctions!$H$56</f>
        <v>0</v>
      </c>
      <c r="AU61">
        <f>Inputs!$F$8*Inputs!$J$67*HelperFunctions!$H$56</f>
        <v>0</v>
      </c>
      <c r="AV61">
        <f>Inputs!$F$8*Inputs!$J$68*HelperFunctions!$H$56</f>
        <v>0</v>
      </c>
      <c r="AW61">
        <f>Inputs!$F$8*Inputs!$J$69*HelperFunctions!$H$56</f>
        <v>0</v>
      </c>
      <c r="AX61">
        <f>Inputs!$F$8*Inputs!$J$70*HelperFunctions!$H$56</f>
        <v>0</v>
      </c>
      <c r="AY61">
        <f>Inputs!$F$8*Inputs!$J$71*HelperFunctions!$H$56</f>
        <v>0</v>
      </c>
      <c r="AZ61">
        <f>Inputs!$F$8*Inputs!$J$72*HelperFunctions!$H69</f>
        <v>0</v>
      </c>
      <c r="BA61">
        <f>Inputs!$F$8*Inputs!$J$73*HelperFunctions!$H68</f>
        <v>0</v>
      </c>
      <c r="BB61">
        <f>Inputs!$F$8*Inputs!$J$74*HelperFunctions!$H67</f>
        <v>0</v>
      </c>
      <c r="BC61">
        <f>Inputs!$F$8*Inputs!$J$75*HelperFunctions!$H66</f>
        <v>0</v>
      </c>
      <c r="BD61">
        <f>Inputs!$F$8*Inputs!$J$76*HelperFunctions!$H65</f>
        <v>0</v>
      </c>
      <c r="BE61">
        <f>Inputs!$F$8*Inputs!$J$77*HelperFunctions!$H64</f>
        <v>0</v>
      </c>
      <c r="BF61">
        <f>Inputs!$F$8*Inputs!$J$78*HelperFunctions!$H63</f>
        <v>0</v>
      </c>
      <c r="BG61">
        <f>Inputs!$F$8*Inputs!$J$79*HelperFunctions!$H62</f>
        <v>0</v>
      </c>
      <c r="BH61">
        <f>Inputs!$F$8*Inputs!$J$80*HelperFunctions!$H61</f>
        <v>0</v>
      </c>
      <c r="BI61">
        <f>Inputs!$F$8*Inputs!$J$81*HelperFunctions!$H60</f>
        <v>0</v>
      </c>
      <c r="BJ61">
        <f>Inputs!$F$8*Inputs!$J$82*HelperFunctions!$H59</f>
        <v>0</v>
      </c>
      <c r="BK61" s="94"/>
    </row>
    <row r="62" spans="2:63" ht="15.75" customHeight="1" x14ac:dyDescent="0.35">
      <c r="B62" s="88">
        <v>4</v>
      </c>
      <c r="C62" s="89" t="str">
        <f>Inputs!I83</f>
        <v/>
      </c>
      <c r="D62" s="89">
        <f>Inputs!$F$8*Inputs!$J$22*HelperFunctions!$H$14</f>
        <v>0</v>
      </c>
      <c r="E62" s="89">
        <f>Inputs!$F$8*Inputs!$J$23*HelperFunctions!$H$14</f>
        <v>0</v>
      </c>
      <c r="F62" s="89">
        <f>Inputs!$F$8*Inputs!$J$24*HelperFunctions!$H$14</f>
        <v>0</v>
      </c>
      <c r="G62" s="89">
        <f>Inputs!$F$8*Inputs!$J$25*HelperFunctions!$H$14</f>
        <v>0</v>
      </c>
      <c r="H62" s="89">
        <f>Inputs!$F$8*Inputs!$J$26*HelperFunctions!$H$14</f>
        <v>0</v>
      </c>
      <c r="I62" s="89">
        <f>Inputs!$F$8*Inputs!$J$27*HelperFunctions!$H$14</f>
        <v>0</v>
      </c>
      <c r="J62" s="89">
        <f>Inputs!$F$8*Inputs!$J$28*HelperFunctions!$H$14</f>
        <v>0</v>
      </c>
      <c r="K62" s="89">
        <f>Inputs!$F$8*Inputs!$J$29*HelperFunctions!$H$14</f>
        <v>0</v>
      </c>
      <c r="L62" s="89">
        <f>Inputs!$F$8*Inputs!$J$30*HelperFunctions!$H$14</f>
        <v>0</v>
      </c>
      <c r="M62" s="89">
        <f>Inputs!$F$8*Inputs!$J$31*HelperFunctions!$H$14</f>
        <v>0</v>
      </c>
      <c r="N62" s="89">
        <f>Inputs!$F$8*Inputs!$J$32*HelperFunctions!$H$14</f>
        <v>0</v>
      </c>
      <c r="O62" s="89">
        <f>Inputs!$F$8*Inputs!$J$33*HelperFunctions!$H$14</f>
        <v>0</v>
      </c>
      <c r="P62" s="89">
        <f>Inputs!$F$8*Inputs!$J$36*HelperFunctions!$H$28</f>
        <v>0</v>
      </c>
      <c r="Q62" s="89">
        <f>Inputs!$F$8*Inputs!$J$37*HelperFunctions!$H$28</f>
        <v>0</v>
      </c>
      <c r="R62" s="89">
        <f>Inputs!$F$8*Inputs!$J$38*HelperFunctions!$H$28</f>
        <v>0</v>
      </c>
      <c r="S62" s="89">
        <f>Inputs!$F$8*Inputs!$J$39*HelperFunctions!$H$28</f>
        <v>0</v>
      </c>
      <c r="T62" s="89">
        <f>Inputs!$F$8*Inputs!$J$40*HelperFunctions!$H$28</f>
        <v>0</v>
      </c>
      <c r="U62" s="89">
        <f>Inputs!$F$8*Inputs!$J$41*HelperFunctions!$H$28</f>
        <v>0</v>
      </c>
      <c r="V62" s="89">
        <f>Inputs!$F$8*Inputs!$J$42*HelperFunctions!$H$28</f>
        <v>0</v>
      </c>
      <c r="W62" s="89">
        <f>Inputs!$F$8*Inputs!$J$43*HelperFunctions!$H$28</f>
        <v>0</v>
      </c>
      <c r="X62" s="89">
        <f>Inputs!$F$8*Inputs!$J$44*HelperFunctions!$H$28</f>
        <v>0</v>
      </c>
      <c r="Y62" s="89">
        <f>Inputs!$F$8*Inputs!$J$45*HelperFunctions!$H$28</f>
        <v>0</v>
      </c>
      <c r="Z62" s="89">
        <f>Inputs!$F$8*Inputs!$J$46*HelperFunctions!$H$28</f>
        <v>0</v>
      </c>
      <c r="AA62" s="89">
        <f>Inputs!$F$8*Inputs!$J$47*HelperFunctions!$H$28</f>
        <v>0</v>
      </c>
      <c r="AB62" s="89">
        <f>Inputs!$F$8*Inputs!$J$48*HelperFunctions!$H$42</f>
        <v>0</v>
      </c>
      <c r="AC62" s="89">
        <f>Inputs!$F$8*Inputs!$J$49*HelperFunctions!$H$42</f>
        <v>0</v>
      </c>
      <c r="AD62" s="89">
        <f>Inputs!$F$8*Inputs!$J$50*HelperFunctions!$H$42</f>
        <v>0</v>
      </c>
      <c r="AE62" s="89">
        <f>Inputs!$F$8*Inputs!$J$51*HelperFunctions!$H$42</f>
        <v>0</v>
      </c>
      <c r="AF62" s="89">
        <f>Inputs!$F$8*Inputs!$J$52*HelperFunctions!$H$42</f>
        <v>0</v>
      </c>
      <c r="AG62" s="89">
        <f>Inputs!$F$8*Inputs!$J$53*HelperFunctions!$H$42</f>
        <v>0</v>
      </c>
      <c r="AH62" s="89">
        <f>Inputs!$F$8*Inputs!$J$54*HelperFunctions!$H$42</f>
        <v>0</v>
      </c>
      <c r="AI62" s="89">
        <f>Inputs!$F$8*Inputs!$J$55*HelperFunctions!$H$42</f>
        <v>0</v>
      </c>
      <c r="AJ62" s="89">
        <f>Inputs!$F$8*Inputs!$J$56*HelperFunctions!$H$42</f>
        <v>0</v>
      </c>
      <c r="AK62" s="89">
        <f>Inputs!$F$8*Inputs!$J$57*HelperFunctions!$H$42</f>
        <v>0</v>
      </c>
      <c r="AL62" s="89">
        <f>Inputs!$F$8*Inputs!$J$58*HelperFunctions!$H$42</f>
        <v>0</v>
      </c>
      <c r="AM62" s="89">
        <f>Inputs!$F$8*Inputs!$J$59*HelperFunctions!$H$42</f>
        <v>0</v>
      </c>
      <c r="AN62" s="89">
        <f>Inputs!$F$8*Inputs!$J$60*HelperFunctions!$H$56</f>
        <v>0</v>
      </c>
      <c r="AO62" s="89">
        <f>Inputs!$F$8*Inputs!$J$61*HelperFunctions!$H$56</f>
        <v>0</v>
      </c>
      <c r="AP62" s="89">
        <f>Inputs!$F$8*Inputs!$J$62*HelperFunctions!$H$56</f>
        <v>0</v>
      </c>
      <c r="AQ62" s="89">
        <f>Inputs!$F$8*Inputs!$J$63*HelperFunctions!$H$56</f>
        <v>0</v>
      </c>
      <c r="AR62" s="89">
        <f>Inputs!$F$8*Inputs!$J$64*HelperFunctions!$H$56</f>
        <v>0</v>
      </c>
      <c r="AS62" s="89">
        <f>Inputs!$F$8*Inputs!$J$65*HelperFunctions!$H$56</f>
        <v>0</v>
      </c>
      <c r="AT62" s="89">
        <f>Inputs!$F$8*Inputs!$J$66*HelperFunctions!$H$56</f>
        <v>0</v>
      </c>
      <c r="AU62" s="89">
        <f>Inputs!$F$8*Inputs!$J$67*HelperFunctions!$H$56</f>
        <v>0</v>
      </c>
      <c r="AV62" s="89">
        <f>Inputs!$F$8*Inputs!$J$68*HelperFunctions!$H$56</f>
        <v>0</v>
      </c>
      <c r="AW62" s="89">
        <f>Inputs!$F$8*Inputs!$J$69*HelperFunctions!$H$56</f>
        <v>0</v>
      </c>
      <c r="AX62" s="89">
        <f>Inputs!$F$8*Inputs!$J$70*HelperFunctions!$H$56</f>
        <v>0</v>
      </c>
      <c r="AY62" s="89">
        <f>Inputs!$F$8*Inputs!$J$71*HelperFunctions!$H$56</f>
        <v>0</v>
      </c>
      <c r="AZ62" s="89">
        <f>Inputs!$F$8*Inputs!$J$72*HelperFunctions!$H69</f>
        <v>0</v>
      </c>
      <c r="BA62" s="89">
        <f>Inputs!$F$8*Inputs!$J$73*HelperFunctions!$H69</f>
        <v>0</v>
      </c>
      <c r="BB62" s="89">
        <f>Inputs!$F$8*Inputs!$J$74*HelperFunctions!$H68</f>
        <v>0</v>
      </c>
      <c r="BC62" s="89">
        <f>Inputs!$F$8*Inputs!$J$75*HelperFunctions!$H67</f>
        <v>0</v>
      </c>
      <c r="BD62" s="89">
        <f>Inputs!$F$8*Inputs!$J$76*HelperFunctions!$H66</f>
        <v>0</v>
      </c>
      <c r="BE62" s="89">
        <f>Inputs!$F$8*Inputs!$J$77*HelperFunctions!$H65</f>
        <v>0</v>
      </c>
      <c r="BF62" s="89">
        <f>Inputs!$F$8*Inputs!$J$78*HelperFunctions!$H64</f>
        <v>0</v>
      </c>
      <c r="BG62" s="89">
        <f>Inputs!$F$8*Inputs!$J$79*HelperFunctions!$H63</f>
        <v>0</v>
      </c>
      <c r="BH62" s="89">
        <f>Inputs!$F$8*Inputs!$J$80*HelperFunctions!$H62</f>
        <v>0</v>
      </c>
      <c r="BI62" s="89">
        <f>Inputs!$F$8*Inputs!$J$81*HelperFunctions!$H61</f>
        <v>0</v>
      </c>
      <c r="BJ62" s="89">
        <f>Inputs!$F$8*Inputs!$J$82*HelperFunctions!$H60</f>
        <v>0</v>
      </c>
      <c r="BK62" s="90">
        <f>Inputs!$F$8*Inputs!$J$83*HelperFunctions!$H59</f>
        <v>0</v>
      </c>
    </row>
  </sheetData>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B2:GA63"/>
  <sheetViews>
    <sheetView zoomScaleNormal="100" workbookViewId="0">
      <selection activeCell="F20" sqref="F20"/>
    </sheetView>
  </sheetViews>
  <sheetFormatPr defaultColWidth="10.90625" defaultRowHeight="14.5" x14ac:dyDescent="0.35"/>
  <cols>
    <col min="4" max="183" width="14.26953125" customWidth="1"/>
  </cols>
  <sheetData>
    <row r="2" spans="2:183" ht="27.65" customHeight="1" x14ac:dyDescent="0.35">
      <c r="B2" t="s">
        <v>214</v>
      </c>
      <c r="C2" t="s">
        <v>64</v>
      </c>
      <c r="D2" s="337" t="s">
        <v>217</v>
      </c>
      <c r="E2" s="338"/>
      <c r="F2" s="338"/>
      <c r="G2" s="337" t="s">
        <v>218</v>
      </c>
      <c r="H2" s="338"/>
      <c r="I2" s="338"/>
      <c r="J2" s="337" t="s">
        <v>221</v>
      </c>
      <c r="K2" s="338"/>
      <c r="L2" s="338"/>
      <c r="M2" s="337" t="s">
        <v>222</v>
      </c>
      <c r="N2" s="338"/>
      <c r="O2" s="338"/>
      <c r="P2" s="337" t="s">
        <v>223</v>
      </c>
      <c r="Q2" s="338"/>
      <c r="R2" s="338"/>
      <c r="S2" s="337" t="s">
        <v>224</v>
      </c>
      <c r="T2" s="338"/>
      <c r="U2" s="338"/>
      <c r="V2" s="337" t="s">
        <v>225</v>
      </c>
      <c r="W2" s="338"/>
      <c r="X2" s="338"/>
      <c r="Y2" s="337" t="s">
        <v>226</v>
      </c>
      <c r="Z2" s="338"/>
      <c r="AA2" s="338"/>
      <c r="AB2" s="337" t="s">
        <v>227</v>
      </c>
      <c r="AC2" s="338"/>
      <c r="AD2" s="338"/>
      <c r="AE2" s="337" t="s">
        <v>228</v>
      </c>
      <c r="AF2" s="338"/>
      <c r="AG2" s="338"/>
      <c r="AH2" s="337" t="s">
        <v>229</v>
      </c>
      <c r="AI2" s="338"/>
      <c r="AJ2" s="338"/>
      <c r="AK2" s="337" t="s">
        <v>230</v>
      </c>
      <c r="AL2" s="338"/>
      <c r="AM2" s="338"/>
      <c r="AN2" s="337" t="s">
        <v>268</v>
      </c>
      <c r="AO2" s="338"/>
      <c r="AP2" s="338"/>
      <c r="AQ2" s="337" t="s">
        <v>269</v>
      </c>
      <c r="AR2" s="338"/>
      <c r="AS2" s="338"/>
      <c r="AT2" s="337" t="s">
        <v>270</v>
      </c>
      <c r="AU2" s="338"/>
      <c r="AV2" s="338"/>
      <c r="AW2" s="337" t="s">
        <v>271</v>
      </c>
      <c r="AX2" s="338"/>
      <c r="AY2" s="338"/>
      <c r="AZ2" s="337" t="s">
        <v>272</v>
      </c>
      <c r="BA2" s="338"/>
      <c r="BB2" s="338"/>
      <c r="BC2" s="337" t="s">
        <v>273</v>
      </c>
      <c r="BD2" s="338"/>
      <c r="BE2" s="338"/>
      <c r="BF2" s="337" t="s">
        <v>274</v>
      </c>
      <c r="BG2" s="338"/>
      <c r="BH2" s="338"/>
      <c r="BI2" s="337" t="s">
        <v>275</v>
      </c>
      <c r="BJ2" s="338"/>
      <c r="BK2" s="338"/>
      <c r="BL2" s="337" t="s">
        <v>276</v>
      </c>
      <c r="BM2" s="338"/>
      <c r="BN2" s="338"/>
      <c r="BO2" s="337" t="s">
        <v>277</v>
      </c>
      <c r="BP2" s="338"/>
      <c r="BQ2" s="338"/>
      <c r="BR2" s="337" t="s">
        <v>278</v>
      </c>
      <c r="BS2" s="338"/>
      <c r="BT2" s="338"/>
      <c r="BU2" s="337" t="s">
        <v>267</v>
      </c>
      <c r="BV2" s="338"/>
      <c r="BW2" s="338"/>
      <c r="BX2" s="337" t="s">
        <v>256</v>
      </c>
      <c r="BY2" s="338"/>
      <c r="BZ2" s="338"/>
      <c r="CA2" s="337" t="s">
        <v>257</v>
      </c>
      <c r="CB2" s="338"/>
      <c r="CC2" s="338"/>
      <c r="CD2" s="337" t="s">
        <v>258</v>
      </c>
      <c r="CE2" s="338"/>
      <c r="CF2" s="338"/>
      <c r="CG2" s="337" t="s">
        <v>259</v>
      </c>
      <c r="CH2" s="338"/>
      <c r="CI2" s="338"/>
      <c r="CJ2" s="337" t="s">
        <v>260</v>
      </c>
      <c r="CK2" s="338"/>
      <c r="CL2" s="338"/>
      <c r="CM2" s="337" t="s">
        <v>261</v>
      </c>
      <c r="CN2" s="338"/>
      <c r="CO2" s="338"/>
      <c r="CP2" s="337" t="s">
        <v>262</v>
      </c>
      <c r="CQ2" s="338"/>
      <c r="CR2" s="338"/>
      <c r="CS2" s="337" t="s">
        <v>263</v>
      </c>
      <c r="CT2" s="338"/>
      <c r="CU2" s="338"/>
      <c r="CV2" s="337" t="s">
        <v>264</v>
      </c>
      <c r="CW2" s="338"/>
      <c r="CX2" s="338"/>
      <c r="CY2" s="337" t="s">
        <v>265</v>
      </c>
      <c r="CZ2" s="338"/>
      <c r="DA2" s="338"/>
      <c r="DB2" s="337" t="s">
        <v>266</v>
      </c>
      <c r="DC2" s="338"/>
      <c r="DD2" s="338"/>
      <c r="DE2" s="337" t="s">
        <v>255</v>
      </c>
      <c r="DF2" s="338"/>
      <c r="DG2" s="338"/>
      <c r="DH2" s="337" t="s">
        <v>244</v>
      </c>
      <c r="DI2" s="338"/>
      <c r="DJ2" s="338"/>
      <c r="DK2" s="337" t="s">
        <v>245</v>
      </c>
      <c r="DL2" s="338"/>
      <c r="DM2" s="338"/>
      <c r="DN2" s="337" t="s">
        <v>246</v>
      </c>
      <c r="DO2" s="338"/>
      <c r="DP2" s="338"/>
      <c r="DQ2" s="337" t="s">
        <v>247</v>
      </c>
      <c r="DR2" s="338"/>
      <c r="DS2" s="338"/>
      <c r="DT2" s="337" t="s">
        <v>248</v>
      </c>
      <c r="DU2" s="338"/>
      <c r="DV2" s="338"/>
      <c r="DW2" s="337" t="s">
        <v>249</v>
      </c>
      <c r="DX2" s="338"/>
      <c r="DY2" s="338"/>
      <c r="DZ2" s="337" t="s">
        <v>250</v>
      </c>
      <c r="EA2" s="338"/>
      <c r="EB2" s="338"/>
      <c r="EC2" s="337" t="s">
        <v>251</v>
      </c>
      <c r="ED2" s="338"/>
      <c r="EE2" s="338"/>
      <c r="EF2" s="337" t="s">
        <v>252</v>
      </c>
      <c r="EG2" s="338"/>
      <c r="EH2" s="338"/>
      <c r="EI2" s="337" t="s">
        <v>253</v>
      </c>
      <c r="EJ2" s="338"/>
      <c r="EK2" s="338"/>
      <c r="EL2" s="337" t="s">
        <v>254</v>
      </c>
      <c r="EM2" s="338"/>
      <c r="EN2" s="338"/>
      <c r="EO2" s="337" t="s">
        <v>243</v>
      </c>
      <c r="EP2" s="338"/>
      <c r="EQ2" s="338"/>
      <c r="ER2" s="337" t="s">
        <v>231</v>
      </c>
      <c r="ES2" s="338"/>
      <c r="ET2" s="338"/>
      <c r="EU2" s="337" t="s">
        <v>232</v>
      </c>
      <c r="EV2" s="338"/>
      <c r="EW2" s="338"/>
      <c r="EX2" s="337" t="s">
        <v>233</v>
      </c>
      <c r="EY2" s="338"/>
      <c r="EZ2" s="338"/>
      <c r="FA2" s="337" t="s">
        <v>234</v>
      </c>
      <c r="FB2" s="338"/>
      <c r="FC2" s="338"/>
      <c r="FD2" s="337" t="s">
        <v>235</v>
      </c>
      <c r="FE2" s="338"/>
      <c r="FF2" s="338"/>
      <c r="FG2" s="337" t="s">
        <v>236</v>
      </c>
      <c r="FH2" s="338"/>
      <c r="FI2" s="338"/>
      <c r="FJ2" s="337" t="s">
        <v>237</v>
      </c>
      <c r="FK2" s="338"/>
      <c r="FL2" s="338"/>
      <c r="FM2" s="337" t="s">
        <v>238</v>
      </c>
      <c r="FN2" s="338"/>
      <c r="FO2" s="338"/>
      <c r="FP2" s="337" t="s">
        <v>239</v>
      </c>
      <c r="FQ2" s="338"/>
      <c r="FR2" s="338"/>
      <c r="FS2" s="337" t="s">
        <v>240</v>
      </c>
      <c r="FT2" s="338"/>
      <c r="FU2" s="338"/>
      <c r="FV2" s="337" t="s">
        <v>241</v>
      </c>
      <c r="FW2" s="338"/>
      <c r="FX2" s="338"/>
      <c r="FY2" s="337" t="s">
        <v>242</v>
      </c>
      <c r="FZ2" s="338"/>
      <c r="GA2" s="338"/>
    </row>
    <row r="3" spans="2:183" ht="30" customHeight="1" x14ac:dyDescent="0.35">
      <c r="D3" s="81" t="s">
        <v>220</v>
      </c>
      <c r="E3" s="81" t="s">
        <v>219</v>
      </c>
      <c r="F3" s="81" t="s">
        <v>216</v>
      </c>
      <c r="G3" s="81" t="s">
        <v>220</v>
      </c>
      <c r="H3" s="81" t="s">
        <v>219</v>
      </c>
      <c r="I3" s="81" t="s">
        <v>216</v>
      </c>
      <c r="J3" s="81" t="s">
        <v>220</v>
      </c>
      <c r="K3" s="81" t="s">
        <v>219</v>
      </c>
      <c r="L3" s="81" t="s">
        <v>216</v>
      </c>
      <c r="M3" s="81" t="s">
        <v>220</v>
      </c>
      <c r="N3" s="81" t="s">
        <v>219</v>
      </c>
      <c r="O3" s="81" t="s">
        <v>216</v>
      </c>
      <c r="P3" s="81" t="s">
        <v>220</v>
      </c>
      <c r="Q3" s="81" t="s">
        <v>219</v>
      </c>
      <c r="R3" s="81" t="s">
        <v>216</v>
      </c>
      <c r="S3" s="81" t="s">
        <v>220</v>
      </c>
      <c r="T3" s="81" t="s">
        <v>219</v>
      </c>
      <c r="U3" s="81" t="s">
        <v>216</v>
      </c>
      <c r="V3" s="81" t="s">
        <v>220</v>
      </c>
      <c r="W3" s="81" t="s">
        <v>219</v>
      </c>
      <c r="X3" s="81" t="s">
        <v>216</v>
      </c>
      <c r="Y3" s="81" t="s">
        <v>220</v>
      </c>
      <c r="Z3" s="81" t="s">
        <v>219</v>
      </c>
      <c r="AA3" s="81" t="s">
        <v>216</v>
      </c>
      <c r="AB3" s="81" t="s">
        <v>220</v>
      </c>
      <c r="AC3" s="81" t="s">
        <v>219</v>
      </c>
      <c r="AD3" s="81" t="s">
        <v>216</v>
      </c>
      <c r="AE3" s="81" t="s">
        <v>220</v>
      </c>
      <c r="AF3" s="81" t="s">
        <v>219</v>
      </c>
      <c r="AG3" s="81" t="s">
        <v>216</v>
      </c>
      <c r="AH3" s="81" t="s">
        <v>220</v>
      </c>
      <c r="AI3" s="81" t="s">
        <v>219</v>
      </c>
      <c r="AJ3" s="81" t="s">
        <v>216</v>
      </c>
      <c r="AK3" s="81" t="s">
        <v>220</v>
      </c>
      <c r="AL3" s="81" t="s">
        <v>219</v>
      </c>
      <c r="AM3" s="81" t="s">
        <v>216</v>
      </c>
      <c r="AN3" s="81" t="s">
        <v>220</v>
      </c>
      <c r="AO3" s="81" t="s">
        <v>219</v>
      </c>
      <c r="AP3" s="81" t="s">
        <v>216</v>
      </c>
      <c r="AQ3" s="81" t="s">
        <v>220</v>
      </c>
      <c r="AR3" s="81" t="s">
        <v>219</v>
      </c>
      <c r="AS3" s="81" t="s">
        <v>216</v>
      </c>
      <c r="AT3" s="81" t="s">
        <v>220</v>
      </c>
      <c r="AU3" s="81" t="s">
        <v>219</v>
      </c>
      <c r="AV3" s="81" t="s">
        <v>216</v>
      </c>
      <c r="AW3" s="81" t="s">
        <v>220</v>
      </c>
      <c r="AX3" s="81" t="s">
        <v>219</v>
      </c>
      <c r="AY3" s="81" t="s">
        <v>216</v>
      </c>
      <c r="AZ3" s="81" t="s">
        <v>220</v>
      </c>
      <c r="BA3" s="81" t="s">
        <v>219</v>
      </c>
      <c r="BB3" s="81" t="s">
        <v>216</v>
      </c>
      <c r="BC3" s="81" t="s">
        <v>220</v>
      </c>
      <c r="BD3" s="81" t="s">
        <v>219</v>
      </c>
      <c r="BE3" s="81" t="s">
        <v>216</v>
      </c>
      <c r="BF3" s="81" t="s">
        <v>220</v>
      </c>
      <c r="BG3" s="81" t="s">
        <v>219</v>
      </c>
      <c r="BH3" s="81" t="s">
        <v>216</v>
      </c>
      <c r="BI3" s="81" t="s">
        <v>220</v>
      </c>
      <c r="BJ3" s="81" t="s">
        <v>219</v>
      </c>
      <c r="BK3" s="81" t="s">
        <v>216</v>
      </c>
      <c r="BL3" s="81" t="s">
        <v>220</v>
      </c>
      <c r="BM3" s="81" t="s">
        <v>219</v>
      </c>
      <c r="BN3" s="81" t="s">
        <v>216</v>
      </c>
      <c r="BO3" s="81" t="s">
        <v>220</v>
      </c>
      <c r="BP3" s="81" t="s">
        <v>219</v>
      </c>
      <c r="BQ3" s="81" t="s">
        <v>216</v>
      </c>
      <c r="BR3" s="81" t="s">
        <v>220</v>
      </c>
      <c r="BS3" s="81" t="s">
        <v>219</v>
      </c>
      <c r="BT3" s="81" t="s">
        <v>216</v>
      </c>
      <c r="BU3" s="81" t="s">
        <v>220</v>
      </c>
      <c r="BV3" s="81" t="s">
        <v>219</v>
      </c>
      <c r="BW3" s="81" t="s">
        <v>216</v>
      </c>
      <c r="BX3" s="81" t="s">
        <v>220</v>
      </c>
      <c r="BY3" s="81" t="s">
        <v>219</v>
      </c>
      <c r="BZ3" s="81" t="s">
        <v>216</v>
      </c>
      <c r="CA3" s="81" t="s">
        <v>220</v>
      </c>
      <c r="CB3" s="81" t="s">
        <v>219</v>
      </c>
      <c r="CC3" s="81" t="s">
        <v>216</v>
      </c>
      <c r="CD3" s="81" t="s">
        <v>220</v>
      </c>
      <c r="CE3" s="81" t="s">
        <v>219</v>
      </c>
      <c r="CF3" s="81" t="s">
        <v>216</v>
      </c>
      <c r="CG3" s="81" t="s">
        <v>220</v>
      </c>
      <c r="CH3" s="81" t="s">
        <v>219</v>
      </c>
      <c r="CI3" s="81" t="s">
        <v>216</v>
      </c>
      <c r="CJ3" s="81" t="s">
        <v>220</v>
      </c>
      <c r="CK3" s="81" t="s">
        <v>219</v>
      </c>
      <c r="CL3" s="81" t="s">
        <v>216</v>
      </c>
      <c r="CM3" s="81" t="s">
        <v>220</v>
      </c>
      <c r="CN3" s="81" t="s">
        <v>219</v>
      </c>
      <c r="CO3" s="81" t="s">
        <v>216</v>
      </c>
      <c r="CP3" s="81" t="s">
        <v>220</v>
      </c>
      <c r="CQ3" s="81" t="s">
        <v>219</v>
      </c>
      <c r="CR3" s="81" t="s">
        <v>216</v>
      </c>
      <c r="CS3" s="81" t="s">
        <v>220</v>
      </c>
      <c r="CT3" s="81" t="s">
        <v>219</v>
      </c>
      <c r="CU3" s="81" t="s">
        <v>216</v>
      </c>
      <c r="CV3" s="81" t="s">
        <v>220</v>
      </c>
      <c r="CW3" s="81" t="s">
        <v>219</v>
      </c>
      <c r="CX3" s="81" t="s">
        <v>216</v>
      </c>
      <c r="CY3" s="81" t="s">
        <v>220</v>
      </c>
      <c r="CZ3" s="81" t="s">
        <v>219</v>
      </c>
      <c r="DA3" s="81" t="s">
        <v>216</v>
      </c>
      <c r="DB3" s="81" t="s">
        <v>220</v>
      </c>
      <c r="DC3" s="81" t="s">
        <v>219</v>
      </c>
      <c r="DD3" s="81" t="s">
        <v>216</v>
      </c>
      <c r="DE3" s="81" t="s">
        <v>220</v>
      </c>
      <c r="DF3" s="81" t="s">
        <v>219</v>
      </c>
      <c r="DG3" s="81" t="s">
        <v>216</v>
      </c>
      <c r="DH3" s="81" t="s">
        <v>220</v>
      </c>
      <c r="DI3" s="81" t="s">
        <v>219</v>
      </c>
      <c r="DJ3" s="81" t="s">
        <v>216</v>
      </c>
      <c r="DK3" s="81" t="s">
        <v>220</v>
      </c>
      <c r="DL3" s="81" t="s">
        <v>219</v>
      </c>
      <c r="DM3" s="81" t="s">
        <v>216</v>
      </c>
      <c r="DN3" s="81" t="s">
        <v>220</v>
      </c>
      <c r="DO3" s="81" t="s">
        <v>219</v>
      </c>
      <c r="DP3" s="81" t="s">
        <v>216</v>
      </c>
      <c r="DQ3" s="81" t="s">
        <v>220</v>
      </c>
      <c r="DR3" s="81" t="s">
        <v>219</v>
      </c>
      <c r="DS3" s="81" t="s">
        <v>216</v>
      </c>
      <c r="DT3" s="81" t="s">
        <v>220</v>
      </c>
      <c r="DU3" s="81" t="s">
        <v>219</v>
      </c>
      <c r="DV3" s="81" t="s">
        <v>216</v>
      </c>
      <c r="DW3" s="81" t="s">
        <v>220</v>
      </c>
      <c r="DX3" s="81" t="s">
        <v>219</v>
      </c>
      <c r="DY3" s="81" t="s">
        <v>216</v>
      </c>
      <c r="DZ3" s="81" t="s">
        <v>220</v>
      </c>
      <c r="EA3" s="81" t="s">
        <v>219</v>
      </c>
      <c r="EB3" s="81" t="s">
        <v>216</v>
      </c>
      <c r="EC3" s="81" t="s">
        <v>220</v>
      </c>
      <c r="ED3" s="81" t="s">
        <v>219</v>
      </c>
      <c r="EE3" s="81" t="s">
        <v>216</v>
      </c>
      <c r="EF3" s="81" t="s">
        <v>220</v>
      </c>
      <c r="EG3" s="81" t="s">
        <v>219</v>
      </c>
      <c r="EH3" s="81" t="s">
        <v>216</v>
      </c>
      <c r="EI3" s="81" t="s">
        <v>220</v>
      </c>
      <c r="EJ3" s="81" t="s">
        <v>219</v>
      </c>
      <c r="EK3" s="81" t="s">
        <v>216</v>
      </c>
      <c r="EL3" s="81" t="s">
        <v>220</v>
      </c>
      <c r="EM3" s="81" t="s">
        <v>219</v>
      </c>
      <c r="EN3" s="81" t="s">
        <v>216</v>
      </c>
      <c r="EO3" s="81" t="s">
        <v>220</v>
      </c>
      <c r="EP3" s="81" t="s">
        <v>219</v>
      </c>
      <c r="EQ3" s="81" t="s">
        <v>216</v>
      </c>
      <c r="ER3" s="81" t="s">
        <v>220</v>
      </c>
      <c r="ES3" s="81" t="s">
        <v>219</v>
      </c>
      <c r="ET3" s="81" t="s">
        <v>216</v>
      </c>
      <c r="EU3" s="81" t="s">
        <v>220</v>
      </c>
      <c r="EV3" s="81" t="s">
        <v>219</v>
      </c>
      <c r="EW3" s="81" t="s">
        <v>216</v>
      </c>
      <c r="EX3" s="81" t="s">
        <v>220</v>
      </c>
      <c r="EY3" s="81" t="s">
        <v>219</v>
      </c>
      <c r="EZ3" s="81" t="s">
        <v>216</v>
      </c>
      <c r="FA3" s="81" t="s">
        <v>220</v>
      </c>
      <c r="FB3" s="81" t="s">
        <v>219</v>
      </c>
      <c r="FC3" s="81" t="s">
        <v>216</v>
      </c>
      <c r="FD3" s="81" t="s">
        <v>220</v>
      </c>
      <c r="FE3" s="81" t="s">
        <v>219</v>
      </c>
      <c r="FF3" s="81" t="s">
        <v>216</v>
      </c>
      <c r="FG3" s="81" t="s">
        <v>220</v>
      </c>
      <c r="FH3" s="81" t="s">
        <v>219</v>
      </c>
      <c r="FI3" s="81" t="s">
        <v>216</v>
      </c>
      <c r="FJ3" s="81" t="s">
        <v>220</v>
      </c>
      <c r="FK3" s="81" t="s">
        <v>219</v>
      </c>
      <c r="FL3" s="81" t="s">
        <v>216</v>
      </c>
      <c r="FM3" s="81" t="s">
        <v>220</v>
      </c>
      <c r="FN3" s="81" t="s">
        <v>219</v>
      </c>
      <c r="FO3" s="81" t="s">
        <v>216</v>
      </c>
      <c r="FP3" s="81" t="s">
        <v>220</v>
      </c>
      <c r="FQ3" s="81" t="s">
        <v>219</v>
      </c>
      <c r="FR3" s="81" t="s">
        <v>216</v>
      </c>
      <c r="FS3" s="81" t="s">
        <v>220</v>
      </c>
      <c r="FT3" s="81" t="s">
        <v>219</v>
      </c>
      <c r="FU3" s="81" t="s">
        <v>216</v>
      </c>
      <c r="FV3" s="81" t="s">
        <v>220</v>
      </c>
      <c r="FW3" s="81" t="s">
        <v>219</v>
      </c>
      <c r="FX3" s="81" t="s">
        <v>216</v>
      </c>
      <c r="FY3" s="81" t="s">
        <v>220</v>
      </c>
      <c r="FZ3" s="81" t="s">
        <v>219</v>
      </c>
      <c r="GA3" s="81" t="s">
        <v>216</v>
      </c>
    </row>
    <row r="4" spans="2:183" x14ac:dyDescent="0.3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F4*'Hypothetical vaccine model'!J5*HelperFunctions!R3</f>
        <v>#VALUE!</v>
      </c>
      <c r="E5" t="e">
        <f>F4*'Hypothetical vaccine model'!K5</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F5*'Hypothetical vaccine model'!J6*HelperFunctions!R4</f>
        <v>#VALUE!</v>
      </c>
      <c r="E6" t="e">
        <f>F5*'Hypothetical vaccine model'!K6</f>
        <v>#VALUE!</v>
      </c>
      <c r="F6" s="84" t="e">
        <f t="shared" ref="F6:F63" si="0">F5-D6-E6</f>
        <v>#VALUE!</v>
      </c>
      <c r="G6" t="e">
        <f>I5*'Hypothetical vaccine model'!$J6*HelperFunctions!$R3</f>
        <v>#VALUE!</v>
      </c>
      <c r="H6" t="e">
        <f>I5*'Hypothetical vaccine model'!$K6</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F6*'Hypothetical vaccine model'!J7*HelperFunctions!R5</f>
        <v>#VALUE!</v>
      </c>
      <c r="E7" t="e">
        <f>F6*'Hypothetical vaccine model'!K7</f>
        <v>#VALUE!</v>
      </c>
      <c r="F7" s="84" t="e">
        <f t="shared" si="0"/>
        <v>#VALUE!</v>
      </c>
      <c r="G7" t="e">
        <f>I6*'Hypothetical vaccine model'!$J7*HelperFunctions!$R4</f>
        <v>#VALUE!</v>
      </c>
      <c r="H7" t="e">
        <f>I6*'Hypothetical vaccine model'!$K7</f>
        <v>#VALUE!</v>
      </c>
      <c r="I7" s="84" t="e">
        <f t="shared" ref="I7:I63" si="1">I6-G7-H7</f>
        <v>#VALUE!</v>
      </c>
      <c r="J7" t="e">
        <f>L6*'Hypothetical vaccine model'!$J7*HelperFunctions!$R3</f>
        <v>#VALUE!</v>
      </c>
      <c r="K7" t="e">
        <f>L6*'Hypothetical vaccine model'!$K7</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F7*'Hypothetical vaccine model'!J8*HelperFunctions!R6</f>
        <v>#VALUE!</v>
      </c>
      <c r="E8" t="e">
        <f>F7*'Hypothetical vaccine model'!K8</f>
        <v>#VALUE!</v>
      </c>
      <c r="F8" s="84" t="e">
        <f t="shared" si="0"/>
        <v>#VALUE!</v>
      </c>
      <c r="G8" t="e">
        <f>I7*'Hypothetical vaccine model'!$J8*HelperFunctions!$R5</f>
        <v>#VALUE!</v>
      </c>
      <c r="H8" t="e">
        <f>I7*'Hypothetical vaccine model'!$K8</f>
        <v>#VALUE!</v>
      </c>
      <c r="I8" s="84" t="e">
        <f t="shared" si="1"/>
        <v>#VALUE!</v>
      </c>
      <c r="J8" t="e">
        <f>L7*'Hypothetical vaccine model'!$J8*HelperFunctions!$R4</f>
        <v>#VALUE!</v>
      </c>
      <c r="K8" t="e">
        <f>L7*'Hypothetical vaccine model'!$K8</f>
        <v>#VALUE!</v>
      </c>
      <c r="L8" s="84" t="e">
        <f t="shared" ref="L8:L63" si="2">L7-J8-K8</f>
        <v>#VALUE!</v>
      </c>
      <c r="M8" t="e">
        <f>O7*'Hypothetical vaccine model'!$J8*HelperFunctions!$R3</f>
        <v>#VALUE!</v>
      </c>
      <c r="N8" t="e">
        <f>O7*'Hypothetical vaccine model'!$K8</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F8*'Hypothetical vaccine model'!J9*HelperFunctions!R7</f>
        <v>#VALUE!</v>
      </c>
      <c r="E9" t="e">
        <f>F8*'Hypothetical vaccine model'!K9</f>
        <v>#VALUE!</v>
      </c>
      <c r="F9" s="84" t="e">
        <f t="shared" si="0"/>
        <v>#VALUE!</v>
      </c>
      <c r="G9" t="e">
        <f>I8*'Hypothetical vaccine model'!$J9*HelperFunctions!$R6</f>
        <v>#VALUE!</v>
      </c>
      <c r="H9" t="e">
        <f>I8*'Hypothetical vaccine model'!$K9</f>
        <v>#VALUE!</v>
      </c>
      <c r="I9" s="84" t="e">
        <f t="shared" si="1"/>
        <v>#VALUE!</v>
      </c>
      <c r="J9" t="e">
        <f>L8*'Hypothetical vaccine model'!$J9*HelperFunctions!$R5</f>
        <v>#VALUE!</v>
      </c>
      <c r="K9" t="e">
        <f>L8*'Hypothetical vaccine model'!$K9</f>
        <v>#VALUE!</v>
      </c>
      <c r="L9" s="84" t="e">
        <f t="shared" si="2"/>
        <v>#VALUE!</v>
      </c>
      <c r="M9" t="e">
        <f>O8*'Hypothetical vaccine model'!$J9*HelperFunctions!$R4</f>
        <v>#VALUE!</v>
      </c>
      <c r="N9" t="e">
        <f>O8*'Hypothetical vaccine model'!$K9</f>
        <v>#VALUE!</v>
      </c>
      <c r="O9" s="84" t="e">
        <f t="shared" ref="O9:O63" si="3">O8-M9-N9</f>
        <v>#VALUE!</v>
      </c>
      <c r="P9" t="e">
        <f>R8*'Hypothetical vaccine model'!$J9*HelperFunctions!$R3</f>
        <v>#VALUE!</v>
      </c>
      <c r="Q9" t="e">
        <f>R8*'Hypothetical vaccine model'!$K9</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F9*'Hypothetical vaccine model'!J10*HelperFunctions!R8</f>
        <v>#VALUE!</v>
      </c>
      <c r="E10" t="e">
        <f>F9*'Hypothetical vaccine model'!K10</f>
        <v>#VALUE!</v>
      </c>
      <c r="F10" s="84" t="e">
        <f t="shared" si="0"/>
        <v>#VALUE!</v>
      </c>
      <c r="G10" t="e">
        <f>I9*'Hypothetical vaccine model'!$J10*HelperFunctions!$R7</f>
        <v>#VALUE!</v>
      </c>
      <c r="H10" t="e">
        <f>I9*'Hypothetical vaccine model'!$K10</f>
        <v>#VALUE!</v>
      </c>
      <c r="I10" s="84" t="e">
        <f t="shared" si="1"/>
        <v>#VALUE!</v>
      </c>
      <c r="J10" t="e">
        <f>L9*'Hypothetical vaccine model'!$J10*HelperFunctions!$R6</f>
        <v>#VALUE!</v>
      </c>
      <c r="K10" t="e">
        <f>L9*'Hypothetical vaccine model'!$K10</f>
        <v>#VALUE!</v>
      </c>
      <c r="L10" s="84" t="e">
        <f t="shared" si="2"/>
        <v>#VALUE!</v>
      </c>
      <c r="M10" t="e">
        <f>O9*'Hypothetical vaccine model'!$J10*HelperFunctions!$R5</f>
        <v>#VALUE!</v>
      </c>
      <c r="N10" t="e">
        <f>O9*'Hypothetical vaccine model'!$K10</f>
        <v>#VALUE!</v>
      </c>
      <c r="O10" s="84" t="e">
        <f t="shared" si="3"/>
        <v>#VALUE!</v>
      </c>
      <c r="P10" t="e">
        <f>R9*'Hypothetical vaccine model'!$J10*HelperFunctions!$R4</f>
        <v>#VALUE!</v>
      </c>
      <c r="Q10" t="e">
        <f>R9*'Hypothetical vaccine model'!$K10</f>
        <v>#VALUE!</v>
      </c>
      <c r="R10" s="84" t="e">
        <f t="shared" ref="R10:R63" si="4">R9-P10-Q10</f>
        <v>#VALUE!</v>
      </c>
      <c r="S10" t="e">
        <f>U9*'Hypothetical vaccine model'!$J10*HelperFunctions!$R3</f>
        <v>#VALUE!</v>
      </c>
      <c r="T10" t="e">
        <f>U9*'Hypothetical vaccine model'!$K10</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F10*'Hypothetical vaccine model'!J11*HelperFunctions!R9</f>
        <v>#VALUE!</v>
      </c>
      <c r="E11" t="e">
        <f>F10*'Hypothetical vaccine model'!K11</f>
        <v>#VALUE!</v>
      </c>
      <c r="F11" s="84" t="e">
        <f t="shared" si="0"/>
        <v>#VALUE!</v>
      </c>
      <c r="G11" t="e">
        <f>I10*'Hypothetical vaccine model'!$J11*HelperFunctions!$R8</f>
        <v>#VALUE!</v>
      </c>
      <c r="H11" t="e">
        <f>I10*'Hypothetical vaccine model'!$K11</f>
        <v>#VALUE!</v>
      </c>
      <c r="I11" s="84" t="e">
        <f t="shared" si="1"/>
        <v>#VALUE!</v>
      </c>
      <c r="J11" t="e">
        <f>L10*'Hypothetical vaccine model'!$J11*HelperFunctions!$R7</f>
        <v>#VALUE!</v>
      </c>
      <c r="K11" t="e">
        <f>L10*'Hypothetical vaccine model'!$K11</f>
        <v>#VALUE!</v>
      </c>
      <c r="L11" s="84" t="e">
        <f t="shared" si="2"/>
        <v>#VALUE!</v>
      </c>
      <c r="M11" t="e">
        <f>O10*'Hypothetical vaccine model'!$J11*HelperFunctions!$R6</f>
        <v>#VALUE!</v>
      </c>
      <c r="N11" t="e">
        <f>O10*'Hypothetical vaccine model'!$K11</f>
        <v>#VALUE!</v>
      </c>
      <c r="O11" s="84" t="e">
        <f t="shared" si="3"/>
        <v>#VALUE!</v>
      </c>
      <c r="P11" t="e">
        <f>R10*'Hypothetical vaccine model'!$J11*HelperFunctions!$R5</f>
        <v>#VALUE!</v>
      </c>
      <c r="Q11" t="e">
        <f>R10*'Hypothetical vaccine model'!$K11</f>
        <v>#VALUE!</v>
      </c>
      <c r="R11" s="84" t="e">
        <f t="shared" si="4"/>
        <v>#VALUE!</v>
      </c>
      <c r="S11" t="e">
        <f>U10*'Hypothetical vaccine model'!$J11*HelperFunctions!$R4</f>
        <v>#VALUE!</v>
      </c>
      <c r="T11" t="e">
        <f>U10*'Hypothetical vaccine model'!$K11</f>
        <v>#VALUE!</v>
      </c>
      <c r="U11" s="84" t="e">
        <f t="shared" ref="U11:U63" si="5">U10-S11-T11</f>
        <v>#VALUE!</v>
      </c>
      <c r="V11" t="e">
        <f>X10*'Hypothetical vaccine model'!$J11*HelperFunctions!$R3</f>
        <v>#VALUE!</v>
      </c>
      <c r="W11" t="e">
        <f>X10*'Hypothetical vaccine model'!$K11</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F11*'Hypothetical vaccine model'!J12*HelperFunctions!R10</f>
        <v>#VALUE!</v>
      </c>
      <c r="E12" t="e">
        <f>F11*'Hypothetical vaccine model'!K12</f>
        <v>#VALUE!</v>
      </c>
      <c r="F12" s="84" t="e">
        <f t="shared" si="0"/>
        <v>#VALUE!</v>
      </c>
      <c r="G12" t="e">
        <f>I11*'Hypothetical vaccine model'!$J12*HelperFunctions!$R9</f>
        <v>#VALUE!</v>
      </c>
      <c r="H12" t="e">
        <f>I11*'Hypothetical vaccine model'!$K12</f>
        <v>#VALUE!</v>
      </c>
      <c r="I12" s="84" t="e">
        <f t="shared" si="1"/>
        <v>#VALUE!</v>
      </c>
      <c r="J12" t="e">
        <f>L11*'Hypothetical vaccine model'!$J12*HelperFunctions!$R8</f>
        <v>#VALUE!</v>
      </c>
      <c r="K12" t="e">
        <f>L11*'Hypothetical vaccine model'!$K12</f>
        <v>#VALUE!</v>
      </c>
      <c r="L12" s="84" t="e">
        <f t="shared" si="2"/>
        <v>#VALUE!</v>
      </c>
      <c r="M12" t="e">
        <f>O11*'Hypothetical vaccine model'!$J12*HelperFunctions!$R7</f>
        <v>#VALUE!</v>
      </c>
      <c r="N12" t="e">
        <f>O11*'Hypothetical vaccine model'!$K12</f>
        <v>#VALUE!</v>
      </c>
      <c r="O12" s="84" t="e">
        <f t="shared" si="3"/>
        <v>#VALUE!</v>
      </c>
      <c r="P12" t="e">
        <f>R11*'Hypothetical vaccine model'!$J12*HelperFunctions!$R6</f>
        <v>#VALUE!</v>
      </c>
      <c r="Q12" t="e">
        <f>R11*'Hypothetical vaccine model'!$K12</f>
        <v>#VALUE!</v>
      </c>
      <c r="R12" s="84" t="e">
        <f t="shared" si="4"/>
        <v>#VALUE!</v>
      </c>
      <c r="S12" t="e">
        <f>U11*'Hypothetical vaccine model'!$J12*HelperFunctions!$R5</f>
        <v>#VALUE!</v>
      </c>
      <c r="T12" t="e">
        <f>U11*'Hypothetical vaccine model'!$K12</f>
        <v>#VALUE!</v>
      </c>
      <c r="U12" s="84" t="e">
        <f t="shared" si="5"/>
        <v>#VALUE!</v>
      </c>
      <c r="V12" t="e">
        <f>X11*'Hypothetical vaccine model'!$J12*HelperFunctions!$R4</f>
        <v>#VALUE!</v>
      </c>
      <c r="W12" t="e">
        <f>X11*'Hypothetical vaccine model'!$K12</f>
        <v>#VALUE!</v>
      </c>
      <c r="X12" s="84" t="e">
        <f t="shared" ref="X12:X63" si="6">X11-V12-W12</f>
        <v>#VALUE!</v>
      </c>
      <c r="Y12" t="e">
        <f>AA11*'Hypothetical vaccine model'!$J12*HelperFunctions!$R3</f>
        <v>#VALUE!</v>
      </c>
      <c r="Z12" t="e">
        <f>AA11*'Hypothetical vaccine model'!$K12</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F12*'Hypothetical vaccine model'!J13*HelperFunctions!R11</f>
        <v>#VALUE!</v>
      </c>
      <c r="E13" t="e">
        <f>F12*'Hypothetical vaccine model'!K13</f>
        <v>#VALUE!</v>
      </c>
      <c r="F13" s="84" t="e">
        <f t="shared" si="0"/>
        <v>#VALUE!</v>
      </c>
      <c r="G13" t="e">
        <f>I12*'Hypothetical vaccine model'!$J13*HelperFunctions!$R10</f>
        <v>#VALUE!</v>
      </c>
      <c r="H13" t="e">
        <f>I12*'Hypothetical vaccine model'!$K13</f>
        <v>#VALUE!</v>
      </c>
      <c r="I13" s="84" t="e">
        <f t="shared" si="1"/>
        <v>#VALUE!</v>
      </c>
      <c r="J13" t="e">
        <f>L12*'Hypothetical vaccine model'!$J13*HelperFunctions!$R9</f>
        <v>#VALUE!</v>
      </c>
      <c r="K13" t="e">
        <f>L12*'Hypothetical vaccine model'!$K13</f>
        <v>#VALUE!</v>
      </c>
      <c r="L13" s="84" t="e">
        <f t="shared" si="2"/>
        <v>#VALUE!</v>
      </c>
      <c r="M13" t="e">
        <f>O12*'Hypothetical vaccine model'!$J13*HelperFunctions!$R8</f>
        <v>#VALUE!</v>
      </c>
      <c r="N13" t="e">
        <f>O12*'Hypothetical vaccine model'!$K13</f>
        <v>#VALUE!</v>
      </c>
      <c r="O13" s="84" t="e">
        <f t="shared" si="3"/>
        <v>#VALUE!</v>
      </c>
      <c r="P13" t="e">
        <f>R12*'Hypothetical vaccine model'!$J13*HelperFunctions!$R7</f>
        <v>#VALUE!</v>
      </c>
      <c r="Q13" t="e">
        <f>R12*'Hypothetical vaccine model'!$K13</f>
        <v>#VALUE!</v>
      </c>
      <c r="R13" s="84" t="e">
        <f t="shared" si="4"/>
        <v>#VALUE!</v>
      </c>
      <c r="S13" t="e">
        <f>U12*'Hypothetical vaccine model'!$J13*HelperFunctions!$R6</f>
        <v>#VALUE!</v>
      </c>
      <c r="T13" t="e">
        <f>U12*'Hypothetical vaccine model'!$K13</f>
        <v>#VALUE!</v>
      </c>
      <c r="U13" s="84" t="e">
        <f t="shared" si="5"/>
        <v>#VALUE!</v>
      </c>
      <c r="V13" t="e">
        <f>X12*'Hypothetical vaccine model'!$J13*HelperFunctions!$R5</f>
        <v>#VALUE!</v>
      </c>
      <c r="W13" t="e">
        <f>X12*'Hypothetical vaccine model'!$K13</f>
        <v>#VALUE!</v>
      </c>
      <c r="X13" s="84" t="e">
        <f t="shared" si="6"/>
        <v>#VALUE!</v>
      </c>
      <c r="Y13" t="e">
        <f>AA12*'Hypothetical vaccine model'!$J13*HelperFunctions!$R4</f>
        <v>#VALUE!</v>
      </c>
      <c r="Z13" t="e">
        <f>AA12*'Hypothetical vaccine model'!$K13</f>
        <v>#VALUE!</v>
      </c>
      <c r="AA13" s="84" t="e">
        <f t="shared" ref="AA13:AA63" si="7">AA12-Y13-Z13</f>
        <v>#VALUE!</v>
      </c>
      <c r="AB13" t="e">
        <f>AD12*'Hypothetical vaccine model'!$J13*HelperFunctions!$R3</f>
        <v>#VALUE!</v>
      </c>
      <c r="AC13" t="e">
        <f>AD12*'Hypothetical vaccine model'!$K13</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F13*'Hypothetical vaccine model'!J14*HelperFunctions!R12</f>
        <v>#VALUE!</v>
      </c>
      <c r="E14" t="e">
        <f>F13*'Hypothetical vaccine model'!K14</f>
        <v>#VALUE!</v>
      </c>
      <c r="F14" s="84" t="e">
        <f t="shared" si="0"/>
        <v>#VALUE!</v>
      </c>
      <c r="G14" t="e">
        <f>I13*'Hypothetical vaccine model'!$J14*HelperFunctions!$R11</f>
        <v>#VALUE!</v>
      </c>
      <c r="H14" t="e">
        <f>I13*'Hypothetical vaccine model'!$K14</f>
        <v>#VALUE!</v>
      </c>
      <c r="I14" s="84" t="e">
        <f t="shared" si="1"/>
        <v>#VALUE!</v>
      </c>
      <c r="J14" t="e">
        <f>L13*'Hypothetical vaccine model'!$J14*HelperFunctions!$R10</f>
        <v>#VALUE!</v>
      </c>
      <c r="K14" t="e">
        <f>L13*'Hypothetical vaccine model'!$K14</f>
        <v>#VALUE!</v>
      </c>
      <c r="L14" s="84" t="e">
        <f t="shared" si="2"/>
        <v>#VALUE!</v>
      </c>
      <c r="M14" t="e">
        <f>O13*'Hypothetical vaccine model'!$J14*HelperFunctions!$R9</f>
        <v>#VALUE!</v>
      </c>
      <c r="N14" t="e">
        <f>O13*'Hypothetical vaccine model'!$K14</f>
        <v>#VALUE!</v>
      </c>
      <c r="O14" s="84" t="e">
        <f t="shared" si="3"/>
        <v>#VALUE!</v>
      </c>
      <c r="P14" t="e">
        <f>R13*'Hypothetical vaccine model'!$J14*HelperFunctions!$R8</f>
        <v>#VALUE!</v>
      </c>
      <c r="Q14" t="e">
        <f>R13*'Hypothetical vaccine model'!$K14</f>
        <v>#VALUE!</v>
      </c>
      <c r="R14" s="84" t="e">
        <f t="shared" si="4"/>
        <v>#VALUE!</v>
      </c>
      <c r="S14" t="e">
        <f>U13*'Hypothetical vaccine model'!$J14*HelperFunctions!$R7</f>
        <v>#VALUE!</v>
      </c>
      <c r="T14" t="e">
        <f>U13*'Hypothetical vaccine model'!$K14</f>
        <v>#VALUE!</v>
      </c>
      <c r="U14" s="84" t="e">
        <f t="shared" si="5"/>
        <v>#VALUE!</v>
      </c>
      <c r="V14" t="e">
        <f>X13*'Hypothetical vaccine model'!$J14*HelperFunctions!$R6</f>
        <v>#VALUE!</v>
      </c>
      <c r="W14" t="e">
        <f>X13*'Hypothetical vaccine model'!$K14</f>
        <v>#VALUE!</v>
      </c>
      <c r="X14" s="84" t="e">
        <f t="shared" si="6"/>
        <v>#VALUE!</v>
      </c>
      <c r="Y14" t="e">
        <f>AA13*'Hypothetical vaccine model'!$J14*HelperFunctions!$R5</f>
        <v>#VALUE!</v>
      </c>
      <c r="Z14" t="e">
        <f>AA13*'Hypothetical vaccine model'!$K14</f>
        <v>#VALUE!</v>
      </c>
      <c r="AA14" s="84" t="e">
        <f t="shared" si="7"/>
        <v>#VALUE!</v>
      </c>
      <c r="AB14" t="e">
        <f>AD13*'Hypothetical vaccine model'!$J14*HelperFunctions!$R4</f>
        <v>#VALUE!</v>
      </c>
      <c r="AC14" t="e">
        <f>AD13*'Hypothetical vaccine model'!$K14</f>
        <v>#VALUE!</v>
      </c>
      <c r="AD14" s="84" t="e">
        <f t="shared" ref="AD14:AD63" si="8">AD13-AB14-AC14</f>
        <v>#VALUE!</v>
      </c>
      <c r="AE14" t="e">
        <f>AG13*'Hypothetical vaccine model'!$J14*HelperFunctions!$R3</f>
        <v>#VALUE!</v>
      </c>
      <c r="AF14" t="e">
        <f>AG13*'Hypothetical vaccine model'!$K14</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F14*'Hypothetical vaccine model'!J15*HelperFunctions!R13</f>
        <v>#VALUE!</v>
      </c>
      <c r="E15" t="e">
        <f>F14*'Hypothetical vaccine model'!K15</f>
        <v>#VALUE!</v>
      </c>
      <c r="F15" s="84" t="e">
        <f t="shared" si="0"/>
        <v>#VALUE!</v>
      </c>
      <c r="G15" t="e">
        <f>I14*'Hypothetical vaccine model'!$J15*HelperFunctions!$R12</f>
        <v>#VALUE!</v>
      </c>
      <c r="H15" t="e">
        <f>I14*'Hypothetical vaccine model'!$K15</f>
        <v>#VALUE!</v>
      </c>
      <c r="I15" s="84" t="e">
        <f t="shared" si="1"/>
        <v>#VALUE!</v>
      </c>
      <c r="J15" t="e">
        <f>L14*'Hypothetical vaccine model'!$J15*HelperFunctions!$R11</f>
        <v>#VALUE!</v>
      </c>
      <c r="K15" t="e">
        <f>L14*'Hypothetical vaccine model'!$K15</f>
        <v>#VALUE!</v>
      </c>
      <c r="L15" s="84" t="e">
        <f t="shared" si="2"/>
        <v>#VALUE!</v>
      </c>
      <c r="M15" t="e">
        <f>O14*'Hypothetical vaccine model'!$J15*HelperFunctions!$R10</f>
        <v>#VALUE!</v>
      </c>
      <c r="N15" t="e">
        <f>O14*'Hypothetical vaccine model'!$K15</f>
        <v>#VALUE!</v>
      </c>
      <c r="O15" s="84" t="e">
        <f t="shared" si="3"/>
        <v>#VALUE!</v>
      </c>
      <c r="P15" t="e">
        <f>R14*'Hypothetical vaccine model'!$J15*HelperFunctions!$R9</f>
        <v>#VALUE!</v>
      </c>
      <c r="Q15" t="e">
        <f>R14*'Hypothetical vaccine model'!$K15</f>
        <v>#VALUE!</v>
      </c>
      <c r="R15" s="84" t="e">
        <f t="shared" si="4"/>
        <v>#VALUE!</v>
      </c>
      <c r="S15" t="e">
        <f>U14*'Hypothetical vaccine model'!$J15*HelperFunctions!$R8</f>
        <v>#VALUE!</v>
      </c>
      <c r="T15" t="e">
        <f>U14*'Hypothetical vaccine model'!$K15</f>
        <v>#VALUE!</v>
      </c>
      <c r="U15" s="84" t="e">
        <f t="shared" si="5"/>
        <v>#VALUE!</v>
      </c>
      <c r="V15" t="e">
        <f>X14*'Hypothetical vaccine model'!$J15*HelperFunctions!$R7</f>
        <v>#VALUE!</v>
      </c>
      <c r="W15" t="e">
        <f>X14*'Hypothetical vaccine model'!$K15</f>
        <v>#VALUE!</v>
      </c>
      <c r="X15" s="84" t="e">
        <f t="shared" si="6"/>
        <v>#VALUE!</v>
      </c>
      <c r="Y15" t="e">
        <f>AA14*'Hypothetical vaccine model'!$J15*HelperFunctions!$R6</f>
        <v>#VALUE!</v>
      </c>
      <c r="Z15" t="e">
        <f>AA14*'Hypothetical vaccine model'!$K15</f>
        <v>#VALUE!</v>
      </c>
      <c r="AA15" s="84" t="e">
        <f t="shared" si="7"/>
        <v>#VALUE!</v>
      </c>
      <c r="AB15" t="e">
        <f>AD14*'Hypothetical vaccine model'!$J15*HelperFunctions!$R5</f>
        <v>#VALUE!</v>
      </c>
      <c r="AC15" t="e">
        <f>AD14*'Hypothetical vaccine model'!$K15</f>
        <v>#VALUE!</v>
      </c>
      <c r="AD15" s="84" t="e">
        <f t="shared" si="8"/>
        <v>#VALUE!</v>
      </c>
      <c r="AE15" t="e">
        <f>AG14*'Hypothetical vaccine model'!$J15*HelperFunctions!$R4</f>
        <v>#VALUE!</v>
      </c>
      <c r="AF15" t="e">
        <f>AG14*'Hypothetical vaccine model'!$K15</f>
        <v>#VALUE!</v>
      </c>
      <c r="AG15" s="84" t="e">
        <f t="shared" ref="AG15:AG63" si="9">AG14-AE15-AF15</f>
        <v>#VALUE!</v>
      </c>
      <c r="AH15" t="e">
        <f>AJ14*'Hypothetical vaccine model'!$J15*HelperFunctions!$R3</f>
        <v>#VALUE!</v>
      </c>
      <c r="AI15" t="e">
        <f>AJ14*'Hypothetical vaccine model'!$K15</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F15*'Hypothetical vaccine model'!J16*HelperFunctions!R$14</f>
        <v>#VALUE!</v>
      </c>
      <c r="E16" t="e">
        <f>F15*'Hypothetical vaccine model'!K16</f>
        <v>#VALUE!</v>
      </c>
      <c r="F16" s="84" t="e">
        <f t="shared" si="0"/>
        <v>#VALUE!</v>
      </c>
      <c r="G16" t="e">
        <f>I15*'Hypothetical vaccine model'!$J16*HelperFunctions!$R13</f>
        <v>#VALUE!</v>
      </c>
      <c r="H16" t="e">
        <f>I15*'Hypothetical vaccine model'!$K16</f>
        <v>#VALUE!</v>
      </c>
      <c r="I16" s="84" t="e">
        <f t="shared" si="1"/>
        <v>#VALUE!</v>
      </c>
      <c r="J16" t="e">
        <f>L15*'Hypothetical vaccine model'!$J16*HelperFunctions!$R12</f>
        <v>#VALUE!</v>
      </c>
      <c r="K16" t="e">
        <f>L15*'Hypothetical vaccine model'!$K16</f>
        <v>#VALUE!</v>
      </c>
      <c r="L16" s="84" t="e">
        <f t="shared" si="2"/>
        <v>#VALUE!</v>
      </c>
      <c r="M16" t="e">
        <f>O15*'Hypothetical vaccine model'!$J16*HelperFunctions!$R11</f>
        <v>#VALUE!</v>
      </c>
      <c r="N16" t="e">
        <f>O15*'Hypothetical vaccine model'!$K16</f>
        <v>#VALUE!</v>
      </c>
      <c r="O16" s="84" t="e">
        <f t="shared" si="3"/>
        <v>#VALUE!</v>
      </c>
      <c r="P16" t="e">
        <f>R15*'Hypothetical vaccine model'!$J16*HelperFunctions!$R10</f>
        <v>#VALUE!</v>
      </c>
      <c r="Q16" t="e">
        <f>R15*'Hypothetical vaccine model'!$K16</f>
        <v>#VALUE!</v>
      </c>
      <c r="R16" s="84" t="e">
        <f t="shared" si="4"/>
        <v>#VALUE!</v>
      </c>
      <c r="S16" t="e">
        <f>U15*'Hypothetical vaccine model'!$J16*HelperFunctions!$R9</f>
        <v>#VALUE!</v>
      </c>
      <c r="T16" t="e">
        <f>U15*'Hypothetical vaccine model'!$K16</f>
        <v>#VALUE!</v>
      </c>
      <c r="U16" s="84" t="e">
        <f t="shared" si="5"/>
        <v>#VALUE!</v>
      </c>
      <c r="V16" t="e">
        <f>X15*'Hypothetical vaccine model'!$J16*HelperFunctions!$R8</f>
        <v>#VALUE!</v>
      </c>
      <c r="W16" t="e">
        <f>X15*'Hypothetical vaccine model'!$K16</f>
        <v>#VALUE!</v>
      </c>
      <c r="X16" s="84" t="e">
        <f t="shared" si="6"/>
        <v>#VALUE!</v>
      </c>
      <c r="Y16" t="e">
        <f>AA15*'Hypothetical vaccine model'!$J16*HelperFunctions!$R7</f>
        <v>#VALUE!</v>
      </c>
      <c r="Z16" t="e">
        <f>AA15*'Hypothetical vaccine model'!$K16</f>
        <v>#VALUE!</v>
      </c>
      <c r="AA16" s="84" t="e">
        <f t="shared" si="7"/>
        <v>#VALUE!</v>
      </c>
      <c r="AB16" t="e">
        <f>AD15*'Hypothetical vaccine model'!$J16*HelperFunctions!$R6</f>
        <v>#VALUE!</v>
      </c>
      <c r="AC16" t="e">
        <f>AD15*'Hypothetical vaccine model'!$K16</f>
        <v>#VALUE!</v>
      </c>
      <c r="AD16" s="84" t="e">
        <f t="shared" si="8"/>
        <v>#VALUE!</v>
      </c>
      <c r="AE16" t="e">
        <f>AG15*'Hypothetical vaccine model'!$J16*HelperFunctions!$R5</f>
        <v>#VALUE!</v>
      </c>
      <c r="AF16" t="e">
        <f>AG15*'Hypothetical vaccine model'!$K16</f>
        <v>#VALUE!</v>
      </c>
      <c r="AG16" s="84" t="e">
        <f t="shared" si="9"/>
        <v>#VALUE!</v>
      </c>
      <c r="AH16" t="e">
        <f>AJ15*'Hypothetical vaccine model'!$J16*HelperFunctions!$R4</f>
        <v>#VALUE!</v>
      </c>
      <c r="AI16" t="e">
        <f>AJ15*'Hypothetical vaccine model'!$K16</f>
        <v>#VALUE!</v>
      </c>
      <c r="AJ16" s="84" t="e">
        <f t="shared" ref="AJ16:AJ63" si="10">AJ15-AH16-AI16</f>
        <v>#VALUE!</v>
      </c>
      <c r="AK16" t="e">
        <f>AM15*'Hypothetical vaccine model'!$J16*HelperFunctions!$R3</f>
        <v>#VALUE!</v>
      </c>
      <c r="AL16" t="e">
        <f>AM15*'Hypothetical vaccine model'!$K16</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F16*'Hypothetical vaccine model'!J17*HelperFunctions!R$14</f>
        <v>#VALUE!</v>
      </c>
      <c r="E17" t="e">
        <f>F16*'Hypothetical vaccine model'!K17</f>
        <v>#VALUE!</v>
      </c>
      <c r="F17" s="84" t="e">
        <f t="shared" si="0"/>
        <v>#VALUE!</v>
      </c>
      <c r="G17" t="e">
        <f>I16*'Hypothetical vaccine model'!$J17*HelperFunctions!$R$14</f>
        <v>#VALUE!</v>
      </c>
      <c r="H17" t="e">
        <f>I16*'Hypothetical vaccine model'!$K17</f>
        <v>#VALUE!</v>
      </c>
      <c r="I17" s="84" t="e">
        <f t="shared" si="1"/>
        <v>#VALUE!</v>
      </c>
      <c r="J17" t="e">
        <f>L16*'Hypothetical vaccine model'!$J17*HelperFunctions!$R13</f>
        <v>#VALUE!</v>
      </c>
      <c r="K17" t="e">
        <f>L16*'Hypothetical vaccine model'!$K17</f>
        <v>#VALUE!</v>
      </c>
      <c r="L17" s="84" t="e">
        <f t="shared" si="2"/>
        <v>#VALUE!</v>
      </c>
      <c r="M17" t="e">
        <f>O16*'Hypothetical vaccine model'!$J17*HelperFunctions!$R12</f>
        <v>#VALUE!</v>
      </c>
      <c r="N17" t="e">
        <f>O16*'Hypothetical vaccine model'!$K17</f>
        <v>#VALUE!</v>
      </c>
      <c r="O17" s="84" t="e">
        <f t="shared" si="3"/>
        <v>#VALUE!</v>
      </c>
      <c r="P17" t="e">
        <f>R16*'Hypothetical vaccine model'!$J17*HelperFunctions!$R11</f>
        <v>#VALUE!</v>
      </c>
      <c r="Q17" t="e">
        <f>R16*'Hypothetical vaccine model'!$K17</f>
        <v>#VALUE!</v>
      </c>
      <c r="R17" s="84" t="e">
        <f t="shared" si="4"/>
        <v>#VALUE!</v>
      </c>
      <c r="S17" t="e">
        <f>U16*'Hypothetical vaccine model'!$J17*HelperFunctions!$R10</f>
        <v>#VALUE!</v>
      </c>
      <c r="T17" t="e">
        <f>U16*'Hypothetical vaccine model'!$K17</f>
        <v>#VALUE!</v>
      </c>
      <c r="U17" s="84" t="e">
        <f t="shared" si="5"/>
        <v>#VALUE!</v>
      </c>
      <c r="V17" t="e">
        <f>X16*'Hypothetical vaccine model'!$J17*HelperFunctions!$R9</f>
        <v>#VALUE!</v>
      </c>
      <c r="W17" t="e">
        <f>X16*'Hypothetical vaccine model'!$K17</f>
        <v>#VALUE!</v>
      </c>
      <c r="X17" s="84" t="e">
        <f t="shared" si="6"/>
        <v>#VALUE!</v>
      </c>
      <c r="Y17" t="e">
        <f>AA16*'Hypothetical vaccine model'!$J17*HelperFunctions!$R8</f>
        <v>#VALUE!</v>
      </c>
      <c r="Z17" t="e">
        <f>AA16*'Hypothetical vaccine model'!$K17</f>
        <v>#VALUE!</v>
      </c>
      <c r="AA17" s="84" t="e">
        <f t="shared" si="7"/>
        <v>#VALUE!</v>
      </c>
      <c r="AB17" t="e">
        <f>AD16*'Hypothetical vaccine model'!$J17*HelperFunctions!$R7</f>
        <v>#VALUE!</v>
      </c>
      <c r="AC17" t="e">
        <f>AD16*'Hypothetical vaccine model'!$K17</f>
        <v>#VALUE!</v>
      </c>
      <c r="AD17" s="84" t="e">
        <f t="shared" si="8"/>
        <v>#VALUE!</v>
      </c>
      <c r="AE17" t="e">
        <f>AG16*'Hypothetical vaccine model'!$J17*HelperFunctions!$R6</f>
        <v>#VALUE!</v>
      </c>
      <c r="AF17" t="e">
        <f>AG16*'Hypothetical vaccine model'!$K17</f>
        <v>#VALUE!</v>
      </c>
      <c r="AG17" s="84" t="e">
        <f t="shared" si="9"/>
        <v>#VALUE!</v>
      </c>
      <c r="AH17" t="e">
        <f>AJ16*'Hypothetical vaccine model'!$J17*HelperFunctions!$R5</f>
        <v>#VALUE!</v>
      </c>
      <c r="AI17" t="e">
        <f>AJ16*'Hypothetical vaccine model'!$K17</f>
        <v>#VALUE!</v>
      </c>
      <c r="AJ17" s="84" t="e">
        <f t="shared" si="10"/>
        <v>#VALUE!</v>
      </c>
      <c r="AK17" t="e">
        <f>AM16*'Hypothetical vaccine model'!$J17*HelperFunctions!$R4</f>
        <v>#VALUE!</v>
      </c>
      <c r="AL17" t="e">
        <f>AM16*'Hypothetical vaccine model'!$K17</f>
        <v>#VALUE!</v>
      </c>
      <c r="AM17" s="84" t="e">
        <f t="shared" ref="AM17:AM63" si="11">AM16-AK17-AL17</f>
        <v>#VALUE!</v>
      </c>
      <c r="AN17" t="e">
        <f>AP16*'Hypothetical vaccine model'!$J17*HelperFunctions!$R17</f>
        <v>#VALUE!</v>
      </c>
      <c r="AO17" t="e">
        <f>AP16*'Hypothetical vaccine model'!$K17</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F17*'Hypothetical vaccine model'!J18*HelperFunctions!R$14</f>
        <v>#VALUE!</v>
      </c>
      <c r="E18" t="e">
        <f>F17*'Hypothetical vaccine model'!K18</f>
        <v>#VALUE!</v>
      </c>
      <c r="F18" s="84" t="e">
        <f t="shared" si="0"/>
        <v>#VALUE!</v>
      </c>
      <c r="G18" t="e">
        <f>I17*'Hypothetical vaccine model'!$J18*HelperFunctions!$R$14</f>
        <v>#VALUE!</v>
      </c>
      <c r="H18" t="e">
        <f>I17*'Hypothetical vaccine model'!$K18</f>
        <v>#VALUE!</v>
      </c>
      <c r="I18" s="84" t="e">
        <f t="shared" si="1"/>
        <v>#VALUE!</v>
      </c>
      <c r="J18" t="e">
        <f>L17*'Hypothetical vaccine model'!$J18*HelperFunctions!$R14</f>
        <v>#VALUE!</v>
      </c>
      <c r="K18" t="e">
        <f>L17*'Hypothetical vaccine model'!$K18</f>
        <v>#VALUE!</v>
      </c>
      <c r="L18" s="84" t="e">
        <f t="shared" si="2"/>
        <v>#VALUE!</v>
      </c>
      <c r="M18" t="e">
        <f>O17*'Hypothetical vaccine model'!$J18*HelperFunctions!$R13</f>
        <v>#VALUE!</v>
      </c>
      <c r="N18" t="e">
        <f>O17*'Hypothetical vaccine model'!$K18</f>
        <v>#VALUE!</v>
      </c>
      <c r="O18" s="84" t="e">
        <f t="shared" si="3"/>
        <v>#VALUE!</v>
      </c>
      <c r="P18" t="e">
        <f>R17*'Hypothetical vaccine model'!$J18*HelperFunctions!$R12</f>
        <v>#VALUE!</v>
      </c>
      <c r="Q18" t="e">
        <f>R17*'Hypothetical vaccine model'!$K18</f>
        <v>#VALUE!</v>
      </c>
      <c r="R18" s="84" t="e">
        <f t="shared" si="4"/>
        <v>#VALUE!</v>
      </c>
      <c r="S18" t="e">
        <f>U17*'Hypothetical vaccine model'!$J18*HelperFunctions!$R11</f>
        <v>#VALUE!</v>
      </c>
      <c r="T18" t="e">
        <f>U17*'Hypothetical vaccine model'!$K18</f>
        <v>#VALUE!</v>
      </c>
      <c r="U18" s="84" t="e">
        <f t="shared" si="5"/>
        <v>#VALUE!</v>
      </c>
      <c r="V18" t="e">
        <f>X17*'Hypothetical vaccine model'!$J18*HelperFunctions!$R10</f>
        <v>#VALUE!</v>
      </c>
      <c r="W18" t="e">
        <f>X17*'Hypothetical vaccine model'!$K18</f>
        <v>#VALUE!</v>
      </c>
      <c r="X18" s="84" t="e">
        <f t="shared" si="6"/>
        <v>#VALUE!</v>
      </c>
      <c r="Y18" t="e">
        <f>AA17*'Hypothetical vaccine model'!$J18*HelperFunctions!$R9</f>
        <v>#VALUE!</v>
      </c>
      <c r="Z18" t="e">
        <f>AA17*'Hypothetical vaccine model'!$K18</f>
        <v>#VALUE!</v>
      </c>
      <c r="AA18" s="84" t="e">
        <f t="shared" si="7"/>
        <v>#VALUE!</v>
      </c>
      <c r="AB18" t="e">
        <f>AD17*'Hypothetical vaccine model'!$J18*HelperFunctions!$R8</f>
        <v>#VALUE!</v>
      </c>
      <c r="AC18" t="e">
        <f>AD17*'Hypothetical vaccine model'!$K18</f>
        <v>#VALUE!</v>
      </c>
      <c r="AD18" s="84" t="e">
        <f t="shared" si="8"/>
        <v>#VALUE!</v>
      </c>
      <c r="AE18" t="e">
        <f>AG17*'Hypothetical vaccine model'!$J18*HelperFunctions!$R7</f>
        <v>#VALUE!</v>
      </c>
      <c r="AF18" t="e">
        <f>AG17*'Hypothetical vaccine model'!$K18</f>
        <v>#VALUE!</v>
      </c>
      <c r="AG18" s="84" t="e">
        <f t="shared" si="9"/>
        <v>#VALUE!</v>
      </c>
      <c r="AH18" t="e">
        <f>AJ17*'Hypothetical vaccine model'!$J18*HelperFunctions!$R6</f>
        <v>#VALUE!</v>
      </c>
      <c r="AI18" t="e">
        <f>AJ17*'Hypothetical vaccine model'!$K18</f>
        <v>#VALUE!</v>
      </c>
      <c r="AJ18" s="84" t="e">
        <f t="shared" si="10"/>
        <v>#VALUE!</v>
      </c>
      <c r="AK18" t="e">
        <f>AM17*'Hypothetical vaccine model'!$J18*HelperFunctions!$R5</f>
        <v>#VALUE!</v>
      </c>
      <c r="AL18" t="e">
        <f>AM17*'Hypothetical vaccine model'!$K18</f>
        <v>#VALUE!</v>
      </c>
      <c r="AM18" s="84" t="e">
        <f t="shared" si="11"/>
        <v>#VALUE!</v>
      </c>
      <c r="AN18" t="e">
        <f>AP17*'Hypothetical vaccine model'!$J18*HelperFunctions!$R18</f>
        <v>#VALUE!</v>
      </c>
      <c r="AO18" t="e">
        <f>AP17*'Hypothetical vaccine model'!$K18</f>
        <v>#VALUE!</v>
      </c>
      <c r="AP18" s="84" t="e">
        <f t="shared" ref="AP18:AP63" si="12">AP17-AN18-AO18</f>
        <v>#VALUE!</v>
      </c>
      <c r="AQ18" t="e">
        <f>AS17*'Hypothetical vaccine model'!$J18*HelperFunctions!$R17</f>
        <v>#VALUE!</v>
      </c>
      <c r="AR18" t="e">
        <f>AS17*'Hypothetical vaccine model'!$K18</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F18*'Hypothetical vaccine model'!J19*HelperFunctions!R$14</f>
        <v>#VALUE!</v>
      </c>
      <c r="E19" t="e">
        <f>F18*'Hypothetical vaccine model'!K19</f>
        <v>#VALUE!</v>
      </c>
      <c r="F19" s="84" t="e">
        <f t="shared" si="0"/>
        <v>#VALUE!</v>
      </c>
      <c r="G19" t="e">
        <f>I18*'Hypothetical vaccine model'!$J19*HelperFunctions!$R$14</f>
        <v>#VALUE!</v>
      </c>
      <c r="H19" t="e">
        <f>I18*'Hypothetical vaccine model'!$K19</f>
        <v>#VALUE!</v>
      </c>
      <c r="I19" s="84" t="e">
        <f t="shared" si="1"/>
        <v>#VALUE!</v>
      </c>
      <c r="J19" t="e">
        <f>L18*'Hypothetical vaccine model'!$J19*HelperFunctions!$R$14</f>
        <v>#VALUE!</v>
      </c>
      <c r="K19" t="e">
        <f>L18*'Hypothetical vaccine model'!$K19</f>
        <v>#VALUE!</v>
      </c>
      <c r="L19" s="84" t="e">
        <f t="shared" si="2"/>
        <v>#VALUE!</v>
      </c>
      <c r="M19" t="e">
        <f>O18*'Hypothetical vaccine model'!$J19*HelperFunctions!$R$14</f>
        <v>#VALUE!</v>
      </c>
      <c r="N19" t="e">
        <f>O18*'Hypothetical vaccine model'!$K19</f>
        <v>#VALUE!</v>
      </c>
      <c r="O19" s="84" t="e">
        <f t="shared" si="3"/>
        <v>#VALUE!</v>
      </c>
      <c r="P19" t="e">
        <f>R18*'Hypothetical vaccine model'!$J19*HelperFunctions!$R13</f>
        <v>#VALUE!</v>
      </c>
      <c r="Q19" t="e">
        <f>R18*'Hypothetical vaccine model'!$K19</f>
        <v>#VALUE!</v>
      </c>
      <c r="R19" s="84" t="e">
        <f t="shared" si="4"/>
        <v>#VALUE!</v>
      </c>
      <c r="S19" t="e">
        <f>U18*'Hypothetical vaccine model'!$J19*HelperFunctions!$R12</f>
        <v>#VALUE!</v>
      </c>
      <c r="T19" t="e">
        <f>U18*'Hypothetical vaccine model'!$K19</f>
        <v>#VALUE!</v>
      </c>
      <c r="U19" s="84" t="e">
        <f t="shared" si="5"/>
        <v>#VALUE!</v>
      </c>
      <c r="V19" t="e">
        <f>X18*'Hypothetical vaccine model'!$J19*HelperFunctions!$R11</f>
        <v>#VALUE!</v>
      </c>
      <c r="W19" t="e">
        <f>X18*'Hypothetical vaccine model'!$K19</f>
        <v>#VALUE!</v>
      </c>
      <c r="X19" s="84" t="e">
        <f t="shared" si="6"/>
        <v>#VALUE!</v>
      </c>
      <c r="Y19" t="e">
        <f>AA18*'Hypothetical vaccine model'!$J19*HelperFunctions!$R10</f>
        <v>#VALUE!</v>
      </c>
      <c r="Z19" t="e">
        <f>AA18*'Hypothetical vaccine model'!$K19</f>
        <v>#VALUE!</v>
      </c>
      <c r="AA19" s="84" t="e">
        <f t="shared" si="7"/>
        <v>#VALUE!</v>
      </c>
      <c r="AB19" t="e">
        <f>AD18*'Hypothetical vaccine model'!$J19*HelperFunctions!$R9</f>
        <v>#VALUE!</v>
      </c>
      <c r="AC19" t="e">
        <f>AD18*'Hypothetical vaccine model'!$K19</f>
        <v>#VALUE!</v>
      </c>
      <c r="AD19" s="84" t="e">
        <f t="shared" si="8"/>
        <v>#VALUE!</v>
      </c>
      <c r="AE19" t="e">
        <f>AG18*'Hypothetical vaccine model'!$J19*HelperFunctions!$R8</f>
        <v>#VALUE!</v>
      </c>
      <c r="AF19" t="e">
        <f>AG18*'Hypothetical vaccine model'!$K19</f>
        <v>#VALUE!</v>
      </c>
      <c r="AG19" s="84" t="e">
        <f t="shared" si="9"/>
        <v>#VALUE!</v>
      </c>
      <c r="AH19" t="e">
        <f>AJ18*'Hypothetical vaccine model'!$J19*HelperFunctions!$R7</f>
        <v>#VALUE!</v>
      </c>
      <c r="AI19" t="e">
        <f>AJ18*'Hypothetical vaccine model'!$K19</f>
        <v>#VALUE!</v>
      </c>
      <c r="AJ19" s="84" t="e">
        <f t="shared" si="10"/>
        <v>#VALUE!</v>
      </c>
      <c r="AK19" t="e">
        <f>AM18*'Hypothetical vaccine model'!$J19*HelperFunctions!$R6</f>
        <v>#VALUE!</v>
      </c>
      <c r="AL19" t="e">
        <f>AM18*'Hypothetical vaccine model'!$K19</f>
        <v>#VALUE!</v>
      </c>
      <c r="AM19" s="84" t="e">
        <f t="shared" si="11"/>
        <v>#VALUE!</v>
      </c>
      <c r="AN19" t="e">
        <f>AP18*'Hypothetical vaccine model'!$J19*HelperFunctions!$R19</f>
        <v>#VALUE!</v>
      </c>
      <c r="AO19" t="e">
        <f>AP18*'Hypothetical vaccine model'!$K19</f>
        <v>#VALUE!</v>
      </c>
      <c r="AP19" s="84" t="e">
        <f t="shared" si="12"/>
        <v>#VALUE!</v>
      </c>
      <c r="AQ19" t="e">
        <f>AS18*'Hypothetical vaccine model'!$J19*HelperFunctions!$R18</f>
        <v>#VALUE!</v>
      </c>
      <c r="AR19" t="e">
        <f>AS18*'Hypothetical vaccine model'!$K19</f>
        <v>#VALUE!</v>
      </c>
      <c r="AS19" s="84" t="e">
        <f t="shared" ref="AS19:AS63" si="13">AS18-AQ19-AR19</f>
        <v>#VALUE!</v>
      </c>
      <c r="AT19" t="e">
        <f>AV18*'Hypothetical vaccine model'!$J19*HelperFunctions!$R17</f>
        <v>#VALUE!</v>
      </c>
      <c r="AU19" t="e">
        <f>AV18*'Hypothetical vaccine model'!$K19</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F19*'Hypothetical vaccine model'!J20*HelperFunctions!R$14</f>
        <v>#VALUE!</v>
      </c>
      <c r="E20" t="e">
        <f>F19*'Hypothetical vaccine model'!K20</f>
        <v>#VALUE!</v>
      </c>
      <c r="F20" s="84" t="e">
        <f t="shared" si="0"/>
        <v>#VALUE!</v>
      </c>
      <c r="G20" t="e">
        <f>I19*'Hypothetical vaccine model'!$J20*HelperFunctions!$R$14</f>
        <v>#VALUE!</v>
      </c>
      <c r="H20" t="e">
        <f>I19*'Hypothetical vaccine model'!$K20</f>
        <v>#VALUE!</v>
      </c>
      <c r="I20" s="84" t="e">
        <f t="shared" si="1"/>
        <v>#VALUE!</v>
      </c>
      <c r="J20" t="e">
        <f>L19*'Hypothetical vaccine model'!$J20*HelperFunctions!$R$14</f>
        <v>#VALUE!</v>
      </c>
      <c r="K20" t="e">
        <f>L19*'Hypothetical vaccine model'!$K20</f>
        <v>#VALUE!</v>
      </c>
      <c r="L20" s="84" t="e">
        <f t="shared" si="2"/>
        <v>#VALUE!</v>
      </c>
      <c r="M20" t="e">
        <f>O19*'Hypothetical vaccine model'!$J20*HelperFunctions!$R$14</f>
        <v>#VALUE!</v>
      </c>
      <c r="N20" t="e">
        <f>O19*'Hypothetical vaccine model'!$K20</f>
        <v>#VALUE!</v>
      </c>
      <c r="O20" s="84" t="e">
        <f t="shared" si="3"/>
        <v>#VALUE!</v>
      </c>
      <c r="P20" t="e">
        <f>R19*'Hypothetical vaccine model'!$J20*HelperFunctions!$R$14</f>
        <v>#VALUE!</v>
      </c>
      <c r="Q20" t="e">
        <f>R19*'Hypothetical vaccine model'!$K20</f>
        <v>#VALUE!</v>
      </c>
      <c r="R20" s="84" t="e">
        <f t="shared" si="4"/>
        <v>#VALUE!</v>
      </c>
      <c r="S20" t="e">
        <f>U19*'Hypothetical vaccine model'!$J20*HelperFunctions!$R13</f>
        <v>#VALUE!</v>
      </c>
      <c r="T20" t="e">
        <f>U19*'Hypothetical vaccine model'!$K20</f>
        <v>#VALUE!</v>
      </c>
      <c r="U20" s="84" t="e">
        <f t="shared" si="5"/>
        <v>#VALUE!</v>
      </c>
      <c r="V20" t="e">
        <f>X19*'Hypothetical vaccine model'!$J20*HelperFunctions!$R12</f>
        <v>#VALUE!</v>
      </c>
      <c r="W20" t="e">
        <f>X19*'Hypothetical vaccine model'!$K20</f>
        <v>#VALUE!</v>
      </c>
      <c r="X20" s="84" t="e">
        <f t="shared" si="6"/>
        <v>#VALUE!</v>
      </c>
      <c r="Y20" t="e">
        <f>AA19*'Hypothetical vaccine model'!$J20*HelperFunctions!$R11</f>
        <v>#VALUE!</v>
      </c>
      <c r="Z20" t="e">
        <f>AA19*'Hypothetical vaccine model'!$K20</f>
        <v>#VALUE!</v>
      </c>
      <c r="AA20" s="84" t="e">
        <f t="shared" si="7"/>
        <v>#VALUE!</v>
      </c>
      <c r="AB20" t="e">
        <f>AD19*'Hypothetical vaccine model'!$J20*HelperFunctions!$R10</f>
        <v>#VALUE!</v>
      </c>
      <c r="AC20" t="e">
        <f>AD19*'Hypothetical vaccine model'!$K20</f>
        <v>#VALUE!</v>
      </c>
      <c r="AD20" s="84" t="e">
        <f t="shared" si="8"/>
        <v>#VALUE!</v>
      </c>
      <c r="AE20" t="e">
        <f>AG19*'Hypothetical vaccine model'!$J20*HelperFunctions!$R9</f>
        <v>#VALUE!</v>
      </c>
      <c r="AF20" t="e">
        <f>AG19*'Hypothetical vaccine model'!$K20</f>
        <v>#VALUE!</v>
      </c>
      <c r="AG20" s="84" t="e">
        <f t="shared" si="9"/>
        <v>#VALUE!</v>
      </c>
      <c r="AH20" t="e">
        <f>AJ19*'Hypothetical vaccine model'!$J20*HelperFunctions!$R8</f>
        <v>#VALUE!</v>
      </c>
      <c r="AI20" t="e">
        <f>AJ19*'Hypothetical vaccine model'!$K20</f>
        <v>#VALUE!</v>
      </c>
      <c r="AJ20" s="84" t="e">
        <f t="shared" si="10"/>
        <v>#VALUE!</v>
      </c>
      <c r="AK20" t="e">
        <f>AM19*'Hypothetical vaccine model'!$J20*HelperFunctions!$R7</f>
        <v>#VALUE!</v>
      </c>
      <c r="AL20" t="e">
        <f>AM19*'Hypothetical vaccine model'!$K20</f>
        <v>#VALUE!</v>
      </c>
      <c r="AM20" s="84" t="e">
        <f t="shared" si="11"/>
        <v>#VALUE!</v>
      </c>
      <c r="AN20" t="e">
        <f>AP19*'Hypothetical vaccine model'!$J20*HelperFunctions!$R20</f>
        <v>#VALUE!</v>
      </c>
      <c r="AO20" t="e">
        <f>AP19*'Hypothetical vaccine model'!$K20</f>
        <v>#VALUE!</v>
      </c>
      <c r="AP20" s="84" t="e">
        <f t="shared" si="12"/>
        <v>#VALUE!</v>
      </c>
      <c r="AQ20" t="e">
        <f>AS19*'Hypothetical vaccine model'!$J20*HelperFunctions!$R19</f>
        <v>#VALUE!</v>
      </c>
      <c r="AR20" t="e">
        <f>AS19*'Hypothetical vaccine model'!$K20</f>
        <v>#VALUE!</v>
      </c>
      <c r="AS20" s="84" t="e">
        <f t="shared" si="13"/>
        <v>#VALUE!</v>
      </c>
      <c r="AT20" t="e">
        <f>AV19*'Hypothetical vaccine model'!$J20*HelperFunctions!$R18</f>
        <v>#VALUE!</v>
      </c>
      <c r="AU20" t="e">
        <f>AV19*'Hypothetical vaccine model'!$K20</f>
        <v>#VALUE!</v>
      </c>
      <c r="AV20" s="84" t="e">
        <f t="shared" ref="AV20:AV63" si="14">AV19-AT20-AU20</f>
        <v>#VALUE!</v>
      </c>
      <c r="AW20" t="e">
        <f>AY19*'Hypothetical vaccine model'!$J20*HelperFunctions!$R17</f>
        <v>#VALUE!</v>
      </c>
      <c r="AX20" t="e">
        <f>AY19*'Hypothetical vaccine model'!$K20</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F20*'Hypothetical vaccine model'!J21*HelperFunctions!R$14</f>
        <v>#VALUE!</v>
      </c>
      <c r="E21" t="e">
        <f>F20*'Hypothetical vaccine model'!K21</f>
        <v>#VALUE!</v>
      </c>
      <c r="F21" s="84" t="e">
        <f t="shared" si="0"/>
        <v>#VALUE!</v>
      </c>
      <c r="G21" t="e">
        <f>I20*'Hypothetical vaccine model'!$J21*HelperFunctions!$R$14</f>
        <v>#VALUE!</v>
      </c>
      <c r="H21" t="e">
        <f>I20*'Hypothetical vaccine model'!$K21</f>
        <v>#VALUE!</v>
      </c>
      <c r="I21" s="84" t="e">
        <f t="shared" si="1"/>
        <v>#VALUE!</v>
      </c>
      <c r="J21" t="e">
        <f>L20*'Hypothetical vaccine model'!$J21*HelperFunctions!$R$14</f>
        <v>#VALUE!</v>
      </c>
      <c r="K21" t="e">
        <f>L20*'Hypothetical vaccine model'!$K21</f>
        <v>#VALUE!</v>
      </c>
      <c r="L21" s="84" t="e">
        <f t="shared" si="2"/>
        <v>#VALUE!</v>
      </c>
      <c r="M21" t="e">
        <f>O20*'Hypothetical vaccine model'!$J21*HelperFunctions!$R$14</f>
        <v>#VALUE!</v>
      </c>
      <c r="N21" t="e">
        <f>O20*'Hypothetical vaccine model'!$K21</f>
        <v>#VALUE!</v>
      </c>
      <c r="O21" s="84" t="e">
        <f t="shared" si="3"/>
        <v>#VALUE!</v>
      </c>
      <c r="P21" t="e">
        <f>R20*'Hypothetical vaccine model'!$J21*HelperFunctions!$R$14</f>
        <v>#VALUE!</v>
      </c>
      <c r="Q21" t="e">
        <f>R20*'Hypothetical vaccine model'!$K21</f>
        <v>#VALUE!</v>
      </c>
      <c r="R21" s="84" t="e">
        <f t="shared" si="4"/>
        <v>#VALUE!</v>
      </c>
      <c r="S21" t="e">
        <f>U20*'Hypothetical vaccine model'!$J21*HelperFunctions!$R$14</f>
        <v>#VALUE!</v>
      </c>
      <c r="T21" t="e">
        <f>U20*'Hypothetical vaccine model'!$K21</f>
        <v>#VALUE!</v>
      </c>
      <c r="U21" s="84" t="e">
        <f t="shared" si="5"/>
        <v>#VALUE!</v>
      </c>
      <c r="V21" t="e">
        <f>X20*'Hypothetical vaccine model'!$J21*HelperFunctions!$R13</f>
        <v>#VALUE!</v>
      </c>
      <c r="W21" t="e">
        <f>X20*'Hypothetical vaccine model'!$K21</f>
        <v>#VALUE!</v>
      </c>
      <c r="X21" s="84" t="e">
        <f t="shared" si="6"/>
        <v>#VALUE!</v>
      </c>
      <c r="Y21" t="e">
        <f>AA20*'Hypothetical vaccine model'!$J21*HelperFunctions!$R12</f>
        <v>#VALUE!</v>
      </c>
      <c r="Z21" t="e">
        <f>AA20*'Hypothetical vaccine model'!$K21</f>
        <v>#VALUE!</v>
      </c>
      <c r="AA21" s="84" t="e">
        <f t="shared" si="7"/>
        <v>#VALUE!</v>
      </c>
      <c r="AB21" t="e">
        <f>AD20*'Hypothetical vaccine model'!$J21*HelperFunctions!$R11</f>
        <v>#VALUE!</v>
      </c>
      <c r="AC21" t="e">
        <f>AD20*'Hypothetical vaccine model'!$K21</f>
        <v>#VALUE!</v>
      </c>
      <c r="AD21" s="84" t="e">
        <f t="shared" si="8"/>
        <v>#VALUE!</v>
      </c>
      <c r="AE21" t="e">
        <f>AG20*'Hypothetical vaccine model'!$J21*HelperFunctions!$R10</f>
        <v>#VALUE!</v>
      </c>
      <c r="AF21" t="e">
        <f>AG20*'Hypothetical vaccine model'!$K21</f>
        <v>#VALUE!</v>
      </c>
      <c r="AG21" s="84" t="e">
        <f t="shared" si="9"/>
        <v>#VALUE!</v>
      </c>
      <c r="AH21" t="e">
        <f>AJ20*'Hypothetical vaccine model'!$J21*HelperFunctions!$R9</f>
        <v>#VALUE!</v>
      </c>
      <c r="AI21" t="e">
        <f>AJ20*'Hypothetical vaccine model'!$K21</f>
        <v>#VALUE!</v>
      </c>
      <c r="AJ21" s="84" t="e">
        <f t="shared" si="10"/>
        <v>#VALUE!</v>
      </c>
      <c r="AK21" t="e">
        <f>AM20*'Hypothetical vaccine model'!$J21*HelperFunctions!$R8</f>
        <v>#VALUE!</v>
      </c>
      <c r="AL21" t="e">
        <f>AM20*'Hypothetical vaccine model'!$K21</f>
        <v>#VALUE!</v>
      </c>
      <c r="AM21" s="84" t="e">
        <f t="shared" si="11"/>
        <v>#VALUE!</v>
      </c>
      <c r="AN21" t="e">
        <f>AP20*'Hypothetical vaccine model'!$J21*HelperFunctions!$R21</f>
        <v>#VALUE!</v>
      </c>
      <c r="AO21" t="e">
        <f>AP20*'Hypothetical vaccine model'!$K21</f>
        <v>#VALUE!</v>
      </c>
      <c r="AP21" s="84" t="e">
        <f t="shared" si="12"/>
        <v>#VALUE!</v>
      </c>
      <c r="AQ21" t="e">
        <f>AS20*'Hypothetical vaccine model'!$J21*HelperFunctions!$R20</f>
        <v>#VALUE!</v>
      </c>
      <c r="AR21" t="e">
        <f>AS20*'Hypothetical vaccine model'!$K21</f>
        <v>#VALUE!</v>
      </c>
      <c r="AS21" s="84" t="e">
        <f t="shared" si="13"/>
        <v>#VALUE!</v>
      </c>
      <c r="AT21" t="e">
        <f>AV20*'Hypothetical vaccine model'!$J21*HelperFunctions!$R19</f>
        <v>#VALUE!</v>
      </c>
      <c r="AU21" t="e">
        <f>AV20*'Hypothetical vaccine model'!$K21</f>
        <v>#VALUE!</v>
      </c>
      <c r="AV21" s="84" t="e">
        <f t="shared" si="14"/>
        <v>#VALUE!</v>
      </c>
      <c r="AW21" t="e">
        <f>AY20*'Hypothetical vaccine model'!$J21*HelperFunctions!$R18</f>
        <v>#VALUE!</v>
      </c>
      <c r="AX21" t="e">
        <f>AY20*'Hypothetical vaccine model'!$K21</f>
        <v>#VALUE!</v>
      </c>
      <c r="AY21" s="84" t="e">
        <f t="shared" ref="AY21:AY63" si="15">AY20-AW21-AX21</f>
        <v>#VALUE!</v>
      </c>
      <c r="AZ21" t="e">
        <f>BB20*'Hypothetical vaccine model'!$J21*HelperFunctions!$R17</f>
        <v>#VALUE!</v>
      </c>
      <c r="BA21" t="e">
        <f>BB20*'Hypothetical vaccine model'!$K21</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F21*'Hypothetical vaccine model'!J22*HelperFunctions!R$14</f>
        <v>#VALUE!</v>
      </c>
      <c r="E22" t="e">
        <f>F21*'Hypothetical vaccine model'!K22</f>
        <v>#VALUE!</v>
      </c>
      <c r="F22" s="84" t="e">
        <f t="shared" si="0"/>
        <v>#VALUE!</v>
      </c>
      <c r="G22" t="e">
        <f>I21*'Hypothetical vaccine model'!$J22*HelperFunctions!$R$14</f>
        <v>#VALUE!</v>
      </c>
      <c r="H22" t="e">
        <f>I21*'Hypothetical vaccine model'!$K22</f>
        <v>#VALUE!</v>
      </c>
      <c r="I22" s="84" t="e">
        <f t="shared" si="1"/>
        <v>#VALUE!</v>
      </c>
      <c r="J22" t="e">
        <f>L21*'Hypothetical vaccine model'!$J22*HelperFunctions!$R$14</f>
        <v>#VALUE!</v>
      </c>
      <c r="K22" t="e">
        <f>L21*'Hypothetical vaccine model'!$K22</f>
        <v>#VALUE!</v>
      </c>
      <c r="L22" s="84" t="e">
        <f t="shared" si="2"/>
        <v>#VALUE!</v>
      </c>
      <c r="M22" t="e">
        <f>O21*'Hypothetical vaccine model'!$J22*HelperFunctions!$R$14</f>
        <v>#VALUE!</v>
      </c>
      <c r="N22" t="e">
        <f>O21*'Hypothetical vaccine model'!$K22</f>
        <v>#VALUE!</v>
      </c>
      <c r="O22" s="84" t="e">
        <f t="shared" si="3"/>
        <v>#VALUE!</v>
      </c>
      <c r="P22" t="e">
        <f>R21*'Hypothetical vaccine model'!$J22*HelperFunctions!$R$14</f>
        <v>#VALUE!</v>
      </c>
      <c r="Q22" t="e">
        <f>R21*'Hypothetical vaccine model'!$K22</f>
        <v>#VALUE!</v>
      </c>
      <c r="R22" s="84" t="e">
        <f t="shared" si="4"/>
        <v>#VALUE!</v>
      </c>
      <c r="S22" t="e">
        <f>U21*'Hypothetical vaccine model'!$J22*HelperFunctions!$R$14</f>
        <v>#VALUE!</v>
      </c>
      <c r="T22" t="e">
        <f>U21*'Hypothetical vaccine model'!$K22</f>
        <v>#VALUE!</v>
      </c>
      <c r="U22" s="84" t="e">
        <f t="shared" si="5"/>
        <v>#VALUE!</v>
      </c>
      <c r="V22" t="e">
        <f>X21*'Hypothetical vaccine model'!$J22*HelperFunctions!$R$14</f>
        <v>#VALUE!</v>
      </c>
      <c r="W22" t="e">
        <f>X21*'Hypothetical vaccine model'!$K22</f>
        <v>#VALUE!</v>
      </c>
      <c r="X22" s="84" t="e">
        <f t="shared" si="6"/>
        <v>#VALUE!</v>
      </c>
      <c r="Y22" t="e">
        <f>AA21*'Hypothetical vaccine model'!$J22*HelperFunctions!$R13</f>
        <v>#VALUE!</v>
      </c>
      <c r="Z22" t="e">
        <f>AA21*'Hypothetical vaccine model'!$K22</f>
        <v>#VALUE!</v>
      </c>
      <c r="AA22" s="84" t="e">
        <f t="shared" si="7"/>
        <v>#VALUE!</v>
      </c>
      <c r="AB22" t="e">
        <f>AD21*'Hypothetical vaccine model'!$J22*HelperFunctions!$R12</f>
        <v>#VALUE!</v>
      </c>
      <c r="AC22" t="e">
        <f>AD21*'Hypothetical vaccine model'!$K22</f>
        <v>#VALUE!</v>
      </c>
      <c r="AD22" s="84" t="e">
        <f t="shared" si="8"/>
        <v>#VALUE!</v>
      </c>
      <c r="AE22" t="e">
        <f>AG21*'Hypothetical vaccine model'!$J22*HelperFunctions!$R11</f>
        <v>#VALUE!</v>
      </c>
      <c r="AF22" t="e">
        <f>AG21*'Hypothetical vaccine model'!$K22</f>
        <v>#VALUE!</v>
      </c>
      <c r="AG22" s="84" t="e">
        <f t="shared" si="9"/>
        <v>#VALUE!</v>
      </c>
      <c r="AH22" t="e">
        <f>AJ21*'Hypothetical vaccine model'!$J22*HelperFunctions!$R10</f>
        <v>#VALUE!</v>
      </c>
      <c r="AI22" t="e">
        <f>AJ21*'Hypothetical vaccine model'!$K22</f>
        <v>#VALUE!</v>
      </c>
      <c r="AJ22" s="84" t="e">
        <f t="shared" si="10"/>
        <v>#VALUE!</v>
      </c>
      <c r="AK22" t="e">
        <f>AM21*'Hypothetical vaccine model'!$J22*HelperFunctions!$R9</f>
        <v>#VALUE!</v>
      </c>
      <c r="AL22" t="e">
        <f>AM21*'Hypothetical vaccine model'!$K22</f>
        <v>#VALUE!</v>
      </c>
      <c r="AM22" s="84" t="e">
        <f t="shared" si="11"/>
        <v>#VALUE!</v>
      </c>
      <c r="AN22" t="e">
        <f>AP21*'Hypothetical vaccine model'!$J22*HelperFunctions!$R22</f>
        <v>#VALUE!</v>
      </c>
      <c r="AO22" t="e">
        <f>AP21*'Hypothetical vaccine model'!$K22</f>
        <v>#VALUE!</v>
      </c>
      <c r="AP22" s="84" t="e">
        <f t="shared" si="12"/>
        <v>#VALUE!</v>
      </c>
      <c r="AQ22" t="e">
        <f>AS21*'Hypothetical vaccine model'!$J22*HelperFunctions!$R21</f>
        <v>#VALUE!</v>
      </c>
      <c r="AR22" t="e">
        <f>AS21*'Hypothetical vaccine model'!$K22</f>
        <v>#VALUE!</v>
      </c>
      <c r="AS22" s="84" t="e">
        <f t="shared" si="13"/>
        <v>#VALUE!</v>
      </c>
      <c r="AT22" t="e">
        <f>AV21*'Hypothetical vaccine model'!$J22*HelperFunctions!$R20</f>
        <v>#VALUE!</v>
      </c>
      <c r="AU22" t="e">
        <f>AV21*'Hypothetical vaccine model'!$K22</f>
        <v>#VALUE!</v>
      </c>
      <c r="AV22" s="84" t="e">
        <f t="shared" si="14"/>
        <v>#VALUE!</v>
      </c>
      <c r="AW22" t="e">
        <f>AY21*'Hypothetical vaccine model'!$J22*HelperFunctions!$R19</f>
        <v>#VALUE!</v>
      </c>
      <c r="AX22" t="e">
        <f>AY21*'Hypothetical vaccine model'!$K22</f>
        <v>#VALUE!</v>
      </c>
      <c r="AY22" s="84" t="e">
        <f t="shared" si="15"/>
        <v>#VALUE!</v>
      </c>
      <c r="AZ22" t="e">
        <f>BB21*'Hypothetical vaccine model'!$J22*HelperFunctions!$R18</f>
        <v>#VALUE!</v>
      </c>
      <c r="BA22" t="e">
        <f>BB21*'Hypothetical vaccine model'!$K22</f>
        <v>#VALUE!</v>
      </c>
      <c r="BB22" s="84" t="e">
        <f t="shared" ref="BB22:BB63" si="16">BB21-AZ22-BA22</f>
        <v>#VALUE!</v>
      </c>
      <c r="BC22" t="e">
        <f>BE21*'Hypothetical vaccine model'!$J22*HelperFunctions!$R17</f>
        <v>#VALUE!</v>
      </c>
      <c r="BD22" t="e">
        <f>BE21*'Hypothetical vaccine model'!$K22</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F22*'Hypothetical vaccine model'!J23*HelperFunctions!R$14</f>
        <v>#VALUE!</v>
      </c>
      <c r="E23" t="e">
        <f>F22*'Hypothetical vaccine model'!K23</f>
        <v>#VALUE!</v>
      </c>
      <c r="F23" s="84" t="e">
        <f t="shared" si="0"/>
        <v>#VALUE!</v>
      </c>
      <c r="G23" t="e">
        <f>I22*'Hypothetical vaccine model'!$J23*HelperFunctions!$R$14</f>
        <v>#VALUE!</v>
      </c>
      <c r="H23" t="e">
        <f>I22*'Hypothetical vaccine model'!$K23</f>
        <v>#VALUE!</v>
      </c>
      <c r="I23" s="84" t="e">
        <f t="shared" si="1"/>
        <v>#VALUE!</v>
      </c>
      <c r="J23" t="e">
        <f>L22*'Hypothetical vaccine model'!$J23*HelperFunctions!$R$14</f>
        <v>#VALUE!</v>
      </c>
      <c r="K23" t="e">
        <f>L22*'Hypothetical vaccine model'!$K23</f>
        <v>#VALUE!</v>
      </c>
      <c r="L23" s="84" t="e">
        <f t="shared" si="2"/>
        <v>#VALUE!</v>
      </c>
      <c r="M23" t="e">
        <f>O22*'Hypothetical vaccine model'!$J23*HelperFunctions!$R$14</f>
        <v>#VALUE!</v>
      </c>
      <c r="N23" t="e">
        <f>O22*'Hypothetical vaccine model'!$K23</f>
        <v>#VALUE!</v>
      </c>
      <c r="O23" s="84" t="e">
        <f t="shared" si="3"/>
        <v>#VALUE!</v>
      </c>
      <c r="P23" t="e">
        <f>R22*'Hypothetical vaccine model'!$J23*HelperFunctions!$R$14</f>
        <v>#VALUE!</v>
      </c>
      <c r="Q23" t="e">
        <f>R22*'Hypothetical vaccine model'!$K23</f>
        <v>#VALUE!</v>
      </c>
      <c r="R23" s="84" t="e">
        <f t="shared" si="4"/>
        <v>#VALUE!</v>
      </c>
      <c r="S23" t="e">
        <f>U22*'Hypothetical vaccine model'!$J23*HelperFunctions!$R$14</f>
        <v>#VALUE!</v>
      </c>
      <c r="T23" t="e">
        <f>U22*'Hypothetical vaccine model'!$K23</f>
        <v>#VALUE!</v>
      </c>
      <c r="U23" s="84" t="e">
        <f t="shared" si="5"/>
        <v>#VALUE!</v>
      </c>
      <c r="V23" t="e">
        <f>X22*'Hypothetical vaccine model'!$J23*HelperFunctions!$R$14</f>
        <v>#VALUE!</v>
      </c>
      <c r="W23" t="e">
        <f>X22*'Hypothetical vaccine model'!$K23</f>
        <v>#VALUE!</v>
      </c>
      <c r="X23" s="84" t="e">
        <f t="shared" si="6"/>
        <v>#VALUE!</v>
      </c>
      <c r="Y23" t="e">
        <f>AA22*'Hypothetical vaccine model'!$J23*HelperFunctions!$R$14</f>
        <v>#VALUE!</v>
      </c>
      <c r="Z23" t="e">
        <f>AA22*'Hypothetical vaccine model'!$K23</f>
        <v>#VALUE!</v>
      </c>
      <c r="AA23" s="84" t="e">
        <f t="shared" si="7"/>
        <v>#VALUE!</v>
      </c>
      <c r="AB23" t="e">
        <f>AD22*'Hypothetical vaccine model'!$J23*HelperFunctions!$R13</f>
        <v>#VALUE!</v>
      </c>
      <c r="AC23" t="e">
        <f>AD22*'Hypothetical vaccine model'!$K23</f>
        <v>#VALUE!</v>
      </c>
      <c r="AD23" s="84" t="e">
        <f t="shared" si="8"/>
        <v>#VALUE!</v>
      </c>
      <c r="AE23" t="e">
        <f>AG22*'Hypothetical vaccine model'!$J23*HelperFunctions!$R12</f>
        <v>#VALUE!</v>
      </c>
      <c r="AF23" t="e">
        <f>AG22*'Hypothetical vaccine model'!$K23</f>
        <v>#VALUE!</v>
      </c>
      <c r="AG23" s="84" t="e">
        <f t="shared" si="9"/>
        <v>#VALUE!</v>
      </c>
      <c r="AH23" t="e">
        <f>AJ22*'Hypothetical vaccine model'!$J23*HelperFunctions!$R11</f>
        <v>#VALUE!</v>
      </c>
      <c r="AI23" t="e">
        <f>AJ22*'Hypothetical vaccine model'!$K23</f>
        <v>#VALUE!</v>
      </c>
      <c r="AJ23" s="84" t="e">
        <f t="shared" si="10"/>
        <v>#VALUE!</v>
      </c>
      <c r="AK23" t="e">
        <f>AM22*'Hypothetical vaccine model'!$J23*HelperFunctions!$R10</f>
        <v>#VALUE!</v>
      </c>
      <c r="AL23" t="e">
        <f>AM22*'Hypothetical vaccine model'!$K23</f>
        <v>#VALUE!</v>
      </c>
      <c r="AM23" s="84" t="e">
        <f t="shared" si="11"/>
        <v>#VALUE!</v>
      </c>
      <c r="AN23" t="e">
        <f>AP22*'Hypothetical vaccine model'!$J23*HelperFunctions!$R23</f>
        <v>#VALUE!</v>
      </c>
      <c r="AO23" t="e">
        <f>AP22*'Hypothetical vaccine model'!$K23</f>
        <v>#VALUE!</v>
      </c>
      <c r="AP23" s="84" t="e">
        <f t="shared" si="12"/>
        <v>#VALUE!</v>
      </c>
      <c r="AQ23" t="e">
        <f>AS22*'Hypothetical vaccine model'!$J23*HelperFunctions!$R22</f>
        <v>#VALUE!</v>
      </c>
      <c r="AR23" t="e">
        <f>AS22*'Hypothetical vaccine model'!$K23</f>
        <v>#VALUE!</v>
      </c>
      <c r="AS23" s="84" t="e">
        <f t="shared" si="13"/>
        <v>#VALUE!</v>
      </c>
      <c r="AT23" t="e">
        <f>AV22*'Hypothetical vaccine model'!$J23*HelperFunctions!$R21</f>
        <v>#VALUE!</v>
      </c>
      <c r="AU23" t="e">
        <f>AV22*'Hypothetical vaccine model'!$K23</f>
        <v>#VALUE!</v>
      </c>
      <c r="AV23" s="84" t="e">
        <f t="shared" si="14"/>
        <v>#VALUE!</v>
      </c>
      <c r="AW23" t="e">
        <f>AY22*'Hypothetical vaccine model'!$J23*HelperFunctions!$R20</f>
        <v>#VALUE!</v>
      </c>
      <c r="AX23" t="e">
        <f>AY22*'Hypothetical vaccine model'!$K23</f>
        <v>#VALUE!</v>
      </c>
      <c r="AY23" s="84" t="e">
        <f t="shared" si="15"/>
        <v>#VALUE!</v>
      </c>
      <c r="AZ23" t="e">
        <f>BB22*'Hypothetical vaccine model'!$J23*HelperFunctions!$R19</f>
        <v>#VALUE!</v>
      </c>
      <c r="BA23" t="e">
        <f>BB22*'Hypothetical vaccine model'!$K23</f>
        <v>#VALUE!</v>
      </c>
      <c r="BB23" s="84" t="e">
        <f t="shared" si="16"/>
        <v>#VALUE!</v>
      </c>
      <c r="BC23" t="e">
        <f>BE22*'Hypothetical vaccine model'!$J23*HelperFunctions!$R18</f>
        <v>#VALUE!</v>
      </c>
      <c r="BD23" t="e">
        <f>BE22*'Hypothetical vaccine model'!$K23</f>
        <v>#VALUE!</v>
      </c>
      <c r="BE23" s="84" t="e">
        <f t="shared" ref="BE23:BE63" si="17">BE22-BC23-BD23</f>
        <v>#VALUE!</v>
      </c>
      <c r="BF23" t="e">
        <f>BH22*'Hypothetical vaccine model'!$J23*HelperFunctions!$R17</f>
        <v>#VALUE!</v>
      </c>
      <c r="BG23" t="e">
        <f>BH22*'Hypothetical vaccine model'!$K23</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F23*'Hypothetical vaccine model'!J24*HelperFunctions!R$14</f>
        <v>#VALUE!</v>
      </c>
      <c r="E24" t="e">
        <f>F23*'Hypothetical vaccine model'!K24</f>
        <v>#VALUE!</v>
      </c>
      <c r="F24" s="84" t="e">
        <f t="shared" si="0"/>
        <v>#VALUE!</v>
      </c>
      <c r="G24" t="e">
        <f>I23*'Hypothetical vaccine model'!$J24*HelperFunctions!$R$14</f>
        <v>#VALUE!</v>
      </c>
      <c r="H24" t="e">
        <f>I23*'Hypothetical vaccine model'!$K24</f>
        <v>#VALUE!</v>
      </c>
      <c r="I24" s="84" t="e">
        <f t="shared" si="1"/>
        <v>#VALUE!</v>
      </c>
      <c r="J24" t="e">
        <f>L23*'Hypothetical vaccine model'!$J24*HelperFunctions!$R$14</f>
        <v>#VALUE!</v>
      </c>
      <c r="K24" t="e">
        <f>L23*'Hypothetical vaccine model'!$K24</f>
        <v>#VALUE!</v>
      </c>
      <c r="L24" s="84" t="e">
        <f t="shared" si="2"/>
        <v>#VALUE!</v>
      </c>
      <c r="M24" t="e">
        <f>O23*'Hypothetical vaccine model'!$J24*HelperFunctions!$R$14</f>
        <v>#VALUE!</v>
      </c>
      <c r="N24" t="e">
        <f>O23*'Hypothetical vaccine model'!$K24</f>
        <v>#VALUE!</v>
      </c>
      <c r="O24" s="84" t="e">
        <f t="shared" si="3"/>
        <v>#VALUE!</v>
      </c>
      <c r="P24" t="e">
        <f>R23*'Hypothetical vaccine model'!$J24*HelperFunctions!$R$14</f>
        <v>#VALUE!</v>
      </c>
      <c r="Q24" t="e">
        <f>R23*'Hypothetical vaccine model'!$K24</f>
        <v>#VALUE!</v>
      </c>
      <c r="R24" s="84" t="e">
        <f t="shared" si="4"/>
        <v>#VALUE!</v>
      </c>
      <c r="S24" t="e">
        <f>U23*'Hypothetical vaccine model'!$J24*HelperFunctions!$R$14</f>
        <v>#VALUE!</v>
      </c>
      <c r="T24" t="e">
        <f>U23*'Hypothetical vaccine model'!$K24</f>
        <v>#VALUE!</v>
      </c>
      <c r="U24" s="84" t="e">
        <f t="shared" si="5"/>
        <v>#VALUE!</v>
      </c>
      <c r="V24" t="e">
        <f>X23*'Hypothetical vaccine model'!$J24*HelperFunctions!$R$14</f>
        <v>#VALUE!</v>
      </c>
      <c r="W24" t="e">
        <f>X23*'Hypothetical vaccine model'!$K24</f>
        <v>#VALUE!</v>
      </c>
      <c r="X24" s="84" t="e">
        <f t="shared" si="6"/>
        <v>#VALUE!</v>
      </c>
      <c r="Y24" t="e">
        <f>AA23*'Hypothetical vaccine model'!$J24*HelperFunctions!$R$14</f>
        <v>#VALUE!</v>
      </c>
      <c r="Z24" t="e">
        <f>AA23*'Hypothetical vaccine model'!$K24</f>
        <v>#VALUE!</v>
      </c>
      <c r="AA24" s="84" t="e">
        <f t="shared" si="7"/>
        <v>#VALUE!</v>
      </c>
      <c r="AB24" t="e">
        <f>AD23*'Hypothetical vaccine model'!$J24*HelperFunctions!$R$14</f>
        <v>#VALUE!</v>
      </c>
      <c r="AC24" t="e">
        <f>AD23*'Hypothetical vaccine model'!$K24</f>
        <v>#VALUE!</v>
      </c>
      <c r="AD24" s="84" t="e">
        <f t="shared" si="8"/>
        <v>#VALUE!</v>
      </c>
      <c r="AE24" t="e">
        <f>AG23*'Hypothetical vaccine model'!$J24*HelperFunctions!$R13</f>
        <v>#VALUE!</v>
      </c>
      <c r="AF24" t="e">
        <f>AG23*'Hypothetical vaccine model'!$K24</f>
        <v>#VALUE!</v>
      </c>
      <c r="AG24" s="84" t="e">
        <f t="shared" si="9"/>
        <v>#VALUE!</v>
      </c>
      <c r="AH24" t="e">
        <f>AJ23*'Hypothetical vaccine model'!$J24*HelperFunctions!$R12</f>
        <v>#VALUE!</v>
      </c>
      <c r="AI24" t="e">
        <f>AJ23*'Hypothetical vaccine model'!$K24</f>
        <v>#VALUE!</v>
      </c>
      <c r="AJ24" s="84" t="e">
        <f t="shared" si="10"/>
        <v>#VALUE!</v>
      </c>
      <c r="AK24" t="e">
        <f>AM23*'Hypothetical vaccine model'!$J24*HelperFunctions!$R11</f>
        <v>#VALUE!</v>
      </c>
      <c r="AL24" t="e">
        <f>AM23*'Hypothetical vaccine model'!$K24</f>
        <v>#VALUE!</v>
      </c>
      <c r="AM24" s="84" t="e">
        <f t="shared" si="11"/>
        <v>#VALUE!</v>
      </c>
      <c r="AN24" t="e">
        <f>AP23*'Hypothetical vaccine model'!$J24*HelperFunctions!$R24</f>
        <v>#VALUE!</v>
      </c>
      <c r="AO24" t="e">
        <f>AP23*'Hypothetical vaccine model'!$K24</f>
        <v>#VALUE!</v>
      </c>
      <c r="AP24" s="84" t="e">
        <f t="shared" si="12"/>
        <v>#VALUE!</v>
      </c>
      <c r="AQ24" t="e">
        <f>AS23*'Hypothetical vaccine model'!$J24*HelperFunctions!$R23</f>
        <v>#VALUE!</v>
      </c>
      <c r="AR24" t="e">
        <f>AS23*'Hypothetical vaccine model'!$K24</f>
        <v>#VALUE!</v>
      </c>
      <c r="AS24" s="84" t="e">
        <f t="shared" si="13"/>
        <v>#VALUE!</v>
      </c>
      <c r="AT24" t="e">
        <f>AV23*'Hypothetical vaccine model'!$J24*HelperFunctions!$R22</f>
        <v>#VALUE!</v>
      </c>
      <c r="AU24" t="e">
        <f>AV23*'Hypothetical vaccine model'!$K24</f>
        <v>#VALUE!</v>
      </c>
      <c r="AV24" s="84" t="e">
        <f t="shared" si="14"/>
        <v>#VALUE!</v>
      </c>
      <c r="AW24" t="e">
        <f>AY23*'Hypothetical vaccine model'!$J24*HelperFunctions!$R21</f>
        <v>#VALUE!</v>
      </c>
      <c r="AX24" t="e">
        <f>AY23*'Hypothetical vaccine model'!$K24</f>
        <v>#VALUE!</v>
      </c>
      <c r="AY24" s="84" t="e">
        <f t="shared" si="15"/>
        <v>#VALUE!</v>
      </c>
      <c r="AZ24" t="e">
        <f>BB23*'Hypothetical vaccine model'!$J24*HelperFunctions!$R20</f>
        <v>#VALUE!</v>
      </c>
      <c r="BA24" t="e">
        <f>BB23*'Hypothetical vaccine model'!$K24</f>
        <v>#VALUE!</v>
      </c>
      <c r="BB24" s="84" t="e">
        <f t="shared" si="16"/>
        <v>#VALUE!</v>
      </c>
      <c r="BC24" t="e">
        <f>BE23*'Hypothetical vaccine model'!$J24*HelperFunctions!$R19</f>
        <v>#VALUE!</v>
      </c>
      <c r="BD24" t="e">
        <f>BE23*'Hypothetical vaccine model'!$K24</f>
        <v>#VALUE!</v>
      </c>
      <c r="BE24" s="84" t="e">
        <f t="shared" si="17"/>
        <v>#VALUE!</v>
      </c>
      <c r="BF24" t="e">
        <f>BH23*'Hypothetical vaccine model'!$J24*HelperFunctions!$R18</f>
        <v>#VALUE!</v>
      </c>
      <c r="BG24" t="e">
        <f>BH23*'Hypothetical vaccine model'!$K24</f>
        <v>#VALUE!</v>
      </c>
      <c r="BH24" s="84" t="e">
        <f t="shared" ref="BH24:BH63" si="18">BH23-BF24-BG24</f>
        <v>#VALUE!</v>
      </c>
      <c r="BI24" t="e">
        <f>BK23*'Hypothetical vaccine model'!$J24*HelperFunctions!$R17</f>
        <v>#VALUE!</v>
      </c>
      <c r="BJ24" t="e">
        <f>BK23*'Hypothetical vaccine model'!$K24</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F24*'Hypothetical vaccine model'!J25*HelperFunctions!R$14</f>
        <v>#VALUE!</v>
      </c>
      <c r="E25" t="e">
        <f>F24*'Hypothetical vaccine model'!K25</f>
        <v>#VALUE!</v>
      </c>
      <c r="F25" s="84" t="e">
        <f t="shared" si="0"/>
        <v>#VALUE!</v>
      </c>
      <c r="G25" t="e">
        <f>I24*'Hypothetical vaccine model'!$J25*HelperFunctions!$R$14</f>
        <v>#VALUE!</v>
      </c>
      <c r="H25" t="e">
        <f>I24*'Hypothetical vaccine model'!$K25</f>
        <v>#VALUE!</v>
      </c>
      <c r="I25" s="84" t="e">
        <f t="shared" si="1"/>
        <v>#VALUE!</v>
      </c>
      <c r="J25" t="e">
        <f>L24*'Hypothetical vaccine model'!$J25*HelperFunctions!$R$14</f>
        <v>#VALUE!</v>
      </c>
      <c r="K25" t="e">
        <f>L24*'Hypothetical vaccine model'!$K25</f>
        <v>#VALUE!</v>
      </c>
      <c r="L25" s="84" t="e">
        <f t="shared" si="2"/>
        <v>#VALUE!</v>
      </c>
      <c r="M25" t="e">
        <f>O24*'Hypothetical vaccine model'!$J25*HelperFunctions!$R$14</f>
        <v>#VALUE!</v>
      </c>
      <c r="N25" t="e">
        <f>O24*'Hypothetical vaccine model'!$K25</f>
        <v>#VALUE!</v>
      </c>
      <c r="O25" s="84" t="e">
        <f t="shared" si="3"/>
        <v>#VALUE!</v>
      </c>
      <c r="P25" t="e">
        <f>R24*'Hypothetical vaccine model'!$J25*HelperFunctions!$R$14</f>
        <v>#VALUE!</v>
      </c>
      <c r="Q25" t="e">
        <f>R24*'Hypothetical vaccine model'!$K25</f>
        <v>#VALUE!</v>
      </c>
      <c r="R25" s="84" t="e">
        <f t="shared" si="4"/>
        <v>#VALUE!</v>
      </c>
      <c r="S25" t="e">
        <f>U24*'Hypothetical vaccine model'!$J25*HelperFunctions!$R$14</f>
        <v>#VALUE!</v>
      </c>
      <c r="T25" t="e">
        <f>U24*'Hypothetical vaccine model'!$K25</f>
        <v>#VALUE!</v>
      </c>
      <c r="U25" s="84" t="e">
        <f t="shared" si="5"/>
        <v>#VALUE!</v>
      </c>
      <c r="V25" t="e">
        <f>X24*'Hypothetical vaccine model'!$J25*HelperFunctions!$R$14</f>
        <v>#VALUE!</v>
      </c>
      <c r="W25" t="e">
        <f>X24*'Hypothetical vaccine model'!$K25</f>
        <v>#VALUE!</v>
      </c>
      <c r="X25" s="84" t="e">
        <f t="shared" si="6"/>
        <v>#VALUE!</v>
      </c>
      <c r="Y25" t="e">
        <f>AA24*'Hypothetical vaccine model'!$J25*HelperFunctions!$R$14</f>
        <v>#VALUE!</v>
      </c>
      <c r="Z25" t="e">
        <f>AA24*'Hypothetical vaccine model'!$K25</f>
        <v>#VALUE!</v>
      </c>
      <c r="AA25" s="84" t="e">
        <f t="shared" si="7"/>
        <v>#VALUE!</v>
      </c>
      <c r="AB25" t="e">
        <f>AD24*'Hypothetical vaccine model'!$J25*HelperFunctions!$R$14</f>
        <v>#VALUE!</v>
      </c>
      <c r="AC25" t="e">
        <f>AD24*'Hypothetical vaccine model'!$K25</f>
        <v>#VALUE!</v>
      </c>
      <c r="AD25" s="84" t="e">
        <f t="shared" si="8"/>
        <v>#VALUE!</v>
      </c>
      <c r="AE25" t="e">
        <f>AG24*'Hypothetical vaccine model'!$J25*HelperFunctions!$R$14</f>
        <v>#VALUE!</v>
      </c>
      <c r="AF25" t="e">
        <f>AG24*'Hypothetical vaccine model'!$K25</f>
        <v>#VALUE!</v>
      </c>
      <c r="AG25" s="84" t="e">
        <f t="shared" si="9"/>
        <v>#VALUE!</v>
      </c>
      <c r="AH25" t="e">
        <f>AJ24*'Hypothetical vaccine model'!$J25*HelperFunctions!$R13</f>
        <v>#VALUE!</v>
      </c>
      <c r="AI25" t="e">
        <f>AJ24*'Hypothetical vaccine model'!$K25</f>
        <v>#VALUE!</v>
      </c>
      <c r="AJ25" s="84" t="e">
        <f t="shared" si="10"/>
        <v>#VALUE!</v>
      </c>
      <c r="AK25" t="e">
        <f>AM24*'Hypothetical vaccine model'!$J25*HelperFunctions!$R12</f>
        <v>#VALUE!</v>
      </c>
      <c r="AL25" t="e">
        <f>AM24*'Hypothetical vaccine model'!$K25</f>
        <v>#VALUE!</v>
      </c>
      <c r="AM25" s="84" t="e">
        <f t="shared" si="11"/>
        <v>#VALUE!</v>
      </c>
      <c r="AN25" t="e">
        <f>AP24*'Hypothetical vaccine model'!$J25*HelperFunctions!$R25</f>
        <v>#VALUE!</v>
      </c>
      <c r="AO25" t="e">
        <f>AP24*'Hypothetical vaccine model'!$K25</f>
        <v>#VALUE!</v>
      </c>
      <c r="AP25" s="84" t="e">
        <f t="shared" si="12"/>
        <v>#VALUE!</v>
      </c>
      <c r="AQ25" t="e">
        <f>AS24*'Hypothetical vaccine model'!$J25*HelperFunctions!$R24</f>
        <v>#VALUE!</v>
      </c>
      <c r="AR25" t="e">
        <f>AS24*'Hypothetical vaccine model'!$K25</f>
        <v>#VALUE!</v>
      </c>
      <c r="AS25" s="84" t="e">
        <f t="shared" si="13"/>
        <v>#VALUE!</v>
      </c>
      <c r="AT25" t="e">
        <f>AV24*'Hypothetical vaccine model'!$J25*HelperFunctions!$R23</f>
        <v>#VALUE!</v>
      </c>
      <c r="AU25" t="e">
        <f>AV24*'Hypothetical vaccine model'!$K25</f>
        <v>#VALUE!</v>
      </c>
      <c r="AV25" s="84" t="e">
        <f t="shared" si="14"/>
        <v>#VALUE!</v>
      </c>
      <c r="AW25" t="e">
        <f>AY24*'Hypothetical vaccine model'!$J25*HelperFunctions!$R22</f>
        <v>#VALUE!</v>
      </c>
      <c r="AX25" t="e">
        <f>AY24*'Hypothetical vaccine model'!$K25</f>
        <v>#VALUE!</v>
      </c>
      <c r="AY25" s="84" t="e">
        <f t="shared" si="15"/>
        <v>#VALUE!</v>
      </c>
      <c r="AZ25" t="e">
        <f>BB24*'Hypothetical vaccine model'!$J25*HelperFunctions!$R21</f>
        <v>#VALUE!</v>
      </c>
      <c r="BA25" t="e">
        <f>BB24*'Hypothetical vaccine model'!$K25</f>
        <v>#VALUE!</v>
      </c>
      <c r="BB25" s="84" t="e">
        <f t="shared" si="16"/>
        <v>#VALUE!</v>
      </c>
      <c r="BC25" t="e">
        <f>BE24*'Hypothetical vaccine model'!$J25*HelperFunctions!$R20</f>
        <v>#VALUE!</v>
      </c>
      <c r="BD25" t="e">
        <f>BE24*'Hypothetical vaccine model'!$K25</f>
        <v>#VALUE!</v>
      </c>
      <c r="BE25" s="84" t="e">
        <f t="shared" si="17"/>
        <v>#VALUE!</v>
      </c>
      <c r="BF25" t="e">
        <f>BH24*'Hypothetical vaccine model'!$J25*HelperFunctions!$R19</f>
        <v>#VALUE!</v>
      </c>
      <c r="BG25" t="e">
        <f>BH24*'Hypothetical vaccine model'!$K25</f>
        <v>#VALUE!</v>
      </c>
      <c r="BH25" s="84" t="e">
        <f t="shared" si="18"/>
        <v>#VALUE!</v>
      </c>
      <c r="BI25" t="e">
        <f>BK24*'Hypothetical vaccine model'!$J25*HelperFunctions!$R18</f>
        <v>#VALUE!</v>
      </c>
      <c r="BJ25" t="e">
        <f>BK24*'Hypothetical vaccine model'!$K25</f>
        <v>#VALUE!</v>
      </c>
      <c r="BK25" s="84" t="e">
        <f t="shared" ref="BK25:BK63" si="19">BK24-BI25-BJ25</f>
        <v>#VALUE!</v>
      </c>
      <c r="BL25" t="e">
        <f>BN24*'Hypothetical vaccine model'!$J25*HelperFunctions!$R17</f>
        <v>#VALUE!</v>
      </c>
      <c r="BM25" t="e">
        <f>BN24*'Hypothetical vaccine model'!$K25</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F25*'Hypothetical vaccine model'!J26*HelperFunctions!R$14</f>
        <v>#VALUE!</v>
      </c>
      <c r="E26" t="e">
        <f>F25*'Hypothetical vaccine model'!K26</f>
        <v>#VALUE!</v>
      </c>
      <c r="F26" s="84" t="e">
        <f t="shared" si="0"/>
        <v>#VALUE!</v>
      </c>
      <c r="G26" t="e">
        <f>I25*'Hypothetical vaccine model'!$J26*HelperFunctions!$R$14</f>
        <v>#VALUE!</v>
      </c>
      <c r="H26" t="e">
        <f>I25*'Hypothetical vaccine model'!$K26</f>
        <v>#VALUE!</v>
      </c>
      <c r="I26" s="84" t="e">
        <f t="shared" si="1"/>
        <v>#VALUE!</v>
      </c>
      <c r="J26" t="e">
        <f>L25*'Hypothetical vaccine model'!$J26*HelperFunctions!$R$14</f>
        <v>#VALUE!</v>
      </c>
      <c r="K26" t="e">
        <f>L25*'Hypothetical vaccine model'!$K26</f>
        <v>#VALUE!</v>
      </c>
      <c r="L26" s="84" t="e">
        <f t="shared" si="2"/>
        <v>#VALUE!</v>
      </c>
      <c r="M26" t="e">
        <f>O25*'Hypothetical vaccine model'!$J26*HelperFunctions!$R$14</f>
        <v>#VALUE!</v>
      </c>
      <c r="N26" t="e">
        <f>O25*'Hypothetical vaccine model'!$K26</f>
        <v>#VALUE!</v>
      </c>
      <c r="O26" s="84" t="e">
        <f t="shared" si="3"/>
        <v>#VALUE!</v>
      </c>
      <c r="P26" t="e">
        <f>R25*'Hypothetical vaccine model'!$J26*HelperFunctions!$R$14</f>
        <v>#VALUE!</v>
      </c>
      <c r="Q26" t="e">
        <f>R25*'Hypothetical vaccine model'!$K26</f>
        <v>#VALUE!</v>
      </c>
      <c r="R26" s="84" t="e">
        <f t="shared" si="4"/>
        <v>#VALUE!</v>
      </c>
      <c r="S26" t="e">
        <f>U25*'Hypothetical vaccine model'!$J26*HelperFunctions!$R$14</f>
        <v>#VALUE!</v>
      </c>
      <c r="T26" t="e">
        <f>U25*'Hypothetical vaccine model'!$K26</f>
        <v>#VALUE!</v>
      </c>
      <c r="U26" s="84" t="e">
        <f t="shared" si="5"/>
        <v>#VALUE!</v>
      </c>
      <c r="V26" t="e">
        <f>X25*'Hypothetical vaccine model'!$J26*HelperFunctions!$R$14</f>
        <v>#VALUE!</v>
      </c>
      <c r="W26" t="e">
        <f>X25*'Hypothetical vaccine model'!$K26</f>
        <v>#VALUE!</v>
      </c>
      <c r="X26" s="84" t="e">
        <f t="shared" si="6"/>
        <v>#VALUE!</v>
      </c>
      <c r="Y26" t="e">
        <f>AA25*'Hypothetical vaccine model'!$J26*HelperFunctions!$R$14</f>
        <v>#VALUE!</v>
      </c>
      <c r="Z26" t="e">
        <f>AA25*'Hypothetical vaccine model'!$K26</f>
        <v>#VALUE!</v>
      </c>
      <c r="AA26" s="84" t="e">
        <f t="shared" si="7"/>
        <v>#VALUE!</v>
      </c>
      <c r="AB26" t="e">
        <f>AD25*'Hypothetical vaccine model'!$J26*HelperFunctions!$R$14</f>
        <v>#VALUE!</v>
      </c>
      <c r="AC26" t="e">
        <f>AD25*'Hypothetical vaccine model'!$K26</f>
        <v>#VALUE!</v>
      </c>
      <c r="AD26" s="84" t="e">
        <f t="shared" si="8"/>
        <v>#VALUE!</v>
      </c>
      <c r="AE26" t="e">
        <f>AG25*'Hypothetical vaccine model'!$J26*HelperFunctions!$R$14</f>
        <v>#VALUE!</v>
      </c>
      <c r="AF26" t="e">
        <f>AG25*'Hypothetical vaccine model'!$K26</f>
        <v>#VALUE!</v>
      </c>
      <c r="AG26" s="84" t="e">
        <f t="shared" si="9"/>
        <v>#VALUE!</v>
      </c>
      <c r="AH26" t="e">
        <f>AJ25*'Hypothetical vaccine model'!$J26*HelperFunctions!$R$14</f>
        <v>#VALUE!</v>
      </c>
      <c r="AI26" t="e">
        <f>AJ25*'Hypothetical vaccine model'!$K26</f>
        <v>#VALUE!</v>
      </c>
      <c r="AJ26" s="84" t="e">
        <f t="shared" si="10"/>
        <v>#VALUE!</v>
      </c>
      <c r="AK26" t="e">
        <f>AM25*'Hypothetical vaccine model'!$J26*HelperFunctions!$R13</f>
        <v>#VALUE!</v>
      </c>
      <c r="AL26" t="e">
        <f>AM25*'Hypothetical vaccine model'!$K26</f>
        <v>#VALUE!</v>
      </c>
      <c r="AM26" s="84" t="e">
        <f t="shared" si="11"/>
        <v>#VALUE!</v>
      </c>
      <c r="AN26" t="e">
        <f>AP25*'Hypothetical vaccine model'!$J26*HelperFunctions!$R26</f>
        <v>#VALUE!</v>
      </c>
      <c r="AO26" t="e">
        <f>AP25*'Hypothetical vaccine model'!$K26</f>
        <v>#VALUE!</v>
      </c>
      <c r="AP26" s="84" t="e">
        <f t="shared" si="12"/>
        <v>#VALUE!</v>
      </c>
      <c r="AQ26" t="e">
        <f>AS25*'Hypothetical vaccine model'!$J26*HelperFunctions!$R25</f>
        <v>#VALUE!</v>
      </c>
      <c r="AR26" t="e">
        <f>AS25*'Hypothetical vaccine model'!$K26</f>
        <v>#VALUE!</v>
      </c>
      <c r="AS26" s="84" t="e">
        <f t="shared" si="13"/>
        <v>#VALUE!</v>
      </c>
      <c r="AT26" t="e">
        <f>AV25*'Hypothetical vaccine model'!$J26*HelperFunctions!$R24</f>
        <v>#VALUE!</v>
      </c>
      <c r="AU26" t="e">
        <f>AV25*'Hypothetical vaccine model'!$K26</f>
        <v>#VALUE!</v>
      </c>
      <c r="AV26" s="84" t="e">
        <f t="shared" si="14"/>
        <v>#VALUE!</v>
      </c>
      <c r="AW26" t="e">
        <f>AY25*'Hypothetical vaccine model'!$J26*HelperFunctions!$R23</f>
        <v>#VALUE!</v>
      </c>
      <c r="AX26" t="e">
        <f>AY25*'Hypothetical vaccine model'!$K26</f>
        <v>#VALUE!</v>
      </c>
      <c r="AY26" s="84" t="e">
        <f t="shared" si="15"/>
        <v>#VALUE!</v>
      </c>
      <c r="AZ26" t="e">
        <f>BB25*'Hypothetical vaccine model'!$J26*HelperFunctions!$R22</f>
        <v>#VALUE!</v>
      </c>
      <c r="BA26" t="e">
        <f>BB25*'Hypothetical vaccine model'!$K26</f>
        <v>#VALUE!</v>
      </c>
      <c r="BB26" s="84" t="e">
        <f t="shared" si="16"/>
        <v>#VALUE!</v>
      </c>
      <c r="BC26" t="e">
        <f>BE25*'Hypothetical vaccine model'!$J26*HelperFunctions!$R21</f>
        <v>#VALUE!</v>
      </c>
      <c r="BD26" t="e">
        <f>BE25*'Hypothetical vaccine model'!$K26</f>
        <v>#VALUE!</v>
      </c>
      <c r="BE26" s="84" t="e">
        <f t="shared" si="17"/>
        <v>#VALUE!</v>
      </c>
      <c r="BF26" t="e">
        <f>BH25*'Hypothetical vaccine model'!$J26*HelperFunctions!$R20</f>
        <v>#VALUE!</v>
      </c>
      <c r="BG26" t="e">
        <f>BH25*'Hypothetical vaccine model'!$K26</f>
        <v>#VALUE!</v>
      </c>
      <c r="BH26" s="84" t="e">
        <f t="shared" si="18"/>
        <v>#VALUE!</v>
      </c>
      <c r="BI26" t="e">
        <f>BK25*'Hypothetical vaccine model'!$J26*HelperFunctions!$R19</f>
        <v>#VALUE!</v>
      </c>
      <c r="BJ26" t="e">
        <f>BK25*'Hypothetical vaccine model'!$K26</f>
        <v>#VALUE!</v>
      </c>
      <c r="BK26" s="84" t="e">
        <f t="shared" si="19"/>
        <v>#VALUE!</v>
      </c>
      <c r="BL26" t="e">
        <f>BN25*'Hypothetical vaccine model'!$J26*HelperFunctions!$R18</f>
        <v>#VALUE!</v>
      </c>
      <c r="BM26" t="e">
        <f>BN25*'Hypothetical vaccine model'!$K26</f>
        <v>#VALUE!</v>
      </c>
      <c r="BN26" s="84" t="e">
        <f t="shared" ref="BN26:BN63" si="20">BN25-BL26-BM26</f>
        <v>#VALUE!</v>
      </c>
      <c r="BO26" t="e">
        <f>BQ25*'Hypothetical vaccine model'!$J26*HelperFunctions!$R17</f>
        <v>#VALUE!</v>
      </c>
      <c r="BP26" t="e">
        <f>BQ25*'Hypothetical vaccine model'!$K26</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F26*'Hypothetical vaccine model'!J27*HelperFunctions!R$14</f>
        <v>#VALUE!</v>
      </c>
      <c r="E27" t="e">
        <f>F26*'Hypothetical vaccine model'!K27</f>
        <v>#VALUE!</v>
      </c>
      <c r="F27" s="84" t="e">
        <f t="shared" si="0"/>
        <v>#VALUE!</v>
      </c>
      <c r="G27" t="e">
        <f>I26*'Hypothetical vaccine model'!$J27*HelperFunctions!$R$14</f>
        <v>#VALUE!</v>
      </c>
      <c r="H27" t="e">
        <f>I26*'Hypothetical vaccine model'!$K27</f>
        <v>#VALUE!</v>
      </c>
      <c r="I27" s="84" t="e">
        <f t="shared" si="1"/>
        <v>#VALUE!</v>
      </c>
      <c r="J27" t="e">
        <f>L26*'Hypothetical vaccine model'!$J27*HelperFunctions!$R$14</f>
        <v>#VALUE!</v>
      </c>
      <c r="K27" t="e">
        <f>L26*'Hypothetical vaccine model'!$K27</f>
        <v>#VALUE!</v>
      </c>
      <c r="L27" s="84" t="e">
        <f t="shared" si="2"/>
        <v>#VALUE!</v>
      </c>
      <c r="M27" t="e">
        <f>O26*'Hypothetical vaccine model'!$J27*HelperFunctions!$R$14</f>
        <v>#VALUE!</v>
      </c>
      <c r="N27" t="e">
        <f>O26*'Hypothetical vaccine model'!$K27</f>
        <v>#VALUE!</v>
      </c>
      <c r="O27" s="84" t="e">
        <f t="shared" si="3"/>
        <v>#VALUE!</v>
      </c>
      <c r="P27" t="e">
        <f>R26*'Hypothetical vaccine model'!$J27*HelperFunctions!$R$14</f>
        <v>#VALUE!</v>
      </c>
      <c r="Q27" t="e">
        <f>R26*'Hypothetical vaccine model'!$K27</f>
        <v>#VALUE!</v>
      </c>
      <c r="R27" s="84" t="e">
        <f t="shared" si="4"/>
        <v>#VALUE!</v>
      </c>
      <c r="S27" t="e">
        <f>U26*'Hypothetical vaccine model'!$J27*HelperFunctions!$R$14</f>
        <v>#VALUE!</v>
      </c>
      <c r="T27" t="e">
        <f>U26*'Hypothetical vaccine model'!$K27</f>
        <v>#VALUE!</v>
      </c>
      <c r="U27" s="84" t="e">
        <f t="shared" si="5"/>
        <v>#VALUE!</v>
      </c>
      <c r="V27" t="e">
        <f>X26*'Hypothetical vaccine model'!$J27*HelperFunctions!$R$14</f>
        <v>#VALUE!</v>
      </c>
      <c r="W27" t="e">
        <f>X26*'Hypothetical vaccine model'!$K27</f>
        <v>#VALUE!</v>
      </c>
      <c r="X27" s="84" t="e">
        <f t="shared" si="6"/>
        <v>#VALUE!</v>
      </c>
      <c r="Y27" t="e">
        <f>AA26*'Hypothetical vaccine model'!$J27*HelperFunctions!$R$14</f>
        <v>#VALUE!</v>
      </c>
      <c r="Z27" t="e">
        <f>AA26*'Hypothetical vaccine model'!$K27</f>
        <v>#VALUE!</v>
      </c>
      <c r="AA27" s="84" t="e">
        <f t="shared" si="7"/>
        <v>#VALUE!</v>
      </c>
      <c r="AB27" t="e">
        <f>AD26*'Hypothetical vaccine model'!$J27*HelperFunctions!$R$14</f>
        <v>#VALUE!</v>
      </c>
      <c r="AC27" t="e">
        <f>AD26*'Hypothetical vaccine model'!$K27</f>
        <v>#VALUE!</v>
      </c>
      <c r="AD27" s="84" t="e">
        <f t="shared" si="8"/>
        <v>#VALUE!</v>
      </c>
      <c r="AE27" t="e">
        <f>AG26*'Hypothetical vaccine model'!$J27*HelperFunctions!$R$14</f>
        <v>#VALUE!</v>
      </c>
      <c r="AF27" t="e">
        <f>AG26*'Hypothetical vaccine model'!$K27</f>
        <v>#VALUE!</v>
      </c>
      <c r="AG27" s="84" t="e">
        <f t="shared" si="9"/>
        <v>#VALUE!</v>
      </c>
      <c r="AH27" t="e">
        <f>AJ26*'Hypothetical vaccine model'!$J27*HelperFunctions!$R$14</f>
        <v>#VALUE!</v>
      </c>
      <c r="AI27" t="e">
        <f>AJ26*'Hypothetical vaccine model'!$K27</f>
        <v>#VALUE!</v>
      </c>
      <c r="AJ27" s="84" t="e">
        <f t="shared" si="10"/>
        <v>#VALUE!</v>
      </c>
      <c r="AK27" t="e">
        <f>AM26*'Hypothetical vaccine model'!$J27*HelperFunctions!$R$14</f>
        <v>#VALUE!</v>
      </c>
      <c r="AL27" t="e">
        <f>AM26*'Hypothetical vaccine model'!$K27</f>
        <v>#VALUE!</v>
      </c>
      <c r="AM27" s="84" t="e">
        <f t="shared" si="11"/>
        <v>#VALUE!</v>
      </c>
      <c r="AN27" t="e">
        <f>AP26*'Hypothetical vaccine model'!$J27*HelperFunctions!$R27</f>
        <v>#VALUE!</v>
      </c>
      <c r="AO27" t="e">
        <f>AP26*'Hypothetical vaccine model'!$K27</f>
        <v>#VALUE!</v>
      </c>
      <c r="AP27" s="84" t="e">
        <f t="shared" si="12"/>
        <v>#VALUE!</v>
      </c>
      <c r="AQ27" t="e">
        <f>AS26*'Hypothetical vaccine model'!$J27*HelperFunctions!$R26</f>
        <v>#VALUE!</v>
      </c>
      <c r="AR27" t="e">
        <f>AS26*'Hypothetical vaccine model'!$K27</f>
        <v>#VALUE!</v>
      </c>
      <c r="AS27" s="84" t="e">
        <f t="shared" si="13"/>
        <v>#VALUE!</v>
      </c>
      <c r="AT27" t="e">
        <f>AV26*'Hypothetical vaccine model'!$J27*HelperFunctions!$R25</f>
        <v>#VALUE!</v>
      </c>
      <c r="AU27" t="e">
        <f>AV26*'Hypothetical vaccine model'!$K27</f>
        <v>#VALUE!</v>
      </c>
      <c r="AV27" s="84" t="e">
        <f t="shared" si="14"/>
        <v>#VALUE!</v>
      </c>
      <c r="AW27" t="e">
        <f>AY26*'Hypothetical vaccine model'!$J27*HelperFunctions!$R24</f>
        <v>#VALUE!</v>
      </c>
      <c r="AX27" t="e">
        <f>AY26*'Hypothetical vaccine model'!$K27</f>
        <v>#VALUE!</v>
      </c>
      <c r="AY27" s="84" t="e">
        <f t="shared" si="15"/>
        <v>#VALUE!</v>
      </c>
      <c r="AZ27" t="e">
        <f>BB26*'Hypothetical vaccine model'!$J27*HelperFunctions!$R23</f>
        <v>#VALUE!</v>
      </c>
      <c r="BA27" t="e">
        <f>BB26*'Hypothetical vaccine model'!$K27</f>
        <v>#VALUE!</v>
      </c>
      <c r="BB27" s="84" t="e">
        <f t="shared" si="16"/>
        <v>#VALUE!</v>
      </c>
      <c r="BC27" t="e">
        <f>BE26*'Hypothetical vaccine model'!$J27*HelperFunctions!$R22</f>
        <v>#VALUE!</v>
      </c>
      <c r="BD27" t="e">
        <f>BE26*'Hypothetical vaccine model'!$K27</f>
        <v>#VALUE!</v>
      </c>
      <c r="BE27" s="84" t="e">
        <f t="shared" si="17"/>
        <v>#VALUE!</v>
      </c>
      <c r="BF27" t="e">
        <f>BH26*'Hypothetical vaccine model'!$J27*HelperFunctions!$R21</f>
        <v>#VALUE!</v>
      </c>
      <c r="BG27" t="e">
        <f>BH26*'Hypothetical vaccine model'!$K27</f>
        <v>#VALUE!</v>
      </c>
      <c r="BH27" s="84" t="e">
        <f t="shared" si="18"/>
        <v>#VALUE!</v>
      </c>
      <c r="BI27" t="e">
        <f>BK26*'Hypothetical vaccine model'!$J27*HelperFunctions!$R20</f>
        <v>#VALUE!</v>
      </c>
      <c r="BJ27" t="e">
        <f>BK26*'Hypothetical vaccine model'!$K27</f>
        <v>#VALUE!</v>
      </c>
      <c r="BK27" s="84" t="e">
        <f t="shared" si="19"/>
        <v>#VALUE!</v>
      </c>
      <c r="BL27" t="e">
        <f>BN26*'Hypothetical vaccine model'!$J27*HelperFunctions!$R19</f>
        <v>#VALUE!</v>
      </c>
      <c r="BM27" t="e">
        <f>BN26*'Hypothetical vaccine model'!$K27</f>
        <v>#VALUE!</v>
      </c>
      <c r="BN27" s="84" t="e">
        <f t="shared" si="20"/>
        <v>#VALUE!</v>
      </c>
      <c r="BO27" t="e">
        <f>BQ26*'Hypothetical vaccine model'!$J27*HelperFunctions!$R18</f>
        <v>#VALUE!</v>
      </c>
      <c r="BP27" t="e">
        <f>BQ26*'Hypothetical vaccine model'!$K27</f>
        <v>#VALUE!</v>
      </c>
      <c r="BQ27" s="84" t="e">
        <f t="shared" ref="BQ27:BQ63" si="21">BQ26-BO27-BP27</f>
        <v>#VALUE!</v>
      </c>
      <c r="BR27" t="e">
        <f>BT26*'Hypothetical vaccine model'!$J27*HelperFunctions!$R17</f>
        <v>#VALUE!</v>
      </c>
      <c r="BS27" t="e">
        <f>BT26*'Hypothetical vaccine model'!$K27</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F27*'Hypothetical vaccine model'!J28*HelperFunctions!R$14</f>
        <v>#VALUE!</v>
      </c>
      <c r="E28" t="e">
        <f>F27*'Hypothetical vaccine model'!K28</f>
        <v>#VALUE!</v>
      </c>
      <c r="F28" s="84" t="e">
        <f t="shared" si="0"/>
        <v>#VALUE!</v>
      </c>
      <c r="G28" t="e">
        <f>I27*'Hypothetical vaccine model'!$J28*HelperFunctions!$R$14</f>
        <v>#VALUE!</v>
      </c>
      <c r="H28" t="e">
        <f>I27*'Hypothetical vaccine model'!$K28</f>
        <v>#VALUE!</v>
      </c>
      <c r="I28" s="84" t="e">
        <f t="shared" si="1"/>
        <v>#VALUE!</v>
      </c>
      <c r="J28" t="e">
        <f>L27*'Hypothetical vaccine model'!$J28*HelperFunctions!$R$14</f>
        <v>#VALUE!</v>
      </c>
      <c r="K28" t="e">
        <f>L27*'Hypothetical vaccine model'!$K28</f>
        <v>#VALUE!</v>
      </c>
      <c r="L28" s="84" t="e">
        <f t="shared" si="2"/>
        <v>#VALUE!</v>
      </c>
      <c r="M28" t="e">
        <f>O27*'Hypothetical vaccine model'!$J28*HelperFunctions!$R$14</f>
        <v>#VALUE!</v>
      </c>
      <c r="N28" t="e">
        <f>O27*'Hypothetical vaccine model'!$K28</f>
        <v>#VALUE!</v>
      </c>
      <c r="O28" s="84" t="e">
        <f t="shared" si="3"/>
        <v>#VALUE!</v>
      </c>
      <c r="P28" t="e">
        <f>R27*'Hypothetical vaccine model'!$J28*HelperFunctions!$R$14</f>
        <v>#VALUE!</v>
      </c>
      <c r="Q28" t="e">
        <f>R27*'Hypothetical vaccine model'!$K28</f>
        <v>#VALUE!</v>
      </c>
      <c r="R28" s="84" t="e">
        <f t="shared" si="4"/>
        <v>#VALUE!</v>
      </c>
      <c r="S28" t="e">
        <f>U27*'Hypothetical vaccine model'!$J28*HelperFunctions!$R$14</f>
        <v>#VALUE!</v>
      </c>
      <c r="T28" t="e">
        <f>U27*'Hypothetical vaccine model'!$K28</f>
        <v>#VALUE!</v>
      </c>
      <c r="U28" s="84" t="e">
        <f t="shared" si="5"/>
        <v>#VALUE!</v>
      </c>
      <c r="V28" t="e">
        <f>X27*'Hypothetical vaccine model'!$J28*HelperFunctions!$R$14</f>
        <v>#VALUE!</v>
      </c>
      <c r="W28" t="e">
        <f>X27*'Hypothetical vaccine model'!$K28</f>
        <v>#VALUE!</v>
      </c>
      <c r="X28" s="84" t="e">
        <f t="shared" si="6"/>
        <v>#VALUE!</v>
      </c>
      <c r="Y28" t="e">
        <f>AA27*'Hypothetical vaccine model'!$J28*HelperFunctions!$R$14</f>
        <v>#VALUE!</v>
      </c>
      <c r="Z28" t="e">
        <f>AA27*'Hypothetical vaccine model'!$K28</f>
        <v>#VALUE!</v>
      </c>
      <c r="AA28" s="84" t="e">
        <f t="shared" si="7"/>
        <v>#VALUE!</v>
      </c>
      <c r="AB28" t="e">
        <f>AD27*'Hypothetical vaccine model'!$J28*HelperFunctions!$R$14</f>
        <v>#VALUE!</v>
      </c>
      <c r="AC28" t="e">
        <f>AD27*'Hypothetical vaccine model'!$K28</f>
        <v>#VALUE!</v>
      </c>
      <c r="AD28" s="84" t="e">
        <f t="shared" si="8"/>
        <v>#VALUE!</v>
      </c>
      <c r="AE28" t="e">
        <f>AG27*'Hypothetical vaccine model'!$J28*HelperFunctions!$R$14</f>
        <v>#VALUE!</v>
      </c>
      <c r="AF28" t="e">
        <f>AG27*'Hypothetical vaccine model'!$K28</f>
        <v>#VALUE!</v>
      </c>
      <c r="AG28" s="84" t="e">
        <f t="shared" si="9"/>
        <v>#VALUE!</v>
      </c>
      <c r="AH28" t="e">
        <f>AJ27*'Hypothetical vaccine model'!$J28*HelperFunctions!$R$14</f>
        <v>#VALUE!</v>
      </c>
      <c r="AI28" t="e">
        <f>AJ27*'Hypothetical vaccine model'!$K28</f>
        <v>#VALUE!</v>
      </c>
      <c r="AJ28" s="84" t="e">
        <f t="shared" si="10"/>
        <v>#VALUE!</v>
      </c>
      <c r="AK28" t="e">
        <f>AM27*'Hypothetical vaccine model'!$J28*HelperFunctions!$R$14</f>
        <v>#VALUE!</v>
      </c>
      <c r="AL28" t="e">
        <f>AM27*'Hypothetical vaccine model'!$K28</f>
        <v>#VALUE!</v>
      </c>
      <c r="AM28" s="84" t="e">
        <f t="shared" si="11"/>
        <v>#VALUE!</v>
      </c>
      <c r="AN28" t="e">
        <f>AP27*'Hypothetical vaccine model'!$J28*HelperFunctions!$R$28</f>
        <v>#VALUE!</v>
      </c>
      <c r="AO28" t="e">
        <f>AP27*'Hypothetical vaccine model'!$K28</f>
        <v>#VALUE!</v>
      </c>
      <c r="AP28" s="84" t="e">
        <f t="shared" si="12"/>
        <v>#VALUE!</v>
      </c>
      <c r="AQ28" t="e">
        <f>AS27*'Hypothetical vaccine model'!$J28*HelperFunctions!$R27</f>
        <v>#VALUE!</v>
      </c>
      <c r="AR28" t="e">
        <f>AS27*'Hypothetical vaccine model'!$K28</f>
        <v>#VALUE!</v>
      </c>
      <c r="AS28" s="84" t="e">
        <f t="shared" si="13"/>
        <v>#VALUE!</v>
      </c>
      <c r="AT28" t="e">
        <f>AV27*'Hypothetical vaccine model'!$J28*HelperFunctions!$R26</f>
        <v>#VALUE!</v>
      </c>
      <c r="AU28" t="e">
        <f>AV27*'Hypothetical vaccine model'!$K28</f>
        <v>#VALUE!</v>
      </c>
      <c r="AV28" s="84" t="e">
        <f t="shared" si="14"/>
        <v>#VALUE!</v>
      </c>
      <c r="AW28" t="e">
        <f>AY27*'Hypothetical vaccine model'!$J28*HelperFunctions!$R25</f>
        <v>#VALUE!</v>
      </c>
      <c r="AX28" t="e">
        <f>AY27*'Hypothetical vaccine model'!$K28</f>
        <v>#VALUE!</v>
      </c>
      <c r="AY28" s="84" t="e">
        <f t="shared" si="15"/>
        <v>#VALUE!</v>
      </c>
      <c r="AZ28" t="e">
        <f>BB27*'Hypothetical vaccine model'!$J28*HelperFunctions!$R24</f>
        <v>#VALUE!</v>
      </c>
      <c r="BA28" t="e">
        <f>BB27*'Hypothetical vaccine model'!$K28</f>
        <v>#VALUE!</v>
      </c>
      <c r="BB28" s="84" t="e">
        <f t="shared" si="16"/>
        <v>#VALUE!</v>
      </c>
      <c r="BC28" t="e">
        <f>BE27*'Hypothetical vaccine model'!$J28*HelperFunctions!$R23</f>
        <v>#VALUE!</v>
      </c>
      <c r="BD28" t="e">
        <f>BE27*'Hypothetical vaccine model'!$K28</f>
        <v>#VALUE!</v>
      </c>
      <c r="BE28" s="84" t="e">
        <f t="shared" si="17"/>
        <v>#VALUE!</v>
      </c>
      <c r="BF28" t="e">
        <f>BH27*'Hypothetical vaccine model'!$J28*HelperFunctions!$R22</f>
        <v>#VALUE!</v>
      </c>
      <c r="BG28" t="e">
        <f>BH27*'Hypothetical vaccine model'!$K28</f>
        <v>#VALUE!</v>
      </c>
      <c r="BH28" s="84" t="e">
        <f t="shared" si="18"/>
        <v>#VALUE!</v>
      </c>
      <c r="BI28" t="e">
        <f>BK27*'Hypothetical vaccine model'!$J28*HelperFunctions!$R21</f>
        <v>#VALUE!</v>
      </c>
      <c r="BJ28" t="e">
        <f>BK27*'Hypothetical vaccine model'!$K28</f>
        <v>#VALUE!</v>
      </c>
      <c r="BK28" s="84" t="e">
        <f t="shared" si="19"/>
        <v>#VALUE!</v>
      </c>
      <c r="BL28" t="e">
        <f>BN27*'Hypothetical vaccine model'!$J28*HelperFunctions!$R20</f>
        <v>#VALUE!</v>
      </c>
      <c r="BM28" t="e">
        <f>BN27*'Hypothetical vaccine model'!$K28</f>
        <v>#VALUE!</v>
      </c>
      <c r="BN28" s="84" t="e">
        <f t="shared" si="20"/>
        <v>#VALUE!</v>
      </c>
      <c r="BO28" t="e">
        <f>BQ27*'Hypothetical vaccine model'!$J28*HelperFunctions!$R19</f>
        <v>#VALUE!</v>
      </c>
      <c r="BP28" t="e">
        <f>BQ27*'Hypothetical vaccine model'!$K28</f>
        <v>#VALUE!</v>
      </c>
      <c r="BQ28" s="84" t="e">
        <f t="shared" si="21"/>
        <v>#VALUE!</v>
      </c>
      <c r="BR28" t="e">
        <f>BT27*'Hypothetical vaccine model'!$J28*HelperFunctions!$R18</f>
        <v>#VALUE!</v>
      </c>
      <c r="BS28" t="e">
        <f>BT27*'Hypothetical vaccine model'!$K28</f>
        <v>#VALUE!</v>
      </c>
      <c r="BT28" s="84" t="e">
        <f t="shared" ref="BT28:BT63" si="22">BT27-BR28-BS28</f>
        <v>#VALUE!</v>
      </c>
      <c r="BU28" t="e">
        <f>BW27*'Hypothetical vaccine model'!$J28*HelperFunctions!$R17</f>
        <v>#VALUE!</v>
      </c>
      <c r="BV28" t="e">
        <f>BW27*'Hypothetical vaccine model'!$K28</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F28*'Hypothetical vaccine model'!J29*HelperFunctions!R$14</f>
        <v>#VALUE!</v>
      </c>
      <c r="E29" t="e">
        <f>F28*'Hypothetical vaccine model'!K29</f>
        <v>#VALUE!</v>
      </c>
      <c r="F29" s="84" t="e">
        <f t="shared" si="0"/>
        <v>#VALUE!</v>
      </c>
      <c r="G29" t="e">
        <f>I28*'Hypothetical vaccine model'!$J29*HelperFunctions!$R$14</f>
        <v>#VALUE!</v>
      </c>
      <c r="H29" t="e">
        <f>I28*'Hypothetical vaccine model'!$K29</f>
        <v>#VALUE!</v>
      </c>
      <c r="I29" s="84" t="e">
        <f t="shared" si="1"/>
        <v>#VALUE!</v>
      </c>
      <c r="J29" t="e">
        <f>L28*'Hypothetical vaccine model'!$J29*HelperFunctions!$R$14</f>
        <v>#VALUE!</v>
      </c>
      <c r="K29" t="e">
        <f>L28*'Hypothetical vaccine model'!$K29</f>
        <v>#VALUE!</v>
      </c>
      <c r="L29" s="84" t="e">
        <f t="shared" si="2"/>
        <v>#VALUE!</v>
      </c>
      <c r="M29" t="e">
        <f>O28*'Hypothetical vaccine model'!$J29*HelperFunctions!$R$14</f>
        <v>#VALUE!</v>
      </c>
      <c r="N29" t="e">
        <f>O28*'Hypothetical vaccine model'!$K29</f>
        <v>#VALUE!</v>
      </c>
      <c r="O29" s="84" t="e">
        <f t="shared" si="3"/>
        <v>#VALUE!</v>
      </c>
      <c r="P29" t="e">
        <f>R28*'Hypothetical vaccine model'!$J29*HelperFunctions!$R$14</f>
        <v>#VALUE!</v>
      </c>
      <c r="Q29" t="e">
        <f>R28*'Hypothetical vaccine model'!$K29</f>
        <v>#VALUE!</v>
      </c>
      <c r="R29" s="84" t="e">
        <f t="shared" si="4"/>
        <v>#VALUE!</v>
      </c>
      <c r="S29" t="e">
        <f>U28*'Hypothetical vaccine model'!$J29*HelperFunctions!$R$14</f>
        <v>#VALUE!</v>
      </c>
      <c r="T29" t="e">
        <f>U28*'Hypothetical vaccine model'!$K29</f>
        <v>#VALUE!</v>
      </c>
      <c r="U29" s="84" t="e">
        <f t="shared" si="5"/>
        <v>#VALUE!</v>
      </c>
      <c r="V29" t="e">
        <f>X28*'Hypothetical vaccine model'!$J29*HelperFunctions!$R$14</f>
        <v>#VALUE!</v>
      </c>
      <c r="W29" t="e">
        <f>X28*'Hypothetical vaccine model'!$K29</f>
        <v>#VALUE!</v>
      </c>
      <c r="X29" s="84" t="e">
        <f t="shared" si="6"/>
        <v>#VALUE!</v>
      </c>
      <c r="Y29" t="e">
        <f>AA28*'Hypothetical vaccine model'!$J29*HelperFunctions!$R$14</f>
        <v>#VALUE!</v>
      </c>
      <c r="Z29" t="e">
        <f>AA28*'Hypothetical vaccine model'!$K29</f>
        <v>#VALUE!</v>
      </c>
      <c r="AA29" s="84" t="e">
        <f t="shared" si="7"/>
        <v>#VALUE!</v>
      </c>
      <c r="AB29" t="e">
        <f>AD28*'Hypothetical vaccine model'!$J29*HelperFunctions!$R$14</f>
        <v>#VALUE!</v>
      </c>
      <c r="AC29" t="e">
        <f>AD28*'Hypothetical vaccine model'!$K29</f>
        <v>#VALUE!</v>
      </c>
      <c r="AD29" s="84" t="e">
        <f t="shared" si="8"/>
        <v>#VALUE!</v>
      </c>
      <c r="AE29" t="e">
        <f>AG28*'Hypothetical vaccine model'!$J29*HelperFunctions!$R$14</f>
        <v>#VALUE!</v>
      </c>
      <c r="AF29" t="e">
        <f>AG28*'Hypothetical vaccine model'!$K29</f>
        <v>#VALUE!</v>
      </c>
      <c r="AG29" s="84" t="e">
        <f t="shared" si="9"/>
        <v>#VALUE!</v>
      </c>
      <c r="AH29" t="e">
        <f>AJ28*'Hypothetical vaccine model'!$J29*HelperFunctions!$R$14</f>
        <v>#VALUE!</v>
      </c>
      <c r="AI29" t="e">
        <f>AJ28*'Hypothetical vaccine model'!$K29</f>
        <v>#VALUE!</v>
      </c>
      <c r="AJ29" s="84" t="e">
        <f t="shared" si="10"/>
        <v>#VALUE!</v>
      </c>
      <c r="AK29" t="e">
        <f>AM28*'Hypothetical vaccine model'!$J29*HelperFunctions!$R$14</f>
        <v>#VALUE!</v>
      </c>
      <c r="AL29" t="e">
        <f>AM28*'Hypothetical vaccine model'!$K29</f>
        <v>#VALUE!</v>
      </c>
      <c r="AM29" s="84" t="e">
        <f t="shared" si="11"/>
        <v>#VALUE!</v>
      </c>
      <c r="AN29" t="e">
        <f>AP28*'Hypothetical vaccine model'!$J29*HelperFunctions!$R$28</f>
        <v>#VALUE!</v>
      </c>
      <c r="AO29" t="e">
        <f>AP28*'Hypothetical vaccine model'!$K29</f>
        <v>#VALUE!</v>
      </c>
      <c r="AP29" s="84" t="e">
        <f t="shared" si="12"/>
        <v>#VALUE!</v>
      </c>
      <c r="AQ29" t="e">
        <f>AS28*'Hypothetical vaccine model'!$J29*HelperFunctions!$R$28</f>
        <v>#VALUE!</v>
      </c>
      <c r="AR29" t="e">
        <f>AS28*'Hypothetical vaccine model'!$K29</f>
        <v>#VALUE!</v>
      </c>
      <c r="AS29" s="84" t="e">
        <f t="shared" si="13"/>
        <v>#VALUE!</v>
      </c>
      <c r="AT29" t="e">
        <f>AV28*'Hypothetical vaccine model'!$J29*HelperFunctions!$R27</f>
        <v>#VALUE!</v>
      </c>
      <c r="AU29" t="e">
        <f>AV28*'Hypothetical vaccine model'!$K29</f>
        <v>#VALUE!</v>
      </c>
      <c r="AV29" s="84" t="e">
        <f t="shared" si="14"/>
        <v>#VALUE!</v>
      </c>
      <c r="AW29" t="e">
        <f>AY28*'Hypothetical vaccine model'!$J29*HelperFunctions!$R26</f>
        <v>#VALUE!</v>
      </c>
      <c r="AX29" t="e">
        <f>AY28*'Hypothetical vaccine model'!$K29</f>
        <v>#VALUE!</v>
      </c>
      <c r="AY29" s="84" t="e">
        <f t="shared" si="15"/>
        <v>#VALUE!</v>
      </c>
      <c r="AZ29" t="e">
        <f>BB28*'Hypothetical vaccine model'!$J29*HelperFunctions!$R25</f>
        <v>#VALUE!</v>
      </c>
      <c r="BA29" t="e">
        <f>BB28*'Hypothetical vaccine model'!$K29</f>
        <v>#VALUE!</v>
      </c>
      <c r="BB29" s="84" t="e">
        <f t="shared" si="16"/>
        <v>#VALUE!</v>
      </c>
      <c r="BC29" t="e">
        <f>BE28*'Hypothetical vaccine model'!$J29*HelperFunctions!$R24</f>
        <v>#VALUE!</v>
      </c>
      <c r="BD29" t="e">
        <f>BE28*'Hypothetical vaccine model'!$K29</f>
        <v>#VALUE!</v>
      </c>
      <c r="BE29" s="84" t="e">
        <f t="shared" si="17"/>
        <v>#VALUE!</v>
      </c>
      <c r="BF29" t="e">
        <f>BH28*'Hypothetical vaccine model'!$J29*HelperFunctions!$R23</f>
        <v>#VALUE!</v>
      </c>
      <c r="BG29" t="e">
        <f>BH28*'Hypothetical vaccine model'!$K29</f>
        <v>#VALUE!</v>
      </c>
      <c r="BH29" s="84" t="e">
        <f t="shared" si="18"/>
        <v>#VALUE!</v>
      </c>
      <c r="BI29" t="e">
        <f>BK28*'Hypothetical vaccine model'!$J29*HelperFunctions!$R22</f>
        <v>#VALUE!</v>
      </c>
      <c r="BJ29" t="e">
        <f>BK28*'Hypothetical vaccine model'!$K29</f>
        <v>#VALUE!</v>
      </c>
      <c r="BK29" s="84" t="e">
        <f t="shared" si="19"/>
        <v>#VALUE!</v>
      </c>
      <c r="BL29" t="e">
        <f>BN28*'Hypothetical vaccine model'!$J29*HelperFunctions!$R21</f>
        <v>#VALUE!</v>
      </c>
      <c r="BM29" t="e">
        <f>BN28*'Hypothetical vaccine model'!$K29</f>
        <v>#VALUE!</v>
      </c>
      <c r="BN29" s="84" t="e">
        <f t="shared" si="20"/>
        <v>#VALUE!</v>
      </c>
      <c r="BO29" t="e">
        <f>BQ28*'Hypothetical vaccine model'!$J29*HelperFunctions!$R20</f>
        <v>#VALUE!</v>
      </c>
      <c r="BP29" t="e">
        <f>BQ28*'Hypothetical vaccine model'!$K29</f>
        <v>#VALUE!</v>
      </c>
      <c r="BQ29" s="84" t="e">
        <f t="shared" si="21"/>
        <v>#VALUE!</v>
      </c>
      <c r="BR29" t="e">
        <f>BT28*'Hypothetical vaccine model'!$J29*HelperFunctions!$R19</f>
        <v>#VALUE!</v>
      </c>
      <c r="BS29" t="e">
        <f>BT28*'Hypothetical vaccine model'!$K29</f>
        <v>#VALUE!</v>
      </c>
      <c r="BT29" s="84" t="e">
        <f t="shared" si="22"/>
        <v>#VALUE!</v>
      </c>
      <c r="BU29" t="e">
        <f>BW28*'Hypothetical vaccine model'!$J29*HelperFunctions!$R18</f>
        <v>#VALUE!</v>
      </c>
      <c r="BV29" t="e">
        <f>BW28*'Hypothetical vaccine model'!$K29</f>
        <v>#VALUE!</v>
      </c>
      <c r="BW29" s="84" t="e">
        <f t="shared" ref="BW29:BW63" si="23">BW28-BU29-BV29</f>
        <v>#VALUE!</v>
      </c>
      <c r="BX29" t="e">
        <f>BZ28*'Hypothetical vaccine model'!$J29*HelperFunctions!$R31</f>
        <v>#VALUE!</v>
      </c>
      <c r="BY29" t="e">
        <f>BZ28*'Hypothetical vaccine model'!$K29</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F29*'Hypothetical vaccine model'!J30*HelperFunctions!R$14</f>
        <v>#VALUE!</v>
      </c>
      <c r="E30" t="e">
        <f>F29*'Hypothetical vaccine model'!K30</f>
        <v>#VALUE!</v>
      </c>
      <c r="F30" s="84" t="e">
        <f t="shared" si="0"/>
        <v>#VALUE!</v>
      </c>
      <c r="G30" t="e">
        <f>I29*'Hypothetical vaccine model'!$J30*HelperFunctions!$R$14</f>
        <v>#VALUE!</v>
      </c>
      <c r="H30" t="e">
        <f>I29*'Hypothetical vaccine model'!$K30</f>
        <v>#VALUE!</v>
      </c>
      <c r="I30" s="84" t="e">
        <f t="shared" si="1"/>
        <v>#VALUE!</v>
      </c>
      <c r="J30" t="e">
        <f>L29*'Hypothetical vaccine model'!$J30*HelperFunctions!$R$14</f>
        <v>#VALUE!</v>
      </c>
      <c r="K30" t="e">
        <f>L29*'Hypothetical vaccine model'!$K30</f>
        <v>#VALUE!</v>
      </c>
      <c r="L30" s="84" t="e">
        <f t="shared" si="2"/>
        <v>#VALUE!</v>
      </c>
      <c r="M30" t="e">
        <f>O29*'Hypothetical vaccine model'!$J30*HelperFunctions!$R$14</f>
        <v>#VALUE!</v>
      </c>
      <c r="N30" t="e">
        <f>O29*'Hypothetical vaccine model'!$K30</f>
        <v>#VALUE!</v>
      </c>
      <c r="O30" s="84" t="e">
        <f t="shared" si="3"/>
        <v>#VALUE!</v>
      </c>
      <c r="P30" t="e">
        <f>R29*'Hypothetical vaccine model'!$J30*HelperFunctions!$R$14</f>
        <v>#VALUE!</v>
      </c>
      <c r="Q30" t="e">
        <f>R29*'Hypothetical vaccine model'!$K30</f>
        <v>#VALUE!</v>
      </c>
      <c r="R30" s="84" t="e">
        <f t="shared" si="4"/>
        <v>#VALUE!</v>
      </c>
      <c r="S30" t="e">
        <f>U29*'Hypothetical vaccine model'!$J30*HelperFunctions!$R$14</f>
        <v>#VALUE!</v>
      </c>
      <c r="T30" t="e">
        <f>U29*'Hypothetical vaccine model'!$K30</f>
        <v>#VALUE!</v>
      </c>
      <c r="U30" s="84" t="e">
        <f t="shared" si="5"/>
        <v>#VALUE!</v>
      </c>
      <c r="V30" t="e">
        <f>X29*'Hypothetical vaccine model'!$J30*HelperFunctions!$R$14</f>
        <v>#VALUE!</v>
      </c>
      <c r="W30" t="e">
        <f>X29*'Hypothetical vaccine model'!$K30</f>
        <v>#VALUE!</v>
      </c>
      <c r="X30" s="84" t="e">
        <f t="shared" si="6"/>
        <v>#VALUE!</v>
      </c>
      <c r="Y30" t="e">
        <f>AA29*'Hypothetical vaccine model'!$J30*HelperFunctions!$R$14</f>
        <v>#VALUE!</v>
      </c>
      <c r="Z30" t="e">
        <f>AA29*'Hypothetical vaccine model'!$K30</f>
        <v>#VALUE!</v>
      </c>
      <c r="AA30" s="84" t="e">
        <f t="shared" si="7"/>
        <v>#VALUE!</v>
      </c>
      <c r="AB30" t="e">
        <f>AD29*'Hypothetical vaccine model'!$J30*HelperFunctions!$R$14</f>
        <v>#VALUE!</v>
      </c>
      <c r="AC30" t="e">
        <f>AD29*'Hypothetical vaccine model'!$K30</f>
        <v>#VALUE!</v>
      </c>
      <c r="AD30" s="84" t="e">
        <f t="shared" si="8"/>
        <v>#VALUE!</v>
      </c>
      <c r="AE30" t="e">
        <f>AG29*'Hypothetical vaccine model'!$J30*HelperFunctions!$R$14</f>
        <v>#VALUE!</v>
      </c>
      <c r="AF30" t="e">
        <f>AG29*'Hypothetical vaccine model'!$K30</f>
        <v>#VALUE!</v>
      </c>
      <c r="AG30" s="84" t="e">
        <f t="shared" si="9"/>
        <v>#VALUE!</v>
      </c>
      <c r="AH30" t="e">
        <f>AJ29*'Hypothetical vaccine model'!$J30*HelperFunctions!$R$14</f>
        <v>#VALUE!</v>
      </c>
      <c r="AI30" t="e">
        <f>AJ29*'Hypothetical vaccine model'!$K30</f>
        <v>#VALUE!</v>
      </c>
      <c r="AJ30" s="84" t="e">
        <f t="shared" si="10"/>
        <v>#VALUE!</v>
      </c>
      <c r="AK30" t="e">
        <f>AM29*'Hypothetical vaccine model'!$J30*HelperFunctions!$R$14</f>
        <v>#VALUE!</v>
      </c>
      <c r="AL30" t="e">
        <f>AM29*'Hypothetical vaccine model'!$K30</f>
        <v>#VALUE!</v>
      </c>
      <c r="AM30" s="84" t="e">
        <f t="shared" si="11"/>
        <v>#VALUE!</v>
      </c>
      <c r="AN30" t="e">
        <f>AP29*'Hypothetical vaccine model'!$J30*HelperFunctions!$R$28</f>
        <v>#VALUE!</v>
      </c>
      <c r="AO30" t="e">
        <f>AP29*'Hypothetical vaccine model'!$K30</f>
        <v>#VALUE!</v>
      </c>
      <c r="AP30" s="84" t="e">
        <f t="shared" si="12"/>
        <v>#VALUE!</v>
      </c>
      <c r="AQ30" t="e">
        <f>AS29*'Hypothetical vaccine model'!$J30*HelperFunctions!$R$28</f>
        <v>#VALUE!</v>
      </c>
      <c r="AR30" t="e">
        <f>AS29*'Hypothetical vaccine model'!$K30</f>
        <v>#VALUE!</v>
      </c>
      <c r="AS30" s="84" t="e">
        <f t="shared" si="13"/>
        <v>#VALUE!</v>
      </c>
      <c r="AT30" t="e">
        <f>AV29*'Hypothetical vaccine model'!$J30*HelperFunctions!$R$28</f>
        <v>#VALUE!</v>
      </c>
      <c r="AU30" t="e">
        <f>AV29*'Hypothetical vaccine model'!$K30</f>
        <v>#VALUE!</v>
      </c>
      <c r="AV30" s="84" t="e">
        <f t="shared" si="14"/>
        <v>#VALUE!</v>
      </c>
      <c r="AW30" t="e">
        <f>AY29*'Hypothetical vaccine model'!$J30*HelperFunctions!$R27</f>
        <v>#VALUE!</v>
      </c>
      <c r="AX30" t="e">
        <f>AY29*'Hypothetical vaccine model'!$K30</f>
        <v>#VALUE!</v>
      </c>
      <c r="AY30" s="84" t="e">
        <f t="shared" si="15"/>
        <v>#VALUE!</v>
      </c>
      <c r="AZ30" t="e">
        <f>BB29*'Hypothetical vaccine model'!$J30*HelperFunctions!$R26</f>
        <v>#VALUE!</v>
      </c>
      <c r="BA30" t="e">
        <f>BB29*'Hypothetical vaccine model'!$K30</f>
        <v>#VALUE!</v>
      </c>
      <c r="BB30" s="84" t="e">
        <f t="shared" si="16"/>
        <v>#VALUE!</v>
      </c>
      <c r="BC30" t="e">
        <f>BE29*'Hypothetical vaccine model'!$J30*HelperFunctions!$R25</f>
        <v>#VALUE!</v>
      </c>
      <c r="BD30" t="e">
        <f>BE29*'Hypothetical vaccine model'!$K30</f>
        <v>#VALUE!</v>
      </c>
      <c r="BE30" s="84" t="e">
        <f t="shared" si="17"/>
        <v>#VALUE!</v>
      </c>
      <c r="BF30" t="e">
        <f>BH29*'Hypothetical vaccine model'!$J30*HelperFunctions!$R24</f>
        <v>#VALUE!</v>
      </c>
      <c r="BG30" t="e">
        <f>BH29*'Hypothetical vaccine model'!$K30</f>
        <v>#VALUE!</v>
      </c>
      <c r="BH30" s="84" t="e">
        <f t="shared" si="18"/>
        <v>#VALUE!</v>
      </c>
      <c r="BI30" t="e">
        <f>BK29*'Hypothetical vaccine model'!$J30*HelperFunctions!$R23</f>
        <v>#VALUE!</v>
      </c>
      <c r="BJ30" t="e">
        <f>BK29*'Hypothetical vaccine model'!$K30</f>
        <v>#VALUE!</v>
      </c>
      <c r="BK30" s="84" t="e">
        <f t="shared" si="19"/>
        <v>#VALUE!</v>
      </c>
      <c r="BL30" t="e">
        <f>BN29*'Hypothetical vaccine model'!$J30*HelperFunctions!$R22</f>
        <v>#VALUE!</v>
      </c>
      <c r="BM30" t="e">
        <f>BN29*'Hypothetical vaccine model'!$K30</f>
        <v>#VALUE!</v>
      </c>
      <c r="BN30" s="84" t="e">
        <f t="shared" si="20"/>
        <v>#VALUE!</v>
      </c>
      <c r="BO30" t="e">
        <f>BQ29*'Hypothetical vaccine model'!$J30*HelperFunctions!$R21</f>
        <v>#VALUE!</v>
      </c>
      <c r="BP30" t="e">
        <f>BQ29*'Hypothetical vaccine model'!$K30</f>
        <v>#VALUE!</v>
      </c>
      <c r="BQ30" s="84" t="e">
        <f t="shared" si="21"/>
        <v>#VALUE!</v>
      </c>
      <c r="BR30" t="e">
        <f>BT29*'Hypothetical vaccine model'!$J30*HelperFunctions!$R20</f>
        <v>#VALUE!</v>
      </c>
      <c r="BS30" t="e">
        <f>BT29*'Hypothetical vaccine model'!$K30</f>
        <v>#VALUE!</v>
      </c>
      <c r="BT30" s="84" t="e">
        <f t="shared" si="22"/>
        <v>#VALUE!</v>
      </c>
      <c r="BU30" t="e">
        <f>BW29*'Hypothetical vaccine model'!$J30*HelperFunctions!$R19</f>
        <v>#VALUE!</v>
      </c>
      <c r="BV30" t="e">
        <f>BW29*'Hypothetical vaccine model'!$K30</f>
        <v>#VALUE!</v>
      </c>
      <c r="BW30" s="84" t="e">
        <f t="shared" si="23"/>
        <v>#VALUE!</v>
      </c>
      <c r="BX30" t="e">
        <f>BZ29*'Hypothetical vaccine model'!$J30*HelperFunctions!$R32</f>
        <v>#VALUE!</v>
      </c>
      <c r="BY30" t="e">
        <f>BZ29*'Hypothetical vaccine model'!$K30</f>
        <v>#VALUE!</v>
      </c>
      <c r="BZ30" s="84" t="e">
        <f t="shared" ref="BZ30:BZ63" si="24">BZ29-BX30-BY30</f>
        <v>#VALUE!</v>
      </c>
      <c r="CA30" t="e">
        <f>CC29*'Hypothetical vaccine model'!$J30*HelperFunctions!$R31</f>
        <v>#VALUE!</v>
      </c>
      <c r="CB30" t="e">
        <f>CC29*'Hypothetical vaccine model'!$K30</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F30*'Hypothetical vaccine model'!J31*HelperFunctions!R$14</f>
        <v>#VALUE!</v>
      </c>
      <c r="E31" t="e">
        <f>F30*'Hypothetical vaccine model'!K31</f>
        <v>#VALUE!</v>
      </c>
      <c r="F31" s="84" t="e">
        <f t="shared" si="0"/>
        <v>#VALUE!</v>
      </c>
      <c r="G31" t="e">
        <f>I30*'Hypothetical vaccine model'!$J31*HelperFunctions!$R$14</f>
        <v>#VALUE!</v>
      </c>
      <c r="H31" t="e">
        <f>I30*'Hypothetical vaccine model'!$K31</f>
        <v>#VALUE!</v>
      </c>
      <c r="I31" s="84" t="e">
        <f t="shared" si="1"/>
        <v>#VALUE!</v>
      </c>
      <c r="J31" t="e">
        <f>L30*'Hypothetical vaccine model'!$J31*HelperFunctions!$R$14</f>
        <v>#VALUE!</v>
      </c>
      <c r="K31" t="e">
        <f>L30*'Hypothetical vaccine model'!$K31</f>
        <v>#VALUE!</v>
      </c>
      <c r="L31" s="84" t="e">
        <f t="shared" si="2"/>
        <v>#VALUE!</v>
      </c>
      <c r="M31" t="e">
        <f>O30*'Hypothetical vaccine model'!$J31*HelperFunctions!$R$14</f>
        <v>#VALUE!</v>
      </c>
      <c r="N31" t="e">
        <f>O30*'Hypothetical vaccine model'!$K31</f>
        <v>#VALUE!</v>
      </c>
      <c r="O31" s="84" t="e">
        <f t="shared" si="3"/>
        <v>#VALUE!</v>
      </c>
      <c r="P31" t="e">
        <f>R30*'Hypothetical vaccine model'!$J31*HelperFunctions!$R$14</f>
        <v>#VALUE!</v>
      </c>
      <c r="Q31" t="e">
        <f>R30*'Hypothetical vaccine model'!$K31</f>
        <v>#VALUE!</v>
      </c>
      <c r="R31" s="84" t="e">
        <f t="shared" si="4"/>
        <v>#VALUE!</v>
      </c>
      <c r="S31" t="e">
        <f>U30*'Hypothetical vaccine model'!$J31*HelperFunctions!$R$14</f>
        <v>#VALUE!</v>
      </c>
      <c r="T31" t="e">
        <f>U30*'Hypothetical vaccine model'!$K31</f>
        <v>#VALUE!</v>
      </c>
      <c r="U31" s="84" t="e">
        <f t="shared" si="5"/>
        <v>#VALUE!</v>
      </c>
      <c r="V31" t="e">
        <f>X30*'Hypothetical vaccine model'!$J31*HelperFunctions!$R$14</f>
        <v>#VALUE!</v>
      </c>
      <c r="W31" t="e">
        <f>X30*'Hypothetical vaccine model'!$K31</f>
        <v>#VALUE!</v>
      </c>
      <c r="X31" s="84" t="e">
        <f t="shared" si="6"/>
        <v>#VALUE!</v>
      </c>
      <c r="Y31" t="e">
        <f>AA30*'Hypothetical vaccine model'!$J31*HelperFunctions!$R$14</f>
        <v>#VALUE!</v>
      </c>
      <c r="Z31" t="e">
        <f>AA30*'Hypothetical vaccine model'!$K31</f>
        <v>#VALUE!</v>
      </c>
      <c r="AA31" s="84" t="e">
        <f t="shared" si="7"/>
        <v>#VALUE!</v>
      </c>
      <c r="AB31" t="e">
        <f>AD30*'Hypothetical vaccine model'!$J31*HelperFunctions!$R$14</f>
        <v>#VALUE!</v>
      </c>
      <c r="AC31" t="e">
        <f>AD30*'Hypothetical vaccine model'!$K31</f>
        <v>#VALUE!</v>
      </c>
      <c r="AD31" s="84" t="e">
        <f t="shared" si="8"/>
        <v>#VALUE!</v>
      </c>
      <c r="AE31" t="e">
        <f>AG30*'Hypothetical vaccine model'!$J31*HelperFunctions!$R$14</f>
        <v>#VALUE!</v>
      </c>
      <c r="AF31" t="e">
        <f>AG30*'Hypothetical vaccine model'!$K31</f>
        <v>#VALUE!</v>
      </c>
      <c r="AG31" s="84" t="e">
        <f t="shared" si="9"/>
        <v>#VALUE!</v>
      </c>
      <c r="AH31" t="e">
        <f>AJ30*'Hypothetical vaccine model'!$J31*HelperFunctions!$R$14</f>
        <v>#VALUE!</v>
      </c>
      <c r="AI31" t="e">
        <f>AJ30*'Hypothetical vaccine model'!$K31</f>
        <v>#VALUE!</v>
      </c>
      <c r="AJ31" s="84" t="e">
        <f t="shared" si="10"/>
        <v>#VALUE!</v>
      </c>
      <c r="AK31" t="e">
        <f>AM30*'Hypothetical vaccine model'!$J31*HelperFunctions!$R$14</f>
        <v>#VALUE!</v>
      </c>
      <c r="AL31" t="e">
        <f>AM30*'Hypothetical vaccine model'!$K31</f>
        <v>#VALUE!</v>
      </c>
      <c r="AM31" s="84" t="e">
        <f t="shared" si="11"/>
        <v>#VALUE!</v>
      </c>
      <c r="AN31" t="e">
        <f>AP30*'Hypothetical vaccine model'!$J31*HelperFunctions!$R$28</f>
        <v>#VALUE!</v>
      </c>
      <c r="AO31" t="e">
        <f>AP30*'Hypothetical vaccine model'!$K31</f>
        <v>#VALUE!</v>
      </c>
      <c r="AP31" s="84" t="e">
        <f t="shared" si="12"/>
        <v>#VALUE!</v>
      </c>
      <c r="AQ31" t="e">
        <f>AS30*'Hypothetical vaccine model'!$J31*HelperFunctions!$R$28</f>
        <v>#VALUE!</v>
      </c>
      <c r="AR31" t="e">
        <f>AS30*'Hypothetical vaccine model'!$K31</f>
        <v>#VALUE!</v>
      </c>
      <c r="AS31" s="84" t="e">
        <f t="shared" si="13"/>
        <v>#VALUE!</v>
      </c>
      <c r="AT31" t="e">
        <f>AV30*'Hypothetical vaccine model'!$J31*HelperFunctions!$R$28</f>
        <v>#VALUE!</v>
      </c>
      <c r="AU31" t="e">
        <f>AV30*'Hypothetical vaccine model'!$K31</f>
        <v>#VALUE!</v>
      </c>
      <c r="AV31" s="84" t="e">
        <f t="shared" si="14"/>
        <v>#VALUE!</v>
      </c>
      <c r="AW31" t="e">
        <f>AY30*'Hypothetical vaccine model'!$J31*HelperFunctions!$R$28</f>
        <v>#VALUE!</v>
      </c>
      <c r="AX31" t="e">
        <f>AY30*'Hypothetical vaccine model'!$K31</f>
        <v>#VALUE!</v>
      </c>
      <c r="AY31" s="84" t="e">
        <f t="shared" si="15"/>
        <v>#VALUE!</v>
      </c>
      <c r="AZ31" t="e">
        <f>BB30*'Hypothetical vaccine model'!$J31*HelperFunctions!$R27</f>
        <v>#VALUE!</v>
      </c>
      <c r="BA31" t="e">
        <f>BB30*'Hypothetical vaccine model'!$K31</f>
        <v>#VALUE!</v>
      </c>
      <c r="BB31" s="84" t="e">
        <f t="shared" si="16"/>
        <v>#VALUE!</v>
      </c>
      <c r="BC31" t="e">
        <f>BE30*'Hypothetical vaccine model'!$J31*HelperFunctions!$R26</f>
        <v>#VALUE!</v>
      </c>
      <c r="BD31" t="e">
        <f>BE30*'Hypothetical vaccine model'!$K31</f>
        <v>#VALUE!</v>
      </c>
      <c r="BE31" s="84" t="e">
        <f t="shared" si="17"/>
        <v>#VALUE!</v>
      </c>
      <c r="BF31" t="e">
        <f>BH30*'Hypothetical vaccine model'!$J31*HelperFunctions!$R25</f>
        <v>#VALUE!</v>
      </c>
      <c r="BG31" t="e">
        <f>BH30*'Hypothetical vaccine model'!$K31</f>
        <v>#VALUE!</v>
      </c>
      <c r="BH31" s="84" t="e">
        <f t="shared" si="18"/>
        <v>#VALUE!</v>
      </c>
      <c r="BI31" t="e">
        <f>BK30*'Hypothetical vaccine model'!$J31*HelperFunctions!$R24</f>
        <v>#VALUE!</v>
      </c>
      <c r="BJ31" t="e">
        <f>BK30*'Hypothetical vaccine model'!$K31</f>
        <v>#VALUE!</v>
      </c>
      <c r="BK31" s="84" t="e">
        <f t="shared" si="19"/>
        <v>#VALUE!</v>
      </c>
      <c r="BL31" t="e">
        <f>BN30*'Hypothetical vaccine model'!$J31*HelperFunctions!$R23</f>
        <v>#VALUE!</v>
      </c>
      <c r="BM31" t="e">
        <f>BN30*'Hypothetical vaccine model'!$K31</f>
        <v>#VALUE!</v>
      </c>
      <c r="BN31" s="84" t="e">
        <f t="shared" si="20"/>
        <v>#VALUE!</v>
      </c>
      <c r="BO31" t="e">
        <f>BQ30*'Hypothetical vaccine model'!$J31*HelperFunctions!$R22</f>
        <v>#VALUE!</v>
      </c>
      <c r="BP31" t="e">
        <f>BQ30*'Hypothetical vaccine model'!$K31</f>
        <v>#VALUE!</v>
      </c>
      <c r="BQ31" s="84" t="e">
        <f t="shared" si="21"/>
        <v>#VALUE!</v>
      </c>
      <c r="BR31" t="e">
        <f>BT30*'Hypothetical vaccine model'!$J31*HelperFunctions!$R21</f>
        <v>#VALUE!</v>
      </c>
      <c r="BS31" t="e">
        <f>BT30*'Hypothetical vaccine model'!$K31</f>
        <v>#VALUE!</v>
      </c>
      <c r="BT31" s="84" t="e">
        <f t="shared" si="22"/>
        <v>#VALUE!</v>
      </c>
      <c r="BU31" t="e">
        <f>BW30*'Hypothetical vaccine model'!$J31*HelperFunctions!$R20</f>
        <v>#VALUE!</v>
      </c>
      <c r="BV31" t="e">
        <f>BW30*'Hypothetical vaccine model'!$K31</f>
        <v>#VALUE!</v>
      </c>
      <c r="BW31" s="84" t="e">
        <f t="shared" si="23"/>
        <v>#VALUE!</v>
      </c>
      <c r="BX31" t="e">
        <f>BZ30*'Hypothetical vaccine model'!$J31*HelperFunctions!$R33</f>
        <v>#VALUE!</v>
      </c>
      <c r="BY31" t="e">
        <f>BZ30*'Hypothetical vaccine model'!$K31</f>
        <v>#VALUE!</v>
      </c>
      <c r="BZ31" s="84" t="e">
        <f t="shared" si="24"/>
        <v>#VALUE!</v>
      </c>
      <c r="CA31" t="e">
        <f>CC30*'Hypothetical vaccine model'!$J31*HelperFunctions!$R32</f>
        <v>#VALUE!</v>
      </c>
      <c r="CB31" t="e">
        <f>CC30*'Hypothetical vaccine model'!$K31</f>
        <v>#VALUE!</v>
      </c>
      <c r="CC31" s="84" t="e">
        <f t="shared" ref="CC31:CC63" si="25">CC30-CA31-CB31</f>
        <v>#VALUE!</v>
      </c>
      <c r="CD31" t="e">
        <f>CF30*'Hypothetical vaccine model'!$J31*HelperFunctions!$R31</f>
        <v>#VALUE!</v>
      </c>
      <c r="CE31" t="e">
        <f>CF30*'Hypothetical vaccine model'!$K31</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F31*'Hypothetical vaccine model'!J32*HelperFunctions!R$14</f>
        <v>#VALUE!</v>
      </c>
      <c r="E32" t="e">
        <f>F31*'Hypothetical vaccine model'!K32</f>
        <v>#VALUE!</v>
      </c>
      <c r="F32" s="84" t="e">
        <f t="shared" si="0"/>
        <v>#VALUE!</v>
      </c>
      <c r="G32" t="e">
        <f>I31*'Hypothetical vaccine model'!$J32*HelperFunctions!$R$14</f>
        <v>#VALUE!</v>
      </c>
      <c r="H32" t="e">
        <f>I31*'Hypothetical vaccine model'!$K32</f>
        <v>#VALUE!</v>
      </c>
      <c r="I32" s="84" t="e">
        <f t="shared" si="1"/>
        <v>#VALUE!</v>
      </c>
      <c r="J32" t="e">
        <f>L31*'Hypothetical vaccine model'!$J32*HelperFunctions!$R$14</f>
        <v>#VALUE!</v>
      </c>
      <c r="K32" t="e">
        <f>L31*'Hypothetical vaccine model'!$K32</f>
        <v>#VALUE!</v>
      </c>
      <c r="L32" s="84" t="e">
        <f t="shared" si="2"/>
        <v>#VALUE!</v>
      </c>
      <c r="M32" t="e">
        <f>O31*'Hypothetical vaccine model'!$J32*HelperFunctions!$R$14</f>
        <v>#VALUE!</v>
      </c>
      <c r="N32" t="e">
        <f>O31*'Hypothetical vaccine model'!$K32</f>
        <v>#VALUE!</v>
      </c>
      <c r="O32" s="84" t="e">
        <f t="shared" si="3"/>
        <v>#VALUE!</v>
      </c>
      <c r="P32" t="e">
        <f>R31*'Hypothetical vaccine model'!$J32*HelperFunctions!$R$14</f>
        <v>#VALUE!</v>
      </c>
      <c r="Q32" t="e">
        <f>R31*'Hypothetical vaccine model'!$K32</f>
        <v>#VALUE!</v>
      </c>
      <c r="R32" s="84" t="e">
        <f t="shared" si="4"/>
        <v>#VALUE!</v>
      </c>
      <c r="S32" t="e">
        <f>U31*'Hypothetical vaccine model'!$J32*HelperFunctions!$R$14</f>
        <v>#VALUE!</v>
      </c>
      <c r="T32" t="e">
        <f>U31*'Hypothetical vaccine model'!$K32</f>
        <v>#VALUE!</v>
      </c>
      <c r="U32" s="84" t="e">
        <f t="shared" si="5"/>
        <v>#VALUE!</v>
      </c>
      <c r="V32" t="e">
        <f>X31*'Hypothetical vaccine model'!$J32*HelperFunctions!$R$14</f>
        <v>#VALUE!</v>
      </c>
      <c r="W32" t="e">
        <f>X31*'Hypothetical vaccine model'!$K32</f>
        <v>#VALUE!</v>
      </c>
      <c r="X32" s="84" t="e">
        <f t="shared" si="6"/>
        <v>#VALUE!</v>
      </c>
      <c r="Y32" t="e">
        <f>AA31*'Hypothetical vaccine model'!$J32*HelperFunctions!$R$14</f>
        <v>#VALUE!</v>
      </c>
      <c r="Z32" t="e">
        <f>AA31*'Hypothetical vaccine model'!$K32</f>
        <v>#VALUE!</v>
      </c>
      <c r="AA32" s="84" t="e">
        <f t="shared" si="7"/>
        <v>#VALUE!</v>
      </c>
      <c r="AB32" t="e">
        <f>AD31*'Hypothetical vaccine model'!$J32*HelperFunctions!$R$14</f>
        <v>#VALUE!</v>
      </c>
      <c r="AC32" t="e">
        <f>AD31*'Hypothetical vaccine model'!$K32</f>
        <v>#VALUE!</v>
      </c>
      <c r="AD32" s="84" t="e">
        <f t="shared" si="8"/>
        <v>#VALUE!</v>
      </c>
      <c r="AE32" t="e">
        <f>AG31*'Hypothetical vaccine model'!$J32*HelperFunctions!$R$14</f>
        <v>#VALUE!</v>
      </c>
      <c r="AF32" t="e">
        <f>AG31*'Hypothetical vaccine model'!$K32</f>
        <v>#VALUE!</v>
      </c>
      <c r="AG32" s="84" t="e">
        <f t="shared" si="9"/>
        <v>#VALUE!</v>
      </c>
      <c r="AH32" t="e">
        <f>AJ31*'Hypothetical vaccine model'!$J32*HelperFunctions!$R$14</f>
        <v>#VALUE!</v>
      </c>
      <c r="AI32" t="e">
        <f>AJ31*'Hypothetical vaccine model'!$K32</f>
        <v>#VALUE!</v>
      </c>
      <c r="AJ32" s="84" t="e">
        <f t="shared" si="10"/>
        <v>#VALUE!</v>
      </c>
      <c r="AK32" t="e">
        <f>AM31*'Hypothetical vaccine model'!$J32*HelperFunctions!$R$14</f>
        <v>#VALUE!</v>
      </c>
      <c r="AL32" t="e">
        <f>AM31*'Hypothetical vaccine model'!$K32</f>
        <v>#VALUE!</v>
      </c>
      <c r="AM32" s="84" t="e">
        <f t="shared" si="11"/>
        <v>#VALUE!</v>
      </c>
      <c r="AN32" t="e">
        <f>AP31*'Hypothetical vaccine model'!$J32*HelperFunctions!$R$28</f>
        <v>#VALUE!</v>
      </c>
      <c r="AO32" t="e">
        <f>AP31*'Hypothetical vaccine model'!$K32</f>
        <v>#VALUE!</v>
      </c>
      <c r="AP32" s="84" t="e">
        <f t="shared" si="12"/>
        <v>#VALUE!</v>
      </c>
      <c r="AQ32" t="e">
        <f>AS31*'Hypothetical vaccine model'!$J32*HelperFunctions!$R$28</f>
        <v>#VALUE!</v>
      </c>
      <c r="AR32" t="e">
        <f>AS31*'Hypothetical vaccine model'!$K32</f>
        <v>#VALUE!</v>
      </c>
      <c r="AS32" s="84" t="e">
        <f t="shared" si="13"/>
        <v>#VALUE!</v>
      </c>
      <c r="AT32" t="e">
        <f>AV31*'Hypothetical vaccine model'!$J32*HelperFunctions!$R$28</f>
        <v>#VALUE!</v>
      </c>
      <c r="AU32" t="e">
        <f>AV31*'Hypothetical vaccine model'!$K32</f>
        <v>#VALUE!</v>
      </c>
      <c r="AV32" s="84" t="e">
        <f t="shared" si="14"/>
        <v>#VALUE!</v>
      </c>
      <c r="AW32" t="e">
        <f>AY31*'Hypothetical vaccine model'!$J32*HelperFunctions!$R$28</f>
        <v>#VALUE!</v>
      </c>
      <c r="AX32" t="e">
        <f>AY31*'Hypothetical vaccine model'!$K32</f>
        <v>#VALUE!</v>
      </c>
      <c r="AY32" s="84" t="e">
        <f t="shared" si="15"/>
        <v>#VALUE!</v>
      </c>
      <c r="AZ32" t="e">
        <f>BB31*'Hypothetical vaccine model'!$J32*HelperFunctions!$R$28</f>
        <v>#VALUE!</v>
      </c>
      <c r="BA32" t="e">
        <f>BB31*'Hypothetical vaccine model'!$K32</f>
        <v>#VALUE!</v>
      </c>
      <c r="BB32" s="84" t="e">
        <f t="shared" si="16"/>
        <v>#VALUE!</v>
      </c>
      <c r="BC32" t="e">
        <f>BE31*'Hypothetical vaccine model'!$J32*HelperFunctions!$R27</f>
        <v>#VALUE!</v>
      </c>
      <c r="BD32" t="e">
        <f>BE31*'Hypothetical vaccine model'!$K32</f>
        <v>#VALUE!</v>
      </c>
      <c r="BE32" s="84" t="e">
        <f t="shared" si="17"/>
        <v>#VALUE!</v>
      </c>
      <c r="BF32" t="e">
        <f>BH31*'Hypothetical vaccine model'!$J32*HelperFunctions!$R26</f>
        <v>#VALUE!</v>
      </c>
      <c r="BG32" t="e">
        <f>BH31*'Hypothetical vaccine model'!$K32</f>
        <v>#VALUE!</v>
      </c>
      <c r="BH32" s="84" t="e">
        <f t="shared" si="18"/>
        <v>#VALUE!</v>
      </c>
      <c r="BI32" t="e">
        <f>BK31*'Hypothetical vaccine model'!$J32*HelperFunctions!$R25</f>
        <v>#VALUE!</v>
      </c>
      <c r="BJ32" t="e">
        <f>BK31*'Hypothetical vaccine model'!$K32</f>
        <v>#VALUE!</v>
      </c>
      <c r="BK32" s="84" t="e">
        <f t="shared" si="19"/>
        <v>#VALUE!</v>
      </c>
      <c r="BL32" t="e">
        <f>BN31*'Hypothetical vaccine model'!$J32*HelperFunctions!$R24</f>
        <v>#VALUE!</v>
      </c>
      <c r="BM32" t="e">
        <f>BN31*'Hypothetical vaccine model'!$K32</f>
        <v>#VALUE!</v>
      </c>
      <c r="BN32" s="84" t="e">
        <f t="shared" si="20"/>
        <v>#VALUE!</v>
      </c>
      <c r="BO32" t="e">
        <f>BQ31*'Hypothetical vaccine model'!$J32*HelperFunctions!$R23</f>
        <v>#VALUE!</v>
      </c>
      <c r="BP32" t="e">
        <f>BQ31*'Hypothetical vaccine model'!$K32</f>
        <v>#VALUE!</v>
      </c>
      <c r="BQ32" s="84" t="e">
        <f t="shared" si="21"/>
        <v>#VALUE!</v>
      </c>
      <c r="BR32" t="e">
        <f>BT31*'Hypothetical vaccine model'!$J32*HelperFunctions!$R22</f>
        <v>#VALUE!</v>
      </c>
      <c r="BS32" t="e">
        <f>BT31*'Hypothetical vaccine model'!$K32</f>
        <v>#VALUE!</v>
      </c>
      <c r="BT32" s="84" t="e">
        <f t="shared" si="22"/>
        <v>#VALUE!</v>
      </c>
      <c r="BU32" t="e">
        <f>BW31*'Hypothetical vaccine model'!$J32*HelperFunctions!$R21</f>
        <v>#VALUE!</v>
      </c>
      <c r="BV32" t="e">
        <f>BW31*'Hypothetical vaccine model'!$K32</f>
        <v>#VALUE!</v>
      </c>
      <c r="BW32" s="84" t="e">
        <f t="shared" si="23"/>
        <v>#VALUE!</v>
      </c>
      <c r="BX32" t="e">
        <f>BZ31*'Hypothetical vaccine model'!$J32*HelperFunctions!$R34</f>
        <v>#VALUE!</v>
      </c>
      <c r="BY32" t="e">
        <f>BZ31*'Hypothetical vaccine model'!$K32</f>
        <v>#VALUE!</v>
      </c>
      <c r="BZ32" s="84" t="e">
        <f t="shared" si="24"/>
        <v>#VALUE!</v>
      </c>
      <c r="CA32" t="e">
        <f>CC31*'Hypothetical vaccine model'!$J32*HelperFunctions!$R33</f>
        <v>#VALUE!</v>
      </c>
      <c r="CB32" t="e">
        <f>CC31*'Hypothetical vaccine model'!$K32</f>
        <v>#VALUE!</v>
      </c>
      <c r="CC32" s="84" t="e">
        <f t="shared" si="25"/>
        <v>#VALUE!</v>
      </c>
      <c r="CD32" t="e">
        <f>CF31*'Hypothetical vaccine model'!$J32*HelperFunctions!$R32</f>
        <v>#VALUE!</v>
      </c>
      <c r="CE32" t="e">
        <f>CF31*'Hypothetical vaccine model'!$K32</f>
        <v>#VALUE!</v>
      </c>
      <c r="CF32" s="84" t="e">
        <f t="shared" ref="CF32:CF63" si="26">CF31-CD32-CE32</f>
        <v>#VALUE!</v>
      </c>
      <c r="CG32" t="e">
        <f>CI31*'Hypothetical vaccine model'!$J32*HelperFunctions!$R31</f>
        <v>#VALUE!</v>
      </c>
      <c r="CH32" t="e">
        <f>CI31*'Hypothetical vaccine model'!$K32</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F32*'Hypothetical vaccine model'!J33*HelperFunctions!R$14</f>
        <v>#VALUE!</v>
      </c>
      <c r="E33" t="e">
        <f>F32*'Hypothetical vaccine model'!K33</f>
        <v>#VALUE!</v>
      </c>
      <c r="F33" s="84" t="e">
        <f t="shared" si="0"/>
        <v>#VALUE!</v>
      </c>
      <c r="G33" t="e">
        <f>I32*'Hypothetical vaccine model'!$J33*HelperFunctions!$R$14</f>
        <v>#VALUE!</v>
      </c>
      <c r="H33" t="e">
        <f>I32*'Hypothetical vaccine model'!$K33</f>
        <v>#VALUE!</v>
      </c>
      <c r="I33" s="84" t="e">
        <f t="shared" si="1"/>
        <v>#VALUE!</v>
      </c>
      <c r="J33" t="e">
        <f>L32*'Hypothetical vaccine model'!$J33*HelperFunctions!$R$14</f>
        <v>#VALUE!</v>
      </c>
      <c r="K33" t="e">
        <f>L32*'Hypothetical vaccine model'!$K33</f>
        <v>#VALUE!</v>
      </c>
      <c r="L33" s="84" t="e">
        <f t="shared" si="2"/>
        <v>#VALUE!</v>
      </c>
      <c r="M33" t="e">
        <f>O32*'Hypothetical vaccine model'!$J33*HelperFunctions!$R$14</f>
        <v>#VALUE!</v>
      </c>
      <c r="N33" t="e">
        <f>O32*'Hypothetical vaccine model'!$K33</f>
        <v>#VALUE!</v>
      </c>
      <c r="O33" s="84" t="e">
        <f t="shared" si="3"/>
        <v>#VALUE!</v>
      </c>
      <c r="P33" t="e">
        <f>R32*'Hypothetical vaccine model'!$J33*HelperFunctions!$R$14</f>
        <v>#VALUE!</v>
      </c>
      <c r="Q33" t="e">
        <f>R32*'Hypothetical vaccine model'!$K33</f>
        <v>#VALUE!</v>
      </c>
      <c r="R33" s="84" t="e">
        <f t="shared" si="4"/>
        <v>#VALUE!</v>
      </c>
      <c r="S33" t="e">
        <f>U32*'Hypothetical vaccine model'!$J33*HelperFunctions!$R$14</f>
        <v>#VALUE!</v>
      </c>
      <c r="T33" t="e">
        <f>U32*'Hypothetical vaccine model'!$K33</f>
        <v>#VALUE!</v>
      </c>
      <c r="U33" s="84" t="e">
        <f t="shared" si="5"/>
        <v>#VALUE!</v>
      </c>
      <c r="V33" t="e">
        <f>X32*'Hypothetical vaccine model'!$J33*HelperFunctions!$R$14</f>
        <v>#VALUE!</v>
      </c>
      <c r="W33" t="e">
        <f>X32*'Hypothetical vaccine model'!$K33</f>
        <v>#VALUE!</v>
      </c>
      <c r="X33" s="84" t="e">
        <f t="shared" si="6"/>
        <v>#VALUE!</v>
      </c>
      <c r="Y33" t="e">
        <f>AA32*'Hypothetical vaccine model'!$J33*HelperFunctions!$R$14</f>
        <v>#VALUE!</v>
      </c>
      <c r="Z33" t="e">
        <f>AA32*'Hypothetical vaccine model'!$K33</f>
        <v>#VALUE!</v>
      </c>
      <c r="AA33" s="84" t="e">
        <f t="shared" si="7"/>
        <v>#VALUE!</v>
      </c>
      <c r="AB33" t="e">
        <f>AD32*'Hypothetical vaccine model'!$J33*HelperFunctions!$R$14</f>
        <v>#VALUE!</v>
      </c>
      <c r="AC33" t="e">
        <f>AD32*'Hypothetical vaccine model'!$K33</f>
        <v>#VALUE!</v>
      </c>
      <c r="AD33" s="84" t="e">
        <f t="shared" si="8"/>
        <v>#VALUE!</v>
      </c>
      <c r="AE33" t="e">
        <f>AG32*'Hypothetical vaccine model'!$J33*HelperFunctions!$R$14</f>
        <v>#VALUE!</v>
      </c>
      <c r="AF33" t="e">
        <f>AG32*'Hypothetical vaccine model'!$K33</f>
        <v>#VALUE!</v>
      </c>
      <c r="AG33" s="84" t="e">
        <f t="shared" si="9"/>
        <v>#VALUE!</v>
      </c>
      <c r="AH33" t="e">
        <f>AJ32*'Hypothetical vaccine model'!$J33*HelperFunctions!$R$14</f>
        <v>#VALUE!</v>
      </c>
      <c r="AI33" t="e">
        <f>AJ32*'Hypothetical vaccine model'!$K33</f>
        <v>#VALUE!</v>
      </c>
      <c r="AJ33" s="84" t="e">
        <f t="shared" si="10"/>
        <v>#VALUE!</v>
      </c>
      <c r="AK33" t="e">
        <f>AM32*'Hypothetical vaccine model'!$J33*HelperFunctions!$R$14</f>
        <v>#VALUE!</v>
      </c>
      <c r="AL33" t="e">
        <f>AM32*'Hypothetical vaccine model'!$K33</f>
        <v>#VALUE!</v>
      </c>
      <c r="AM33" s="84" t="e">
        <f t="shared" si="11"/>
        <v>#VALUE!</v>
      </c>
      <c r="AN33" t="e">
        <f>AP32*'Hypothetical vaccine model'!$J33*HelperFunctions!$R$28</f>
        <v>#VALUE!</v>
      </c>
      <c r="AO33" t="e">
        <f>AP32*'Hypothetical vaccine model'!$K33</f>
        <v>#VALUE!</v>
      </c>
      <c r="AP33" s="84" t="e">
        <f t="shared" si="12"/>
        <v>#VALUE!</v>
      </c>
      <c r="AQ33" t="e">
        <f>AS32*'Hypothetical vaccine model'!$J33*HelperFunctions!$R$28</f>
        <v>#VALUE!</v>
      </c>
      <c r="AR33" t="e">
        <f>AS32*'Hypothetical vaccine model'!$K33</f>
        <v>#VALUE!</v>
      </c>
      <c r="AS33" s="84" t="e">
        <f t="shared" si="13"/>
        <v>#VALUE!</v>
      </c>
      <c r="AT33" t="e">
        <f>AV32*'Hypothetical vaccine model'!$J33*HelperFunctions!$R$28</f>
        <v>#VALUE!</v>
      </c>
      <c r="AU33" t="e">
        <f>AV32*'Hypothetical vaccine model'!$K33</f>
        <v>#VALUE!</v>
      </c>
      <c r="AV33" s="84" t="e">
        <f t="shared" si="14"/>
        <v>#VALUE!</v>
      </c>
      <c r="AW33" t="e">
        <f>AY32*'Hypothetical vaccine model'!$J33*HelperFunctions!$R$28</f>
        <v>#VALUE!</v>
      </c>
      <c r="AX33" t="e">
        <f>AY32*'Hypothetical vaccine model'!$K33</f>
        <v>#VALUE!</v>
      </c>
      <c r="AY33" s="84" t="e">
        <f t="shared" si="15"/>
        <v>#VALUE!</v>
      </c>
      <c r="AZ33" t="e">
        <f>BB32*'Hypothetical vaccine model'!$J33*HelperFunctions!$R$28</f>
        <v>#VALUE!</v>
      </c>
      <c r="BA33" t="e">
        <f>BB32*'Hypothetical vaccine model'!$K33</f>
        <v>#VALUE!</v>
      </c>
      <c r="BB33" s="84" t="e">
        <f t="shared" si="16"/>
        <v>#VALUE!</v>
      </c>
      <c r="BC33" t="e">
        <f>BE32*'Hypothetical vaccine model'!$J33*HelperFunctions!$R$28</f>
        <v>#VALUE!</v>
      </c>
      <c r="BD33" t="e">
        <f>BE32*'Hypothetical vaccine model'!$K33</f>
        <v>#VALUE!</v>
      </c>
      <c r="BE33" s="84" t="e">
        <f t="shared" si="17"/>
        <v>#VALUE!</v>
      </c>
      <c r="BF33" t="e">
        <f>BH32*'Hypothetical vaccine model'!$J33*HelperFunctions!$R27</f>
        <v>#VALUE!</v>
      </c>
      <c r="BG33" t="e">
        <f>BH32*'Hypothetical vaccine model'!$K33</f>
        <v>#VALUE!</v>
      </c>
      <c r="BH33" s="84" t="e">
        <f t="shared" si="18"/>
        <v>#VALUE!</v>
      </c>
      <c r="BI33" t="e">
        <f>BK32*'Hypothetical vaccine model'!$J33*HelperFunctions!$R26</f>
        <v>#VALUE!</v>
      </c>
      <c r="BJ33" t="e">
        <f>BK32*'Hypothetical vaccine model'!$K33</f>
        <v>#VALUE!</v>
      </c>
      <c r="BK33" s="84" t="e">
        <f t="shared" si="19"/>
        <v>#VALUE!</v>
      </c>
      <c r="BL33" t="e">
        <f>BN32*'Hypothetical vaccine model'!$J33*HelperFunctions!$R25</f>
        <v>#VALUE!</v>
      </c>
      <c r="BM33" t="e">
        <f>BN32*'Hypothetical vaccine model'!$K33</f>
        <v>#VALUE!</v>
      </c>
      <c r="BN33" s="84" t="e">
        <f t="shared" si="20"/>
        <v>#VALUE!</v>
      </c>
      <c r="BO33" t="e">
        <f>BQ32*'Hypothetical vaccine model'!$J33*HelperFunctions!$R24</f>
        <v>#VALUE!</v>
      </c>
      <c r="BP33" t="e">
        <f>BQ32*'Hypothetical vaccine model'!$K33</f>
        <v>#VALUE!</v>
      </c>
      <c r="BQ33" s="84" t="e">
        <f t="shared" si="21"/>
        <v>#VALUE!</v>
      </c>
      <c r="BR33" t="e">
        <f>BT32*'Hypothetical vaccine model'!$J33*HelperFunctions!$R23</f>
        <v>#VALUE!</v>
      </c>
      <c r="BS33" t="e">
        <f>BT32*'Hypothetical vaccine model'!$K33</f>
        <v>#VALUE!</v>
      </c>
      <c r="BT33" s="84" t="e">
        <f t="shared" si="22"/>
        <v>#VALUE!</v>
      </c>
      <c r="BU33" t="e">
        <f>BW32*'Hypothetical vaccine model'!$J33*HelperFunctions!$R22</f>
        <v>#VALUE!</v>
      </c>
      <c r="BV33" t="e">
        <f>BW32*'Hypothetical vaccine model'!$K33</f>
        <v>#VALUE!</v>
      </c>
      <c r="BW33" s="84" t="e">
        <f t="shared" si="23"/>
        <v>#VALUE!</v>
      </c>
      <c r="BX33" t="e">
        <f>BZ32*'Hypothetical vaccine model'!$J33*HelperFunctions!$R35</f>
        <v>#VALUE!</v>
      </c>
      <c r="BY33" t="e">
        <f>BZ32*'Hypothetical vaccine model'!$K33</f>
        <v>#VALUE!</v>
      </c>
      <c r="BZ33" s="84" t="e">
        <f t="shared" si="24"/>
        <v>#VALUE!</v>
      </c>
      <c r="CA33" t="e">
        <f>CC32*'Hypothetical vaccine model'!$J33*HelperFunctions!$R34</f>
        <v>#VALUE!</v>
      </c>
      <c r="CB33" t="e">
        <f>CC32*'Hypothetical vaccine model'!$K33</f>
        <v>#VALUE!</v>
      </c>
      <c r="CC33" s="84" t="e">
        <f t="shared" si="25"/>
        <v>#VALUE!</v>
      </c>
      <c r="CD33" t="e">
        <f>CF32*'Hypothetical vaccine model'!$J33*HelperFunctions!$R33</f>
        <v>#VALUE!</v>
      </c>
      <c r="CE33" t="e">
        <f>CF32*'Hypothetical vaccine model'!$K33</f>
        <v>#VALUE!</v>
      </c>
      <c r="CF33" s="84" t="e">
        <f t="shared" si="26"/>
        <v>#VALUE!</v>
      </c>
      <c r="CG33" t="e">
        <f>CI32*'Hypothetical vaccine model'!$J33*HelperFunctions!$R32</f>
        <v>#VALUE!</v>
      </c>
      <c r="CH33" t="e">
        <f>CI32*'Hypothetical vaccine model'!$K33</f>
        <v>#VALUE!</v>
      </c>
      <c r="CI33" s="84" t="e">
        <f t="shared" ref="CI33:CI63" si="27">CI32-CG33-CH33</f>
        <v>#VALUE!</v>
      </c>
      <c r="CJ33" t="e">
        <f>CL32*'Hypothetical vaccine model'!$J33*HelperFunctions!$R31</f>
        <v>#VALUE!</v>
      </c>
      <c r="CK33" t="e">
        <f>CL32*'Hypothetical vaccine model'!$K33</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F33*'Hypothetical vaccine model'!J34*HelperFunctions!R$14</f>
        <v>#VALUE!</v>
      </c>
      <c r="E34" t="e">
        <f>F33*'Hypothetical vaccine model'!K34</f>
        <v>#VALUE!</v>
      </c>
      <c r="F34" s="84" t="e">
        <f t="shared" si="0"/>
        <v>#VALUE!</v>
      </c>
      <c r="G34" t="e">
        <f>I33*'Hypothetical vaccine model'!$J34*HelperFunctions!$R$14</f>
        <v>#VALUE!</v>
      </c>
      <c r="H34" t="e">
        <f>I33*'Hypothetical vaccine model'!$K34</f>
        <v>#VALUE!</v>
      </c>
      <c r="I34" s="84" t="e">
        <f t="shared" si="1"/>
        <v>#VALUE!</v>
      </c>
      <c r="J34" t="e">
        <f>L33*'Hypothetical vaccine model'!$J34*HelperFunctions!$R$14</f>
        <v>#VALUE!</v>
      </c>
      <c r="K34" t="e">
        <f>L33*'Hypothetical vaccine model'!$K34</f>
        <v>#VALUE!</v>
      </c>
      <c r="L34" s="84" t="e">
        <f t="shared" si="2"/>
        <v>#VALUE!</v>
      </c>
      <c r="M34" t="e">
        <f>O33*'Hypothetical vaccine model'!$J34*HelperFunctions!$R$14</f>
        <v>#VALUE!</v>
      </c>
      <c r="N34" t="e">
        <f>O33*'Hypothetical vaccine model'!$K34</f>
        <v>#VALUE!</v>
      </c>
      <c r="O34" s="84" t="e">
        <f t="shared" si="3"/>
        <v>#VALUE!</v>
      </c>
      <c r="P34" t="e">
        <f>R33*'Hypothetical vaccine model'!$J34*HelperFunctions!$R$14</f>
        <v>#VALUE!</v>
      </c>
      <c r="Q34" t="e">
        <f>R33*'Hypothetical vaccine model'!$K34</f>
        <v>#VALUE!</v>
      </c>
      <c r="R34" s="84" t="e">
        <f t="shared" si="4"/>
        <v>#VALUE!</v>
      </c>
      <c r="S34" t="e">
        <f>U33*'Hypothetical vaccine model'!$J34*HelperFunctions!$R$14</f>
        <v>#VALUE!</v>
      </c>
      <c r="T34" t="e">
        <f>U33*'Hypothetical vaccine model'!$K34</f>
        <v>#VALUE!</v>
      </c>
      <c r="U34" s="84" t="e">
        <f t="shared" si="5"/>
        <v>#VALUE!</v>
      </c>
      <c r="V34" t="e">
        <f>X33*'Hypothetical vaccine model'!$J34*HelperFunctions!$R$14</f>
        <v>#VALUE!</v>
      </c>
      <c r="W34" t="e">
        <f>X33*'Hypothetical vaccine model'!$K34</f>
        <v>#VALUE!</v>
      </c>
      <c r="X34" s="84" t="e">
        <f t="shared" si="6"/>
        <v>#VALUE!</v>
      </c>
      <c r="Y34" t="e">
        <f>AA33*'Hypothetical vaccine model'!$J34*HelperFunctions!$R$14</f>
        <v>#VALUE!</v>
      </c>
      <c r="Z34" t="e">
        <f>AA33*'Hypothetical vaccine model'!$K34</f>
        <v>#VALUE!</v>
      </c>
      <c r="AA34" s="84" t="e">
        <f t="shared" si="7"/>
        <v>#VALUE!</v>
      </c>
      <c r="AB34" t="e">
        <f>AD33*'Hypothetical vaccine model'!$J34*HelperFunctions!$R$14</f>
        <v>#VALUE!</v>
      </c>
      <c r="AC34" t="e">
        <f>AD33*'Hypothetical vaccine model'!$K34</f>
        <v>#VALUE!</v>
      </c>
      <c r="AD34" s="84" t="e">
        <f t="shared" si="8"/>
        <v>#VALUE!</v>
      </c>
      <c r="AE34" t="e">
        <f>AG33*'Hypothetical vaccine model'!$J34*HelperFunctions!$R$14</f>
        <v>#VALUE!</v>
      </c>
      <c r="AF34" t="e">
        <f>AG33*'Hypothetical vaccine model'!$K34</f>
        <v>#VALUE!</v>
      </c>
      <c r="AG34" s="84" t="e">
        <f t="shared" si="9"/>
        <v>#VALUE!</v>
      </c>
      <c r="AH34" t="e">
        <f>AJ33*'Hypothetical vaccine model'!$J34*HelperFunctions!$R$14</f>
        <v>#VALUE!</v>
      </c>
      <c r="AI34" t="e">
        <f>AJ33*'Hypothetical vaccine model'!$K34</f>
        <v>#VALUE!</v>
      </c>
      <c r="AJ34" s="84" t="e">
        <f t="shared" si="10"/>
        <v>#VALUE!</v>
      </c>
      <c r="AK34" t="e">
        <f>AM33*'Hypothetical vaccine model'!$J34*HelperFunctions!$R$14</f>
        <v>#VALUE!</v>
      </c>
      <c r="AL34" t="e">
        <f>AM33*'Hypothetical vaccine model'!$K34</f>
        <v>#VALUE!</v>
      </c>
      <c r="AM34" s="84" t="e">
        <f t="shared" si="11"/>
        <v>#VALUE!</v>
      </c>
      <c r="AN34" t="e">
        <f>AP33*'Hypothetical vaccine model'!$J34*HelperFunctions!$R$28</f>
        <v>#VALUE!</v>
      </c>
      <c r="AO34" t="e">
        <f>AP33*'Hypothetical vaccine model'!$K34</f>
        <v>#VALUE!</v>
      </c>
      <c r="AP34" s="84" t="e">
        <f t="shared" si="12"/>
        <v>#VALUE!</v>
      </c>
      <c r="AQ34" t="e">
        <f>AS33*'Hypothetical vaccine model'!$J34*HelperFunctions!$R$28</f>
        <v>#VALUE!</v>
      </c>
      <c r="AR34" t="e">
        <f>AS33*'Hypothetical vaccine model'!$K34</f>
        <v>#VALUE!</v>
      </c>
      <c r="AS34" s="84" t="e">
        <f t="shared" si="13"/>
        <v>#VALUE!</v>
      </c>
      <c r="AT34" t="e">
        <f>AV33*'Hypothetical vaccine model'!$J34*HelperFunctions!$R$28</f>
        <v>#VALUE!</v>
      </c>
      <c r="AU34" t="e">
        <f>AV33*'Hypothetical vaccine model'!$K34</f>
        <v>#VALUE!</v>
      </c>
      <c r="AV34" s="84" t="e">
        <f t="shared" si="14"/>
        <v>#VALUE!</v>
      </c>
      <c r="AW34" t="e">
        <f>AY33*'Hypothetical vaccine model'!$J34*HelperFunctions!$R$28</f>
        <v>#VALUE!</v>
      </c>
      <c r="AX34" t="e">
        <f>AY33*'Hypothetical vaccine model'!$K34</f>
        <v>#VALUE!</v>
      </c>
      <c r="AY34" s="84" t="e">
        <f t="shared" si="15"/>
        <v>#VALUE!</v>
      </c>
      <c r="AZ34" t="e">
        <f>BB33*'Hypothetical vaccine model'!$J34*HelperFunctions!$R$28</f>
        <v>#VALUE!</v>
      </c>
      <c r="BA34" t="e">
        <f>BB33*'Hypothetical vaccine model'!$K34</f>
        <v>#VALUE!</v>
      </c>
      <c r="BB34" s="84" t="e">
        <f t="shared" si="16"/>
        <v>#VALUE!</v>
      </c>
      <c r="BC34" t="e">
        <f>BE33*'Hypothetical vaccine model'!$J34*HelperFunctions!$R$28</f>
        <v>#VALUE!</v>
      </c>
      <c r="BD34" t="e">
        <f>BE33*'Hypothetical vaccine model'!$K34</f>
        <v>#VALUE!</v>
      </c>
      <c r="BE34" s="84" t="e">
        <f t="shared" si="17"/>
        <v>#VALUE!</v>
      </c>
      <c r="BF34" t="e">
        <f>BH33*'Hypothetical vaccine model'!$J34*HelperFunctions!$R$28</f>
        <v>#VALUE!</v>
      </c>
      <c r="BG34" t="e">
        <f>BH33*'Hypothetical vaccine model'!$K34</f>
        <v>#VALUE!</v>
      </c>
      <c r="BH34" s="84" t="e">
        <f t="shared" si="18"/>
        <v>#VALUE!</v>
      </c>
      <c r="BI34" t="e">
        <f>BK33*'Hypothetical vaccine model'!$J34*HelperFunctions!$R27</f>
        <v>#VALUE!</v>
      </c>
      <c r="BJ34" t="e">
        <f>BK33*'Hypothetical vaccine model'!$K34</f>
        <v>#VALUE!</v>
      </c>
      <c r="BK34" s="84" t="e">
        <f t="shared" si="19"/>
        <v>#VALUE!</v>
      </c>
      <c r="BL34" t="e">
        <f>BN33*'Hypothetical vaccine model'!$J34*HelperFunctions!$R26</f>
        <v>#VALUE!</v>
      </c>
      <c r="BM34" t="e">
        <f>BN33*'Hypothetical vaccine model'!$K34</f>
        <v>#VALUE!</v>
      </c>
      <c r="BN34" s="84" t="e">
        <f t="shared" si="20"/>
        <v>#VALUE!</v>
      </c>
      <c r="BO34" t="e">
        <f>BQ33*'Hypothetical vaccine model'!$J34*HelperFunctions!$R25</f>
        <v>#VALUE!</v>
      </c>
      <c r="BP34" t="e">
        <f>BQ33*'Hypothetical vaccine model'!$K34</f>
        <v>#VALUE!</v>
      </c>
      <c r="BQ34" s="84" t="e">
        <f t="shared" si="21"/>
        <v>#VALUE!</v>
      </c>
      <c r="BR34" t="e">
        <f>BT33*'Hypothetical vaccine model'!$J34*HelperFunctions!$R24</f>
        <v>#VALUE!</v>
      </c>
      <c r="BS34" t="e">
        <f>BT33*'Hypothetical vaccine model'!$K34</f>
        <v>#VALUE!</v>
      </c>
      <c r="BT34" s="84" t="e">
        <f t="shared" si="22"/>
        <v>#VALUE!</v>
      </c>
      <c r="BU34" t="e">
        <f>BW33*'Hypothetical vaccine model'!$J34*HelperFunctions!$R23</f>
        <v>#VALUE!</v>
      </c>
      <c r="BV34" t="e">
        <f>BW33*'Hypothetical vaccine model'!$K34</f>
        <v>#VALUE!</v>
      </c>
      <c r="BW34" s="84" t="e">
        <f t="shared" si="23"/>
        <v>#VALUE!</v>
      </c>
      <c r="BX34" t="e">
        <f>BZ33*'Hypothetical vaccine model'!$J34*HelperFunctions!$R36</f>
        <v>#VALUE!</v>
      </c>
      <c r="BY34" t="e">
        <f>BZ33*'Hypothetical vaccine model'!$K34</f>
        <v>#VALUE!</v>
      </c>
      <c r="BZ34" s="84" t="e">
        <f t="shared" si="24"/>
        <v>#VALUE!</v>
      </c>
      <c r="CA34" t="e">
        <f>CC33*'Hypothetical vaccine model'!$J34*HelperFunctions!$R35</f>
        <v>#VALUE!</v>
      </c>
      <c r="CB34" t="e">
        <f>CC33*'Hypothetical vaccine model'!$K34</f>
        <v>#VALUE!</v>
      </c>
      <c r="CC34" s="84" t="e">
        <f t="shared" si="25"/>
        <v>#VALUE!</v>
      </c>
      <c r="CD34" t="e">
        <f>CF33*'Hypothetical vaccine model'!$J34*HelperFunctions!$R34</f>
        <v>#VALUE!</v>
      </c>
      <c r="CE34" t="e">
        <f>CF33*'Hypothetical vaccine model'!$K34</f>
        <v>#VALUE!</v>
      </c>
      <c r="CF34" s="84" t="e">
        <f t="shared" si="26"/>
        <v>#VALUE!</v>
      </c>
      <c r="CG34" t="e">
        <f>CI33*'Hypothetical vaccine model'!$J34*HelperFunctions!$R33</f>
        <v>#VALUE!</v>
      </c>
      <c r="CH34" t="e">
        <f>CI33*'Hypothetical vaccine model'!$K34</f>
        <v>#VALUE!</v>
      </c>
      <c r="CI34" s="84" t="e">
        <f t="shared" si="27"/>
        <v>#VALUE!</v>
      </c>
      <c r="CJ34" t="e">
        <f>CL33*'Hypothetical vaccine model'!$J34*HelperFunctions!$R32</f>
        <v>#VALUE!</v>
      </c>
      <c r="CK34" t="e">
        <f>CL33*'Hypothetical vaccine model'!$K34</f>
        <v>#VALUE!</v>
      </c>
      <c r="CL34" s="84" t="e">
        <f t="shared" ref="CL34:CL63" si="28">CL33-CJ34-CK34</f>
        <v>#VALUE!</v>
      </c>
      <c r="CM34" t="e">
        <f>CO33*'Hypothetical vaccine model'!$J34*HelperFunctions!$R31</f>
        <v>#VALUE!</v>
      </c>
      <c r="CN34" t="e">
        <f>CO33*'Hypothetical vaccine model'!$K34</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F34*'Hypothetical vaccine model'!J35*HelperFunctions!R$14</f>
        <v>#VALUE!</v>
      </c>
      <c r="E35" t="e">
        <f>F34*'Hypothetical vaccine model'!K35</f>
        <v>#VALUE!</v>
      </c>
      <c r="F35" s="84" t="e">
        <f t="shared" si="0"/>
        <v>#VALUE!</v>
      </c>
      <c r="G35" t="e">
        <f>I34*'Hypothetical vaccine model'!$J35*HelperFunctions!$R$14</f>
        <v>#VALUE!</v>
      </c>
      <c r="H35" t="e">
        <f>I34*'Hypothetical vaccine model'!$K35</f>
        <v>#VALUE!</v>
      </c>
      <c r="I35" s="84" t="e">
        <f t="shared" si="1"/>
        <v>#VALUE!</v>
      </c>
      <c r="J35" t="e">
        <f>L34*'Hypothetical vaccine model'!$J35*HelperFunctions!$R$14</f>
        <v>#VALUE!</v>
      </c>
      <c r="K35" t="e">
        <f>L34*'Hypothetical vaccine model'!$K35</f>
        <v>#VALUE!</v>
      </c>
      <c r="L35" s="84" t="e">
        <f t="shared" si="2"/>
        <v>#VALUE!</v>
      </c>
      <c r="M35" t="e">
        <f>O34*'Hypothetical vaccine model'!$J35*HelperFunctions!$R$14</f>
        <v>#VALUE!</v>
      </c>
      <c r="N35" t="e">
        <f>O34*'Hypothetical vaccine model'!$K35</f>
        <v>#VALUE!</v>
      </c>
      <c r="O35" s="84" t="e">
        <f t="shared" si="3"/>
        <v>#VALUE!</v>
      </c>
      <c r="P35" t="e">
        <f>R34*'Hypothetical vaccine model'!$J35*HelperFunctions!$R$14</f>
        <v>#VALUE!</v>
      </c>
      <c r="Q35" t="e">
        <f>R34*'Hypothetical vaccine model'!$K35</f>
        <v>#VALUE!</v>
      </c>
      <c r="R35" s="84" t="e">
        <f t="shared" si="4"/>
        <v>#VALUE!</v>
      </c>
      <c r="S35" t="e">
        <f>U34*'Hypothetical vaccine model'!$J35*HelperFunctions!$R$14</f>
        <v>#VALUE!</v>
      </c>
      <c r="T35" t="e">
        <f>U34*'Hypothetical vaccine model'!$K35</f>
        <v>#VALUE!</v>
      </c>
      <c r="U35" s="84" t="e">
        <f t="shared" si="5"/>
        <v>#VALUE!</v>
      </c>
      <c r="V35" t="e">
        <f>X34*'Hypothetical vaccine model'!$J35*HelperFunctions!$R$14</f>
        <v>#VALUE!</v>
      </c>
      <c r="W35" t="e">
        <f>X34*'Hypothetical vaccine model'!$K35</f>
        <v>#VALUE!</v>
      </c>
      <c r="X35" s="84" t="e">
        <f t="shared" si="6"/>
        <v>#VALUE!</v>
      </c>
      <c r="Y35" t="e">
        <f>AA34*'Hypothetical vaccine model'!$J35*HelperFunctions!$R$14</f>
        <v>#VALUE!</v>
      </c>
      <c r="Z35" t="e">
        <f>AA34*'Hypothetical vaccine model'!$K35</f>
        <v>#VALUE!</v>
      </c>
      <c r="AA35" s="84" t="e">
        <f t="shared" si="7"/>
        <v>#VALUE!</v>
      </c>
      <c r="AB35" t="e">
        <f>AD34*'Hypothetical vaccine model'!$J35*HelperFunctions!$R$14</f>
        <v>#VALUE!</v>
      </c>
      <c r="AC35" t="e">
        <f>AD34*'Hypothetical vaccine model'!$K35</f>
        <v>#VALUE!</v>
      </c>
      <c r="AD35" s="84" t="e">
        <f t="shared" si="8"/>
        <v>#VALUE!</v>
      </c>
      <c r="AE35" t="e">
        <f>AG34*'Hypothetical vaccine model'!$J35*HelperFunctions!$R$14</f>
        <v>#VALUE!</v>
      </c>
      <c r="AF35" t="e">
        <f>AG34*'Hypothetical vaccine model'!$K35</f>
        <v>#VALUE!</v>
      </c>
      <c r="AG35" s="84" t="e">
        <f t="shared" si="9"/>
        <v>#VALUE!</v>
      </c>
      <c r="AH35" t="e">
        <f>AJ34*'Hypothetical vaccine model'!$J35*HelperFunctions!$R$14</f>
        <v>#VALUE!</v>
      </c>
      <c r="AI35" t="e">
        <f>AJ34*'Hypothetical vaccine model'!$K35</f>
        <v>#VALUE!</v>
      </c>
      <c r="AJ35" s="84" t="e">
        <f t="shared" si="10"/>
        <v>#VALUE!</v>
      </c>
      <c r="AK35" t="e">
        <f>AM34*'Hypothetical vaccine model'!$J35*HelperFunctions!$R$14</f>
        <v>#VALUE!</v>
      </c>
      <c r="AL35" t="e">
        <f>AM34*'Hypothetical vaccine model'!$K35</f>
        <v>#VALUE!</v>
      </c>
      <c r="AM35" s="84" t="e">
        <f t="shared" si="11"/>
        <v>#VALUE!</v>
      </c>
      <c r="AN35" t="e">
        <f>AP34*'Hypothetical vaccine model'!$J35*HelperFunctions!$R$28</f>
        <v>#VALUE!</v>
      </c>
      <c r="AO35" t="e">
        <f>AP34*'Hypothetical vaccine model'!$K35</f>
        <v>#VALUE!</v>
      </c>
      <c r="AP35" s="84" t="e">
        <f t="shared" si="12"/>
        <v>#VALUE!</v>
      </c>
      <c r="AQ35" t="e">
        <f>AS34*'Hypothetical vaccine model'!$J35*HelperFunctions!$R$28</f>
        <v>#VALUE!</v>
      </c>
      <c r="AR35" t="e">
        <f>AS34*'Hypothetical vaccine model'!$K35</f>
        <v>#VALUE!</v>
      </c>
      <c r="AS35" s="84" t="e">
        <f t="shared" si="13"/>
        <v>#VALUE!</v>
      </c>
      <c r="AT35" t="e">
        <f>AV34*'Hypothetical vaccine model'!$J35*HelperFunctions!$R$28</f>
        <v>#VALUE!</v>
      </c>
      <c r="AU35" t="e">
        <f>AV34*'Hypothetical vaccine model'!$K35</f>
        <v>#VALUE!</v>
      </c>
      <c r="AV35" s="84" t="e">
        <f t="shared" si="14"/>
        <v>#VALUE!</v>
      </c>
      <c r="AW35" t="e">
        <f>AY34*'Hypothetical vaccine model'!$J35*HelperFunctions!$R$28</f>
        <v>#VALUE!</v>
      </c>
      <c r="AX35" t="e">
        <f>AY34*'Hypothetical vaccine model'!$K35</f>
        <v>#VALUE!</v>
      </c>
      <c r="AY35" s="84" t="e">
        <f t="shared" si="15"/>
        <v>#VALUE!</v>
      </c>
      <c r="AZ35" t="e">
        <f>BB34*'Hypothetical vaccine model'!$J35*HelperFunctions!$R$28</f>
        <v>#VALUE!</v>
      </c>
      <c r="BA35" t="e">
        <f>BB34*'Hypothetical vaccine model'!$K35</f>
        <v>#VALUE!</v>
      </c>
      <c r="BB35" s="84" t="e">
        <f t="shared" si="16"/>
        <v>#VALUE!</v>
      </c>
      <c r="BC35" t="e">
        <f>BE34*'Hypothetical vaccine model'!$J35*HelperFunctions!$R$28</f>
        <v>#VALUE!</v>
      </c>
      <c r="BD35" t="e">
        <f>BE34*'Hypothetical vaccine model'!$K35</f>
        <v>#VALUE!</v>
      </c>
      <c r="BE35" s="84" t="e">
        <f t="shared" si="17"/>
        <v>#VALUE!</v>
      </c>
      <c r="BF35" t="e">
        <f>BH34*'Hypothetical vaccine model'!$J35*HelperFunctions!$R$28</f>
        <v>#VALUE!</v>
      </c>
      <c r="BG35" t="e">
        <f>BH34*'Hypothetical vaccine model'!$K35</f>
        <v>#VALUE!</v>
      </c>
      <c r="BH35" s="84" t="e">
        <f t="shared" si="18"/>
        <v>#VALUE!</v>
      </c>
      <c r="BI35" t="e">
        <f>BK34*'Hypothetical vaccine model'!$J35*HelperFunctions!$R$28</f>
        <v>#VALUE!</v>
      </c>
      <c r="BJ35" t="e">
        <f>BK34*'Hypothetical vaccine model'!$K35</f>
        <v>#VALUE!</v>
      </c>
      <c r="BK35" s="84" t="e">
        <f t="shared" si="19"/>
        <v>#VALUE!</v>
      </c>
      <c r="BL35" t="e">
        <f>BN34*'Hypothetical vaccine model'!$J35*HelperFunctions!$R27</f>
        <v>#VALUE!</v>
      </c>
      <c r="BM35" t="e">
        <f>BN34*'Hypothetical vaccine model'!$K35</f>
        <v>#VALUE!</v>
      </c>
      <c r="BN35" s="84" t="e">
        <f t="shared" si="20"/>
        <v>#VALUE!</v>
      </c>
      <c r="BO35" t="e">
        <f>BQ34*'Hypothetical vaccine model'!$J35*HelperFunctions!$R26</f>
        <v>#VALUE!</v>
      </c>
      <c r="BP35" t="e">
        <f>BQ34*'Hypothetical vaccine model'!$K35</f>
        <v>#VALUE!</v>
      </c>
      <c r="BQ35" s="84" t="e">
        <f t="shared" si="21"/>
        <v>#VALUE!</v>
      </c>
      <c r="BR35" t="e">
        <f>BT34*'Hypothetical vaccine model'!$J35*HelperFunctions!$R25</f>
        <v>#VALUE!</v>
      </c>
      <c r="BS35" t="e">
        <f>BT34*'Hypothetical vaccine model'!$K35</f>
        <v>#VALUE!</v>
      </c>
      <c r="BT35" s="84" t="e">
        <f t="shared" si="22"/>
        <v>#VALUE!</v>
      </c>
      <c r="BU35" t="e">
        <f>BW34*'Hypothetical vaccine model'!$J35*HelperFunctions!$R24</f>
        <v>#VALUE!</v>
      </c>
      <c r="BV35" t="e">
        <f>BW34*'Hypothetical vaccine model'!$K35</f>
        <v>#VALUE!</v>
      </c>
      <c r="BW35" s="84" t="e">
        <f t="shared" si="23"/>
        <v>#VALUE!</v>
      </c>
      <c r="BX35" t="e">
        <f>BZ34*'Hypothetical vaccine model'!$J35*HelperFunctions!$R37</f>
        <v>#VALUE!</v>
      </c>
      <c r="BY35" t="e">
        <f>BZ34*'Hypothetical vaccine model'!$K35</f>
        <v>#VALUE!</v>
      </c>
      <c r="BZ35" s="84" t="e">
        <f t="shared" si="24"/>
        <v>#VALUE!</v>
      </c>
      <c r="CA35" t="e">
        <f>CC34*'Hypothetical vaccine model'!$J35*HelperFunctions!$R36</f>
        <v>#VALUE!</v>
      </c>
      <c r="CB35" t="e">
        <f>CC34*'Hypothetical vaccine model'!$K35</f>
        <v>#VALUE!</v>
      </c>
      <c r="CC35" s="84" t="e">
        <f t="shared" si="25"/>
        <v>#VALUE!</v>
      </c>
      <c r="CD35" t="e">
        <f>CF34*'Hypothetical vaccine model'!$J35*HelperFunctions!$R35</f>
        <v>#VALUE!</v>
      </c>
      <c r="CE35" t="e">
        <f>CF34*'Hypothetical vaccine model'!$K35</f>
        <v>#VALUE!</v>
      </c>
      <c r="CF35" s="84" t="e">
        <f t="shared" si="26"/>
        <v>#VALUE!</v>
      </c>
      <c r="CG35" t="e">
        <f>CI34*'Hypothetical vaccine model'!$J35*HelperFunctions!$R34</f>
        <v>#VALUE!</v>
      </c>
      <c r="CH35" t="e">
        <f>CI34*'Hypothetical vaccine model'!$K35</f>
        <v>#VALUE!</v>
      </c>
      <c r="CI35" s="84" t="e">
        <f t="shared" si="27"/>
        <v>#VALUE!</v>
      </c>
      <c r="CJ35" t="e">
        <f>CL34*'Hypothetical vaccine model'!$J35*HelperFunctions!$R33</f>
        <v>#VALUE!</v>
      </c>
      <c r="CK35" t="e">
        <f>CL34*'Hypothetical vaccine model'!$K35</f>
        <v>#VALUE!</v>
      </c>
      <c r="CL35" s="84" t="e">
        <f t="shared" si="28"/>
        <v>#VALUE!</v>
      </c>
      <c r="CM35" t="e">
        <f>CO34*'Hypothetical vaccine model'!$J35*HelperFunctions!$R32</f>
        <v>#VALUE!</v>
      </c>
      <c r="CN35" t="e">
        <f>CO34*'Hypothetical vaccine model'!$K35</f>
        <v>#VALUE!</v>
      </c>
      <c r="CO35" s="84" t="e">
        <f t="shared" ref="CO35:CO63" si="29">CO34-CM35-CN35</f>
        <v>#VALUE!</v>
      </c>
      <c r="CP35" t="e">
        <f>CR34*'Hypothetical vaccine model'!$J35*HelperFunctions!$R31</f>
        <v>#VALUE!</v>
      </c>
      <c r="CQ35" t="e">
        <f>CR34*'Hypothetical vaccine model'!$K35</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F35*'Hypothetical vaccine model'!J36*HelperFunctions!R$14</f>
        <v>#VALUE!</v>
      </c>
      <c r="E36" t="e">
        <f>F35*'Hypothetical vaccine model'!K36</f>
        <v>#VALUE!</v>
      </c>
      <c r="F36" s="84" t="e">
        <f t="shared" si="0"/>
        <v>#VALUE!</v>
      </c>
      <c r="G36" t="e">
        <f>I35*'Hypothetical vaccine model'!$J36*HelperFunctions!$R$14</f>
        <v>#VALUE!</v>
      </c>
      <c r="H36" t="e">
        <f>I35*'Hypothetical vaccine model'!$K36</f>
        <v>#VALUE!</v>
      </c>
      <c r="I36" s="84" t="e">
        <f t="shared" si="1"/>
        <v>#VALUE!</v>
      </c>
      <c r="J36" t="e">
        <f>L35*'Hypothetical vaccine model'!$J36*HelperFunctions!$R$14</f>
        <v>#VALUE!</v>
      </c>
      <c r="K36" t="e">
        <f>L35*'Hypothetical vaccine model'!$K36</f>
        <v>#VALUE!</v>
      </c>
      <c r="L36" s="84" t="e">
        <f t="shared" si="2"/>
        <v>#VALUE!</v>
      </c>
      <c r="M36" t="e">
        <f>O35*'Hypothetical vaccine model'!$J36*HelperFunctions!$R$14</f>
        <v>#VALUE!</v>
      </c>
      <c r="N36" t="e">
        <f>O35*'Hypothetical vaccine model'!$K36</f>
        <v>#VALUE!</v>
      </c>
      <c r="O36" s="84" t="e">
        <f t="shared" si="3"/>
        <v>#VALUE!</v>
      </c>
      <c r="P36" t="e">
        <f>R35*'Hypothetical vaccine model'!$J36*HelperFunctions!$R$14</f>
        <v>#VALUE!</v>
      </c>
      <c r="Q36" t="e">
        <f>R35*'Hypothetical vaccine model'!$K36</f>
        <v>#VALUE!</v>
      </c>
      <c r="R36" s="84" t="e">
        <f t="shared" si="4"/>
        <v>#VALUE!</v>
      </c>
      <c r="S36" t="e">
        <f>U35*'Hypothetical vaccine model'!$J36*HelperFunctions!$R$14</f>
        <v>#VALUE!</v>
      </c>
      <c r="T36" t="e">
        <f>U35*'Hypothetical vaccine model'!$K36</f>
        <v>#VALUE!</v>
      </c>
      <c r="U36" s="84" t="e">
        <f t="shared" si="5"/>
        <v>#VALUE!</v>
      </c>
      <c r="V36" t="e">
        <f>X35*'Hypothetical vaccine model'!$J36*HelperFunctions!$R$14</f>
        <v>#VALUE!</v>
      </c>
      <c r="W36" t="e">
        <f>X35*'Hypothetical vaccine model'!$K36</f>
        <v>#VALUE!</v>
      </c>
      <c r="X36" s="84" t="e">
        <f t="shared" si="6"/>
        <v>#VALUE!</v>
      </c>
      <c r="Y36" t="e">
        <f>AA35*'Hypothetical vaccine model'!$J36*HelperFunctions!$R$14</f>
        <v>#VALUE!</v>
      </c>
      <c r="Z36" t="e">
        <f>AA35*'Hypothetical vaccine model'!$K36</f>
        <v>#VALUE!</v>
      </c>
      <c r="AA36" s="84" t="e">
        <f t="shared" si="7"/>
        <v>#VALUE!</v>
      </c>
      <c r="AB36" t="e">
        <f>AD35*'Hypothetical vaccine model'!$J36*HelperFunctions!$R$14</f>
        <v>#VALUE!</v>
      </c>
      <c r="AC36" t="e">
        <f>AD35*'Hypothetical vaccine model'!$K36</f>
        <v>#VALUE!</v>
      </c>
      <c r="AD36" s="84" t="e">
        <f t="shared" si="8"/>
        <v>#VALUE!</v>
      </c>
      <c r="AE36" t="e">
        <f>AG35*'Hypothetical vaccine model'!$J36*HelperFunctions!$R$14</f>
        <v>#VALUE!</v>
      </c>
      <c r="AF36" t="e">
        <f>AG35*'Hypothetical vaccine model'!$K36</f>
        <v>#VALUE!</v>
      </c>
      <c r="AG36" s="84" t="e">
        <f t="shared" si="9"/>
        <v>#VALUE!</v>
      </c>
      <c r="AH36" t="e">
        <f>AJ35*'Hypothetical vaccine model'!$J36*HelperFunctions!$R$14</f>
        <v>#VALUE!</v>
      </c>
      <c r="AI36" t="e">
        <f>AJ35*'Hypothetical vaccine model'!$K36</f>
        <v>#VALUE!</v>
      </c>
      <c r="AJ36" s="84" t="e">
        <f t="shared" si="10"/>
        <v>#VALUE!</v>
      </c>
      <c r="AK36" t="e">
        <f>AM35*'Hypothetical vaccine model'!$J36*HelperFunctions!$R$14</f>
        <v>#VALUE!</v>
      </c>
      <c r="AL36" t="e">
        <f>AM35*'Hypothetical vaccine model'!$K36</f>
        <v>#VALUE!</v>
      </c>
      <c r="AM36" s="84" t="e">
        <f t="shared" si="11"/>
        <v>#VALUE!</v>
      </c>
      <c r="AN36" t="e">
        <f>AP35*'Hypothetical vaccine model'!$J36*HelperFunctions!$R$28</f>
        <v>#VALUE!</v>
      </c>
      <c r="AO36" t="e">
        <f>AP35*'Hypothetical vaccine model'!$K36</f>
        <v>#VALUE!</v>
      </c>
      <c r="AP36" s="84" t="e">
        <f t="shared" si="12"/>
        <v>#VALUE!</v>
      </c>
      <c r="AQ36" t="e">
        <f>AS35*'Hypothetical vaccine model'!$J36*HelperFunctions!$R$28</f>
        <v>#VALUE!</v>
      </c>
      <c r="AR36" t="e">
        <f>AS35*'Hypothetical vaccine model'!$K36</f>
        <v>#VALUE!</v>
      </c>
      <c r="AS36" s="84" t="e">
        <f t="shared" si="13"/>
        <v>#VALUE!</v>
      </c>
      <c r="AT36" t="e">
        <f>AV35*'Hypothetical vaccine model'!$J36*HelperFunctions!$R$28</f>
        <v>#VALUE!</v>
      </c>
      <c r="AU36" t="e">
        <f>AV35*'Hypothetical vaccine model'!$K36</f>
        <v>#VALUE!</v>
      </c>
      <c r="AV36" s="84" t="e">
        <f t="shared" si="14"/>
        <v>#VALUE!</v>
      </c>
      <c r="AW36" t="e">
        <f>AY35*'Hypothetical vaccine model'!$J36*HelperFunctions!$R$28</f>
        <v>#VALUE!</v>
      </c>
      <c r="AX36" t="e">
        <f>AY35*'Hypothetical vaccine model'!$K36</f>
        <v>#VALUE!</v>
      </c>
      <c r="AY36" s="84" t="e">
        <f t="shared" si="15"/>
        <v>#VALUE!</v>
      </c>
      <c r="AZ36" t="e">
        <f>BB35*'Hypothetical vaccine model'!$J36*HelperFunctions!$R$28</f>
        <v>#VALUE!</v>
      </c>
      <c r="BA36" t="e">
        <f>BB35*'Hypothetical vaccine model'!$K36</f>
        <v>#VALUE!</v>
      </c>
      <c r="BB36" s="84" t="e">
        <f t="shared" si="16"/>
        <v>#VALUE!</v>
      </c>
      <c r="BC36" t="e">
        <f>BE35*'Hypothetical vaccine model'!$J36*HelperFunctions!$R$28</f>
        <v>#VALUE!</v>
      </c>
      <c r="BD36" t="e">
        <f>BE35*'Hypothetical vaccine model'!$K36</f>
        <v>#VALUE!</v>
      </c>
      <c r="BE36" s="84" t="e">
        <f t="shared" si="17"/>
        <v>#VALUE!</v>
      </c>
      <c r="BF36" t="e">
        <f>BH35*'Hypothetical vaccine model'!$J36*HelperFunctions!$R$28</f>
        <v>#VALUE!</v>
      </c>
      <c r="BG36" t="e">
        <f>BH35*'Hypothetical vaccine model'!$K36</f>
        <v>#VALUE!</v>
      </c>
      <c r="BH36" s="84" t="e">
        <f t="shared" si="18"/>
        <v>#VALUE!</v>
      </c>
      <c r="BI36" t="e">
        <f>BK35*'Hypothetical vaccine model'!$J36*HelperFunctions!$R$28</f>
        <v>#VALUE!</v>
      </c>
      <c r="BJ36" t="e">
        <f>BK35*'Hypothetical vaccine model'!$K36</f>
        <v>#VALUE!</v>
      </c>
      <c r="BK36" s="84" t="e">
        <f t="shared" si="19"/>
        <v>#VALUE!</v>
      </c>
      <c r="BL36" t="e">
        <f>BN35*'Hypothetical vaccine model'!$J36*HelperFunctions!$R$28</f>
        <v>#VALUE!</v>
      </c>
      <c r="BM36" t="e">
        <f>BN35*'Hypothetical vaccine model'!$K36</f>
        <v>#VALUE!</v>
      </c>
      <c r="BN36" s="84" t="e">
        <f t="shared" si="20"/>
        <v>#VALUE!</v>
      </c>
      <c r="BO36" t="e">
        <f>BQ35*'Hypothetical vaccine model'!$J36*HelperFunctions!$R27</f>
        <v>#VALUE!</v>
      </c>
      <c r="BP36" t="e">
        <f>BQ35*'Hypothetical vaccine model'!$K36</f>
        <v>#VALUE!</v>
      </c>
      <c r="BQ36" s="84" t="e">
        <f t="shared" si="21"/>
        <v>#VALUE!</v>
      </c>
      <c r="BR36" t="e">
        <f>BT35*'Hypothetical vaccine model'!$J36*HelperFunctions!$R26</f>
        <v>#VALUE!</v>
      </c>
      <c r="BS36" t="e">
        <f>BT35*'Hypothetical vaccine model'!$K36</f>
        <v>#VALUE!</v>
      </c>
      <c r="BT36" s="84" t="e">
        <f t="shared" si="22"/>
        <v>#VALUE!</v>
      </c>
      <c r="BU36" t="e">
        <f>BW35*'Hypothetical vaccine model'!$J36*HelperFunctions!$R25</f>
        <v>#VALUE!</v>
      </c>
      <c r="BV36" t="e">
        <f>BW35*'Hypothetical vaccine model'!$K36</f>
        <v>#VALUE!</v>
      </c>
      <c r="BW36" s="84" t="e">
        <f t="shared" si="23"/>
        <v>#VALUE!</v>
      </c>
      <c r="BX36" t="e">
        <f>BZ35*'Hypothetical vaccine model'!$J36*HelperFunctions!$R38</f>
        <v>#VALUE!</v>
      </c>
      <c r="BY36" t="e">
        <f>BZ35*'Hypothetical vaccine model'!$K36</f>
        <v>#VALUE!</v>
      </c>
      <c r="BZ36" s="84" t="e">
        <f t="shared" si="24"/>
        <v>#VALUE!</v>
      </c>
      <c r="CA36" t="e">
        <f>CC35*'Hypothetical vaccine model'!$J36*HelperFunctions!$R37</f>
        <v>#VALUE!</v>
      </c>
      <c r="CB36" t="e">
        <f>CC35*'Hypothetical vaccine model'!$K36</f>
        <v>#VALUE!</v>
      </c>
      <c r="CC36" s="84" t="e">
        <f t="shared" si="25"/>
        <v>#VALUE!</v>
      </c>
      <c r="CD36" t="e">
        <f>CF35*'Hypothetical vaccine model'!$J36*HelperFunctions!$R36</f>
        <v>#VALUE!</v>
      </c>
      <c r="CE36" t="e">
        <f>CF35*'Hypothetical vaccine model'!$K36</f>
        <v>#VALUE!</v>
      </c>
      <c r="CF36" s="84" t="e">
        <f t="shared" si="26"/>
        <v>#VALUE!</v>
      </c>
      <c r="CG36" t="e">
        <f>CI35*'Hypothetical vaccine model'!$J36*HelperFunctions!$R35</f>
        <v>#VALUE!</v>
      </c>
      <c r="CH36" t="e">
        <f>CI35*'Hypothetical vaccine model'!$K36</f>
        <v>#VALUE!</v>
      </c>
      <c r="CI36" s="84" t="e">
        <f t="shared" si="27"/>
        <v>#VALUE!</v>
      </c>
      <c r="CJ36" t="e">
        <f>CL35*'Hypothetical vaccine model'!$J36*HelperFunctions!$R34</f>
        <v>#VALUE!</v>
      </c>
      <c r="CK36" t="e">
        <f>CL35*'Hypothetical vaccine model'!$K36</f>
        <v>#VALUE!</v>
      </c>
      <c r="CL36" s="84" t="e">
        <f t="shared" si="28"/>
        <v>#VALUE!</v>
      </c>
      <c r="CM36" t="e">
        <f>CO35*'Hypothetical vaccine model'!$J36*HelperFunctions!$R33</f>
        <v>#VALUE!</v>
      </c>
      <c r="CN36" t="e">
        <f>CO35*'Hypothetical vaccine model'!$K36</f>
        <v>#VALUE!</v>
      </c>
      <c r="CO36" s="84" t="e">
        <f t="shared" si="29"/>
        <v>#VALUE!</v>
      </c>
      <c r="CP36" t="e">
        <f>CR35*'Hypothetical vaccine model'!$J36*HelperFunctions!$R32</f>
        <v>#VALUE!</v>
      </c>
      <c r="CQ36" t="e">
        <f>CR35*'Hypothetical vaccine model'!$K36</f>
        <v>#VALUE!</v>
      </c>
      <c r="CR36" s="84" t="e">
        <f t="shared" ref="CR36:CR63" si="30">CR35-CP36-CQ36</f>
        <v>#VALUE!</v>
      </c>
      <c r="CS36" t="e">
        <f>CU35*'Hypothetical vaccine model'!$J36*HelperFunctions!$R31</f>
        <v>#VALUE!</v>
      </c>
      <c r="CT36" t="e">
        <f>CU35*'Hypothetical vaccine model'!$K36</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F36*'Hypothetical vaccine model'!J37*HelperFunctions!R$14</f>
        <v>#VALUE!</v>
      </c>
      <c r="E37" t="e">
        <f>F36*'Hypothetical vaccine model'!K37</f>
        <v>#VALUE!</v>
      </c>
      <c r="F37" s="84" t="e">
        <f t="shared" si="0"/>
        <v>#VALUE!</v>
      </c>
      <c r="G37" t="e">
        <f>I36*'Hypothetical vaccine model'!$J37*HelperFunctions!$R$14</f>
        <v>#VALUE!</v>
      </c>
      <c r="H37" t="e">
        <f>I36*'Hypothetical vaccine model'!$K37</f>
        <v>#VALUE!</v>
      </c>
      <c r="I37" s="84" t="e">
        <f t="shared" si="1"/>
        <v>#VALUE!</v>
      </c>
      <c r="J37" t="e">
        <f>L36*'Hypothetical vaccine model'!$J37*HelperFunctions!$R$14</f>
        <v>#VALUE!</v>
      </c>
      <c r="K37" t="e">
        <f>L36*'Hypothetical vaccine model'!$K37</f>
        <v>#VALUE!</v>
      </c>
      <c r="L37" s="84" t="e">
        <f t="shared" si="2"/>
        <v>#VALUE!</v>
      </c>
      <c r="M37" t="e">
        <f>O36*'Hypothetical vaccine model'!$J37*HelperFunctions!$R$14</f>
        <v>#VALUE!</v>
      </c>
      <c r="N37" t="e">
        <f>O36*'Hypothetical vaccine model'!$K37</f>
        <v>#VALUE!</v>
      </c>
      <c r="O37" s="84" t="e">
        <f t="shared" si="3"/>
        <v>#VALUE!</v>
      </c>
      <c r="P37" t="e">
        <f>R36*'Hypothetical vaccine model'!$J37*HelperFunctions!$R$14</f>
        <v>#VALUE!</v>
      </c>
      <c r="Q37" t="e">
        <f>R36*'Hypothetical vaccine model'!$K37</f>
        <v>#VALUE!</v>
      </c>
      <c r="R37" s="84" t="e">
        <f t="shared" si="4"/>
        <v>#VALUE!</v>
      </c>
      <c r="S37" t="e">
        <f>U36*'Hypothetical vaccine model'!$J37*HelperFunctions!$R$14</f>
        <v>#VALUE!</v>
      </c>
      <c r="T37" t="e">
        <f>U36*'Hypothetical vaccine model'!$K37</f>
        <v>#VALUE!</v>
      </c>
      <c r="U37" s="84" t="e">
        <f t="shared" si="5"/>
        <v>#VALUE!</v>
      </c>
      <c r="V37" t="e">
        <f>X36*'Hypothetical vaccine model'!$J37*HelperFunctions!$R$14</f>
        <v>#VALUE!</v>
      </c>
      <c r="W37" t="e">
        <f>X36*'Hypothetical vaccine model'!$K37</f>
        <v>#VALUE!</v>
      </c>
      <c r="X37" s="84" t="e">
        <f t="shared" si="6"/>
        <v>#VALUE!</v>
      </c>
      <c r="Y37" t="e">
        <f>AA36*'Hypothetical vaccine model'!$J37*HelperFunctions!$R$14</f>
        <v>#VALUE!</v>
      </c>
      <c r="Z37" t="e">
        <f>AA36*'Hypothetical vaccine model'!$K37</f>
        <v>#VALUE!</v>
      </c>
      <c r="AA37" s="84" t="e">
        <f t="shared" si="7"/>
        <v>#VALUE!</v>
      </c>
      <c r="AB37" t="e">
        <f>AD36*'Hypothetical vaccine model'!$J37*HelperFunctions!$R$14</f>
        <v>#VALUE!</v>
      </c>
      <c r="AC37" t="e">
        <f>AD36*'Hypothetical vaccine model'!$K37</f>
        <v>#VALUE!</v>
      </c>
      <c r="AD37" s="84" t="e">
        <f t="shared" si="8"/>
        <v>#VALUE!</v>
      </c>
      <c r="AE37" t="e">
        <f>AG36*'Hypothetical vaccine model'!$J37*HelperFunctions!$R$14</f>
        <v>#VALUE!</v>
      </c>
      <c r="AF37" t="e">
        <f>AG36*'Hypothetical vaccine model'!$K37</f>
        <v>#VALUE!</v>
      </c>
      <c r="AG37" s="84" t="e">
        <f t="shared" si="9"/>
        <v>#VALUE!</v>
      </c>
      <c r="AH37" t="e">
        <f>AJ36*'Hypothetical vaccine model'!$J37*HelperFunctions!$R$14</f>
        <v>#VALUE!</v>
      </c>
      <c r="AI37" t="e">
        <f>AJ36*'Hypothetical vaccine model'!$K37</f>
        <v>#VALUE!</v>
      </c>
      <c r="AJ37" s="84" t="e">
        <f t="shared" si="10"/>
        <v>#VALUE!</v>
      </c>
      <c r="AK37" t="e">
        <f>AM36*'Hypothetical vaccine model'!$J37*HelperFunctions!$R$14</f>
        <v>#VALUE!</v>
      </c>
      <c r="AL37" t="e">
        <f>AM36*'Hypothetical vaccine model'!$K37</f>
        <v>#VALUE!</v>
      </c>
      <c r="AM37" s="84" t="e">
        <f t="shared" si="11"/>
        <v>#VALUE!</v>
      </c>
      <c r="AN37" t="e">
        <f>AP36*'Hypothetical vaccine model'!$J37*HelperFunctions!$R$28</f>
        <v>#VALUE!</v>
      </c>
      <c r="AO37" t="e">
        <f>AP36*'Hypothetical vaccine model'!$K37</f>
        <v>#VALUE!</v>
      </c>
      <c r="AP37" s="84" t="e">
        <f t="shared" si="12"/>
        <v>#VALUE!</v>
      </c>
      <c r="AQ37" t="e">
        <f>AS36*'Hypothetical vaccine model'!$J37*HelperFunctions!$R$28</f>
        <v>#VALUE!</v>
      </c>
      <c r="AR37" t="e">
        <f>AS36*'Hypothetical vaccine model'!$K37</f>
        <v>#VALUE!</v>
      </c>
      <c r="AS37" s="84" t="e">
        <f t="shared" si="13"/>
        <v>#VALUE!</v>
      </c>
      <c r="AT37" t="e">
        <f>AV36*'Hypothetical vaccine model'!$J37*HelperFunctions!$R$28</f>
        <v>#VALUE!</v>
      </c>
      <c r="AU37" t="e">
        <f>AV36*'Hypothetical vaccine model'!$K37</f>
        <v>#VALUE!</v>
      </c>
      <c r="AV37" s="84" t="e">
        <f t="shared" si="14"/>
        <v>#VALUE!</v>
      </c>
      <c r="AW37" t="e">
        <f>AY36*'Hypothetical vaccine model'!$J37*HelperFunctions!$R$28</f>
        <v>#VALUE!</v>
      </c>
      <c r="AX37" t="e">
        <f>AY36*'Hypothetical vaccine model'!$K37</f>
        <v>#VALUE!</v>
      </c>
      <c r="AY37" s="84" t="e">
        <f t="shared" si="15"/>
        <v>#VALUE!</v>
      </c>
      <c r="AZ37" t="e">
        <f>BB36*'Hypothetical vaccine model'!$J37*HelperFunctions!$R$28</f>
        <v>#VALUE!</v>
      </c>
      <c r="BA37" t="e">
        <f>BB36*'Hypothetical vaccine model'!$K37</f>
        <v>#VALUE!</v>
      </c>
      <c r="BB37" s="84" t="e">
        <f t="shared" si="16"/>
        <v>#VALUE!</v>
      </c>
      <c r="BC37" t="e">
        <f>BE36*'Hypothetical vaccine model'!$J37*HelperFunctions!$R$28</f>
        <v>#VALUE!</v>
      </c>
      <c r="BD37" t="e">
        <f>BE36*'Hypothetical vaccine model'!$K37</f>
        <v>#VALUE!</v>
      </c>
      <c r="BE37" s="84" t="e">
        <f t="shared" si="17"/>
        <v>#VALUE!</v>
      </c>
      <c r="BF37" t="e">
        <f>BH36*'Hypothetical vaccine model'!$J37*HelperFunctions!$R$28</f>
        <v>#VALUE!</v>
      </c>
      <c r="BG37" t="e">
        <f>BH36*'Hypothetical vaccine model'!$K37</f>
        <v>#VALUE!</v>
      </c>
      <c r="BH37" s="84" t="e">
        <f t="shared" si="18"/>
        <v>#VALUE!</v>
      </c>
      <c r="BI37" t="e">
        <f>BK36*'Hypothetical vaccine model'!$J37*HelperFunctions!$R$28</f>
        <v>#VALUE!</v>
      </c>
      <c r="BJ37" t="e">
        <f>BK36*'Hypothetical vaccine model'!$K37</f>
        <v>#VALUE!</v>
      </c>
      <c r="BK37" s="84" t="e">
        <f t="shared" si="19"/>
        <v>#VALUE!</v>
      </c>
      <c r="BL37" t="e">
        <f>BN36*'Hypothetical vaccine model'!$J37*HelperFunctions!$R$28</f>
        <v>#VALUE!</v>
      </c>
      <c r="BM37" t="e">
        <f>BN36*'Hypothetical vaccine model'!$K37</f>
        <v>#VALUE!</v>
      </c>
      <c r="BN37" s="84" t="e">
        <f t="shared" si="20"/>
        <v>#VALUE!</v>
      </c>
      <c r="BO37" t="e">
        <f>BQ36*'Hypothetical vaccine model'!$J37*HelperFunctions!$R$28</f>
        <v>#VALUE!</v>
      </c>
      <c r="BP37" t="e">
        <f>BQ36*'Hypothetical vaccine model'!$K37</f>
        <v>#VALUE!</v>
      </c>
      <c r="BQ37" s="84" t="e">
        <f t="shared" si="21"/>
        <v>#VALUE!</v>
      </c>
      <c r="BR37" t="e">
        <f>BT36*'Hypothetical vaccine model'!$J37*HelperFunctions!$R27</f>
        <v>#VALUE!</v>
      </c>
      <c r="BS37" t="e">
        <f>BT36*'Hypothetical vaccine model'!$K37</f>
        <v>#VALUE!</v>
      </c>
      <c r="BT37" s="84" t="e">
        <f t="shared" si="22"/>
        <v>#VALUE!</v>
      </c>
      <c r="BU37" t="e">
        <f>BW36*'Hypothetical vaccine model'!$J37*HelperFunctions!$R26</f>
        <v>#VALUE!</v>
      </c>
      <c r="BV37" t="e">
        <f>BW36*'Hypothetical vaccine model'!$K37</f>
        <v>#VALUE!</v>
      </c>
      <c r="BW37" s="84" t="e">
        <f t="shared" si="23"/>
        <v>#VALUE!</v>
      </c>
      <c r="BX37" t="e">
        <f>BZ36*'Hypothetical vaccine model'!$J37*HelperFunctions!$R39</f>
        <v>#VALUE!</v>
      </c>
      <c r="BY37" t="e">
        <f>BZ36*'Hypothetical vaccine model'!$K37</f>
        <v>#VALUE!</v>
      </c>
      <c r="BZ37" s="84" t="e">
        <f t="shared" si="24"/>
        <v>#VALUE!</v>
      </c>
      <c r="CA37" t="e">
        <f>CC36*'Hypothetical vaccine model'!$J37*HelperFunctions!$R38</f>
        <v>#VALUE!</v>
      </c>
      <c r="CB37" t="e">
        <f>CC36*'Hypothetical vaccine model'!$K37</f>
        <v>#VALUE!</v>
      </c>
      <c r="CC37" s="84" t="e">
        <f t="shared" si="25"/>
        <v>#VALUE!</v>
      </c>
      <c r="CD37" t="e">
        <f>CF36*'Hypothetical vaccine model'!$J37*HelperFunctions!$R37</f>
        <v>#VALUE!</v>
      </c>
      <c r="CE37" t="e">
        <f>CF36*'Hypothetical vaccine model'!$K37</f>
        <v>#VALUE!</v>
      </c>
      <c r="CF37" s="84" t="e">
        <f t="shared" si="26"/>
        <v>#VALUE!</v>
      </c>
      <c r="CG37" t="e">
        <f>CI36*'Hypothetical vaccine model'!$J37*HelperFunctions!$R36</f>
        <v>#VALUE!</v>
      </c>
      <c r="CH37" t="e">
        <f>CI36*'Hypothetical vaccine model'!$K37</f>
        <v>#VALUE!</v>
      </c>
      <c r="CI37" s="84" t="e">
        <f t="shared" si="27"/>
        <v>#VALUE!</v>
      </c>
      <c r="CJ37" t="e">
        <f>CL36*'Hypothetical vaccine model'!$J37*HelperFunctions!$R35</f>
        <v>#VALUE!</v>
      </c>
      <c r="CK37" t="e">
        <f>CL36*'Hypothetical vaccine model'!$K37</f>
        <v>#VALUE!</v>
      </c>
      <c r="CL37" s="84" t="e">
        <f t="shared" si="28"/>
        <v>#VALUE!</v>
      </c>
      <c r="CM37" t="e">
        <f>CO36*'Hypothetical vaccine model'!$J37*HelperFunctions!$R34</f>
        <v>#VALUE!</v>
      </c>
      <c r="CN37" t="e">
        <f>CO36*'Hypothetical vaccine model'!$K37</f>
        <v>#VALUE!</v>
      </c>
      <c r="CO37" s="84" t="e">
        <f t="shared" si="29"/>
        <v>#VALUE!</v>
      </c>
      <c r="CP37" t="e">
        <f>CR36*'Hypothetical vaccine model'!$J37*HelperFunctions!$R33</f>
        <v>#VALUE!</v>
      </c>
      <c r="CQ37" t="e">
        <f>CR36*'Hypothetical vaccine model'!$K37</f>
        <v>#VALUE!</v>
      </c>
      <c r="CR37" s="84" t="e">
        <f t="shared" si="30"/>
        <v>#VALUE!</v>
      </c>
      <c r="CS37" t="e">
        <f>CU36*'Hypothetical vaccine model'!$J37*HelperFunctions!$R32</f>
        <v>#VALUE!</v>
      </c>
      <c r="CT37" t="e">
        <f>CU36*'Hypothetical vaccine model'!$K37</f>
        <v>#VALUE!</v>
      </c>
      <c r="CU37" s="84" t="e">
        <f t="shared" ref="CU37:CU63" si="31">CU36-CS37-CT37</f>
        <v>#VALUE!</v>
      </c>
      <c r="CV37" t="e">
        <f>CX36*'Hypothetical vaccine model'!$J37*HelperFunctions!$R31</f>
        <v>#VALUE!</v>
      </c>
      <c r="CW37" t="e">
        <f>CX36*'Hypothetical vaccine model'!$K37</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F37*'Hypothetical vaccine model'!J38*HelperFunctions!R$14</f>
        <v>#VALUE!</v>
      </c>
      <c r="E38" t="e">
        <f>F37*'Hypothetical vaccine model'!K38</f>
        <v>#VALUE!</v>
      </c>
      <c r="F38" s="84" t="e">
        <f t="shared" si="0"/>
        <v>#VALUE!</v>
      </c>
      <c r="G38" t="e">
        <f>I37*'Hypothetical vaccine model'!$J38*HelperFunctions!$R$14</f>
        <v>#VALUE!</v>
      </c>
      <c r="H38" t="e">
        <f>I37*'Hypothetical vaccine model'!$K38</f>
        <v>#VALUE!</v>
      </c>
      <c r="I38" s="84" t="e">
        <f t="shared" si="1"/>
        <v>#VALUE!</v>
      </c>
      <c r="J38" t="e">
        <f>L37*'Hypothetical vaccine model'!$J38*HelperFunctions!$R$14</f>
        <v>#VALUE!</v>
      </c>
      <c r="K38" t="e">
        <f>L37*'Hypothetical vaccine model'!$K38</f>
        <v>#VALUE!</v>
      </c>
      <c r="L38" s="84" t="e">
        <f t="shared" si="2"/>
        <v>#VALUE!</v>
      </c>
      <c r="M38" t="e">
        <f>O37*'Hypothetical vaccine model'!$J38*HelperFunctions!$R$14</f>
        <v>#VALUE!</v>
      </c>
      <c r="N38" t="e">
        <f>O37*'Hypothetical vaccine model'!$K38</f>
        <v>#VALUE!</v>
      </c>
      <c r="O38" s="84" t="e">
        <f t="shared" si="3"/>
        <v>#VALUE!</v>
      </c>
      <c r="P38" t="e">
        <f>R37*'Hypothetical vaccine model'!$J38*HelperFunctions!$R$14</f>
        <v>#VALUE!</v>
      </c>
      <c r="Q38" t="e">
        <f>R37*'Hypothetical vaccine model'!$K38</f>
        <v>#VALUE!</v>
      </c>
      <c r="R38" s="84" t="e">
        <f t="shared" si="4"/>
        <v>#VALUE!</v>
      </c>
      <c r="S38" t="e">
        <f>U37*'Hypothetical vaccine model'!$J38*HelperFunctions!$R$14</f>
        <v>#VALUE!</v>
      </c>
      <c r="T38" t="e">
        <f>U37*'Hypothetical vaccine model'!$K38</f>
        <v>#VALUE!</v>
      </c>
      <c r="U38" s="84" t="e">
        <f t="shared" si="5"/>
        <v>#VALUE!</v>
      </c>
      <c r="V38" t="e">
        <f>X37*'Hypothetical vaccine model'!$J38*HelperFunctions!$R$14</f>
        <v>#VALUE!</v>
      </c>
      <c r="W38" t="e">
        <f>X37*'Hypothetical vaccine model'!$K38</f>
        <v>#VALUE!</v>
      </c>
      <c r="X38" s="84" t="e">
        <f t="shared" si="6"/>
        <v>#VALUE!</v>
      </c>
      <c r="Y38" t="e">
        <f>AA37*'Hypothetical vaccine model'!$J38*HelperFunctions!$R$14</f>
        <v>#VALUE!</v>
      </c>
      <c r="Z38" t="e">
        <f>AA37*'Hypothetical vaccine model'!$K38</f>
        <v>#VALUE!</v>
      </c>
      <c r="AA38" s="84" t="e">
        <f t="shared" si="7"/>
        <v>#VALUE!</v>
      </c>
      <c r="AB38" t="e">
        <f>AD37*'Hypothetical vaccine model'!$J38*HelperFunctions!$R$14</f>
        <v>#VALUE!</v>
      </c>
      <c r="AC38" t="e">
        <f>AD37*'Hypothetical vaccine model'!$K38</f>
        <v>#VALUE!</v>
      </c>
      <c r="AD38" s="84" t="e">
        <f t="shared" si="8"/>
        <v>#VALUE!</v>
      </c>
      <c r="AE38" t="e">
        <f>AG37*'Hypothetical vaccine model'!$J38*HelperFunctions!$R$14</f>
        <v>#VALUE!</v>
      </c>
      <c r="AF38" t="e">
        <f>AG37*'Hypothetical vaccine model'!$K38</f>
        <v>#VALUE!</v>
      </c>
      <c r="AG38" s="84" t="e">
        <f t="shared" si="9"/>
        <v>#VALUE!</v>
      </c>
      <c r="AH38" t="e">
        <f>AJ37*'Hypothetical vaccine model'!$J38*HelperFunctions!$R$14</f>
        <v>#VALUE!</v>
      </c>
      <c r="AI38" t="e">
        <f>AJ37*'Hypothetical vaccine model'!$K38</f>
        <v>#VALUE!</v>
      </c>
      <c r="AJ38" s="84" t="e">
        <f t="shared" si="10"/>
        <v>#VALUE!</v>
      </c>
      <c r="AK38" t="e">
        <f>AM37*'Hypothetical vaccine model'!$J38*HelperFunctions!$R$14</f>
        <v>#VALUE!</v>
      </c>
      <c r="AL38" t="e">
        <f>AM37*'Hypothetical vaccine model'!$K38</f>
        <v>#VALUE!</v>
      </c>
      <c r="AM38" s="84" t="e">
        <f t="shared" si="11"/>
        <v>#VALUE!</v>
      </c>
      <c r="AN38" t="e">
        <f>AP37*'Hypothetical vaccine model'!$J38*HelperFunctions!$R$28</f>
        <v>#VALUE!</v>
      </c>
      <c r="AO38" t="e">
        <f>AP37*'Hypothetical vaccine model'!$K38</f>
        <v>#VALUE!</v>
      </c>
      <c r="AP38" s="84" t="e">
        <f t="shared" si="12"/>
        <v>#VALUE!</v>
      </c>
      <c r="AQ38" t="e">
        <f>AS37*'Hypothetical vaccine model'!$J38*HelperFunctions!$R$28</f>
        <v>#VALUE!</v>
      </c>
      <c r="AR38" t="e">
        <f>AS37*'Hypothetical vaccine model'!$K38</f>
        <v>#VALUE!</v>
      </c>
      <c r="AS38" s="84" t="e">
        <f t="shared" si="13"/>
        <v>#VALUE!</v>
      </c>
      <c r="AT38" t="e">
        <f>AV37*'Hypothetical vaccine model'!$J38*HelperFunctions!$R$28</f>
        <v>#VALUE!</v>
      </c>
      <c r="AU38" t="e">
        <f>AV37*'Hypothetical vaccine model'!$K38</f>
        <v>#VALUE!</v>
      </c>
      <c r="AV38" s="84" t="e">
        <f t="shared" si="14"/>
        <v>#VALUE!</v>
      </c>
      <c r="AW38" t="e">
        <f>AY37*'Hypothetical vaccine model'!$J38*HelperFunctions!$R$28</f>
        <v>#VALUE!</v>
      </c>
      <c r="AX38" t="e">
        <f>AY37*'Hypothetical vaccine model'!$K38</f>
        <v>#VALUE!</v>
      </c>
      <c r="AY38" s="84" t="e">
        <f t="shared" si="15"/>
        <v>#VALUE!</v>
      </c>
      <c r="AZ38" t="e">
        <f>BB37*'Hypothetical vaccine model'!$J38*HelperFunctions!$R$28</f>
        <v>#VALUE!</v>
      </c>
      <c r="BA38" t="e">
        <f>BB37*'Hypothetical vaccine model'!$K38</f>
        <v>#VALUE!</v>
      </c>
      <c r="BB38" s="84" t="e">
        <f t="shared" si="16"/>
        <v>#VALUE!</v>
      </c>
      <c r="BC38" t="e">
        <f>BE37*'Hypothetical vaccine model'!$J38*HelperFunctions!$R$28</f>
        <v>#VALUE!</v>
      </c>
      <c r="BD38" t="e">
        <f>BE37*'Hypothetical vaccine model'!$K38</f>
        <v>#VALUE!</v>
      </c>
      <c r="BE38" s="84" t="e">
        <f t="shared" si="17"/>
        <v>#VALUE!</v>
      </c>
      <c r="BF38" t="e">
        <f>BH37*'Hypothetical vaccine model'!$J38*HelperFunctions!$R$28</f>
        <v>#VALUE!</v>
      </c>
      <c r="BG38" t="e">
        <f>BH37*'Hypothetical vaccine model'!$K38</f>
        <v>#VALUE!</v>
      </c>
      <c r="BH38" s="84" t="e">
        <f t="shared" si="18"/>
        <v>#VALUE!</v>
      </c>
      <c r="BI38" t="e">
        <f>BK37*'Hypothetical vaccine model'!$J38*HelperFunctions!$R$28</f>
        <v>#VALUE!</v>
      </c>
      <c r="BJ38" t="e">
        <f>BK37*'Hypothetical vaccine model'!$K38</f>
        <v>#VALUE!</v>
      </c>
      <c r="BK38" s="84" t="e">
        <f t="shared" si="19"/>
        <v>#VALUE!</v>
      </c>
      <c r="BL38" t="e">
        <f>BN37*'Hypothetical vaccine model'!$J38*HelperFunctions!$R$28</f>
        <v>#VALUE!</v>
      </c>
      <c r="BM38" t="e">
        <f>BN37*'Hypothetical vaccine model'!$K38</f>
        <v>#VALUE!</v>
      </c>
      <c r="BN38" s="84" t="e">
        <f t="shared" si="20"/>
        <v>#VALUE!</v>
      </c>
      <c r="BO38" t="e">
        <f>BQ37*'Hypothetical vaccine model'!$J38*HelperFunctions!$R$28</f>
        <v>#VALUE!</v>
      </c>
      <c r="BP38" t="e">
        <f>BQ37*'Hypothetical vaccine model'!$K38</f>
        <v>#VALUE!</v>
      </c>
      <c r="BQ38" s="84" t="e">
        <f t="shared" si="21"/>
        <v>#VALUE!</v>
      </c>
      <c r="BR38" t="e">
        <f>BT37*'Hypothetical vaccine model'!$J38*HelperFunctions!$R$28</f>
        <v>#VALUE!</v>
      </c>
      <c r="BS38" t="e">
        <f>BT37*'Hypothetical vaccine model'!$K38</f>
        <v>#VALUE!</v>
      </c>
      <c r="BT38" s="84" t="e">
        <f t="shared" si="22"/>
        <v>#VALUE!</v>
      </c>
      <c r="BU38" t="e">
        <f>BW37*'Hypothetical vaccine model'!$J38*HelperFunctions!$R27</f>
        <v>#VALUE!</v>
      </c>
      <c r="BV38" t="e">
        <f>BW37*'Hypothetical vaccine model'!$K38</f>
        <v>#VALUE!</v>
      </c>
      <c r="BW38" s="84" t="e">
        <f t="shared" si="23"/>
        <v>#VALUE!</v>
      </c>
      <c r="BX38" t="e">
        <f>BZ37*'Hypothetical vaccine model'!$J38*HelperFunctions!$R40</f>
        <v>#VALUE!</v>
      </c>
      <c r="BY38" t="e">
        <f>BZ37*'Hypothetical vaccine model'!$K38</f>
        <v>#VALUE!</v>
      </c>
      <c r="BZ38" s="84" t="e">
        <f t="shared" si="24"/>
        <v>#VALUE!</v>
      </c>
      <c r="CA38" t="e">
        <f>CC37*'Hypothetical vaccine model'!$J38*HelperFunctions!$R39</f>
        <v>#VALUE!</v>
      </c>
      <c r="CB38" t="e">
        <f>CC37*'Hypothetical vaccine model'!$K38</f>
        <v>#VALUE!</v>
      </c>
      <c r="CC38" s="84" t="e">
        <f t="shared" si="25"/>
        <v>#VALUE!</v>
      </c>
      <c r="CD38" t="e">
        <f>CF37*'Hypothetical vaccine model'!$J38*HelperFunctions!$R38</f>
        <v>#VALUE!</v>
      </c>
      <c r="CE38" t="e">
        <f>CF37*'Hypothetical vaccine model'!$K38</f>
        <v>#VALUE!</v>
      </c>
      <c r="CF38" s="84" t="e">
        <f t="shared" si="26"/>
        <v>#VALUE!</v>
      </c>
      <c r="CG38" t="e">
        <f>CI37*'Hypothetical vaccine model'!$J38*HelperFunctions!$R37</f>
        <v>#VALUE!</v>
      </c>
      <c r="CH38" t="e">
        <f>CI37*'Hypothetical vaccine model'!$K38</f>
        <v>#VALUE!</v>
      </c>
      <c r="CI38" s="84" t="e">
        <f t="shared" si="27"/>
        <v>#VALUE!</v>
      </c>
      <c r="CJ38" t="e">
        <f>CL37*'Hypothetical vaccine model'!$J38*HelperFunctions!$R36</f>
        <v>#VALUE!</v>
      </c>
      <c r="CK38" t="e">
        <f>CL37*'Hypothetical vaccine model'!$K38</f>
        <v>#VALUE!</v>
      </c>
      <c r="CL38" s="84" t="e">
        <f t="shared" si="28"/>
        <v>#VALUE!</v>
      </c>
      <c r="CM38" t="e">
        <f>CO37*'Hypothetical vaccine model'!$J38*HelperFunctions!$R35</f>
        <v>#VALUE!</v>
      </c>
      <c r="CN38" t="e">
        <f>CO37*'Hypothetical vaccine model'!$K38</f>
        <v>#VALUE!</v>
      </c>
      <c r="CO38" s="84" t="e">
        <f t="shared" si="29"/>
        <v>#VALUE!</v>
      </c>
      <c r="CP38" t="e">
        <f>CR37*'Hypothetical vaccine model'!$J38*HelperFunctions!$R34</f>
        <v>#VALUE!</v>
      </c>
      <c r="CQ38" t="e">
        <f>CR37*'Hypothetical vaccine model'!$K38</f>
        <v>#VALUE!</v>
      </c>
      <c r="CR38" s="84" t="e">
        <f t="shared" si="30"/>
        <v>#VALUE!</v>
      </c>
      <c r="CS38" t="e">
        <f>CU37*'Hypothetical vaccine model'!$J38*HelperFunctions!$R33</f>
        <v>#VALUE!</v>
      </c>
      <c r="CT38" t="e">
        <f>CU37*'Hypothetical vaccine model'!$K38</f>
        <v>#VALUE!</v>
      </c>
      <c r="CU38" s="84" t="e">
        <f t="shared" si="31"/>
        <v>#VALUE!</v>
      </c>
      <c r="CV38" t="e">
        <f>CX37*'Hypothetical vaccine model'!$J38*HelperFunctions!$R32</f>
        <v>#VALUE!</v>
      </c>
      <c r="CW38" t="e">
        <f>CX37*'Hypothetical vaccine model'!$K38</f>
        <v>#VALUE!</v>
      </c>
      <c r="CX38" s="84" t="e">
        <f t="shared" ref="CX38:CX63" si="32">CX37-CV38-CW38</f>
        <v>#VALUE!</v>
      </c>
      <c r="CY38" t="e">
        <f>DA37*'Hypothetical vaccine model'!$J38*HelperFunctions!$R31</f>
        <v>#VALUE!</v>
      </c>
      <c r="CZ38" t="e">
        <f>DA37*'Hypothetical vaccine model'!$K38</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F38*'Hypothetical vaccine model'!J39*HelperFunctions!R$14</f>
        <v>#VALUE!</v>
      </c>
      <c r="E39" t="e">
        <f>F38*'Hypothetical vaccine model'!K39</f>
        <v>#VALUE!</v>
      </c>
      <c r="F39" s="84" t="e">
        <f t="shared" si="0"/>
        <v>#VALUE!</v>
      </c>
      <c r="G39" t="e">
        <f>I38*'Hypothetical vaccine model'!$J39*HelperFunctions!$R$14</f>
        <v>#VALUE!</v>
      </c>
      <c r="H39" t="e">
        <f>I38*'Hypothetical vaccine model'!$K39</f>
        <v>#VALUE!</v>
      </c>
      <c r="I39" s="84" t="e">
        <f t="shared" si="1"/>
        <v>#VALUE!</v>
      </c>
      <c r="J39" t="e">
        <f>L38*'Hypothetical vaccine model'!$J39*HelperFunctions!$R$14</f>
        <v>#VALUE!</v>
      </c>
      <c r="K39" t="e">
        <f>L38*'Hypothetical vaccine model'!$K39</f>
        <v>#VALUE!</v>
      </c>
      <c r="L39" s="84" t="e">
        <f t="shared" si="2"/>
        <v>#VALUE!</v>
      </c>
      <c r="M39" t="e">
        <f>O38*'Hypothetical vaccine model'!$J39*HelperFunctions!$R$14</f>
        <v>#VALUE!</v>
      </c>
      <c r="N39" t="e">
        <f>O38*'Hypothetical vaccine model'!$K39</f>
        <v>#VALUE!</v>
      </c>
      <c r="O39" s="84" t="e">
        <f t="shared" si="3"/>
        <v>#VALUE!</v>
      </c>
      <c r="P39" t="e">
        <f>R38*'Hypothetical vaccine model'!$J39*HelperFunctions!$R$14</f>
        <v>#VALUE!</v>
      </c>
      <c r="Q39" t="e">
        <f>R38*'Hypothetical vaccine model'!$K39</f>
        <v>#VALUE!</v>
      </c>
      <c r="R39" s="84" t="e">
        <f t="shared" si="4"/>
        <v>#VALUE!</v>
      </c>
      <c r="S39" t="e">
        <f>U38*'Hypothetical vaccine model'!$J39*HelperFunctions!$R$14</f>
        <v>#VALUE!</v>
      </c>
      <c r="T39" t="e">
        <f>U38*'Hypothetical vaccine model'!$K39</f>
        <v>#VALUE!</v>
      </c>
      <c r="U39" s="84" t="e">
        <f t="shared" si="5"/>
        <v>#VALUE!</v>
      </c>
      <c r="V39" t="e">
        <f>X38*'Hypothetical vaccine model'!$J39*HelperFunctions!$R$14</f>
        <v>#VALUE!</v>
      </c>
      <c r="W39" t="e">
        <f>X38*'Hypothetical vaccine model'!$K39</f>
        <v>#VALUE!</v>
      </c>
      <c r="X39" s="84" t="e">
        <f t="shared" si="6"/>
        <v>#VALUE!</v>
      </c>
      <c r="Y39" t="e">
        <f>AA38*'Hypothetical vaccine model'!$J39*HelperFunctions!$R$14</f>
        <v>#VALUE!</v>
      </c>
      <c r="Z39" t="e">
        <f>AA38*'Hypothetical vaccine model'!$K39</f>
        <v>#VALUE!</v>
      </c>
      <c r="AA39" s="84" t="e">
        <f t="shared" si="7"/>
        <v>#VALUE!</v>
      </c>
      <c r="AB39" t="e">
        <f>AD38*'Hypothetical vaccine model'!$J39*HelperFunctions!$R$14</f>
        <v>#VALUE!</v>
      </c>
      <c r="AC39" t="e">
        <f>AD38*'Hypothetical vaccine model'!$K39</f>
        <v>#VALUE!</v>
      </c>
      <c r="AD39" s="84" t="e">
        <f t="shared" si="8"/>
        <v>#VALUE!</v>
      </c>
      <c r="AE39" t="e">
        <f>AG38*'Hypothetical vaccine model'!$J39*HelperFunctions!$R$14</f>
        <v>#VALUE!</v>
      </c>
      <c r="AF39" t="e">
        <f>AG38*'Hypothetical vaccine model'!$K39</f>
        <v>#VALUE!</v>
      </c>
      <c r="AG39" s="84" t="e">
        <f t="shared" si="9"/>
        <v>#VALUE!</v>
      </c>
      <c r="AH39" t="e">
        <f>AJ38*'Hypothetical vaccine model'!$J39*HelperFunctions!$R$14</f>
        <v>#VALUE!</v>
      </c>
      <c r="AI39" t="e">
        <f>AJ38*'Hypothetical vaccine model'!$K39</f>
        <v>#VALUE!</v>
      </c>
      <c r="AJ39" s="84" t="e">
        <f t="shared" si="10"/>
        <v>#VALUE!</v>
      </c>
      <c r="AK39" t="e">
        <f>AM38*'Hypothetical vaccine model'!$J39*HelperFunctions!$R$14</f>
        <v>#VALUE!</v>
      </c>
      <c r="AL39" t="e">
        <f>AM38*'Hypothetical vaccine model'!$K39</f>
        <v>#VALUE!</v>
      </c>
      <c r="AM39" s="84" t="e">
        <f t="shared" si="11"/>
        <v>#VALUE!</v>
      </c>
      <c r="AN39" t="e">
        <f>AP38*'Hypothetical vaccine model'!$J39*HelperFunctions!$R$28</f>
        <v>#VALUE!</v>
      </c>
      <c r="AO39" t="e">
        <f>AP38*'Hypothetical vaccine model'!$K39</f>
        <v>#VALUE!</v>
      </c>
      <c r="AP39" s="84" t="e">
        <f t="shared" si="12"/>
        <v>#VALUE!</v>
      </c>
      <c r="AQ39" t="e">
        <f>AS38*'Hypothetical vaccine model'!$J39*HelperFunctions!$R$28</f>
        <v>#VALUE!</v>
      </c>
      <c r="AR39" t="e">
        <f>AS38*'Hypothetical vaccine model'!$K39</f>
        <v>#VALUE!</v>
      </c>
      <c r="AS39" s="84" t="e">
        <f t="shared" si="13"/>
        <v>#VALUE!</v>
      </c>
      <c r="AT39" t="e">
        <f>AV38*'Hypothetical vaccine model'!$J39*HelperFunctions!$R$28</f>
        <v>#VALUE!</v>
      </c>
      <c r="AU39" t="e">
        <f>AV38*'Hypothetical vaccine model'!$K39</f>
        <v>#VALUE!</v>
      </c>
      <c r="AV39" s="84" t="e">
        <f t="shared" si="14"/>
        <v>#VALUE!</v>
      </c>
      <c r="AW39" t="e">
        <f>AY38*'Hypothetical vaccine model'!$J39*HelperFunctions!$R$28</f>
        <v>#VALUE!</v>
      </c>
      <c r="AX39" t="e">
        <f>AY38*'Hypothetical vaccine model'!$K39</f>
        <v>#VALUE!</v>
      </c>
      <c r="AY39" s="84" t="e">
        <f t="shared" si="15"/>
        <v>#VALUE!</v>
      </c>
      <c r="AZ39" t="e">
        <f>BB38*'Hypothetical vaccine model'!$J39*HelperFunctions!$R$28</f>
        <v>#VALUE!</v>
      </c>
      <c r="BA39" t="e">
        <f>BB38*'Hypothetical vaccine model'!$K39</f>
        <v>#VALUE!</v>
      </c>
      <c r="BB39" s="84" t="e">
        <f t="shared" si="16"/>
        <v>#VALUE!</v>
      </c>
      <c r="BC39" t="e">
        <f>BE38*'Hypothetical vaccine model'!$J39*HelperFunctions!$R$28</f>
        <v>#VALUE!</v>
      </c>
      <c r="BD39" t="e">
        <f>BE38*'Hypothetical vaccine model'!$K39</f>
        <v>#VALUE!</v>
      </c>
      <c r="BE39" s="84" t="e">
        <f t="shared" si="17"/>
        <v>#VALUE!</v>
      </c>
      <c r="BF39" t="e">
        <f>BH38*'Hypothetical vaccine model'!$J39*HelperFunctions!$R$28</f>
        <v>#VALUE!</v>
      </c>
      <c r="BG39" t="e">
        <f>BH38*'Hypothetical vaccine model'!$K39</f>
        <v>#VALUE!</v>
      </c>
      <c r="BH39" s="84" t="e">
        <f t="shared" si="18"/>
        <v>#VALUE!</v>
      </c>
      <c r="BI39" t="e">
        <f>BK38*'Hypothetical vaccine model'!$J39*HelperFunctions!$R$28</f>
        <v>#VALUE!</v>
      </c>
      <c r="BJ39" t="e">
        <f>BK38*'Hypothetical vaccine model'!$K39</f>
        <v>#VALUE!</v>
      </c>
      <c r="BK39" s="84" t="e">
        <f t="shared" si="19"/>
        <v>#VALUE!</v>
      </c>
      <c r="BL39" t="e">
        <f>BN38*'Hypothetical vaccine model'!$J39*HelperFunctions!$R$28</f>
        <v>#VALUE!</v>
      </c>
      <c r="BM39" t="e">
        <f>BN38*'Hypothetical vaccine model'!$K39</f>
        <v>#VALUE!</v>
      </c>
      <c r="BN39" s="84" t="e">
        <f t="shared" si="20"/>
        <v>#VALUE!</v>
      </c>
      <c r="BO39" t="e">
        <f>BQ38*'Hypothetical vaccine model'!$J39*HelperFunctions!$R$28</f>
        <v>#VALUE!</v>
      </c>
      <c r="BP39" t="e">
        <f>BQ38*'Hypothetical vaccine model'!$K39</f>
        <v>#VALUE!</v>
      </c>
      <c r="BQ39" s="84" t="e">
        <f t="shared" si="21"/>
        <v>#VALUE!</v>
      </c>
      <c r="BR39" t="e">
        <f>BT38*'Hypothetical vaccine model'!$J39*HelperFunctions!$R$28</f>
        <v>#VALUE!</v>
      </c>
      <c r="BS39" t="e">
        <f>BT38*'Hypothetical vaccine model'!$K39</f>
        <v>#VALUE!</v>
      </c>
      <c r="BT39" s="84" t="e">
        <f t="shared" si="22"/>
        <v>#VALUE!</v>
      </c>
      <c r="BU39" t="e">
        <f>BW38*'Hypothetical vaccine model'!$J39*HelperFunctions!$R$28</f>
        <v>#VALUE!</v>
      </c>
      <c r="BV39" t="e">
        <f>BW38*'Hypothetical vaccine model'!$K39</f>
        <v>#VALUE!</v>
      </c>
      <c r="BW39" s="84" t="e">
        <f t="shared" si="23"/>
        <v>#VALUE!</v>
      </c>
      <c r="BX39" t="e">
        <f>BZ38*'Hypothetical vaccine model'!$J39*HelperFunctions!$R41</f>
        <v>#VALUE!</v>
      </c>
      <c r="BY39" t="e">
        <f>BZ38*'Hypothetical vaccine model'!$K39</f>
        <v>#VALUE!</v>
      </c>
      <c r="BZ39" s="84" t="e">
        <f t="shared" si="24"/>
        <v>#VALUE!</v>
      </c>
      <c r="CA39" t="e">
        <f>CC38*'Hypothetical vaccine model'!$J39*HelperFunctions!$R40</f>
        <v>#VALUE!</v>
      </c>
      <c r="CB39" t="e">
        <f>CC38*'Hypothetical vaccine model'!$K39</f>
        <v>#VALUE!</v>
      </c>
      <c r="CC39" s="84" t="e">
        <f t="shared" si="25"/>
        <v>#VALUE!</v>
      </c>
      <c r="CD39" t="e">
        <f>CF38*'Hypothetical vaccine model'!$J39*HelperFunctions!$R39</f>
        <v>#VALUE!</v>
      </c>
      <c r="CE39" t="e">
        <f>CF38*'Hypothetical vaccine model'!$K39</f>
        <v>#VALUE!</v>
      </c>
      <c r="CF39" s="84" t="e">
        <f t="shared" si="26"/>
        <v>#VALUE!</v>
      </c>
      <c r="CG39" t="e">
        <f>CI38*'Hypothetical vaccine model'!$J39*HelperFunctions!$R38</f>
        <v>#VALUE!</v>
      </c>
      <c r="CH39" t="e">
        <f>CI38*'Hypothetical vaccine model'!$K39</f>
        <v>#VALUE!</v>
      </c>
      <c r="CI39" s="84" t="e">
        <f t="shared" si="27"/>
        <v>#VALUE!</v>
      </c>
      <c r="CJ39" t="e">
        <f>CL38*'Hypothetical vaccine model'!$J39*HelperFunctions!$R37</f>
        <v>#VALUE!</v>
      </c>
      <c r="CK39" t="e">
        <f>CL38*'Hypothetical vaccine model'!$K39</f>
        <v>#VALUE!</v>
      </c>
      <c r="CL39" s="84" t="e">
        <f t="shared" si="28"/>
        <v>#VALUE!</v>
      </c>
      <c r="CM39" t="e">
        <f>CO38*'Hypothetical vaccine model'!$J39*HelperFunctions!$R36</f>
        <v>#VALUE!</v>
      </c>
      <c r="CN39" t="e">
        <f>CO38*'Hypothetical vaccine model'!$K39</f>
        <v>#VALUE!</v>
      </c>
      <c r="CO39" s="84" t="e">
        <f t="shared" si="29"/>
        <v>#VALUE!</v>
      </c>
      <c r="CP39" t="e">
        <f>CR38*'Hypothetical vaccine model'!$J39*HelperFunctions!$R35</f>
        <v>#VALUE!</v>
      </c>
      <c r="CQ39" t="e">
        <f>CR38*'Hypothetical vaccine model'!$K39</f>
        <v>#VALUE!</v>
      </c>
      <c r="CR39" s="84" t="e">
        <f t="shared" si="30"/>
        <v>#VALUE!</v>
      </c>
      <c r="CS39" t="e">
        <f>CU38*'Hypothetical vaccine model'!$J39*HelperFunctions!$R34</f>
        <v>#VALUE!</v>
      </c>
      <c r="CT39" t="e">
        <f>CU38*'Hypothetical vaccine model'!$K39</f>
        <v>#VALUE!</v>
      </c>
      <c r="CU39" s="84" t="e">
        <f t="shared" si="31"/>
        <v>#VALUE!</v>
      </c>
      <c r="CV39" t="e">
        <f>CX38*'Hypothetical vaccine model'!$J39*HelperFunctions!$R33</f>
        <v>#VALUE!</v>
      </c>
      <c r="CW39" t="e">
        <f>CX38*'Hypothetical vaccine model'!$K39</f>
        <v>#VALUE!</v>
      </c>
      <c r="CX39" s="84" t="e">
        <f t="shared" si="32"/>
        <v>#VALUE!</v>
      </c>
      <c r="CY39" t="e">
        <f>DA38*'Hypothetical vaccine model'!$J39*HelperFunctions!$R32</f>
        <v>#VALUE!</v>
      </c>
      <c r="CZ39" t="e">
        <f>DA38*'Hypothetical vaccine model'!$K39</f>
        <v>#VALUE!</v>
      </c>
      <c r="DA39" s="84" t="e">
        <f t="shared" ref="DA39:DA63" si="33">DA38-CY39-CZ39</f>
        <v>#VALUE!</v>
      </c>
      <c r="DB39" t="e">
        <f>DD38*'Hypothetical vaccine model'!$J39*HelperFunctions!$R31</f>
        <v>#VALUE!</v>
      </c>
      <c r="DC39" t="e">
        <f>DD38*'Hypothetical vaccine model'!$K39</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F39*'Hypothetical vaccine model'!J40*HelperFunctions!R$14</f>
        <v>#VALUE!</v>
      </c>
      <c r="E40" t="e">
        <f>F39*'Hypothetical vaccine model'!K40</f>
        <v>#VALUE!</v>
      </c>
      <c r="F40" s="84" t="e">
        <f t="shared" si="0"/>
        <v>#VALUE!</v>
      </c>
      <c r="G40" t="e">
        <f>I39*'Hypothetical vaccine model'!$J40*HelperFunctions!$R$14</f>
        <v>#VALUE!</v>
      </c>
      <c r="H40" t="e">
        <f>I39*'Hypothetical vaccine model'!$K40</f>
        <v>#VALUE!</v>
      </c>
      <c r="I40" s="84" t="e">
        <f t="shared" si="1"/>
        <v>#VALUE!</v>
      </c>
      <c r="J40" t="e">
        <f>L39*'Hypothetical vaccine model'!$J40*HelperFunctions!$R$14</f>
        <v>#VALUE!</v>
      </c>
      <c r="K40" t="e">
        <f>L39*'Hypothetical vaccine model'!$K40</f>
        <v>#VALUE!</v>
      </c>
      <c r="L40" s="84" t="e">
        <f t="shared" si="2"/>
        <v>#VALUE!</v>
      </c>
      <c r="M40" t="e">
        <f>O39*'Hypothetical vaccine model'!$J40*HelperFunctions!$R$14</f>
        <v>#VALUE!</v>
      </c>
      <c r="N40" t="e">
        <f>O39*'Hypothetical vaccine model'!$K40</f>
        <v>#VALUE!</v>
      </c>
      <c r="O40" s="84" t="e">
        <f t="shared" si="3"/>
        <v>#VALUE!</v>
      </c>
      <c r="P40" t="e">
        <f>R39*'Hypothetical vaccine model'!$J40*HelperFunctions!$R$14</f>
        <v>#VALUE!</v>
      </c>
      <c r="Q40" t="e">
        <f>R39*'Hypothetical vaccine model'!$K40</f>
        <v>#VALUE!</v>
      </c>
      <c r="R40" s="84" t="e">
        <f t="shared" si="4"/>
        <v>#VALUE!</v>
      </c>
      <c r="S40" t="e">
        <f>U39*'Hypothetical vaccine model'!$J40*HelperFunctions!$R$14</f>
        <v>#VALUE!</v>
      </c>
      <c r="T40" t="e">
        <f>U39*'Hypothetical vaccine model'!$K40</f>
        <v>#VALUE!</v>
      </c>
      <c r="U40" s="84" t="e">
        <f t="shared" si="5"/>
        <v>#VALUE!</v>
      </c>
      <c r="V40" t="e">
        <f>X39*'Hypothetical vaccine model'!$J40*HelperFunctions!$R$14</f>
        <v>#VALUE!</v>
      </c>
      <c r="W40" t="e">
        <f>X39*'Hypothetical vaccine model'!$K40</f>
        <v>#VALUE!</v>
      </c>
      <c r="X40" s="84" t="e">
        <f t="shared" si="6"/>
        <v>#VALUE!</v>
      </c>
      <c r="Y40" t="e">
        <f>AA39*'Hypothetical vaccine model'!$J40*HelperFunctions!$R$14</f>
        <v>#VALUE!</v>
      </c>
      <c r="Z40" t="e">
        <f>AA39*'Hypothetical vaccine model'!$K40</f>
        <v>#VALUE!</v>
      </c>
      <c r="AA40" s="84" t="e">
        <f t="shared" si="7"/>
        <v>#VALUE!</v>
      </c>
      <c r="AB40" t="e">
        <f>AD39*'Hypothetical vaccine model'!$J40*HelperFunctions!$R$14</f>
        <v>#VALUE!</v>
      </c>
      <c r="AC40" t="e">
        <f>AD39*'Hypothetical vaccine model'!$K40</f>
        <v>#VALUE!</v>
      </c>
      <c r="AD40" s="84" t="e">
        <f t="shared" si="8"/>
        <v>#VALUE!</v>
      </c>
      <c r="AE40" t="e">
        <f>AG39*'Hypothetical vaccine model'!$J40*HelperFunctions!$R$14</f>
        <v>#VALUE!</v>
      </c>
      <c r="AF40" t="e">
        <f>AG39*'Hypothetical vaccine model'!$K40</f>
        <v>#VALUE!</v>
      </c>
      <c r="AG40" s="84" t="e">
        <f t="shared" si="9"/>
        <v>#VALUE!</v>
      </c>
      <c r="AH40" t="e">
        <f>AJ39*'Hypothetical vaccine model'!$J40*HelperFunctions!$R$14</f>
        <v>#VALUE!</v>
      </c>
      <c r="AI40" t="e">
        <f>AJ39*'Hypothetical vaccine model'!$K40</f>
        <v>#VALUE!</v>
      </c>
      <c r="AJ40" s="84" t="e">
        <f t="shared" si="10"/>
        <v>#VALUE!</v>
      </c>
      <c r="AK40" t="e">
        <f>AM39*'Hypothetical vaccine model'!$J40*HelperFunctions!$R$14</f>
        <v>#VALUE!</v>
      </c>
      <c r="AL40" t="e">
        <f>AM39*'Hypothetical vaccine model'!$K40</f>
        <v>#VALUE!</v>
      </c>
      <c r="AM40" s="84" t="e">
        <f t="shared" si="11"/>
        <v>#VALUE!</v>
      </c>
      <c r="AN40" t="e">
        <f>AP39*'Hypothetical vaccine model'!$J40*HelperFunctions!$R$28</f>
        <v>#VALUE!</v>
      </c>
      <c r="AO40" t="e">
        <f>AP39*'Hypothetical vaccine model'!$K40</f>
        <v>#VALUE!</v>
      </c>
      <c r="AP40" s="84" t="e">
        <f t="shared" si="12"/>
        <v>#VALUE!</v>
      </c>
      <c r="AQ40" t="e">
        <f>AS39*'Hypothetical vaccine model'!$J40*HelperFunctions!$R$28</f>
        <v>#VALUE!</v>
      </c>
      <c r="AR40" t="e">
        <f>AS39*'Hypothetical vaccine model'!$K40</f>
        <v>#VALUE!</v>
      </c>
      <c r="AS40" s="84" t="e">
        <f t="shared" si="13"/>
        <v>#VALUE!</v>
      </c>
      <c r="AT40" t="e">
        <f>AV39*'Hypothetical vaccine model'!$J40*HelperFunctions!$R$28</f>
        <v>#VALUE!</v>
      </c>
      <c r="AU40" t="e">
        <f>AV39*'Hypothetical vaccine model'!$K40</f>
        <v>#VALUE!</v>
      </c>
      <c r="AV40" s="84" t="e">
        <f t="shared" si="14"/>
        <v>#VALUE!</v>
      </c>
      <c r="AW40" t="e">
        <f>AY39*'Hypothetical vaccine model'!$J40*HelperFunctions!$R$28</f>
        <v>#VALUE!</v>
      </c>
      <c r="AX40" t="e">
        <f>AY39*'Hypothetical vaccine model'!$K40</f>
        <v>#VALUE!</v>
      </c>
      <c r="AY40" s="84" t="e">
        <f t="shared" si="15"/>
        <v>#VALUE!</v>
      </c>
      <c r="AZ40" t="e">
        <f>BB39*'Hypothetical vaccine model'!$J40*HelperFunctions!$R$28</f>
        <v>#VALUE!</v>
      </c>
      <c r="BA40" t="e">
        <f>BB39*'Hypothetical vaccine model'!$K40</f>
        <v>#VALUE!</v>
      </c>
      <c r="BB40" s="84" t="e">
        <f t="shared" si="16"/>
        <v>#VALUE!</v>
      </c>
      <c r="BC40" t="e">
        <f>BE39*'Hypothetical vaccine model'!$J40*HelperFunctions!$R$28</f>
        <v>#VALUE!</v>
      </c>
      <c r="BD40" t="e">
        <f>BE39*'Hypothetical vaccine model'!$K40</f>
        <v>#VALUE!</v>
      </c>
      <c r="BE40" s="84" t="e">
        <f t="shared" si="17"/>
        <v>#VALUE!</v>
      </c>
      <c r="BF40" t="e">
        <f>BH39*'Hypothetical vaccine model'!$J40*HelperFunctions!$R$28</f>
        <v>#VALUE!</v>
      </c>
      <c r="BG40" t="e">
        <f>BH39*'Hypothetical vaccine model'!$K40</f>
        <v>#VALUE!</v>
      </c>
      <c r="BH40" s="84" t="e">
        <f t="shared" si="18"/>
        <v>#VALUE!</v>
      </c>
      <c r="BI40" t="e">
        <f>BK39*'Hypothetical vaccine model'!$J40*HelperFunctions!$R$28</f>
        <v>#VALUE!</v>
      </c>
      <c r="BJ40" t="e">
        <f>BK39*'Hypothetical vaccine model'!$K40</f>
        <v>#VALUE!</v>
      </c>
      <c r="BK40" s="84" t="e">
        <f t="shared" si="19"/>
        <v>#VALUE!</v>
      </c>
      <c r="BL40" t="e">
        <f>BN39*'Hypothetical vaccine model'!$J40*HelperFunctions!$R$28</f>
        <v>#VALUE!</v>
      </c>
      <c r="BM40" t="e">
        <f>BN39*'Hypothetical vaccine model'!$K40</f>
        <v>#VALUE!</v>
      </c>
      <c r="BN40" s="84" t="e">
        <f t="shared" si="20"/>
        <v>#VALUE!</v>
      </c>
      <c r="BO40" t="e">
        <f>BQ39*'Hypothetical vaccine model'!$J40*HelperFunctions!$R$28</f>
        <v>#VALUE!</v>
      </c>
      <c r="BP40" t="e">
        <f>BQ39*'Hypothetical vaccine model'!$K40</f>
        <v>#VALUE!</v>
      </c>
      <c r="BQ40" s="84" t="e">
        <f t="shared" si="21"/>
        <v>#VALUE!</v>
      </c>
      <c r="BR40" t="e">
        <f>BT39*'Hypothetical vaccine model'!$J40*HelperFunctions!$R$28</f>
        <v>#VALUE!</v>
      </c>
      <c r="BS40" t="e">
        <f>BT39*'Hypothetical vaccine model'!$K40</f>
        <v>#VALUE!</v>
      </c>
      <c r="BT40" s="84" t="e">
        <f t="shared" si="22"/>
        <v>#VALUE!</v>
      </c>
      <c r="BU40" t="e">
        <f>BW39*'Hypothetical vaccine model'!$J40*HelperFunctions!$R$28</f>
        <v>#VALUE!</v>
      </c>
      <c r="BV40" t="e">
        <f>BW39*'Hypothetical vaccine model'!$K40</f>
        <v>#VALUE!</v>
      </c>
      <c r="BW40" s="84" t="e">
        <f t="shared" si="23"/>
        <v>#VALUE!</v>
      </c>
      <c r="BX40" t="e">
        <f>BZ39*'Hypothetical vaccine model'!$J40*HelperFunctions!$R$42</f>
        <v>#VALUE!</v>
      </c>
      <c r="BY40" t="e">
        <f>BZ39*'Hypothetical vaccine model'!$K40</f>
        <v>#VALUE!</v>
      </c>
      <c r="BZ40" s="84" t="e">
        <f t="shared" si="24"/>
        <v>#VALUE!</v>
      </c>
      <c r="CA40" t="e">
        <f>CC39*'Hypothetical vaccine model'!$J40*HelperFunctions!$R41</f>
        <v>#VALUE!</v>
      </c>
      <c r="CB40" t="e">
        <f>CC39*'Hypothetical vaccine model'!$K40</f>
        <v>#VALUE!</v>
      </c>
      <c r="CC40" s="84" t="e">
        <f t="shared" si="25"/>
        <v>#VALUE!</v>
      </c>
      <c r="CD40" t="e">
        <f>CF39*'Hypothetical vaccine model'!$J40*HelperFunctions!$R40</f>
        <v>#VALUE!</v>
      </c>
      <c r="CE40" t="e">
        <f>CF39*'Hypothetical vaccine model'!$K40</f>
        <v>#VALUE!</v>
      </c>
      <c r="CF40" s="84" t="e">
        <f t="shared" si="26"/>
        <v>#VALUE!</v>
      </c>
      <c r="CG40" t="e">
        <f>CI39*'Hypothetical vaccine model'!$J40*HelperFunctions!$R39</f>
        <v>#VALUE!</v>
      </c>
      <c r="CH40" t="e">
        <f>CI39*'Hypothetical vaccine model'!$K40</f>
        <v>#VALUE!</v>
      </c>
      <c r="CI40" s="84" t="e">
        <f t="shared" si="27"/>
        <v>#VALUE!</v>
      </c>
      <c r="CJ40" t="e">
        <f>CL39*'Hypothetical vaccine model'!$J40*HelperFunctions!$R38</f>
        <v>#VALUE!</v>
      </c>
      <c r="CK40" t="e">
        <f>CL39*'Hypothetical vaccine model'!$K40</f>
        <v>#VALUE!</v>
      </c>
      <c r="CL40" s="84" t="e">
        <f t="shared" si="28"/>
        <v>#VALUE!</v>
      </c>
      <c r="CM40" t="e">
        <f>CO39*'Hypothetical vaccine model'!$J40*HelperFunctions!$R37</f>
        <v>#VALUE!</v>
      </c>
      <c r="CN40" t="e">
        <f>CO39*'Hypothetical vaccine model'!$K40</f>
        <v>#VALUE!</v>
      </c>
      <c r="CO40" s="84" t="e">
        <f t="shared" si="29"/>
        <v>#VALUE!</v>
      </c>
      <c r="CP40" t="e">
        <f>CR39*'Hypothetical vaccine model'!$J40*HelperFunctions!$R36</f>
        <v>#VALUE!</v>
      </c>
      <c r="CQ40" t="e">
        <f>CR39*'Hypothetical vaccine model'!$K40</f>
        <v>#VALUE!</v>
      </c>
      <c r="CR40" s="84" t="e">
        <f t="shared" si="30"/>
        <v>#VALUE!</v>
      </c>
      <c r="CS40" t="e">
        <f>CU39*'Hypothetical vaccine model'!$J40*HelperFunctions!$R35</f>
        <v>#VALUE!</v>
      </c>
      <c r="CT40" t="e">
        <f>CU39*'Hypothetical vaccine model'!$K40</f>
        <v>#VALUE!</v>
      </c>
      <c r="CU40" s="84" t="e">
        <f t="shared" si="31"/>
        <v>#VALUE!</v>
      </c>
      <c r="CV40" t="e">
        <f>CX39*'Hypothetical vaccine model'!$J40*HelperFunctions!$R34</f>
        <v>#VALUE!</v>
      </c>
      <c r="CW40" t="e">
        <f>CX39*'Hypothetical vaccine model'!$K40</f>
        <v>#VALUE!</v>
      </c>
      <c r="CX40" s="84" t="e">
        <f t="shared" si="32"/>
        <v>#VALUE!</v>
      </c>
      <c r="CY40" t="e">
        <f>DA39*'Hypothetical vaccine model'!$J40*HelperFunctions!$R33</f>
        <v>#VALUE!</v>
      </c>
      <c r="CZ40" t="e">
        <f>DA39*'Hypothetical vaccine model'!$K40</f>
        <v>#VALUE!</v>
      </c>
      <c r="DA40" s="84" t="e">
        <f t="shared" si="33"/>
        <v>#VALUE!</v>
      </c>
      <c r="DB40" t="e">
        <f>DD39*'Hypothetical vaccine model'!$J40*HelperFunctions!$R32</f>
        <v>#VALUE!</v>
      </c>
      <c r="DC40" t="e">
        <f>DD39*'Hypothetical vaccine model'!$K40</f>
        <v>#VALUE!</v>
      </c>
      <c r="DD40" s="84" t="e">
        <f t="shared" ref="DD40:DD63" si="34">DD39-DB40-DC40</f>
        <v>#VALUE!</v>
      </c>
      <c r="DE40" t="e">
        <f>DG39*'Hypothetical vaccine model'!$J40*HelperFunctions!$R31</f>
        <v>#VALUE!</v>
      </c>
      <c r="DF40" t="e">
        <f>DG39*'Hypothetical vaccine model'!$K40</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F40*'Hypothetical vaccine model'!J41*HelperFunctions!R$14</f>
        <v>#VALUE!</v>
      </c>
      <c r="E41" t="e">
        <f>F40*'Hypothetical vaccine model'!K41</f>
        <v>#VALUE!</v>
      </c>
      <c r="F41" s="84" t="e">
        <f t="shared" si="0"/>
        <v>#VALUE!</v>
      </c>
      <c r="G41" t="e">
        <f>I40*'Hypothetical vaccine model'!$J41*HelperFunctions!$R$14</f>
        <v>#VALUE!</v>
      </c>
      <c r="H41" t="e">
        <f>I40*'Hypothetical vaccine model'!$K41</f>
        <v>#VALUE!</v>
      </c>
      <c r="I41" s="84" t="e">
        <f t="shared" si="1"/>
        <v>#VALUE!</v>
      </c>
      <c r="J41" t="e">
        <f>L40*'Hypothetical vaccine model'!$J41*HelperFunctions!$R$14</f>
        <v>#VALUE!</v>
      </c>
      <c r="K41" t="e">
        <f>L40*'Hypothetical vaccine model'!$K41</f>
        <v>#VALUE!</v>
      </c>
      <c r="L41" s="84" t="e">
        <f t="shared" si="2"/>
        <v>#VALUE!</v>
      </c>
      <c r="M41" t="e">
        <f>O40*'Hypothetical vaccine model'!$J41*HelperFunctions!$R$14</f>
        <v>#VALUE!</v>
      </c>
      <c r="N41" t="e">
        <f>O40*'Hypothetical vaccine model'!$K41</f>
        <v>#VALUE!</v>
      </c>
      <c r="O41" s="84" t="e">
        <f t="shared" si="3"/>
        <v>#VALUE!</v>
      </c>
      <c r="P41" t="e">
        <f>R40*'Hypothetical vaccine model'!$J41*HelperFunctions!$R$14</f>
        <v>#VALUE!</v>
      </c>
      <c r="Q41" t="e">
        <f>R40*'Hypothetical vaccine model'!$K41</f>
        <v>#VALUE!</v>
      </c>
      <c r="R41" s="84" t="e">
        <f t="shared" si="4"/>
        <v>#VALUE!</v>
      </c>
      <c r="S41" t="e">
        <f>U40*'Hypothetical vaccine model'!$J41*HelperFunctions!$R$14</f>
        <v>#VALUE!</v>
      </c>
      <c r="T41" t="e">
        <f>U40*'Hypothetical vaccine model'!$K41</f>
        <v>#VALUE!</v>
      </c>
      <c r="U41" s="84" t="e">
        <f t="shared" si="5"/>
        <v>#VALUE!</v>
      </c>
      <c r="V41" t="e">
        <f>X40*'Hypothetical vaccine model'!$J41*HelperFunctions!$R$14</f>
        <v>#VALUE!</v>
      </c>
      <c r="W41" t="e">
        <f>X40*'Hypothetical vaccine model'!$K41</f>
        <v>#VALUE!</v>
      </c>
      <c r="X41" s="84" t="e">
        <f t="shared" si="6"/>
        <v>#VALUE!</v>
      </c>
      <c r="Y41" t="e">
        <f>AA40*'Hypothetical vaccine model'!$J41*HelperFunctions!$R$14</f>
        <v>#VALUE!</v>
      </c>
      <c r="Z41" t="e">
        <f>AA40*'Hypothetical vaccine model'!$K41</f>
        <v>#VALUE!</v>
      </c>
      <c r="AA41" s="84" t="e">
        <f t="shared" si="7"/>
        <v>#VALUE!</v>
      </c>
      <c r="AB41" t="e">
        <f>AD40*'Hypothetical vaccine model'!$J41*HelperFunctions!$R$14</f>
        <v>#VALUE!</v>
      </c>
      <c r="AC41" t="e">
        <f>AD40*'Hypothetical vaccine model'!$K41</f>
        <v>#VALUE!</v>
      </c>
      <c r="AD41" s="84" t="e">
        <f t="shared" si="8"/>
        <v>#VALUE!</v>
      </c>
      <c r="AE41" t="e">
        <f>AG40*'Hypothetical vaccine model'!$J41*HelperFunctions!$R$14</f>
        <v>#VALUE!</v>
      </c>
      <c r="AF41" t="e">
        <f>AG40*'Hypothetical vaccine model'!$K41</f>
        <v>#VALUE!</v>
      </c>
      <c r="AG41" s="84" t="e">
        <f t="shared" si="9"/>
        <v>#VALUE!</v>
      </c>
      <c r="AH41" t="e">
        <f>AJ40*'Hypothetical vaccine model'!$J41*HelperFunctions!$R$14</f>
        <v>#VALUE!</v>
      </c>
      <c r="AI41" t="e">
        <f>AJ40*'Hypothetical vaccine model'!$K41</f>
        <v>#VALUE!</v>
      </c>
      <c r="AJ41" s="84" t="e">
        <f t="shared" si="10"/>
        <v>#VALUE!</v>
      </c>
      <c r="AK41" t="e">
        <f>AM40*'Hypothetical vaccine model'!$J41*HelperFunctions!$R$14</f>
        <v>#VALUE!</v>
      </c>
      <c r="AL41" t="e">
        <f>AM40*'Hypothetical vaccine model'!$K41</f>
        <v>#VALUE!</v>
      </c>
      <c r="AM41" s="84" t="e">
        <f t="shared" si="11"/>
        <v>#VALUE!</v>
      </c>
      <c r="AN41" t="e">
        <f>AP40*'Hypothetical vaccine model'!$J41*HelperFunctions!$R$28</f>
        <v>#VALUE!</v>
      </c>
      <c r="AO41" t="e">
        <f>AP40*'Hypothetical vaccine model'!$K41</f>
        <v>#VALUE!</v>
      </c>
      <c r="AP41" s="84" t="e">
        <f t="shared" si="12"/>
        <v>#VALUE!</v>
      </c>
      <c r="AQ41" t="e">
        <f>AS40*'Hypothetical vaccine model'!$J41*HelperFunctions!$R$28</f>
        <v>#VALUE!</v>
      </c>
      <c r="AR41" t="e">
        <f>AS40*'Hypothetical vaccine model'!$K41</f>
        <v>#VALUE!</v>
      </c>
      <c r="AS41" s="84" t="e">
        <f t="shared" si="13"/>
        <v>#VALUE!</v>
      </c>
      <c r="AT41" t="e">
        <f>AV40*'Hypothetical vaccine model'!$J41*HelperFunctions!$R$28</f>
        <v>#VALUE!</v>
      </c>
      <c r="AU41" t="e">
        <f>AV40*'Hypothetical vaccine model'!$K41</f>
        <v>#VALUE!</v>
      </c>
      <c r="AV41" s="84" t="e">
        <f t="shared" si="14"/>
        <v>#VALUE!</v>
      </c>
      <c r="AW41" t="e">
        <f>AY40*'Hypothetical vaccine model'!$J41*HelperFunctions!$R$28</f>
        <v>#VALUE!</v>
      </c>
      <c r="AX41" t="e">
        <f>AY40*'Hypothetical vaccine model'!$K41</f>
        <v>#VALUE!</v>
      </c>
      <c r="AY41" s="84" t="e">
        <f t="shared" si="15"/>
        <v>#VALUE!</v>
      </c>
      <c r="AZ41" t="e">
        <f>BB40*'Hypothetical vaccine model'!$J41*HelperFunctions!$R$28</f>
        <v>#VALUE!</v>
      </c>
      <c r="BA41" t="e">
        <f>BB40*'Hypothetical vaccine model'!$K41</f>
        <v>#VALUE!</v>
      </c>
      <c r="BB41" s="84" t="e">
        <f t="shared" si="16"/>
        <v>#VALUE!</v>
      </c>
      <c r="BC41" t="e">
        <f>BE40*'Hypothetical vaccine model'!$J41*HelperFunctions!$R$28</f>
        <v>#VALUE!</v>
      </c>
      <c r="BD41" t="e">
        <f>BE40*'Hypothetical vaccine model'!$K41</f>
        <v>#VALUE!</v>
      </c>
      <c r="BE41" s="84" t="e">
        <f t="shared" si="17"/>
        <v>#VALUE!</v>
      </c>
      <c r="BF41" t="e">
        <f>BH40*'Hypothetical vaccine model'!$J41*HelperFunctions!$R$28</f>
        <v>#VALUE!</v>
      </c>
      <c r="BG41" t="e">
        <f>BH40*'Hypothetical vaccine model'!$K41</f>
        <v>#VALUE!</v>
      </c>
      <c r="BH41" s="84" t="e">
        <f t="shared" si="18"/>
        <v>#VALUE!</v>
      </c>
      <c r="BI41" t="e">
        <f>BK40*'Hypothetical vaccine model'!$J41*HelperFunctions!$R$28</f>
        <v>#VALUE!</v>
      </c>
      <c r="BJ41" t="e">
        <f>BK40*'Hypothetical vaccine model'!$K41</f>
        <v>#VALUE!</v>
      </c>
      <c r="BK41" s="84" t="e">
        <f t="shared" si="19"/>
        <v>#VALUE!</v>
      </c>
      <c r="BL41" t="e">
        <f>BN40*'Hypothetical vaccine model'!$J41*HelperFunctions!$R$28</f>
        <v>#VALUE!</v>
      </c>
      <c r="BM41" t="e">
        <f>BN40*'Hypothetical vaccine model'!$K41</f>
        <v>#VALUE!</v>
      </c>
      <c r="BN41" s="84" t="e">
        <f t="shared" si="20"/>
        <v>#VALUE!</v>
      </c>
      <c r="BO41" t="e">
        <f>BQ40*'Hypothetical vaccine model'!$J41*HelperFunctions!$R$28</f>
        <v>#VALUE!</v>
      </c>
      <c r="BP41" t="e">
        <f>BQ40*'Hypothetical vaccine model'!$K41</f>
        <v>#VALUE!</v>
      </c>
      <c r="BQ41" s="84" t="e">
        <f t="shared" si="21"/>
        <v>#VALUE!</v>
      </c>
      <c r="BR41" t="e">
        <f>BT40*'Hypothetical vaccine model'!$J41*HelperFunctions!$R$28</f>
        <v>#VALUE!</v>
      </c>
      <c r="BS41" t="e">
        <f>BT40*'Hypothetical vaccine model'!$K41</f>
        <v>#VALUE!</v>
      </c>
      <c r="BT41" s="84" t="e">
        <f t="shared" si="22"/>
        <v>#VALUE!</v>
      </c>
      <c r="BU41" t="e">
        <f>BW40*'Hypothetical vaccine model'!$J41*HelperFunctions!$R$28</f>
        <v>#VALUE!</v>
      </c>
      <c r="BV41" t="e">
        <f>BW40*'Hypothetical vaccine model'!$K41</f>
        <v>#VALUE!</v>
      </c>
      <c r="BW41" s="84" t="e">
        <f t="shared" si="23"/>
        <v>#VALUE!</v>
      </c>
      <c r="BX41" t="e">
        <f>BZ40*'Hypothetical vaccine model'!$J41*HelperFunctions!$R$42</f>
        <v>#VALUE!</v>
      </c>
      <c r="BY41" t="e">
        <f>BZ40*'Hypothetical vaccine model'!$K41</f>
        <v>#VALUE!</v>
      </c>
      <c r="BZ41" s="84" t="e">
        <f t="shared" si="24"/>
        <v>#VALUE!</v>
      </c>
      <c r="CA41" t="e">
        <f>CC40*'Hypothetical vaccine model'!$J41*HelperFunctions!$R$42</f>
        <v>#VALUE!</v>
      </c>
      <c r="CB41" t="e">
        <f>CC40*'Hypothetical vaccine model'!$K41</f>
        <v>#VALUE!</v>
      </c>
      <c r="CC41" s="84" t="e">
        <f t="shared" si="25"/>
        <v>#VALUE!</v>
      </c>
      <c r="CD41" t="e">
        <f>CF40*'Hypothetical vaccine model'!$J41*HelperFunctions!$R41</f>
        <v>#VALUE!</v>
      </c>
      <c r="CE41" t="e">
        <f>CF40*'Hypothetical vaccine model'!$K41</f>
        <v>#VALUE!</v>
      </c>
      <c r="CF41" s="84" t="e">
        <f t="shared" si="26"/>
        <v>#VALUE!</v>
      </c>
      <c r="CG41" t="e">
        <f>CI40*'Hypothetical vaccine model'!$J41*HelperFunctions!$R40</f>
        <v>#VALUE!</v>
      </c>
      <c r="CH41" t="e">
        <f>CI40*'Hypothetical vaccine model'!$K41</f>
        <v>#VALUE!</v>
      </c>
      <c r="CI41" s="84" t="e">
        <f t="shared" si="27"/>
        <v>#VALUE!</v>
      </c>
      <c r="CJ41" t="e">
        <f>CL40*'Hypothetical vaccine model'!$J41*HelperFunctions!$R39</f>
        <v>#VALUE!</v>
      </c>
      <c r="CK41" t="e">
        <f>CL40*'Hypothetical vaccine model'!$K41</f>
        <v>#VALUE!</v>
      </c>
      <c r="CL41" s="84" t="e">
        <f t="shared" si="28"/>
        <v>#VALUE!</v>
      </c>
      <c r="CM41" t="e">
        <f>CO40*'Hypothetical vaccine model'!$J41*HelperFunctions!$R38</f>
        <v>#VALUE!</v>
      </c>
      <c r="CN41" t="e">
        <f>CO40*'Hypothetical vaccine model'!$K41</f>
        <v>#VALUE!</v>
      </c>
      <c r="CO41" s="84" t="e">
        <f t="shared" si="29"/>
        <v>#VALUE!</v>
      </c>
      <c r="CP41" t="e">
        <f>CR40*'Hypothetical vaccine model'!$J41*HelperFunctions!$R37</f>
        <v>#VALUE!</v>
      </c>
      <c r="CQ41" t="e">
        <f>CR40*'Hypothetical vaccine model'!$K41</f>
        <v>#VALUE!</v>
      </c>
      <c r="CR41" s="84" t="e">
        <f t="shared" si="30"/>
        <v>#VALUE!</v>
      </c>
      <c r="CS41" t="e">
        <f>CU40*'Hypothetical vaccine model'!$J41*HelperFunctions!$R36</f>
        <v>#VALUE!</v>
      </c>
      <c r="CT41" t="e">
        <f>CU40*'Hypothetical vaccine model'!$K41</f>
        <v>#VALUE!</v>
      </c>
      <c r="CU41" s="84" t="e">
        <f t="shared" si="31"/>
        <v>#VALUE!</v>
      </c>
      <c r="CV41" t="e">
        <f>CX40*'Hypothetical vaccine model'!$J41*HelperFunctions!$R35</f>
        <v>#VALUE!</v>
      </c>
      <c r="CW41" t="e">
        <f>CX40*'Hypothetical vaccine model'!$K41</f>
        <v>#VALUE!</v>
      </c>
      <c r="CX41" s="84" t="e">
        <f t="shared" si="32"/>
        <v>#VALUE!</v>
      </c>
      <c r="CY41" t="e">
        <f>DA40*'Hypothetical vaccine model'!$J41*HelperFunctions!$R34</f>
        <v>#VALUE!</v>
      </c>
      <c r="CZ41" t="e">
        <f>DA40*'Hypothetical vaccine model'!$K41</f>
        <v>#VALUE!</v>
      </c>
      <c r="DA41" s="84" t="e">
        <f t="shared" si="33"/>
        <v>#VALUE!</v>
      </c>
      <c r="DB41" t="e">
        <f>DD40*'Hypothetical vaccine model'!$J41*HelperFunctions!$R33</f>
        <v>#VALUE!</v>
      </c>
      <c r="DC41" t="e">
        <f>DD40*'Hypothetical vaccine model'!$K41</f>
        <v>#VALUE!</v>
      </c>
      <c r="DD41" s="84" t="e">
        <f t="shared" si="34"/>
        <v>#VALUE!</v>
      </c>
      <c r="DE41" t="e">
        <f>DG40*'Hypothetical vaccine model'!$J41*HelperFunctions!$R32</f>
        <v>#VALUE!</v>
      </c>
      <c r="DF41" t="e">
        <f>DG40*'Hypothetical vaccine model'!$K41</f>
        <v>#VALUE!</v>
      </c>
      <c r="DG41" s="84" t="e">
        <f t="shared" ref="DG41:DG63" si="35">DG40-DE41-DF41</f>
        <v>#VALUE!</v>
      </c>
      <c r="DH41" t="e">
        <f>DJ40*'Hypothetical vaccine model'!$J41*HelperFunctions!$R45</f>
        <v>#VALUE!</v>
      </c>
      <c r="DI41" t="e">
        <f>DJ40*'Hypothetical vaccine model'!$K41</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F41*'Hypothetical vaccine model'!J42*HelperFunctions!R$14</f>
        <v>#VALUE!</v>
      </c>
      <c r="E42" t="e">
        <f>F41*'Hypothetical vaccine model'!K42</f>
        <v>#VALUE!</v>
      </c>
      <c r="F42" s="84" t="e">
        <f t="shared" si="0"/>
        <v>#VALUE!</v>
      </c>
      <c r="G42" t="e">
        <f>I41*'Hypothetical vaccine model'!$J42*HelperFunctions!$R$14</f>
        <v>#VALUE!</v>
      </c>
      <c r="H42" t="e">
        <f>I41*'Hypothetical vaccine model'!$K42</f>
        <v>#VALUE!</v>
      </c>
      <c r="I42" s="84" t="e">
        <f t="shared" si="1"/>
        <v>#VALUE!</v>
      </c>
      <c r="J42" t="e">
        <f>L41*'Hypothetical vaccine model'!$J42*HelperFunctions!$R$14</f>
        <v>#VALUE!</v>
      </c>
      <c r="K42" t="e">
        <f>L41*'Hypothetical vaccine model'!$K42</f>
        <v>#VALUE!</v>
      </c>
      <c r="L42" s="84" t="e">
        <f t="shared" si="2"/>
        <v>#VALUE!</v>
      </c>
      <c r="M42" t="e">
        <f>O41*'Hypothetical vaccine model'!$J42*HelperFunctions!$R$14</f>
        <v>#VALUE!</v>
      </c>
      <c r="N42" t="e">
        <f>O41*'Hypothetical vaccine model'!$K42</f>
        <v>#VALUE!</v>
      </c>
      <c r="O42" s="84" t="e">
        <f t="shared" si="3"/>
        <v>#VALUE!</v>
      </c>
      <c r="P42" t="e">
        <f>R41*'Hypothetical vaccine model'!$J42*HelperFunctions!$R$14</f>
        <v>#VALUE!</v>
      </c>
      <c r="Q42" t="e">
        <f>R41*'Hypothetical vaccine model'!$K42</f>
        <v>#VALUE!</v>
      </c>
      <c r="R42" s="84" t="e">
        <f t="shared" si="4"/>
        <v>#VALUE!</v>
      </c>
      <c r="S42" t="e">
        <f>U41*'Hypothetical vaccine model'!$J42*HelperFunctions!$R$14</f>
        <v>#VALUE!</v>
      </c>
      <c r="T42" t="e">
        <f>U41*'Hypothetical vaccine model'!$K42</f>
        <v>#VALUE!</v>
      </c>
      <c r="U42" s="84" t="e">
        <f t="shared" si="5"/>
        <v>#VALUE!</v>
      </c>
      <c r="V42" t="e">
        <f>X41*'Hypothetical vaccine model'!$J42*HelperFunctions!$R$14</f>
        <v>#VALUE!</v>
      </c>
      <c r="W42" t="e">
        <f>X41*'Hypothetical vaccine model'!$K42</f>
        <v>#VALUE!</v>
      </c>
      <c r="X42" s="84" t="e">
        <f t="shared" si="6"/>
        <v>#VALUE!</v>
      </c>
      <c r="Y42" t="e">
        <f>AA41*'Hypothetical vaccine model'!$J42*HelperFunctions!$R$14</f>
        <v>#VALUE!</v>
      </c>
      <c r="Z42" t="e">
        <f>AA41*'Hypothetical vaccine model'!$K42</f>
        <v>#VALUE!</v>
      </c>
      <c r="AA42" s="84" t="e">
        <f t="shared" si="7"/>
        <v>#VALUE!</v>
      </c>
      <c r="AB42" t="e">
        <f>AD41*'Hypothetical vaccine model'!$J42*HelperFunctions!$R$14</f>
        <v>#VALUE!</v>
      </c>
      <c r="AC42" t="e">
        <f>AD41*'Hypothetical vaccine model'!$K42</f>
        <v>#VALUE!</v>
      </c>
      <c r="AD42" s="84" t="e">
        <f t="shared" si="8"/>
        <v>#VALUE!</v>
      </c>
      <c r="AE42" t="e">
        <f>AG41*'Hypothetical vaccine model'!$J42*HelperFunctions!$R$14</f>
        <v>#VALUE!</v>
      </c>
      <c r="AF42" t="e">
        <f>AG41*'Hypothetical vaccine model'!$K42</f>
        <v>#VALUE!</v>
      </c>
      <c r="AG42" s="84" t="e">
        <f t="shared" si="9"/>
        <v>#VALUE!</v>
      </c>
      <c r="AH42" t="e">
        <f>AJ41*'Hypothetical vaccine model'!$J42*HelperFunctions!$R$14</f>
        <v>#VALUE!</v>
      </c>
      <c r="AI42" t="e">
        <f>AJ41*'Hypothetical vaccine model'!$K42</f>
        <v>#VALUE!</v>
      </c>
      <c r="AJ42" s="84" t="e">
        <f t="shared" si="10"/>
        <v>#VALUE!</v>
      </c>
      <c r="AK42" t="e">
        <f>AM41*'Hypothetical vaccine model'!$J42*HelperFunctions!$R$14</f>
        <v>#VALUE!</v>
      </c>
      <c r="AL42" t="e">
        <f>AM41*'Hypothetical vaccine model'!$K42</f>
        <v>#VALUE!</v>
      </c>
      <c r="AM42" s="84" t="e">
        <f t="shared" si="11"/>
        <v>#VALUE!</v>
      </c>
      <c r="AN42" t="e">
        <f>AP41*'Hypothetical vaccine model'!$J42*HelperFunctions!$R$28</f>
        <v>#VALUE!</v>
      </c>
      <c r="AO42" t="e">
        <f>AP41*'Hypothetical vaccine model'!$K42</f>
        <v>#VALUE!</v>
      </c>
      <c r="AP42" s="84" t="e">
        <f t="shared" si="12"/>
        <v>#VALUE!</v>
      </c>
      <c r="AQ42" t="e">
        <f>AS41*'Hypothetical vaccine model'!$J42*HelperFunctions!$R$28</f>
        <v>#VALUE!</v>
      </c>
      <c r="AR42" t="e">
        <f>AS41*'Hypothetical vaccine model'!$K42</f>
        <v>#VALUE!</v>
      </c>
      <c r="AS42" s="84" t="e">
        <f t="shared" si="13"/>
        <v>#VALUE!</v>
      </c>
      <c r="AT42" t="e">
        <f>AV41*'Hypothetical vaccine model'!$J42*HelperFunctions!$R$28</f>
        <v>#VALUE!</v>
      </c>
      <c r="AU42" t="e">
        <f>AV41*'Hypothetical vaccine model'!$K42</f>
        <v>#VALUE!</v>
      </c>
      <c r="AV42" s="84" t="e">
        <f t="shared" si="14"/>
        <v>#VALUE!</v>
      </c>
      <c r="AW42" t="e">
        <f>AY41*'Hypothetical vaccine model'!$J42*HelperFunctions!$R$28</f>
        <v>#VALUE!</v>
      </c>
      <c r="AX42" t="e">
        <f>AY41*'Hypothetical vaccine model'!$K42</f>
        <v>#VALUE!</v>
      </c>
      <c r="AY42" s="84" t="e">
        <f t="shared" si="15"/>
        <v>#VALUE!</v>
      </c>
      <c r="AZ42" t="e">
        <f>BB41*'Hypothetical vaccine model'!$J42*HelperFunctions!$R$28</f>
        <v>#VALUE!</v>
      </c>
      <c r="BA42" t="e">
        <f>BB41*'Hypothetical vaccine model'!$K42</f>
        <v>#VALUE!</v>
      </c>
      <c r="BB42" s="84" t="e">
        <f t="shared" si="16"/>
        <v>#VALUE!</v>
      </c>
      <c r="BC42" t="e">
        <f>BE41*'Hypothetical vaccine model'!$J42*HelperFunctions!$R$28</f>
        <v>#VALUE!</v>
      </c>
      <c r="BD42" t="e">
        <f>BE41*'Hypothetical vaccine model'!$K42</f>
        <v>#VALUE!</v>
      </c>
      <c r="BE42" s="84" t="e">
        <f t="shared" si="17"/>
        <v>#VALUE!</v>
      </c>
      <c r="BF42" t="e">
        <f>BH41*'Hypothetical vaccine model'!$J42*HelperFunctions!$R$28</f>
        <v>#VALUE!</v>
      </c>
      <c r="BG42" t="e">
        <f>BH41*'Hypothetical vaccine model'!$K42</f>
        <v>#VALUE!</v>
      </c>
      <c r="BH42" s="84" t="e">
        <f t="shared" si="18"/>
        <v>#VALUE!</v>
      </c>
      <c r="BI42" t="e">
        <f>BK41*'Hypothetical vaccine model'!$J42*HelperFunctions!$R$28</f>
        <v>#VALUE!</v>
      </c>
      <c r="BJ42" t="e">
        <f>BK41*'Hypothetical vaccine model'!$K42</f>
        <v>#VALUE!</v>
      </c>
      <c r="BK42" s="84" t="e">
        <f t="shared" si="19"/>
        <v>#VALUE!</v>
      </c>
      <c r="BL42" t="e">
        <f>BN41*'Hypothetical vaccine model'!$J42*HelperFunctions!$R$28</f>
        <v>#VALUE!</v>
      </c>
      <c r="BM42" t="e">
        <f>BN41*'Hypothetical vaccine model'!$K42</f>
        <v>#VALUE!</v>
      </c>
      <c r="BN42" s="84" t="e">
        <f t="shared" si="20"/>
        <v>#VALUE!</v>
      </c>
      <c r="BO42" t="e">
        <f>BQ41*'Hypothetical vaccine model'!$J42*HelperFunctions!$R$28</f>
        <v>#VALUE!</v>
      </c>
      <c r="BP42" t="e">
        <f>BQ41*'Hypothetical vaccine model'!$K42</f>
        <v>#VALUE!</v>
      </c>
      <c r="BQ42" s="84" t="e">
        <f t="shared" si="21"/>
        <v>#VALUE!</v>
      </c>
      <c r="BR42" t="e">
        <f>BT41*'Hypothetical vaccine model'!$J42*HelperFunctions!$R$28</f>
        <v>#VALUE!</v>
      </c>
      <c r="BS42" t="e">
        <f>BT41*'Hypothetical vaccine model'!$K42</f>
        <v>#VALUE!</v>
      </c>
      <c r="BT42" s="84" t="e">
        <f t="shared" si="22"/>
        <v>#VALUE!</v>
      </c>
      <c r="BU42" t="e">
        <f>BW41*'Hypothetical vaccine model'!$J42*HelperFunctions!$R$28</f>
        <v>#VALUE!</v>
      </c>
      <c r="BV42" t="e">
        <f>BW41*'Hypothetical vaccine model'!$K42</f>
        <v>#VALUE!</v>
      </c>
      <c r="BW42" s="84" t="e">
        <f t="shared" si="23"/>
        <v>#VALUE!</v>
      </c>
      <c r="BX42" t="e">
        <f>BZ41*'Hypothetical vaccine model'!$J42*HelperFunctions!$R$42</f>
        <v>#VALUE!</v>
      </c>
      <c r="BY42" t="e">
        <f>BZ41*'Hypothetical vaccine model'!$K42</f>
        <v>#VALUE!</v>
      </c>
      <c r="BZ42" s="84" t="e">
        <f t="shared" si="24"/>
        <v>#VALUE!</v>
      </c>
      <c r="CA42" t="e">
        <f>CC41*'Hypothetical vaccine model'!$J42*HelperFunctions!$R$42</f>
        <v>#VALUE!</v>
      </c>
      <c r="CB42" t="e">
        <f>CC41*'Hypothetical vaccine model'!$K42</f>
        <v>#VALUE!</v>
      </c>
      <c r="CC42" s="84" t="e">
        <f t="shared" si="25"/>
        <v>#VALUE!</v>
      </c>
      <c r="CD42" t="e">
        <f>CF41*'Hypothetical vaccine model'!$J42*HelperFunctions!$R$42</f>
        <v>#VALUE!</v>
      </c>
      <c r="CE42" t="e">
        <f>CF41*'Hypothetical vaccine model'!$K42</f>
        <v>#VALUE!</v>
      </c>
      <c r="CF42" s="84" t="e">
        <f t="shared" si="26"/>
        <v>#VALUE!</v>
      </c>
      <c r="CG42" t="e">
        <f>CI41*'Hypothetical vaccine model'!$J42*HelperFunctions!$R41</f>
        <v>#VALUE!</v>
      </c>
      <c r="CH42" t="e">
        <f>CI41*'Hypothetical vaccine model'!$K42</f>
        <v>#VALUE!</v>
      </c>
      <c r="CI42" s="84" t="e">
        <f t="shared" si="27"/>
        <v>#VALUE!</v>
      </c>
      <c r="CJ42" t="e">
        <f>CL41*'Hypothetical vaccine model'!$J42*HelperFunctions!$R40</f>
        <v>#VALUE!</v>
      </c>
      <c r="CK42" t="e">
        <f>CL41*'Hypothetical vaccine model'!$K42</f>
        <v>#VALUE!</v>
      </c>
      <c r="CL42" s="84" t="e">
        <f t="shared" si="28"/>
        <v>#VALUE!</v>
      </c>
      <c r="CM42" t="e">
        <f>CO41*'Hypothetical vaccine model'!$J42*HelperFunctions!$R39</f>
        <v>#VALUE!</v>
      </c>
      <c r="CN42" t="e">
        <f>CO41*'Hypothetical vaccine model'!$K42</f>
        <v>#VALUE!</v>
      </c>
      <c r="CO42" s="84" t="e">
        <f t="shared" si="29"/>
        <v>#VALUE!</v>
      </c>
      <c r="CP42" t="e">
        <f>CR41*'Hypothetical vaccine model'!$J42*HelperFunctions!$R38</f>
        <v>#VALUE!</v>
      </c>
      <c r="CQ42" t="e">
        <f>CR41*'Hypothetical vaccine model'!$K42</f>
        <v>#VALUE!</v>
      </c>
      <c r="CR42" s="84" t="e">
        <f t="shared" si="30"/>
        <v>#VALUE!</v>
      </c>
      <c r="CS42" t="e">
        <f>CU41*'Hypothetical vaccine model'!$J42*HelperFunctions!$R37</f>
        <v>#VALUE!</v>
      </c>
      <c r="CT42" t="e">
        <f>CU41*'Hypothetical vaccine model'!$K42</f>
        <v>#VALUE!</v>
      </c>
      <c r="CU42" s="84" t="e">
        <f t="shared" si="31"/>
        <v>#VALUE!</v>
      </c>
      <c r="CV42" t="e">
        <f>CX41*'Hypothetical vaccine model'!$J42*HelperFunctions!$R36</f>
        <v>#VALUE!</v>
      </c>
      <c r="CW42" t="e">
        <f>CX41*'Hypothetical vaccine model'!$K42</f>
        <v>#VALUE!</v>
      </c>
      <c r="CX42" s="84" t="e">
        <f t="shared" si="32"/>
        <v>#VALUE!</v>
      </c>
      <c r="CY42" t="e">
        <f>DA41*'Hypothetical vaccine model'!$J42*HelperFunctions!$R35</f>
        <v>#VALUE!</v>
      </c>
      <c r="CZ42" t="e">
        <f>DA41*'Hypothetical vaccine model'!$K42</f>
        <v>#VALUE!</v>
      </c>
      <c r="DA42" s="84" t="e">
        <f t="shared" si="33"/>
        <v>#VALUE!</v>
      </c>
      <c r="DB42" t="e">
        <f>DD41*'Hypothetical vaccine model'!$J42*HelperFunctions!$R34</f>
        <v>#VALUE!</v>
      </c>
      <c r="DC42" t="e">
        <f>DD41*'Hypothetical vaccine model'!$K42</f>
        <v>#VALUE!</v>
      </c>
      <c r="DD42" s="84" t="e">
        <f t="shared" si="34"/>
        <v>#VALUE!</v>
      </c>
      <c r="DE42" t="e">
        <f>DG41*'Hypothetical vaccine model'!$J42*HelperFunctions!$R33</f>
        <v>#VALUE!</v>
      </c>
      <c r="DF42" t="e">
        <f>DG41*'Hypothetical vaccine model'!$K42</f>
        <v>#VALUE!</v>
      </c>
      <c r="DG42" s="84" t="e">
        <f t="shared" si="35"/>
        <v>#VALUE!</v>
      </c>
      <c r="DH42" t="e">
        <f>DJ41*'Hypothetical vaccine model'!$J42*HelperFunctions!$R46</f>
        <v>#VALUE!</v>
      </c>
      <c r="DI42" t="e">
        <f>DJ41*'Hypothetical vaccine model'!$K42</f>
        <v>#VALUE!</v>
      </c>
      <c r="DJ42" s="84" t="e">
        <f t="shared" ref="DJ42:DJ63" si="36">DJ41-DH42-DI42</f>
        <v>#VALUE!</v>
      </c>
      <c r="DK42" t="e">
        <f>DM41*'Hypothetical vaccine model'!$J42*HelperFunctions!$R45</f>
        <v>#VALUE!</v>
      </c>
      <c r="DL42" t="e">
        <f>DM41*'Hypothetical vaccine model'!$K42</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F42*'Hypothetical vaccine model'!J43*HelperFunctions!R$14</f>
        <v>#VALUE!</v>
      </c>
      <c r="E43" t="e">
        <f>F42*'Hypothetical vaccine model'!K43</f>
        <v>#VALUE!</v>
      </c>
      <c r="F43" s="84" t="e">
        <f t="shared" si="0"/>
        <v>#VALUE!</v>
      </c>
      <c r="G43" t="e">
        <f>I42*'Hypothetical vaccine model'!$J43*HelperFunctions!$R$14</f>
        <v>#VALUE!</v>
      </c>
      <c r="H43" t="e">
        <f>I42*'Hypothetical vaccine model'!$K43</f>
        <v>#VALUE!</v>
      </c>
      <c r="I43" s="84" t="e">
        <f t="shared" si="1"/>
        <v>#VALUE!</v>
      </c>
      <c r="J43" t="e">
        <f>L42*'Hypothetical vaccine model'!$J43*HelperFunctions!$R$14</f>
        <v>#VALUE!</v>
      </c>
      <c r="K43" t="e">
        <f>L42*'Hypothetical vaccine model'!$K43</f>
        <v>#VALUE!</v>
      </c>
      <c r="L43" s="84" t="e">
        <f t="shared" si="2"/>
        <v>#VALUE!</v>
      </c>
      <c r="M43" t="e">
        <f>O42*'Hypothetical vaccine model'!$J43*HelperFunctions!$R$14</f>
        <v>#VALUE!</v>
      </c>
      <c r="N43" t="e">
        <f>O42*'Hypothetical vaccine model'!$K43</f>
        <v>#VALUE!</v>
      </c>
      <c r="O43" s="84" t="e">
        <f t="shared" si="3"/>
        <v>#VALUE!</v>
      </c>
      <c r="P43" t="e">
        <f>R42*'Hypothetical vaccine model'!$J43*HelperFunctions!$R$14</f>
        <v>#VALUE!</v>
      </c>
      <c r="Q43" t="e">
        <f>R42*'Hypothetical vaccine model'!$K43</f>
        <v>#VALUE!</v>
      </c>
      <c r="R43" s="84" t="e">
        <f t="shared" si="4"/>
        <v>#VALUE!</v>
      </c>
      <c r="S43" t="e">
        <f>U42*'Hypothetical vaccine model'!$J43*HelperFunctions!$R$14</f>
        <v>#VALUE!</v>
      </c>
      <c r="T43" t="e">
        <f>U42*'Hypothetical vaccine model'!$K43</f>
        <v>#VALUE!</v>
      </c>
      <c r="U43" s="84" t="e">
        <f t="shared" si="5"/>
        <v>#VALUE!</v>
      </c>
      <c r="V43" t="e">
        <f>X42*'Hypothetical vaccine model'!$J43*HelperFunctions!$R$14</f>
        <v>#VALUE!</v>
      </c>
      <c r="W43" t="e">
        <f>X42*'Hypothetical vaccine model'!$K43</f>
        <v>#VALUE!</v>
      </c>
      <c r="X43" s="84" t="e">
        <f t="shared" si="6"/>
        <v>#VALUE!</v>
      </c>
      <c r="Y43" t="e">
        <f>AA42*'Hypothetical vaccine model'!$J43*HelperFunctions!$R$14</f>
        <v>#VALUE!</v>
      </c>
      <c r="Z43" t="e">
        <f>AA42*'Hypothetical vaccine model'!$K43</f>
        <v>#VALUE!</v>
      </c>
      <c r="AA43" s="84" t="e">
        <f t="shared" si="7"/>
        <v>#VALUE!</v>
      </c>
      <c r="AB43" t="e">
        <f>AD42*'Hypothetical vaccine model'!$J43*HelperFunctions!$R$14</f>
        <v>#VALUE!</v>
      </c>
      <c r="AC43" t="e">
        <f>AD42*'Hypothetical vaccine model'!$K43</f>
        <v>#VALUE!</v>
      </c>
      <c r="AD43" s="84" t="e">
        <f t="shared" si="8"/>
        <v>#VALUE!</v>
      </c>
      <c r="AE43" t="e">
        <f>AG42*'Hypothetical vaccine model'!$J43*HelperFunctions!$R$14</f>
        <v>#VALUE!</v>
      </c>
      <c r="AF43" t="e">
        <f>AG42*'Hypothetical vaccine model'!$K43</f>
        <v>#VALUE!</v>
      </c>
      <c r="AG43" s="84" t="e">
        <f t="shared" si="9"/>
        <v>#VALUE!</v>
      </c>
      <c r="AH43" t="e">
        <f>AJ42*'Hypothetical vaccine model'!$J43*HelperFunctions!$R$14</f>
        <v>#VALUE!</v>
      </c>
      <c r="AI43" t="e">
        <f>AJ42*'Hypothetical vaccine model'!$K43</f>
        <v>#VALUE!</v>
      </c>
      <c r="AJ43" s="84" t="e">
        <f t="shared" si="10"/>
        <v>#VALUE!</v>
      </c>
      <c r="AK43" t="e">
        <f>AM42*'Hypothetical vaccine model'!$J43*HelperFunctions!$R$14</f>
        <v>#VALUE!</v>
      </c>
      <c r="AL43" t="e">
        <f>AM42*'Hypothetical vaccine model'!$K43</f>
        <v>#VALUE!</v>
      </c>
      <c r="AM43" s="84" t="e">
        <f t="shared" si="11"/>
        <v>#VALUE!</v>
      </c>
      <c r="AN43" t="e">
        <f>AP42*'Hypothetical vaccine model'!$J43*HelperFunctions!$R$28</f>
        <v>#VALUE!</v>
      </c>
      <c r="AO43" t="e">
        <f>AP42*'Hypothetical vaccine model'!$K43</f>
        <v>#VALUE!</v>
      </c>
      <c r="AP43" s="84" t="e">
        <f t="shared" si="12"/>
        <v>#VALUE!</v>
      </c>
      <c r="AQ43" t="e">
        <f>AS42*'Hypothetical vaccine model'!$J43*HelperFunctions!$R$28</f>
        <v>#VALUE!</v>
      </c>
      <c r="AR43" t="e">
        <f>AS42*'Hypothetical vaccine model'!$K43</f>
        <v>#VALUE!</v>
      </c>
      <c r="AS43" s="84" t="e">
        <f t="shared" si="13"/>
        <v>#VALUE!</v>
      </c>
      <c r="AT43" t="e">
        <f>AV42*'Hypothetical vaccine model'!$J43*HelperFunctions!$R$28</f>
        <v>#VALUE!</v>
      </c>
      <c r="AU43" t="e">
        <f>AV42*'Hypothetical vaccine model'!$K43</f>
        <v>#VALUE!</v>
      </c>
      <c r="AV43" s="84" t="e">
        <f t="shared" si="14"/>
        <v>#VALUE!</v>
      </c>
      <c r="AW43" t="e">
        <f>AY42*'Hypothetical vaccine model'!$J43*HelperFunctions!$R$28</f>
        <v>#VALUE!</v>
      </c>
      <c r="AX43" t="e">
        <f>AY42*'Hypothetical vaccine model'!$K43</f>
        <v>#VALUE!</v>
      </c>
      <c r="AY43" s="84" t="e">
        <f t="shared" si="15"/>
        <v>#VALUE!</v>
      </c>
      <c r="AZ43" t="e">
        <f>BB42*'Hypothetical vaccine model'!$J43*HelperFunctions!$R$28</f>
        <v>#VALUE!</v>
      </c>
      <c r="BA43" t="e">
        <f>BB42*'Hypothetical vaccine model'!$K43</f>
        <v>#VALUE!</v>
      </c>
      <c r="BB43" s="84" t="e">
        <f t="shared" si="16"/>
        <v>#VALUE!</v>
      </c>
      <c r="BC43" t="e">
        <f>BE42*'Hypothetical vaccine model'!$J43*HelperFunctions!$R$28</f>
        <v>#VALUE!</v>
      </c>
      <c r="BD43" t="e">
        <f>BE42*'Hypothetical vaccine model'!$K43</f>
        <v>#VALUE!</v>
      </c>
      <c r="BE43" s="84" t="e">
        <f t="shared" si="17"/>
        <v>#VALUE!</v>
      </c>
      <c r="BF43" t="e">
        <f>BH42*'Hypothetical vaccine model'!$J43*HelperFunctions!$R$28</f>
        <v>#VALUE!</v>
      </c>
      <c r="BG43" t="e">
        <f>BH42*'Hypothetical vaccine model'!$K43</f>
        <v>#VALUE!</v>
      </c>
      <c r="BH43" s="84" t="e">
        <f t="shared" si="18"/>
        <v>#VALUE!</v>
      </c>
      <c r="BI43" t="e">
        <f>BK42*'Hypothetical vaccine model'!$J43*HelperFunctions!$R$28</f>
        <v>#VALUE!</v>
      </c>
      <c r="BJ43" t="e">
        <f>BK42*'Hypothetical vaccine model'!$K43</f>
        <v>#VALUE!</v>
      </c>
      <c r="BK43" s="84" t="e">
        <f t="shared" si="19"/>
        <v>#VALUE!</v>
      </c>
      <c r="BL43" t="e">
        <f>BN42*'Hypothetical vaccine model'!$J43*HelperFunctions!$R$28</f>
        <v>#VALUE!</v>
      </c>
      <c r="BM43" t="e">
        <f>BN42*'Hypothetical vaccine model'!$K43</f>
        <v>#VALUE!</v>
      </c>
      <c r="BN43" s="84" t="e">
        <f t="shared" si="20"/>
        <v>#VALUE!</v>
      </c>
      <c r="BO43" t="e">
        <f>BQ42*'Hypothetical vaccine model'!$J43*HelperFunctions!$R$28</f>
        <v>#VALUE!</v>
      </c>
      <c r="BP43" t="e">
        <f>BQ42*'Hypothetical vaccine model'!$K43</f>
        <v>#VALUE!</v>
      </c>
      <c r="BQ43" s="84" t="e">
        <f t="shared" si="21"/>
        <v>#VALUE!</v>
      </c>
      <c r="BR43" t="e">
        <f>BT42*'Hypothetical vaccine model'!$J43*HelperFunctions!$R$28</f>
        <v>#VALUE!</v>
      </c>
      <c r="BS43" t="e">
        <f>BT42*'Hypothetical vaccine model'!$K43</f>
        <v>#VALUE!</v>
      </c>
      <c r="BT43" s="84" t="e">
        <f t="shared" si="22"/>
        <v>#VALUE!</v>
      </c>
      <c r="BU43" t="e">
        <f>BW42*'Hypothetical vaccine model'!$J43*HelperFunctions!$R$28</f>
        <v>#VALUE!</v>
      </c>
      <c r="BV43" t="e">
        <f>BW42*'Hypothetical vaccine model'!$K43</f>
        <v>#VALUE!</v>
      </c>
      <c r="BW43" s="84" t="e">
        <f t="shared" si="23"/>
        <v>#VALUE!</v>
      </c>
      <c r="BX43" t="e">
        <f>BZ42*'Hypothetical vaccine model'!$J43*HelperFunctions!$R$42</f>
        <v>#VALUE!</v>
      </c>
      <c r="BY43" t="e">
        <f>BZ42*'Hypothetical vaccine model'!$K43</f>
        <v>#VALUE!</v>
      </c>
      <c r="BZ43" s="84" t="e">
        <f t="shared" si="24"/>
        <v>#VALUE!</v>
      </c>
      <c r="CA43" t="e">
        <f>CC42*'Hypothetical vaccine model'!$J43*HelperFunctions!$R$42</f>
        <v>#VALUE!</v>
      </c>
      <c r="CB43" t="e">
        <f>CC42*'Hypothetical vaccine model'!$K43</f>
        <v>#VALUE!</v>
      </c>
      <c r="CC43" s="84" t="e">
        <f t="shared" si="25"/>
        <v>#VALUE!</v>
      </c>
      <c r="CD43" t="e">
        <f>CF42*'Hypothetical vaccine model'!$J43*HelperFunctions!$R$42</f>
        <v>#VALUE!</v>
      </c>
      <c r="CE43" t="e">
        <f>CF42*'Hypothetical vaccine model'!$K43</f>
        <v>#VALUE!</v>
      </c>
      <c r="CF43" s="84" t="e">
        <f t="shared" si="26"/>
        <v>#VALUE!</v>
      </c>
      <c r="CG43" t="e">
        <f>CI42*'Hypothetical vaccine model'!$J43*HelperFunctions!$R$42</f>
        <v>#VALUE!</v>
      </c>
      <c r="CH43" t="e">
        <f>CI42*'Hypothetical vaccine model'!$K43</f>
        <v>#VALUE!</v>
      </c>
      <c r="CI43" s="84" t="e">
        <f t="shared" si="27"/>
        <v>#VALUE!</v>
      </c>
      <c r="CJ43" t="e">
        <f>CL42*'Hypothetical vaccine model'!$J43*HelperFunctions!$R41</f>
        <v>#VALUE!</v>
      </c>
      <c r="CK43" t="e">
        <f>CL42*'Hypothetical vaccine model'!$K43</f>
        <v>#VALUE!</v>
      </c>
      <c r="CL43" s="84" t="e">
        <f t="shared" si="28"/>
        <v>#VALUE!</v>
      </c>
      <c r="CM43" t="e">
        <f>CO42*'Hypothetical vaccine model'!$J43*HelperFunctions!$R40</f>
        <v>#VALUE!</v>
      </c>
      <c r="CN43" t="e">
        <f>CO42*'Hypothetical vaccine model'!$K43</f>
        <v>#VALUE!</v>
      </c>
      <c r="CO43" s="84" t="e">
        <f t="shared" si="29"/>
        <v>#VALUE!</v>
      </c>
      <c r="CP43" t="e">
        <f>CR42*'Hypothetical vaccine model'!$J43*HelperFunctions!$R39</f>
        <v>#VALUE!</v>
      </c>
      <c r="CQ43" t="e">
        <f>CR42*'Hypothetical vaccine model'!$K43</f>
        <v>#VALUE!</v>
      </c>
      <c r="CR43" s="84" t="e">
        <f t="shared" si="30"/>
        <v>#VALUE!</v>
      </c>
      <c r="CS43" t="e">
        <f>CU42*'Hypothetical vaccine model'!$J43*HelperFunctions!$R38</f>
        <v>#VALUE!</v>
      </c>
      <c r="CT43" t="e">
        <f>CU42*'Hypothetical vaccine model'!$K43</f>
        <v>#VALUE!</v>
      </c>
      <c r="CU43" s="84" t="e">
        <f t="shared" si="31"/>
        <v>#VALUE!</v>
      </c>
      <c r="CV43" t="e">
        <f>CX42*'Hypothetical vaccine model'!$J43*HelperFunctions!$R37</f>
        <v>#VALUE!</v>
      </c>
      <c r="CW43" t="e">
        <f>CX42*'Hypothetical vaccine model'!$K43</f>
        <v>#VALUE!</v>
      </c>
      <c r="CX43" s="84" t="e">
        <f t="shared" si="32"/>
        <v>#VALUE!</v>
      </c>
      <c r="CY43" t="e">
        <f>DA42*'Hypothetical vaccine model'!$J43*HelperFunctions!$R36</f>
        <v>#VALUE!</v>
      </c>
      <c r="CZ43" t="e">
        <f>DA42*'Hypothetical vaccine model'!$K43</f>
        <v>#VALUE!</v>
      </c>
      <c r="DA43" s="84" t="e">
        <f t="shared" si="33"/>
        <v>#VALUE!</v>
      </c>
      <c r="DB43" t="e">
        <f>DD42*'Hypothetical vaccine model'!$J43*HelperFunctions!$R35</f>
        <v>#VALUE!</v>
      </c>
      <c r="DC43" t="e">
        <f>DD42*'Hypothetical vaccine model'!$K43</f>
        <v>#VALUE!</v>
      </c>
      <c r="DD43" s="84" t="e">
        <f t="shared" si="34"/>
        <v>#VALUE!</v>
      </c>
      <c r="DE43" t="e">
        <f>DG42*'Hypothetical vaccine model'!$J43*HelperFunctions!$R34</f>
        <v>#VALUE!</v>
      </c>
      <c r="DF43" t="e">
        <f>DG42*'Hypothetical vaccine model'!$K43</f>
        <v>#VALUE!</v>
      </c>
      <c r="DG43" s="84" t="e">
        <f t="shared" si="35"/>
        <v>#VALUE!</v>
      </c>
      <c r="DH43" t="e">
        <f>DJ42*'Hypothetical vaccine model'!$J43*HelperFunctions!$R47</f>
        <v>#VALUE!</v>
      </c>
      <c r="DI43" t="e">
        <f>DJ42*'Hypothetical vaccine model'!$K43</f>
        <v>#VALUE!</v>
      </c>
      <c r="DJ43" s="84" t="e">
        <f t="shared" si="36"/>
        <v>#VALUE!</v>
      </c>
      <c r="DK43" t="e">
        <f>DM42*'Hypothetical vaccine model'!$J43*HelperFunctions!$R46</f>
        <v>#VALUE!</v>
      </c>
      <c r="DL43" t="e">
        <f>DM42*'Hypothetical vaccine model'!$K43</f>
        <v>#VALUE!</v>
      </c>
      <c r="DM43" s="84" t="e">
        <f t="shared" ref="DM43:DM63" si="37">DM42-DK43-DL43</f>
        <v>#VALUE!</v>
      </c>
      <c r="DN43" t="e">
        <f>DP42*'Hypothetical vaccine model'!$J43*HelperFunctions!$R45</f>
        <v>#VALUE!</v>
      </c>
      <c r="DO43" t="e">
        <f>DP42*'Hypothetical vaccine model'!$K43</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F43*'Hypothetical vaccine model'!J44*HelperFunctions!R$14</f>
        <v>#VALUE!</v>
      </c>
      <c r="E44" t="e">
        <f>F43*'Hypothetical vaccine model'!K44</f>
        <v>#VALUE!</v>
      </c>
      <c r="F44" s="84" t="e">
        <f t="shared" si="0"/>
        <v>#VALUE!</v>
      </c>
      <c r="G44" t="e">
        <f>I43*'Hypothetical vaccine model'!$J44*HelperFunctions!$R$14</f>
        <v>#VALUE!</v>
      </c>
      <c r="H44" t="e">
        <f>I43*'Hypothetical vaccine model'!$K44</f>
        <v>#VALUE!</v>
      </c>
      <c r="I44" s="84" t="e">
        <f t="shared" si="1"/>
        <v>#VALUE!</v>
      </c>
      <c r="J44" t="e">
        <f>L43*'Hypothetical vaccine model'!$J44*HelperFunctions!$R$14</f>
        <v>#VALUE!</v>
      </c>
      <c r="K44" t="e">
        <f>L43*'Hypothetical vaccine model'!$K44</f>
        <v>#VALUE!</v>
      </c>
      <c r="L44" s="84" t="e">
        <f t="shared" si="2"/>
        <v>#VALUE!</v>
      </c>
      <c r="M44" t="e">
        <f>O43*'Hypothetical vaccine model'!$J44*HelperFunctions!$R$14</f>
        <v>#VALUE!</v>
      </c>
      <c r="N44" t="e">
        <f>O43*'Hypothetical vaccine model'!$K44</f>
        <v>#VALUE!</v>
      </c>
      <c r="O44" s="84" t="e">
        <f t="shared" si="3"/>
        <v>#VALUE!</v>
      </c>
      <c r="P44" t="e">
        <f>R43*'Hypothetical vaccine model'!$J44*HelperFunctions!$R$14</f>
        <v>#VALUE!</v>
      </c>
      <c r="Q44" t="e">
        <f>R43*'Hypothetical vaccine model'!$K44</f>
        <v>#VALUE!</v>
      </c>
      <c r="R44" s="84" t="e">
        <f t="shared" si="4"/>
        <v>#VALUE!</v>
      </c>
      <c r="S44" t="e">
        <f>U43*'Hypothetical vaccine model'!$J44*HelperFunctions!$R$14</f>
        <v>#VALUE!</v>
      </c>
      <c r="T44" t="e">
        <f>U43*'Hypothetical vaccine model'!$K44</f>
        <v>#VALUE!</v>
      </c>
      <c r="U44" s="84" t="e">
        <f t="shared" si="5"/>
        <v>#VALUE!</v>
      </c>
      <c r="V44" t="e">
        <f>X43*'Hypothetical vaccine model'!$J44*HelperFunctions!$R$14</f>
        <v>#VALUE!</v>
      </c>
      <c r="W44" t="e">
        <f>X43*'Hypothetical vaccine model'!$K44</f>
        <v>#VALUE!</v>
      </c>
      <c r="X44" s="84" t="e">
        <f t="shared" si="6"/>
        <v>#VALUE!</v>
      </c>
      <c r="Y44" t="e">
        <f>AA43*'Hypothetical vaccine model'!$J44*HelperFunctions!$R$14</f>
        <v>#VALUE!</v>
      </c>
      <c r="Z44" t="e">
        <f>AA43*'Hypothetical vaccine model'!$K44</f>
        <v>#VALUE!</v>
      </c>
      <c r="AA44" s="84" t="e">
        <f t="shared" si="7"/>
        <v>#VALUE!</v>
      </c>
      <c r="AB44" t="e">
        <f>AD43*'Hypothetical vaccine model'!$J44*HelperFunctions!$R$14</f>
        <v>#VALUE!</v>
      </c>
      <c r="AC44" t="e">
        <f>AD43*'Hypothetical vaccine model'!$K44</f>
        <v>#VALUE!</v>
      </c>
      <c r="AD44" s="84" t="e">
        <f t="shared" si="8"/>
        <v>#VALUE!</v>
      </c>
      <c r="AE44" t="e">
        <f>AG43*'Hypothetical vaccine model'!$J44*HelperFunctions!$R$14</f>
        <v>#VALUE!</v>
      </c>
      <c r="AF44" t="e">
        <f>AG43*'Hypothetical vaccine model'!$K44</f>
        <v>#VALUE!</v>
      </c>
      <c r="AG44" s="84" t="e">
        <f t="shared" si="9"/>
        <v>#VALUE!</v>
      </c>
      <c r="AH44" t="e">
        <f>AJ43*'Hypothetical vaccine model'!$J44*HelperFunctions!$R$14</f>
        <v>#VALUE!</v>
      </c>
      <c r="AI44" t="e">
        <f>AJ43*'Hypothetical vaccine model'!$K44</f>
        <v>#VALUE!</v>
      </c>
      <c r="AJ44" s="84" t="e">
        <f t="shared" si="10"/>
        <v>#VALUE!</v>
      </c>
      <c r="AK44" t="e">
        <f>AM43*'Hypothetical vaccine model'!$J44*HelperFunctions!$R$14</f>
        <v>#VALUE!</v>
      </c>
      <c r="AL44" t="e">
        <f>AM43*'Hypothetical vaccine model'!$K44</f>
        <v>#VALUE!</v>
      </c>
      <c r="AM44" s="84" t="e">
        <f t="shared" si="11"/>
        <v>#VALUE!</v>
      </c>
      <c r="AN44" t="e">
        <f>AP43*'Hypothetical vaccine model'!$J44*HelperFunctions!$R$28</f>
        <v>#VALUE!</v>
      </c>
      <c r="AO44" t="e">
        <f>AP43*'Hypothetical vaccine model'!$K44</f>
        <v>#VALUE!</v>
      </c>
      <c r="AP44" s="84" t="e">
        <f t="shared" si="12"/>
        <v>#VALUE!</v>
      </c>
      <c r="AQ44" t="e">
        <f>AS43*'Hypothetical vaccine model'!$J44*HelperFunctions!$R$28</f>
        <v>#VALUE!</v>
      </c>
      <c r="AR44" t="e">
        <f>AS43*'Hypothetical vaccine model'!$K44</f>
        <v>#VALUE!</v>
      </c>
      <c r="AS44" s="84" t="e">
        <f t="shared" si="13"/>
        <v>#VALUE!</v>
      </c>
      <c r="AT44" t="e">
        <f>AV43*'Hypothetical vaccine model'!$J44*HelperFunctions!$R$28</f>
        <v>#VALUE!</v>
      </c>
      <c r="AU44" t="e">
        <f>AV43*'Hypothetical vaccine model'!$K44</f>
        <v>#VALUE!</v>
      </c>
      <c r="AV44" s="84" t="e">
        <f t="shared" si="14"/>
        <v>#VALUE!</v>
      </c>
      <c r="AW44" t="e">
        <f>AY43*'Hypothetical vaccine model'!$J44*HelperFunctions!$R$28</f>
        <v>#VALUE!</v>
      </c>
      <c r="AX44" t="e">
        <f>AY43*'Hypothetical vaccine model'!$K44</f>
        <v>#VALUE!</v>
      </c>
      <c r="AY44" s="84" t="e">
        <f t="shared" si="15"/>
        <v>#VALUE!</v>
      </c>
      <c r="AZ44" t="e">
        <f>BB43*'Hypothetical vaccine model'!$J44*HelperFunctions!$R$28</f>
        <v>#VALUE!</v>
      </c>
      <c r="BA44" t="e">
        <f>BB43*'Hypothetical vaccine model'!$K44</f>
        <v>#VALUE!</v>
      </c>
      <c r="BB44" s="84" t="e">
        <f t="shared" si="16"/>
        <v>#VALUE!</v>
      </c>
      <c r="BC44" t="e">
        <f>BE43*'Hypothetical vaccine model'!$J44*HelperFunctions!$R$28</f>
        <v>#VALUE!</v>
      </c>
      <c r="BD44" t="e">
        <f>BE43*'Hypothetical vaccine model'!$K44</f>
        <v>#VALUE!</v>
      </c>
      <c r="BE44" s="84" t="e">
        <f t="shared" si="17"/>
        <v>#VALUE!</v>
      </c>
      <c r="BF44" t="e">
        <f>BH43*'Hypothetical vaccine model'!$J44*HelperFunctions!$R$28</f>
        <v>#VALUE!</v>
      </c>
      <c r="BG44" t="e">
        <f>BH43*'Hypothetical vaccine model'!$K44</f>
        <v>#VALUE!</v>
      </c>
      <c r="BH44" s="84" t="e">
        <f t="shared" si="18"/>
        <v>#VALUE!</v>
      </c>
      <c r="BI44" t="e">
        <f>BK43*'Hypothetical vaccine model'!$J44*HelperFunctions!$R$28</f>
        <v>#VALUE!</v>
      </c>
      <c r="BJ44" t="e">
        <f>BK43*'Hypothetical vaccine model'!$K44</f>
        <v>#VALUE!</v>
      </c>
      <c r="BK44" s="84" t="e">
        <f t="shared" si="19"/>
        <v>#VALUE!</v>
      </c>
      <c r="BL44" t="e">
        <f>BN43*'Hypothetical vaccine model'!$J44*HelperFunctions!$R$28</f>
        <v>#VALUE!</v>
      </c>
      <c r="BM44" t="e">
        <f>BN43*'Hypothetical vaccine model'!$K44</f>
        <v>#VALUE!</v>
      </c>
      <c r="BN44" s="84" t="e">
        <f t="shared" si="20"/>
        <v>#VALUE!</v>
      </c>
      <c r="BO44" t="e">
        <f>BQ43*'Hypothetical vaccine model'!$J44*HelperFunctions!$R$28</f>
        <v>#VALUE!</v>
      </c>
      <c r="BP44" t="e">
        <f>BQ43*'Hypothetical vaccine model'!$K44</f>
        <v>#VALUE!</v>
      </c>
      <c r="BQ44" s="84" t="e">
        <f t="shared" si="21"/>
        <v>#VALUE!</v>
      </c>
      <c r="BR44" t="e">
        <f>BT43*'Hypothetical vaccine model'!$J44*HelperFunctions!$R$28</f>
        <v>#VALUE!</v>
      </c>
      <c r="BS44" t="e">
        <f>BT43*'Hypothetical vaccine model'!$K44</f>
        <v>#VALUE!</v>
      </c>
      <c r="BT44" s="84" t="e">
        <f t="shared" si="22"/>
        <v>#VALUE!</v>
      </c>
      <c r="BU44" t="e">
        <f>BW43*'Hypothetical vaccine model'!$J44*HelperFunctions!$R$28</f>
        <v>#VALUE!</v>
      </c>
      <c r="BV44" t="e">
        <f>BW43*'Hypothetical vaccine model'!$K44</f>
        <v>#VALUE!</v>
      </c>
      <c r="BW44" s="84" t="e">
        <f t="shared" si="23"/>
        <v>#VALUE!</v>
      </c>
      <c r="BX44" t="e">
        <f>BZ43*'Hypothetical vaccine model'!$J44*HelperFunctions!$R$42</f>
        <v>#VALUE!</v>
      </c>
      <c r="BY44" t="e">
        <f>BZ43*'Hypothetical vaccine model'!$K44</f>
        <v>#VALUE!</v>
      </c>
      <c r="BZ44" s="84" t="e">
        <f t="shared" si="24"/>
        <v>#VALUE!</v>
      </c>
      <c r="CA44" t="e">
        <f>CC43*'Hypothetical vaccine model'!$J44*HelperFunctions!$R$42</f>
        <v>#VALUE!</v>
      </c>
      <c r="CB44" t="e">
        <f>CC43*'Hypothetical vaccine model'!$K44</f>
        <v>#VALUE!</v>
      </c>
      <c r="CC44" s="84" t="e">
        <f t="shared" si="25"/>
        <v>#VALUE!</v>
      </c>
      <c r="CD44" t="e">
        <f>CF43*'Hypothetical vaccine model'!$J44*HelperFunctions!$R$42</f>
        <v>#VALUE!</v>
      </c>
      <c r="CE44" t="e">
        <f>CF43*'Hypothetical vaccine model'!$K44</f>
        <v>#VALUE!</v>
      </c>
      <c r="CF44" s="84" t="e">
        <f t="shared" si="26"/>
        <v>#VALUE!</v>
      </c>
      <c r="CG44" t="e">
        <f>CI43*'Hypothetical vaccine model'!$J44*HelperFunctions!$R$42</f>
        <v>#VALUE!</v>
      </c>
      <c r="CH44" t="e">
        <f>CI43*'Hypothetical vaccine model'!$K44</f>
        <v>#VALUE!</v>
      </c>
      <c r="CI44" s="84" t="e">
        <f t="shared" si="27"/>
        <v>#VALUE!</v>
      </c>
      <c r="CJ44" t="e">
        <f>CL43*'Hypothetical vaccine model'!$J44*HelperFunctions!$R$42</f>
        <v>#VALUE!</v>
      </c>
      <c r="CK44" t="e">
        <f>CL43*'Hypothetical vaccine model'!$K44</f>
        <v>#VALUE!</v>
      </c>
      <c r="CL44" s="84" t="e">
        <f t="shared" si="28"/>
        <v>#VALUE!</v>
      </c>
      <c r="CM44" t="e">
        <f>CO43*'Hypothetical vaccine model'!$J44*HelperFunctions!$R41</f>
        <v>#VALUE!</v>
      </c>
      <c r="CN44" t="e">
        <f>CO43*'Hypothetical vaccine model'!$K44</f>
        <v>#VALUE!</v>
      </c>
      <c r="CO44" s="84" t="e">
        <f t="shared" si="29"/>
        <v>#VALUE!</v>
      </c>
      <c r="CP44" t="e">
        <f>CR43*'Hypothetical vaccine model'!$J44*HelperFunctions!$R40</f>
        <v>#VALUE!</v>
      </c>
      <c r="CQ44" t="e">
        <f>CR43*'Hypothetical vaccine model'!$K44</f>
        <v>#VALUE!</v>
      </c>
      <c r="CR44" s="84" t="e">
        <f t="shared" si="30"/>
        <v>#VALUE!</v>
      </c>
      <c r="CS44" t="e">
        <f>CU43*'Hypothetical vaccine model'!$J44*HelperFunctions!$R39</f>
        <v>#VALUE!</v>
      </c>
      <c r="CT44" t="e">
        <f>CU43*'Hypothetical vaccine model'!$K44</f>
        <v>#VALUE!</v>
      </c>
      <c r="CU44" s="84" t="e">
        <f t="shared" si="31"/>
        <v>#VALUE!</v>
      </c>
      <c r="CV44" t="e">
        <f>CX43*'Hypothetical vaccine model'!$J44*HelperFunctions!$R38</f>
        <v>#VALUE!</v>
      </c>
      <c r="CW44" t="e">
        <f>CX43*'Hypothetical vaccine model'!$K44</f>
        <v>#VALUE!</v>
      </c>
      <c r="CX44" s="84" t="e">
        <f t="shared" si="32"/>
        <v>#VALUE!</v>
      </c>
      <c r="CY44" t="e">
        <f>DA43*'Hypothetical vaccine model'!$J44*HelperFunctions!$R37</f>
        <v>#VALUE!</v>
      </c>
      <c r="CZ44" t="e">
        <f>DA43*'Hypothetical vaccine model'!$K44</f>
        <v>#VALUE!</v>
      </c>
      <c r="DA44" s="84" t="e">
        <f t="shared" si="33"/>
        <v>#VALUE!</v>
      </c>
      <c r="DB44" t="e">
        <f>DD43*'Hypothetical vaccine model'!$J44*HelperFunctions!$R36</f>
        <v>#VALUE!</v>
      </c>
      <c r="DC44" t="e">
        <f>DD43*'Hypothetical vaccine model'!$K44</f>
        <v>#VALUE!</v>
      </c>
      <c r="DD44" s="84" t="e">
        <f t="shared" si="34"/>
        <v>#VALUE!</v>
      </c>
      <c r="DE44" t="e">
        <f>DG43*'Hypothetical vaccine model'!$J44*HelperFunctions!$R35</f>
        <v>#VALUE!</v>
      </c>
      <c r="DF44" t="e">
        <f>DG43*'Hypothetical vaccine model'!$K44</f>
        <v>#VALUE!</v>
      </c>
      <c r="DG44" s="84" t="e">
        <f t="shared" si="35"/>
        <v>#VALUE!</v>
      </c>
      <c r="DH44" t="e">
        <f>DJ43*'Hypothetical vaccine model'!$J44*HelperFunctions!$R48</f>
        <v>#VALUE!</v>
      </c>
      <c r="DI44" t="e">
        <f>DJ43*'Hypothetical vaccine model'!$K44</f>
        <v>#VALUE!</v>
      </c>
      <c r="DJ44" s="84" t="e">
        <f t="shared" si="36"/>
        <v>#VALUE!</v>
      </c>
      <c r="DK44" t="e">
        <f>DM43*'Hypothetical vaccine model'!$J44*HelperFunctions!$R47</f>
        <v>#VALUE!</v>
      </c>
      <c r="DL44" t="e">
        <f>DM43*'Hypothetical vaccine model'!$K44</f>
        <v>#VALUE!</v>
      </c>
      <c r="DM44" s="84" t="e">
        <f t="shared" si="37"/>
        <v>#VALUE!</v>
      </c>
      <c r="DN44" t="e">
        <f>DP43*'Hypothetical vaccine model'!$J44*HelperFunctions!$R46</f>
        <v>#VALUE!</v>
      </c>
      <c r="DO44" t="e">
        <f>DP43*'Hypothetical vaccine model'!$K44</f>
        <v>#VALUE!</v>
      </c>
      <c r="DP44" s="84" t="e">
        <f t="shared" ref="DP44:DP63" si="38">DP43-DN44-DO44</f>
        <v>#VALUE!</v>
      </c>
      <c r="DQ44" t="e">
        <f>DS43*'Hypothetical vaccine model'!$J44*HelperFunctions!$R45</f>
        <v>#VALUE!</v>
      </c>
      <c r="DR44" t="e">
        <f>DS43*'Hypothetical vaccine model'!$K44</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F44*'Hypothetical vaccine model'!J45*HelperFunctions!R$14</f>
        <v>#VALUE!</v>
      </c>
      <c r="E45" t="e">
        <f>F44*'Hypothetical vaccine model'!K45</f>
        <v>#VALUE!</v>
      </c>
      <c r="F45" s="84" t="e">
        <f t="shared" si="0"/>
        <v>#VALUE!</v>
      </c>
      <c r="G45" t="e">
        <f>I44*'Hypothetical vaccine model'!$J45*HelperFunctions!$R$14</f>
        <v>#VALUE!</v>
      </c>
      <c r="H45" t="e">
        <f>I44*'Hypothetical vaccine model'!$K45</f>
        <v>#VALUE!</v>
      </c>
      <c r="I45" s="84" t="e">
        <f t="shared" si="1"/>
        <v>#VALUE!</v>
      </c>
      <c r="J45" t="e">
        <f>L44*'Hypothetical vaccine model'!$J45*HelperFunctions!$R$14</f>
        <v>#VALUE!</v>
      </c>
      <c r="K45" t="e">
        <f>L44*'Hypothetical vaccine model'!$K45</f>
        <v>#VALUE!</v>
      </c>
      <c r="L45" s="84" t="e">
        <f t="shared" si="2"/>
        <v>#VALUE!</v>
      </c>
      <c r="M45" t="e">
        <f>O44*'Hypothetical vaccine model'!$J45*HelperFunctions!$R$14</f>
        <v>#VALUE!</v>
      </c>
      <c r="N45" t="e">
        <f>O44*'Hypothetical vaccine model'!$K45</f>
        <v>#VALUE!</v>
      </c>
      <c r="O45" s="84" t="e">
        <f t="shared" si="3"/>
        <v>#VALUE!</v>
      </c>
      <c r="P45" t="e">
        <f>R44*'Hypothetical vaccine model'!$J45*HelperFunctions!$R$14</f>
        <v>#VALUE!</v>
      </c>
      <c r="Q45" t="e">
        <f>R44*'Hypothetical vaccine model'!$K45</f>
        <v>#VALUE!</v>
      </c>
      <c r="R45" s="84" t="e">
        <f t="shared" si="4"/>
        <v>#VALUE!</v>
      </c>
      <c r="S45" t="e">
        <f>U44*'Hypothetical vaccine model'!$J45*HelperFunctions!$R$14</f>
        <v>#VALUE!</v>
      </c>
      <c r="T45" t="e">
        <f>U44*'Hypothetical vaccine model'!$K45</f>
        <v>#VALUE!</v>
      </c>
      <c r="U45" s="84" t="e">
        <f t="shared" si="5"/>
        <v>#VALUE!</v>
      </c>
      <c r="V45" t="e">
        <f>X44*'Hypothetical vaccine model'!$J45*HelperFunctions!$R$14</f>
        <v>#VALUE!</v>
      </c>
      <c r="W45" t="e">
        <f>X44*'Hypothetical vaccine model'!$K45</f>
        <v>#VALUE!</v>
      </c>
      <c r="X45" s="84" t="e">
        <f t="shared" si="6"/>
        <v>#VALUE!</v>
      </c>
      <c r="Y45" t="e">
        <f>AA44*'Hypothetical vaccine model'!$J45*HelperFunctions!$R$14</f>
        <v>#VALUE!</v>
      </c>
      <c r="Z45" t="e">
        <f>AA44*'Hypothetical vaccine model'!$K45</f>
        <v>#VALUE!</v>
      </c>
      <c r="AA45" s="84" t="e">
        <f t="shared" si="7"/>
        <v>#VALUE!</v>
      </c>
      <c r="AB45" t="e">
        <f>AD44*'Hypothetical vaccine model'!$J45*HelperFunctions!$R$14</f>
        <v>#VALUE!</v>
      </c>
      <c r="AC45" t="e">
        <f>AD44*'Hypothetical vaccine model'!$K45</f>
        <v>#VALUE!</v>
      </c>
      <c r="AD45" s="84" t="e">
        <f t="shared" si="8"/>
        <v>#VALUE!</v>
      </c>
      <c r="AE45" t="e">
        <f>AG44*'Hypothetical vaccine model'!$J45*HelperFunctions!$R$14</f>
        <v>#VALUE!</v>
      </c>
      <c r="AF45" t="e">
        <f>AG44*'Hypothetical vaccine model'!$K45</f>
        <v>#VALUE!</v>
      </c>
      <c r="AG45" s="84" t="e">
        <f t="shared" si="9"/>
        <v>#VALUE!</v>
      </c>
      <c r="AH45" t="e">
        <f>AJ44*'Hypothetical vaccine model'!$J45*HelperFunctions!$R$14</f>
        <v>#VALUE!</v>
      </c>
      <c r="AI45" t="e">
        <f>AJ44*'Hypothetical vaccine model'!$K45</f>
        <v>#VALUE!</v>
      </c>
      <c r="AJ45" s="84" t="e">
        <f t="shared" si="10"/>
        <v>#VALUE!</v>
      </c>
      <c r="AK45" t="e">
        <f>AM44*'Hypothetical vaccine model'!$J45*HelperFunctions!$R$14</f>
        <v>#VALUE!</v>
      </c>
      <c r="AL45" t="e">
        <f>AM44*'Hypothetical vaccine model'!$K45</f>
        <v>#VALUE!</v>
      </c>
      <c r="AM45" s="84" t="e">
        <f t="shared" si="11"/>
        <v>#VALUE!</v>
      </c>
      <c r="AN45" t="e">
        <f>AP44*'Hypothetical vaccine model'!$J45*HelperFunctions!$R$28</f>
        <v>#VALUE!</v>
      </c>
      <c r="AO45" t="e">
        <f>AP44*'Hypothetical vaccine model'!$K45</f>
        <v>#VALUE!</v>
      </c>
      <c r="AP45" s="84" t="e">
        <f t="shared" si="12"/>
        <v>#VALUE!</v>
      </c>
      <c r="AQ45" t="e">
        <f>AS44*'Hypothetical vaccine model'!$J45*HelperFunctions!$R$28</f>
        <v>#VALUE!</v>
      </c>
      <c r="AR45" t="e">
        <f>AS44*'Hypothetical vaccine model'!$K45</f>
        <v>#VALUE!</v>
      </c>
      <c r="AS45" s="84" t="e">
        <f t="shared" si="13"/>
        <v>#VALUE!</v>
      </c>
      <c r="AT45" t="e">
        <f>AV44*'Hypothetical vaccine model'!$J45*HelperFunctions!$R$28</f>
        <v>#VALUE!</v>
      </c>
      <c r="AU45" t="e">
        <f>AV44*'Hypothetical vaccine model'!$K45</f>
        <v>#VALUE!</v>
      </c>
      <c r="AV45" s="84" t="e">
        <f t="shared" si="14"/>
        <v>#VALUE!</v>
      </c>
      <c r="AW45" t="e">
        <f>AY44*'Hypothetical vaccine model'!$J45*HelperFunctions!$R$28</f>
        <v>#VALUE!</v>
      </c>
      <c r="AX45" t="e">
        <f>AY44*'Hypothetical vaccine model'!$K45</f>
        <v>#VALUE!</v>
      </c>
      <c r="AY45" s="84" t="e">
        <f t="shared" si="15"/>
        <v>#VALUE!</v>
      </c>
      <c r="AZ45" t="e">
        <f>BB44*'Hypothetical vaccine model'!$J45*HelperFunctions!$R$28</f>
        <v>#VALUE!</v>
      </c>
      <c r="BA45" t="e">
        <f>BB44*'Hypothetical vaccine model'!$K45</f>
        <v>#VALUE!</v>
      </c>
      <c r="BB45" s="84" t="e">
        <f t="shared" si="16"/>
        <v>#VALUE!</v>
      </c>
      <c r="BC45" t="e">
        <f>BE44*'Hypothetical vaccine model'!$J45*HelperFunctions!$R$28</f>
        <v>#VALUE!</v>
      </c>
      <c r="BD45" t="e">
        <f>BE44*'Hypothetical vaccine model'!$K45</f>
        <v>#VALUE!</v>
      </c>
      <c r="BE45" s="84" t="e">
        <f t="shared" si="17"/>
        <v>#VALUE!</v>
      </c>
      <c r="BF45" t="e">
        <f>BH44*'Hypothetical vaccine model'!$J45*HelperFunctions!$R$28</f>
        <v>#VALUE!</v>
      </c>
      <c r="BG45" t="e">
        <f>BH44*'Hypothetical vaccine model'!$K45</f>
        <v>#VALUE!</v>
      </c>
      <c r="BH45" s="84" t="e">
        <f t="shared" si="18"/>
        <v>#VALUE!</v>
      </c>
      <c r="BI45" t="e">
        <f>BK44*'Hypothetical vaccine model'!$J45*HelperFunctions!$R$28</f>
        <v>#VALUE!</v>
      </c>
      <c r="BJ45" t="e">
        <f>BK44*'Hypothetical vaccine model'!$K45</f>
        <v>#VALUE!</v>
      </c>
      <c r="BK45" s="84" t="e">
        <f t="shared" si="19"/>
        <v>#VALUE!</v>
      </c>
      <c r="BL45" t="e">
        <f>BN44*'Hypothetical vaccine model'!$J45*HelperFunctions!$R$28</f>
        <v>#VALUE!</v>
      </c>
      <c r="BM45" t="e">
        <f>BN44*'Hypothetical vaccine model'!$K45</f>
        <v>#VALUE!</v>
      </c>
      <c r="BN45" s="84" t="e">
        <f t="shared" si="20"/>
        <v>#VALUE!</v>
      </c>
      <c r="BO45" t="e">
        <f>BQ44*'Hypothetical vaccine model'!$J45*HelperFunctions!$R$28</f>
        <v>#VALUE!</v>
      </c>
      <c r="BP45" t="e">
        <f>BQ44*'Hypothetical vaccine model'!$K45</f>
        <v>#VALUE!</v>
      </c>
      <c r="BQ45" s="84" t="e">
        <f t="shared" si="21"/>
        <v>#VALUE!</v>
      </c>
      <c r="BR45" t="e">
        <f>BT44*'Hypothetical vaccine model'!$J45*HelperFunctions!$R$28</f>
        <v>#VALUE!</v>
      </c>
      <c r="BS45" t="e">
        <f>BT44*'Hypothetical vaccine model'!$K45</f>
        <v>#VALUE!</v>
      </c>
      <c r="BT45" s="84" t="e">
        <f t="shared" si="22"/>
        <v>#VALUE!</v>
      </c>
      <c r="BU45" t="e">
        <f>BW44*'Hypothetical vaccine model'!$J45*HelperFunctions!$R$28</f>
        <v>#VALUE!</v>
      </c>
      <c r="BV45" t="e">
        <f>BW44*'Hypothetical vaccine model'!$K45</f>
        <v>#VALUE!</v>
      </c>
      <c r="BW45" s="84" t="e">
        <f t="shared" si="23"/>
        <v>#VALUE!</v>
      </c>
      <c r="BX45" t="e">
        <f>BZ44*'Hypothetical vaccine model'!$J45*HelperFunctions!$R$42</f>
        <v>#VALUE!</v>
      </c>
      <c r="BY45" t="e">
        <f>BZ44*'Hypothetical vaccine model'!$K45</f>
        <v>#VALUE!</v>
      </c>
      <c r="BZ45" s="84" t="e">
        <f t="shared" si="24"/>
        <v>#VALUE!</v>
      </c>
      <c r="CA45" t="e">
        <f>CC44*'Hypothetical vaccine model'!$J45*HelperFunctions!$R$42</f>
        <v>#VALUE!</v>
      </c>
      <c r="CB45" t="e">
        <f>CC44*'Hypothetical vaccine model'!$K45</f>
        <v>#VALUE!</v>
      </c>
      <c r="CC45" s="84" t="e">
        <f t="shared" si="25"/>
        <v>#VALUE!</v>
      </c>
      <c r="CD45" t="e">
        <f>CF44*'Hypothetical vaccine model'!$J45*HelperFunctions!$R$42</f>
        <v>#VALUE!</v>
      </c>
      <c r="CE45" t="e">
        <f>CF44*'Hypothetical vaccine model'!$K45</f>
        <v>#VALUE!</v>
      </c>
      <c r="CF45" s="84" t="e">
        <f t="shared" si="26"/>
        <v>#VALUE!</v>
      </c>
      <c r="CG45" t="e">
        <f>CI44*'Hypothetical vaccine model'!$J45*HelperFunctions!$R$42</f>
        <v>#VALUE!</v>
      </c>
      <c r="CH45" t="e">
        <f>CI44*'Hypothetical vaccine model'!$K45</f>
        <v>#VALUE!</v>
      </c>
      <c r="CI45" s="84" t="e">
        <f t="shared" si="27"/>
        <v>#VALUE!</v>
      </c>
      <c r="CJ45" t="e">
        <f>CL44*'Hypothetical vaccine model'!$J45*HelperFunctions!$R$42</f>
        <v>#VALUE!</v>
      </c>
      <c r="CK45" t="e">
        <f>CL44*'Hypothetical vaccine model'!$K45</f>
        <v>#VALUE!</v>
      </c>
      <c r="CL45" s="84" t="e">
        <f t="shared" si="28"/>
        <v>#VALUE!</v>
      </c>
      <c r="CM45" t="e">
        <f>CO44*'Hypothetical vaccine model'!$J45*HelperFunctions!$R$42</f>
        <v>#VALUE!</v>
      </c>
      <c r="CN45" t="e">
        <f>CO44*'Hypothetical vaccine model'!$K45</f>
        <v>#VALUE!</v>
      </c>
      <c r="CO45" s="84" t="e">
        <f t="shared" si="29"/>
        <v>#VALUE!</v>
      </c>
      <c r="CP45" t="e">
        <f>CR44*'Hypothetical vaccine model'!$J45*HelperFunctions!$R41</f>
        <v>#VALUE!</v>
      </c>
      <c r="CQ45" t="e">
        <f>CR44*'Hypothetical vaccine model'!$K45</f>
        <v>#VALUE!</v>
      </c>
      <c r="CR45" s="84" t="e">
        <f t="shared" si="30"/>
        <v>#VALUE!</v>
      </c>
      <c r="CS45" t="e">
        <f>CU44*'Hypothetical vaccine model'!$J45*HelperFunctions!$R40</f>
        <v>#VALUE!</v>
      </c>
      <c r="CT45" t="e">
        <f>CU44*'Hypothetical vaccine model'!$K45</f>
        <v>#VALUE!</v>
      </c>
      <c r="CU45" s="84" t="e">
        <f t="shared" si="31"/>
        <v>#VALUE!</v>
      </c>
      <c r="CV45" t="e">
        <f>CX44*'Hypothetical vaccine model'!$J45*HelperFunctions!$R39</f>
        <v>#VALUE!</v>
      </c>
      <c r="CW45" t="e">
        <f>CX44*'Hypothetical vaccine model'!$K45</f>
        <v>#VALUE!</v>
      </c>
      <c r="CX45" s="84" t="e">
        <f t="shared" si="32"/>
        <v>#VALUE!</v>
      </c>
      <c r="CY45" t="e">
        <f>DA44*'Hypothetical vaccine model'!$J45*HelperFunctions!$R38</f>
        <v>#VALUE!</v>
      </c>
      <c r="CZ45" t="e">
        <f>DA44*'Hypothetical vaccine model'!$K45</f>
        <v>#VALUE!</v>
      </c>
      <c r="DA45" s="84" t="e">
        <f t="shared" si="33"/>
        <v>#VALUE!</v>
      </c>
      <c r="DB45" t="e">
        <f>DD44*'Hypothetical vaccine model'!$J45*HelperFunctions!$R37</f>
        <v>#VALUE!</v>
      </c>
      <c r="DC45" t="e">
        <f>DD44*'Hypothetical vaccine model'!$K45</f>
        <v>#VALUE!</v>
      </c>
      <c r="DD45" s="84" t="e">
        <f t="shared" si="34"/>
        <v>#VALUE!</v>
      </c>
      <c r="DE45" t="e">
        <f>DG44*'Hypothetical vaccine model'!$J45*HelperFunctions!$R36</f>
        <v>#VALUE!</v>
      </c>
      <c r="DF45" t="e">
        <f>DG44*'Hypothetical vaccine model'!$K45</f>
        <v>#VALUE!</v>
      </c>
      <c r="DG45" s="84" t="e">
        <f t="shared" si="35"/>
        <v>#VALUE!</v>
      </c>
      <c r="DH45" t="e">
        <f>DJ44*'Hypothetical vaccine model'!$J45*HelperFunctions!$R49</f>
        <v>#VALUE!</v>
      </c>
      <c r="DI45" t="e">
        <f>DJ44*'Hypothetical vaccine model'!$K45</f>
        <v>#VALUE!</v>
      </c>
      <c r="DJ45" s="84" t="e">
        <f t="shared" si="36"/>
        <v>#VALUE!</v>
      </c>
      <c r="DK45" t="e">
        <f>DM44*'Hypothetical vaccine model'!$J45*HelperFunctions!$R48</f>
        <v>#VALUE!</v>
      </c>
      <c r="DL45" t="e">
        <f>DM44*'Hypothetical vaccine model'!$K45</f>
        <v>#VALUE!</v>
      </c>
      <c r="DM45" s="84" t="e">
        <f t="shared" si="37"/>
        <v>#VALUE!</v>
      </c>
      <c r="DN45" t="e">
        <f>DP44*'Hypothetical vaccine model'!$J45*HelperFunctions!$R47</f>
        <v>#VALUE!</v>
      </c>
      <c r="DO45" t="e">
        <f>DP44*'Hypothetical vaccine model'!$K45</f>
        <v>#VALUE!</v>
      </c>
      <c r="DP45" s="84" t="e">
        <f t="shared" si="38"/>
        <v>#VALUE!</v>
      </c>
      <c r="DQ45" t="e">
        <f>DS44*'Hypothetical vaccine model'!$J45*HelperFunctions!$R46</f>
        <v>#VALUE!</v>
      </c>
      <c r="DR45" t="e">
        <f>DS44*'Hypothetical vaccine model'!$K45</f>
        <v>#VALUE!</v>
      </c>
      <c r="DS45" s="84" t="e">
        <f t="shared" ref="DS45:DS63" si="39">DS44-DQ45-DR45</f>
        <v>#VALUE!</v>
      </c>
      <c r="DT45" t="e">
        <f>DV44*'Hypothetical vaccine model'!$J45*HelperFunctions!$R45</f>
        <v>#VALUE!</v>
      </c>
      <c r="DU45" t="e">
        <f>DV44*'Hypothetical vaccine model'!$K45</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F45*'Hypothetical vaccine model'!J46*HelperFunctions!R$14</f>
        <v>#VALUE!</v>
      </c>
      <c r="E46" t="e">
        <f>F45*'Hypothetical vaccine model'!K46</f>
        <v>#VALUE!</v>
      </c>
      <c r="F46" s="84" t="e">
        <f t="shared" si="0"/>
        <v>#VALUE!</v>
      </c>
      <c r="G46" t="e">
        <f>I45*'Hypothetical vaccine model'!$J46*HelperFunctions!$R$14</f>
        <v>#VALUE!</v>
      </c>
      <c r="H46" t="e">
        <f>I45*'Hypothetical vaccine model'!$K46</f>
        <v>#VALUE!</v>
      </c>
      <c r="I46" s="84" t="e">
        <f t="shared" si="1"/>
        <v>#VALUE!</v>
      </c>
      <c r="J46" t="e">
        <f>L45*'Hypothetical vaccine model'!$J46*HelperFunctions!$R$14</f>
        <v>#VALUE!</v>
      </c>
      <c r="K46" t="e">
        <f>L45*'Hypothetical vaccine model'!$K46</f>
        <v>#VALUE!</v>
      </c>
      <c r="L46" s="84" t="e">
        <f t="shared" si="2"/>
        <v>#VALUE!</v>
      </c>
      <c r="M46" t="e">
        <f>O45*'Hypothetical vaccine model'!$J46*HelperFunctions!$R$14</f>
        <v>#VALUE!</v>
      </c>
      <c r="N46" t="e">
        <f>O45*'Hypothetical vaccine model'!$K46</f>
        <v>#VALUE!</v>
      </c>
      <c r="O46" s="84" t="e">
        <f t="shared" si="3"/>
        <v>#VALUE!</v>
      </c>
      <c r="P46" t="e">
        <f>R45*'Hypothetical vaccine model'!$J46*HelperFunctions!$R$14</f>
        <v>#VALUE!</v>
      </c>
      <c r="Q46" t="e">
        <f>R45*'Hypothetical vaccine model'!$K46</f>
        <v>#VALUE!</v>
      </c>
      <c r="R46" s="84" t="e">
        <f t="shared" si="4"/>
        <v>#VALUE!</v>
      </c>
      <c r="S46" t="e">
        <f>U45*'Hypothetical vaccine model'!$J46*HelperFunctions!$R$14</f>
        <v>#VALUE!</v>
      </c>
      <c r="T46" t="e">
        <f>U45*'Hypothetical vaccine model'!$K46</f>
        <v>#VALUE!</v>
      </c>
      <c r="U46" s="84" t="e">
        <f t="shared" si="5"/>
        <v>#VALUE!</v>
      </c>
      <c r="V46" t="e">
        <f>X45*'Hypothetical vaccine model'!$J46*HelperFunctions!$R$14</f>
        <v>#VALUE!</v>
      </c>
      <c r="W46" t="e">
        <f>X45*'Hypothetical vaccine model'!$K46</f>
        <v>#VALUE!</v>
      </c>
      <c r="X46" s="84" t="e">
        <f t="shared" si="6"/>
        <v>#VALUE!</v>
      </c>
      <c r="Y46" t="e">
        <f>AA45*'Hypothetical vaccine model'!$J46*HelperFunctions!$R$14</f>
        <v>#VALUE!</v>
      </c>
      <c r="Z46" t="e">
        <f>AA45*'Hypothetical vaccine model'!$K46</f>
        <v>#VALUE!</v>
      </c>
      <c r="AA46" s="84" t="e">
        <f t="shared" si="7"/>
        <v>#VALUE!</v>
      </c>
      <c r="AB46" t="e">
        <f>AD45*'Hypothetical vaccine model'!$J46*HelperFunctions!$R$14</f>
        <v>#VALUE!</v>
      </c>
      <c r="AC46" t="e">
        <f>AD45*'Hypothetical vaccine model'!$K46</f>
        <v>#VALUE!</v>
      </c>
      <c r="AD46" s="84" t="e">
        <f t="shared" si="8"/>
        <v>#VALUE!</v>
      </c>
      <c r="AE46" t="e">
        <f>AG45*'Hypothetical vaccine model'!$J46*HelperFunctions!$R$14</f>
        <v>#VALUE!</v>
      </c>
      <c r="AF46" t="e">
        <f>AG45*'Hypothetical vaccine model'!$K46</f>
        <v>#VALUE!</v>
      </c>
      <c r="AG46" s="84" t="e">
        <f t="shared" si="9"/>
        <v>#VALUE!</v>
      </c>
      <c r="AH46" t="e">
        <f>AJ45*'Hypothetical vaccine model'!$J46*HelperFunctions!$R$14</f>
        <v>#VALUE!</v>
      </c>
      <c r="AI46" t="e">
        <f>AJ45*'Hypothetical vaccine model'!$K46</f>
        <v>#VALUE!</v>
      </c>
      <c r="AJ46" s="84" t="e">
        <f t="shared" si="10"/>
        <v>#VALUE!</v>
      </c>
      <c r="AK46" t="e">
        <f>AM45*'Hypothetical vaccine model'!$J46*HelperFunctions!$R$14</f>
        <v>#VALUE!</v>
      </c>
      <c r="AL46" t="e">
        <f>AM45*'Hypothetical vaccine model'!$K46</f>
        <v>#VALUE!</v>
      </c>
      <c r="AM46" s="84" t="e">
        <f t="shared" si="11"/>
        <v>#VALUE!</v>
      </c>
      <c r="AN46" t="e">
        <f>AP45*'Hypothetical vaccine model'!$J46*HelperFunctions!$R$28</f>
        <v>#VALUE!</v>
      </c>
      <c r="AO46" t="e">
        <f>AP45*'Hypothetical vaccine model'!$K46</f>
        <v>#VALUE!</v>
      </c>
      <c r="AP46" s="84" t="e">
        <f t="shared" si="12"/>
        <v>#VALUE!</v>
      </c>
      <c r="AQ46" t="e">
        <f>AS45*'Hypothetical vaccine model'!$J46*HelperFunctions!$R$28</f>
        <v>#VALUE!</v>
      </c>
      <c r="AR46" t="e">
        <f>AS45*'Hypothetical vaccine model'!$K46</f>
        <v>#VALUE!</v>
      </c>
      <c r="AS46" s="84" t="e">
        <f t="shared" si="13"/>
        <v>#VALUE!</v>
      </c>
      <c r="AT46" t="e">
        <f>AV45*'Hypothetical vaccine model'!$J46*HelperFunctions!$R$28</f>
        <v>#VALUE!</v>
      </c>
      <c r="AU46" t="e">
        <f>AV45*'Hypothetical vaccine model'!$K46</f>
        <v>#VALUE!</v>
      </c>
      <c r="AV46" s="84" t="e">
        <f t="shared" si="14"/>
        <v>#VALUE!</v>
      </c>
      <c r="AW46" t="e">
        <f>AY45*'Hypothetical vaccine model'!$J46*HelperFunctions!$R$28</f>
        <v>#VALUE!</v>
      </c>
      <c r="AX46" t="e">
        <f>AY45*'Hypothetical vaccine model'!$K46</f>
        <v>#VALUE!</v>
      </c>
      <c r="AY46" s="84" t="e">
        <f t="shared" si="15"/>
        <v>#VALUE!</v>
      </c>
      <c r="AZ46" t="e">
        <f>BB45*'Hypothetical vaccine model'!$J46*HelperFunctions!$R$28</f>
        <v>#VALUE!</v>
      </c>
      <c r="BA46" t="e">
        <f>BB45*'Hypothetical vaccine model'!$K46</f>
        <v>#VALUE!</v>
      </c>
      <c r="BB46" s="84" t="e">
        <f t="shared" si="16"/>
        <v>#VALUE!</v>
      </c>
      <c r="BC46" t="e">
        <f>BE45*'Hypothetical vaccine model'!$J46*HelperFunctions!$R$28</f>
        <v>#VALUE!</v>
      </c>
      <c r="BD46" t="e">
        <f>BE45*'Hypothetical vaccine model'!$K46</f>
        <v>#VALUE!</v>
      </c>
      <c r="BE46" s="84" t="e">
        <f t="shared" si="17"/>
        <v>#VALUE!</v>
      </c>
      <c r="BF46" t="e">
        <f>BH45*'Hypothetical vaccine model'!$J46*HelperFunctions!$R$28</f>
        <v>#VALUE!</v>
      </c>
      <c r="BG46" t="e">
        <f>BH45*'Hypothetical vaccine model'!$K46</f>
        <v>#VALUE!</v>
      </c>
      <c r="BH46" s="84" t="e">
        <f t="shared" si="18"/>
        <v>#VALUE!</v>
      </c>
      <c r="BI46" t="e">
        <f>BK45*'Hypothetical vaccine model'!$J46*HelperFunctions!$R$28</f>
        <v>#VALUE!</v>
      </c>
      <c r="BJ46" t="e">
        <f>BK45*'Hypothetical vaccine model'!$K46</f>
        <v>#VALUE!</v>
      </c>
      <c r="BK46" s="84" t="e">
        <f t="shared" si="19"/>
        <v>#VALUE!</v>
      </c>
      <c r="BL46" t="e">
        <f>BN45*'Hypothetical vaccine model'!$J46*HelperFunctions!$R$28</f>
        <v>#VALUE!</v>
      </c>
      <c r="BM46" t="e">
        <f>BN45*'Hypothetical vaccine model'!$K46</f>
        <v>#VALUE!</v>
      </c>
      <c r="BN46" s="84" t="e">
        <f t="shared" si="20"/>
        <v>#VALUE!</v>
      </c>
      <c r="BO46" t="e">
        <f>BQ45*'Hypothetical vaccine model'!$J46*HelperFunctions!$R$28</f>
        <v>#VALUE!</v>
      </c>
      <c r="BP46" t="e">
        <f>BQ45*'Hypothetical vaccine model'!$K46</f>
        <v>#VALUE!</v>
      </c>
      <c r="BQ46" s="84" t="e">
        <f t="shared" si="21"/>
        <v>#VALUE!</v>
      </c>
      <c r="BR46" t="e">
        <f>BT45*'Hypothetical vaccine model'!$J46*HelperFunctions!$R$28</f>
        <v>#VALUE!</v>
      </c>
      <c r="BS46" t="e">
        <f>BT45*'Hypothetical vaccine model'!$K46</f>
        <v>#VALUE!</v>
      </c>
      <c r="BT46" s="84" t="e">
        <f t="shared" si="22"/>
        <v>#VALUE!</v>
      </c>
      <c r="BU46" t="e">
        <f>BW45*'Hypothetical vaccine model'!$J46*HelperFunctions!$R$28</f>
        <v>#VALUE!</v>
      </c>
      <c r="BV46" t="e">
        <f>BW45*'Hypothetical vaccine model'!$K46</f>
        <v>#VALUE!</v>
      </c>
      <c r="BW46" s="84" t="e">
        <f t="shared" si="23"/>
        <v>#VALUE!</v>
      </c>
      <c r="BX46" t="e">
        <f>BZ45*'Hypothetical vaccine model'!$J46*HelperFunctions!$R$42</f>
        <v>#VALUE!</v>
      </c>
      <c r="BY46" t="e">
        <f>BZ45*'Hypothetical vaccine model'!$K46</f>
        <v>#VALUE!</v>
      </c>
      <c r="BZ46" s="84" t="e">
        <f t="shared" si="24"/>
        <v>#VALUE!</v>
      </c>
      <c r="CA46" t="e">
        <f>CC45*'Hypothetical vaccine model'!$J46*HelperFunctions!$R$42</f>
        <v>#VALUE!</v>
      </c>
      <c r="CB46" t="e">
        <f>CC45*'Hypothetical vaccine model'!$K46</f>
        <v>#VALUE!</v>
      </c>
      <c r="CC46" s="84" t="e">
        <f t="shared" si="25"/>
        <v>#VALUE!</v>
      </c>
      <c r="CD46" t="e">
        <f>CF45*'Hypothetical vaccine model'!$J46*HelperFunctions!$R$42</f>
        <v>#VALUE!</v>
      </c>
      <c r="CE46" t="e">
        <f>CF45*'Hypothetical vaccine model'!$K46</f>
        <v>#VALUE!</v>
      </c>
      <c r="CF46" s="84" t="e">
        <f t="shared" si="26"/>
        <v>#VALUE!</v>
      </c>
      <c r="CG46" t="e">
        <f>CI45*'Hypothetical vaccine model'!$J46*HelperFunctions!$R$42</f>
        <v>#VALUE!</v>
      </c>
      <c r="CH46" t="e">
        <f>CI45*'Hypothetical vaccine model'!$K46</f>
        <v>#VALUE!</v>
      </c>
      <c r="CI46" s="84" t="e">
        <f t="shared" si="27"/>
        <v>#VALUE!</v>
      </c>
      <c r="CJ46" t="e">
        <f>CL45*'Hypothetical vaccine model'!$J46*HelperFunctions!$R$42</f>
        <v>#VALUE!</v>
      </c>
      <c r="CK46" t="e">
        <f>CL45*'Hypothetical vaccine model'!$K46</f>
        <v>#VALUE!</v>
      </c>
      <c r="CL46" s="84" t="e">
        <f t="shared" si="28"/>
        <v>#VALUE!</v>
      </c>
      <c r="CM46" t="e">
        <f>CO45*'Hypothetical vaccine model'!$J46*HelperFunctions!$R$42</f>
        <v>#VALUE!</v>
      </c>
      <c r="CN46" t="e">
        <f>CO45*'Hypothetical vaccine model'!$K46</f>
        <v>#VALUE!</v>
      </c>
      <c r="CO46" s="84" t="e">
        <f t="shared" si="29"/>
        <v>#VALUE!</v>
      </c>
      <c r="CP46" t="e">
        <f>CR45*'Hypothetical vaccine model'!$J46*HelperFunctions!$R$42</f>
        <v>#VALUE!</v>
      </c>
      <c r="CQ46" t="e">
        <f>CR45*'Hypothetical vaccine model'!$K46</f>
        <v>#VALUE!</v>
      </c>
      <c r="CR46" s="84" t="e">
        <f t="shared" si="30"/>
        <v>#VALUE!</v>
      </c>
      <c r="CS46" t="e">
        <f>CU45*'Hypothetical vaccine model'!$J46*HelperFunctions!$R41</f>
        <v>#VALUE!</v>
      </c>
      <c r="CT46" t="e">
        <f>CU45*'Hypothetical vaccine model'!$K46</f>
        <v>#VALUE!</v>
      </c>
      <c r="CU46" s="84" t="e">
        <f t="shared" si="31"/>
        <v>#VALUE!</v>
      </c>
      <c r="CV46" t="e">
        <f>CX45*'Hypothetical vaccine model'!$J46*HelperFunctions!$R40</f>
        <v>#VALUE!</v>
      </c>
      <c r="CW46" t="e">
        <f>CX45*'Hypothetical vaccine model'!$K46</f>
        <v>#VALUE!</v>
      </c>
      <c r="CX46" s="84" t="e">
        <f t="shared" si="32"/>
        <v>#VALUE!</v>
      </c>
      <c r="CY46" t="e">
        <f>DA45*'Hypothetical vaccine model'!$J46*HelperFunctions!$R39</f>
        <v>#VALUE!</v>
      </c>
      <c r="CZ46" t="e">
        <f>DA45*'Hypothetical vaccine model'!$K46</f>
        <v>#VALUE!</v>
      </c>
      <c r="DA46" s="84" t="e">
        <f t="shared" si="33"/>
        <v>#VALUE!</v>
      </c>
      <c r="DB46" t="e">
        <f>DD45*'Hypothetical vaccine model'!$J46*HelperFunctions!$R38</f>
        <v>#VALUE!</v>
      </c>
      <c r="DC46" t="e">
        <f>DD45*'Hypothetical vaccine model'!$K46</f>
        <v>#VALUE!</v>
      </c>
      <c r="DD46" s="84" t="e">
        <f t="shared" si="34"/>
        <v>#VALUE!</v>
      </c>
      <c r="DE46" t="e">
        <f>DG45*'Hypothetical vaccine model'!$J46*HelperFunctions!$R37</f>
        <v>#VALUE!</v>
      </c>
      <c r="DF46" t="e">
        <f>DG45*'Hypothetical vaccine model'!$K46</f>
        <v>#VALUE!</v>
      </c>
      <c r="DG46" s="84" t="e">
        <f t="shared" si="35"/>
        <v>#VALUE!</v>
      </c>
      <c r="DH46" t="e">
        <f>DJ45*'Hypothetical vaccine model'!$J46*HelperFunctions!$R50</f>
        <v>#VALUE!</v>
      </c>
      <c r="DI46" t="e">
        <f>DJ45*'Hypothetical vaccine model'!$K46</f>
        <v>#VALUE!</v>
      </c>
      <c r="DJ46" s="84" t="e">
        <f t="shared" si="36"/>
        <v>#VALUE!</v>
      </c>
      <c r="DK46" t="e">
        <f>DM45*'Hypothetical vaccine model'!$J46*HelperFunctions!$R49</f>
        <v>#VALUE!</v>
      </c>
      <c r="DL46" t="e">
        <f>DM45*'Hypothetical vaccine model'!$K46</f>
        <v>#VALUE!</v>
      </c>
      <c r="DM46" s="84" t="e">
        <f t="shared" si="37"/>
        <v>#VALUE!</v>
      </c>
      <c r="DN46" t="e">
        <f>DP45*'Hypothetical vaccine model'!$J46*HelperFunctions!$R48</f>
        <v>#VALUE!</v>
      </c>
      <c r="DO46" t="e">
        <f>DP45*'Hypothetical vaccine model'!$K46</f>
        <v>#VALUE!</v>
      </c>
      <c r="DP46" s="84" t="e">
        <f t="shared" si="38"/>
        <v>#VALUE!</v>
      </c>
      <c r="DQ46" t="e">
        <f>DS45*'Hypothetical vaccine model'!$J46*HelperFunctions!$R47</f>
        <v>#VALUE!</v>
      </c>
      <c r="DR46" t="e">
        <f>DS45*'Hypothetical vaccine model'!$K46</f>
        <v>#VALUE!</v>
      </c>
      <c r="DS46" s="84" t="e">
        <f t="shared" si="39"/>
        <v>#VALUE!</v>
      </c>
      <c r="DT46" t="e">
        <f>DV45*'Hypothetical vaccine model'!$J46*HelperFunctions!$R46</f>
        <v>#VALUE!</v>
      </c>
      <c r="DU46" t="e">
        <f>DV45*'Hypothetical vaccine model'!$K46</f>
        <v>#VALUE!</v>
      </c>
      <c r="DV46" s="84" t="e">
        <f t="shared" ref="DV46:DV63" si="40">DV45-DT46-DU46</f>
        <v>#VALUE!</v>
      </c>
      <c r="DW46" t="e">
        <f>DY45*'Hypothetical vaccine model'!$J46*HelperFunctions!$R45</f>
        <v>#VALUE!</v>
      </c>
      <c r="DX46" t="e">
        <f>DY45*'Hypothetical vaccine model'!$K46</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F46*'Hypothetical vaccine model'!J47*HelperFunctions!R$14</f>
        <v>#VALUE!</v>
      </c>
      <c r="E47" t="e">
        <f>F46*'Hypothetical vaccine model'!K47</f>
        <v>#VALUE!</v>
      </c>
      <c r="F47" s="84" t="e">
        <f t="shared" si="0"/>
        <v>#VALUE!</v>
      </c>
      <c r="G47" t="e">
        <f>I46*'Hypothetical vaccine model'!$J47*HelperFunctions!$R$14</f>
        <v>#VALUE!</v>
      </c>
      <c r="H47" t="e">
        <f>I46*'Hypothetical vaccine model'!$K47</f>
        <v>#VALUE!</v>
      </c>
      <c r="I47" s="84" t="e">
        <f t="shared" si="1"/>
        <v>#VALUE!</v>
      </c>
      <c r="J47" t="e">
        <f>L46*'Hypothetical vaccine model'!$J47*HelperFunctions!$R$14</f>
        <v>#VALUE!</v>
      </c>
      <c r="K47" t="e">
        <f>L46*'Hypothetical vaccine model'!$K47</f>
        <v>#VALUE!</v>
      </c>
      <c r="L47" s="84" t="e">
        <f t="shared" si="2"/>
        <v>#VALUE!</v>
      </c>
      <c r="M47" t="e">
        <f>O46*'Hypothetical vaccine model'!$J47*HelperFunctions!$R$14</f>
        <v>#VALUE!</v>
      </c>
      <c r="N47" t="e">
        <f>O46*'Hypothetical vaccine model'!$K47</f>
        <v>#VALUE!</v>
      </c>
      <c r="O47" s="84" t="e">
        <f t="shared" si="3"/>
        <v>#VALUE!</v>
      </c>
      <c r="P47" t="e">
        <f>R46*'Hypothetical vaccine model'!$J47*HelperFunctions!$R$14</f>
        <v>#VALUE!</v>
      </c>
      <c r="Q47" t="e">
        <f>R46*'Hypothetical vaccine model'!$K47</f>
        <v>#VALUE!</v>
      </c>
      <c r="R47" s="84" t="e">
        <f t="shared" si="4"/>
        <v>#VALUE!</v>
      </c>
      <c r="S47" t="e">
        <f>U46*'Hypothetical vaccine model'!$J47*HelperFunctions!$R$14</f>
        <v>#VALUE!</v>
      </c>
      <c r="T47" t="e">
        <f>U46*'Hypothetical vaccine model'!$K47</f>
        <v>#VALUE!</v>
      </c>
      <c r="U47" s="84" t="e">
        <f t="shared" si="5"/>
        <v>#VALUE!</v>
      </c>
      <c r="V47" t="e">
        <f>X46*'Hypothetical vaccine model'!$J47*HelperFunctions!$R$14</f>
        <v>#VALUE!</v>
      </c>
      <c r="W47" t="e">
        <f>X46*'Hypothetical vaccine model'!$K47</f>
        <v>#VALUE!</v>
      </c>
      <c r="X47" s="84" t="e">
        <f t="shared" si="6"/>
        <v>#VALUE!</v>
      </c>
      <c r="Y47" t="e">
        <f>AA46*'Hypothetical vaccine model'!$J47*HelperFunctions!$R$14</f>
        <v>#VALUE!</v>
      </c>
      <c r="Z47" t="e">
        <f>AA46*'Hypothetical vaccine model'!$K47</f>
        <v>#VALUE!</v>
      </c>
      <c r="AA47" s="84" t="e">
        <f t="shared" si="7"/>
        <v>#VALUE!</v>
      </c>
      <c r="AB47" t="e">
        <f>AD46*'Hypothetical vaccine model'!$J47*HelperFunctions!$R$14</f>
        <v>#VALUE!</v>
      </c>
      <c r="AC47" t="e">
        <f>AD46*'Hypothetical vaccine model'!$K47</f>
        <v>#VALUE!</v>
      </c>
      <c r="AD47" s="84" t="e">
        <f t="shared" si="8"/>
        <v>#VALUE!</v>
      </c>
      <c r="AE47" t="e">
        <f>AG46*'Hypothetical vaccine model'!$J47*HelperFunctions!$R$14</f>
        <v>#VALUE!</v>
      </c>
      <c r="AF47" t="e">
        <f>AG46*'Hypothetical vaccine model'!$K47</f>
        <v>#VALUE!</v>
      </c>
      <c r="AG47" s="84" t="e">
        <f t="shared" si="9"/>
        <v>#VALUE!</v>
      </c>
      <c r="AH47" t="e">
        <f>AJ46*'Hypothetical vaccine model'!$J47*HelperFunctions!$R$14</f>
        <v>#VALUE!</v>
      </c>
      <c r="AI47" t="e">
        <f>AJ46*'Hypothetical vaccine model'!$K47</f>
        <v>#VALUE!</v>
      </c>
      <c r="AJ47" s="84" t="e">
        <f t="shared" si="10"/>
        <v>#VALUE!</v>
      </c>
      <c r="AK47" t="e">
        <f>AM46*'Hypothetical vaccine model'!$J47*HelperFunctions!$R$14</f>
        <v>#VALUE!</v>
      </c>
      <c r="AL47" t="e">
        <f>AM46*'Hypothetical vaccine model'!$K47</f>
        <v>#VALUE!</v>
      </c>
      <c r="AM47" s="84" t="e">
        <f t="shared" si="11"/>
        <v>#VALUE!</v>
      </c>
      <c r="AN47" t="e">
        <f>AP46*'Hypothetical vaccine model'!$J47*HelperFunctions!$R$28</f>
        <v>#VALUE!</v>
      </c>
      <c r="AO47" t="e">
        <f>AP46*'Hypothetical vaccine model'!$K47</f>
        <v>#VALUE!</v>
      </c>
      <c r="AP47" s="84" t="e">
        <f t="shared" si="12"/>
        <v>#VALUE!</v>
      </c>
      <c r="AQ47" t="e">
        <f>AS46*'Hypothetical vaccine model'!$J47*HelperFunctions!$R$28</f>
        <v>#VALUE!</v>
      </c>
      <c r="AR47" t="e">
        <f>AS46*'Hypothetical vaccine model'!$K47</f>
        <v>#VALUE!</v>
      </c>
      <c r="AS47" s="84" t="e">
        <f t="shared" si="13"/>
        <v>#VALUE!</v>
      </c>
      <c r="AT47" t="e">
        <f>AV46*'Hypothetical vaccine model'!$J47*HelperFunctions!$R$28</f>
        <v>#VALUE!</v>
      </c>
      <c r="AU47" t="e">
        <f>AV46*'Hypothetical vaccine model'!$K47</f>
        <v>#VALUE!</v>
      </c>
      <c r="AV47" s="84" t="e">
        <f t="shared" si="14"/>
        <v>#VALUE!</v>
      </c>
      <c r="AW47" t="e">
        <f>AY46*'Hypothetical vaccine model'!$J47*HelperFunctions!$R$28</f>
        <v>#VALUE!</v>
      </c>
      <c r="AX47" t="e">
        <f>AY46*'Hypothetical vaccine model'!$K47</f>
        <v>#VALUE!</v>
      </c>
      <c r="AY47" s="84" t="e">
        <f t="shared" si="15"/>
        <v>#VALUE!</v>
      </c>
      <c r="AZ47" t="e">
        <f>BB46*'Hypothetical vaccine model'!$J47*HelperFunctions!$R$28</f>
        <v>#VALUE!</v>
      </c>
      <c r="BA47" t="e">
        <f>BB46*'Hypothetical vaccine model'!$K47</f>
        <v>#VALUE!</v>
      </c>
      <c r="BB47" s="84" t="e">
        <f t="shared" si="16"/>
        <v>#VALUE!</v>
      </c>
      <c r="BC47" t="e">
        <f>BE46*'Hypothetical vaccine model'!$J47*HelperFunctions!$R$28</f>
        <v>#VALUE!</v>
      </c>
      <c r="BD47" t="e">
        <f>BE46*'Hypothetical vaccine model'!$K47</f>
        <v>#VALUE!</v>
      </c>
      <c r="BE47" s="84" t="e">
        <f t="shared" si="17"/>
        <v>#VALUE!</v>
      </c>
      <c r="BF47" t="e">
        <f>BH46*'Hypothetical vaccine model'!$J47*HelperFunctions!$R$28</f>
        <v>#VALUE!</v>
      </c>
      <c r="BG47" t="e">
        <f>BH46*'Hypothetical vaccine model'!$K47</f>
        <v>#VALUE!</v>
      </c>
      <c r="BH47" s="84" t="e">
        <f t="shared" si="18"/>
        <v>#VALUE!</v>
      </c>
      <c r="BI47" t="e">
        <f>BK46*'Hypothetical vaccine model'!$J47*HelperFunctions!$R$28</f>
        <v>#VALUE!</v>
      </c>
      <c r="BJ47" t="e">
        <f>BK46*'Hypothetical vaccine model'!$K47</f>
        <v>#VALUE!</v>
      </c>
      <c r="BK47" s="84" t="e">
        <f t="shared" si="19"/>
        <v>#VALUE!</v>
      </c>
      <c r="BL47" t="e">
        <f>BN46*'Hypothetical vaccine model'!$J47*HelperFunctions!$R$28</f>
        <v>#VALUE!</v>
      </c>
      <c r="BM47" t="e">
        <f>BN46*'Hypothetical vaccine model'!$K47</f>
        <v>#VALUE!</v>
      </c>
      <c r="BN47" s="84" t="e">
        <f t="shared" si="20"/>
        <v>#VALUE!</v>
      </c>
      <c r="BO47" t="e">
        <f>BQ46*'Hypothetical vaccine model'!$J47*HelperFunctions!$R$28</f>
        <v>#VALUE!</v>
      </c>
      <c r="BP47" t="e">
        <f>BQ46*'Hypothetical vaccine model'!$K47</f>
        <v>#VALUE!</v>
      </c>
      <c r="BQ47" s="84" t="e">
        <f t="shared" si="21"/>
        <v>#VALUE!</v>
      </c>
      <c r="BR47" t="e">
        <f>BT46*'Hypothetical vaccine model'!$J47*HelperFunctions!$R$28</f>
        <v>#VALUE!</v>
      </c>
      <c r="BS47" t="e">
        <f>BT46*'Hypothetical vaccine model'!$K47</f>
        <v>#VALUE!</v>
      </c>
      <c r="BT47" s="84" t="e">
        <f t="shared" si="22"/>
        <v>#VALUE!</v>
      </c>
      <c r="BU47" t="e">
        <f>BW46*'Hypothetical vaccine model'!$J47*HelperFunctions!$R$28</f>
        <v>#VALUE!</v>
      </c>
      <c r="BV47" t="e">
        <f>BW46*'Hypothetical vaccine model'!$K47</f>
        <v>#VALUE!</v>
      </c>
      <c r="BW47" s="84" t="e">
        <f t="shared" si="23"/>
        <v>#VALUE!</v>
      </c>
      <c r="BX47" t="e">
        <f>BZ46*'Hypothetical vaccine model'!$J47*HelperFunctions!$R$42</f>
        <v>#VALUE!</v>
      </c>
      <c r="BY47" t="e">
        <f>BZ46*'Hypothetical vaccine model'!$K47</f>
        <v>#VALUE!</v>
      </c>
      <c r="BZ47" s="84" t="e">
        <f t="shared" si="24"/>
        <v>#VALUE!</v>
      </c>
      <c r="CA47" t="e">
        <f>CC46*'Hypothetical vaccine model'!$J47*HelperFunctions!$R$42</f>
        <v>#VALUE!</v>
      </c>
      <c r="CB47" t="e">
        <f>CC46*'Hypothetical vaccine model'!$K47</f>
        <v>#VALUE!</v>
      </c>
      <c r="CC47" s="84" t="e">
        <f t="shared" si="25"/>
        <v>#VALUE!</v>
      </c>
      <c r="CD47" t="e">
        <f>CF46*'Hypothetical vaccine model'!$J47*HelperFunctions!$R$42</f>
        <v>#VALUE!</v>
      </c>
      <c r="CE47" t="e">
        <f>CF46*'Hypothetical vaccine model'!$K47</f>
        <v>#VALUE!</v>
      </c>
      <c r="CF47" s="84" t="e">
        <f t="shared" si="26"/>
        <v>#VALUE!</v>
      </c>
      <c r="CG47" t="e">
        <f>CI46*'Hypothetical vaccine model'!$J47*HelperFunctions!$R$42</f>
        <v>#VALUE!</v>
      </c>
      <c r="CH47" t="e">
        <f>CI46*'Hypothetical vaccine model'!$K47</f>
        <v>#VALUE!</v>
      </c>
      <c r="CI47" s="84" t="e">
        <f t="shared" si="27"/>
        <v>#VALUE!</v>
      </c>
      <c r="CJ47" t="e">
        <f>CL46*'Hypothetical vaccine model'!$J47*HelperFunctions!$R$42</f>
        <v>#VALUE!</v>
      </c>
      <c r="CK47" t="e">
        <f>CL46*'Hypothetical vaccine model'!$K47</f>
        <v>#VALUE!</v>
      </c>
      <c r="CL47" s="84" t="e">
        <f t="shared" si="28"/>
        <v>#VALUE!</v>
      </c>
      <c r="CM47" t="e">
        <f>CO46*'Hypothetical vaccine model'!$J47*HelperFunctions!$R$42</f>
        <v>#VALUE!</v>
      </c>
      <c r="CN47" t="e">
        <f>CO46*'Hypothetical vaccine model'!$K47</f>
        <v>#VALUE!</v>
      </c>
      <c r="CO47" s="84" t="e">
        <f t="shared" si="29"/>
        <v>#VALUE!</v>
      </c>
      <c r="CP47" t="e">
        <f>CR46*'Hypothetical vaccine model'!$J47*HelperFunctions!$R$42</f>
        <v>#VALUE!</v>
      </c>
      <c r="CQ47" t="e">
        <f>CR46*'Hypothetical vaccine model'!$K47</f>
        <v>#VALUE!</v>
      </c>
      <c r="CR47" s="84" t="e">
        <f t="shared" si="30"/>
        <v>#VALUE!</v>
      </c>
      <c r="CS47" t="e">
        <f>CU46*'Hypothetical vaccine model'!$J47*HelperFunctions!$R$42</f>
        <v>#VALUE!</v>
      </c>
      <c r="CT47" t="e">
        <f>CU46*'Hypothetical vaccine model'!$K47</f>
        <v>#VALUE!</v>
      </c>
      <c r="CU47" s="84" t="e">
        <f t="shared" si="31"/>
        <v>#VALUE!</v>
      </c>
      <c r="CV47" t="e">
        <f>CX46*'Hypothetical vaccine model'!$J47*HelperFunctions!$R41</f>
        <v>#VALUE!</v>
      </c>
      <c r="CW47" t="e">
        <f>CX46*'Hypothetical vaccine model'!$K47</f>
        <v>#VALUE!</v>
      </c>
      <c r="CX47" s="84" t="e">
        <f t="shared" si="32"/>
        <v>#VALUE!</v>
      </c>
      <c r="CY47" t="e">
        <f>DA46*'Hypothetical vaccine model'!$J47*HelperFunctions!$R40</f>
        <v>#VALUE!</v>
      </c>
      <c r="CZ47" t="e">
        <f>DA46*'Hypothetical vaccine model'!$K47</f>
        <v>#VALUE!</v>
      </c>
      <c r="DA47" s="84" t="e">
        <f t="shared" si="33"/>
        <v>#VALUE!</v>
      </c>
      <c r="DB47" t="e">
        <f>DD46*'Hypothetical vaccine model'!$J47*HelperFunctions!$R39</f>
        <v>#VALUE!</v>
      </c>
      <c r="DC47" t="e">
        <f>DD46*'Hypothetical vaccine model'!$K47</f>
        <v>#VALUE!</v>
      </c>
      <c r="DD47" s="84" t="e">
        <f t="shared" si="34"/>
        <v>#VALUE!</v>
      </c>
      <c r="DE47" t="e">
        <f>DG46*'Hypothetical vaccine model'!$J47*HelperFunctions!$R38</f>
        <v>#VALUE!</v>
      </c>
      <c r="DF47" t="e">
        <f>DG46*'Hypothetical vaccine model'!$K47</f>
        <v>#VALUE!</v>
      </c>
      <c r="DG47" s="84" t="e">
        <f t="shared" si="35"/>
        <v>#VALUE!</v>
      </c>
      <c r="DH47" t="e">
        <f>DJ46*'Hypothetical vaccine model'!$J47*HelperFunctions!$R51</f>
        <v>#VALUE!</v>
      </c>
      <c r="DI47" t="e">
        <f>DJ46*'Hypothetical vaccine model'!$K47</f>
        <v>#VALUE!</v>
      </c>
      <c r="DJ47" s="84" t="e">
        <f t="shared" si="36"/>
        <v>#VALUE!</v>
      </c>
      <c r="DK47" t="e">
        <f>DM46*'Hypothetical vaccine model'!$J47*HelperFunctions!$R50</f>
        <v>#VALUE!</v>
      </c>
      <c r="DL47" t="e">
        <f>DM46*'Hypothetical vaccine model'!$K47</f>
        <v>#VALUE!</v>
      </c>
      <c r="DM47" s="84" t="e">
        <f t="shared" si="37"/>
        <v>#VALUE!</v>
      </c>
      <c r="DN47" t="e">
        <f>DP46*'Hypothetical vaccine model'!$J47*HelperFunctions!$R49</f>
        <v>#VALUE!</v>
      </c>
      <c r="DO47" t="e">
        <f>DP46*'Hypothetical vaccine model'!$K47</f>
        <v>#VALUE!</v>
      </c>
      <c r="DP47" s="84" t="e">
        <f t="shared" si="38"/>
        <v>#VALUE!</v>
      </c>
      <c r="DQ47" t="e">
        <f>DS46*'Hypothetical vaccine model'!$J47*HelperFunctions!$R48</f>
        <v>#VALUE!</v>
      </c>
      <c r="DR47" t="e">
        <f>DS46*'Hypothetical vaccine model'!$K47</f>
        <v>#VALUE!</v>
      </c>
      <c r="DS47" s="84" t="e">
        <f t="shared" si="39"/>
        <v>#VALUE!</v>
      </c>
      <c r="DT47" t="e">
        <f>DV46*'Hypothetical vaccine model'!$J47*HelperFunctions!$R47</f>
        <v>#VALUE!</v>
      </c>
      <c r="DU47" t="e">
        <f>DV46*'Hypothetical vaccine model'!$K47</f>
        <v>#VALUE!</v>
      </c>
      <c r="DV47" s="84" t="e">
        <f t="shared" si="40"/>
        <v>#VALUE!</v>
      </c>
      <c r="DW47" t="e">
        <f>DY46*'Hypothetical vaccine model'!$J47*HelperFunctions!$R46</f>
        <v>#VALUE!</v>
      </c>
      <c r="DX47" t="e">
        <f>DY46*'Hypothetical vaccine model'!$K47</f>
        <v>#VALUE!</v>
      </c>
      <c r="DY47" s="84" t="e">
        <f t="shared" ref="DY47:DY63" si="41">DY46-DW47-DX47</f>
        <v>#VALUE!</v>
      </c>
      <c r="DZ47" t="e">
        <f>EB46*'Hypothetical vaccine model'!$J47*HelperFunctions!$R45</f>
        <v>#VALUE!</v>
      </c>
      <c r="EA47" t="e">
        <f>EB46*'Hypothetical vaccine model'!$K47</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F47*'Hypothetical vaccine model'!J48*HelperFunctions!R$14</f>
        <v>#VALUE!</v>
      </c>
      <c r="E48" t="e">
        <f>F47*'Hypothetical vaccine model'!K48</f>
        <v>#VALUE!</v>
      </c>
      <c r="F48" s="84" t="e">
        <f t="shared" si="0"/>
        <v>#VALUE!</v>
      </c>
      <c r="G48" t="e">
        <f>I47*'Hypothetical vaccine model'!$J48*HelperFunctions!$R$14</f>
        <v>#VALUE!</v>
      </c>
      <c r="H48" t="e">
        <f>I47*'Hypothetical vaccine model'!$K48</f>
        <v>#VALUE!</v>
      </c>
      <c r="I48" s="84" t="e">
        <f t="shared" si="1"/>
        <v>#VALUE!</v>
      </c>
      <c r="J48" t="e">
        <f>L47*'Hypothetical vaccine model'!$J48*HelperFunctions!$R$14</f>
        <v>#VALUE!</v>
      </c>
      <c r="K48" t="e">
        <f>L47*'Hypothetical vaccine model'!$K48</f>
        <v>#VALUE!</v>
      </c>
      <c r="L48" s="84" t="e">
        <f t="shared" si="2"/>
        <v>#VALUE!</v>
      </c>
      <c r="M48" t="e">
        <f>O47*'Hypothetical vaccine model'!$J48*HelperFunctions!$R$14</f>
        <v>#VALUE!</v>
      </c>
      <c r="N48" t="e">
        <f>O47*'Hypothetical vaccine model'!$K48</f>
        <v>#VALUE!</v>
      </c>
      <c r="O48" s="84" t="e">
        <f t="shared" si="3"/>
        <v>#VALUE!</v>
      </c>
      <c r="P48" t="e">
        <f>R47*'Hypothetical vaccine model'!$J48*HelperFunctions!$R$14</f>
        <v>#VALUE!</v>
      </c>
      <c r="Q48" t="e">
        <f>R47*'Hypothetical vaccine model'!$K48</f>
        <v>#VALUE!</v>
      </c>
      <c r="R48" s="84" t="e">
        <f t="shared" si="4"/>
        <v>#VALUE!</v>
      </c>
      <c r="S48" t="e">
        <f>U47*'Hypothetical vaccine model'!$J48*HelperFunctions!$R$14</f>
        <v>#VALUE!</v>
      </c>
      <c r="T48" t="e">
        <f>U47*'Hypothetical vaccine model'!$K48</f>
        <v>#VALUE!</v>
      </c>
      <c r="U48" s="84" t="e">
        <f t="shared" si="5"/>
        <v>#VALUE!</v>
      </c>
      <c r="V48" t="e">
        <f>X47*'Hypothetical vaccine model'!$J48*HelperFunctions!$R$14</f>
        <v>#VALUE!</v>
      </c>
      <c r="W48" t="e">
        <f>X47*'Hypothetical vaccine model'!$K48</f>
        <v>#VALUE!</v>
      </c>
      <c r="X48" s="84" t="e">
        <f t="shared" si="6"/>
        <v>#VALUE!</v>
      </c>
      <c r="Y48" t="e">
        <f>AA47*'Hypothetical vaccine model'!$J48*HelperFunctions!$R$14</f>
        <v>#VALUE!</v>
      </c>
      <c r="Z48" t="e">
        <f>AA47*'Hypothetical vaccine model'!$K48</f>
        <v>#VALUE!</v>
      </c>
      <c r="AA48" s="84" t="e">
        <f t="shared" si="7"/>
        <v>#VALUE!</v>
      </c>
      <c r="AB48" t="e">
        <f>AD47*'Hypothetical vaccine model'!$J48*HelperFunctions!$R$14</f>
        <v>#VALUE!</v>
      </c>
      <c r="AC48" t="e">
        <f>AD47*'Hypothetical vaccine model'!$K48</f>
        <v>#VALUE!</v>
      </c>
      <c r="AD48" s="84" t="e">
        <f t="shared" si="8"/>
        <v>#VALUE!</v>
      </c>
      <c r="AE48" t="e">
        <f>AG47*'Hypothetical vaccine model'!$J48*HelperFunctions!$R$14</f>
        <v>#VALUE!</v>
      </c>
      <c r="AF48" t="e">
        <f>AG47*'Hypothetical vaccine model'!$K48</f>
        <v>#VALUE!</v>
      </c>
      <c r="AG48" s="84" t="e">
        <f t="shared" si="9"/>
        <v>#VALUE!</v>
      </c>
      <c r="AH48" t="e">
        <f>AJ47*'Hypothetical vaccine model'!$J48*HelperFunctions!$R$14</f>
        <v>#VALUE!</v>
      </c>
      <c r="AI48" t="e">
        <f>AJ47*'Hypothetical vaccine model'!$K48</f>
        <v>#VALUE!</v>
      </c>
      <c r="AJ48" s="84" t="e">
        <f t="shared" si="10"/>
        <v>#VALUE!</v>
      </c>
      <c r="AK48" t="e">
        <f>AM47*'Hypothetical vaccine model'!$J48*HelperFunctions!$R$14</f>
        <v>#VALUE!</v>
      </c>
      <c r="AL48" t="e">
        <f>AM47*'Hypothetical vaccine model'!$K48</f>
        <v>#VALUE!</v>
      </c>
      <c r="AM48" s="84" t="e">
        <f t="shared" si="11"/>
        <v>#VALUE!</v>
      </c>
      <c r="AN48" t="e">
        <f>AP47*'Hypothetical vaccine model'!$J48*HelperFunctions!$R$28</f>
        <v>#VALUE!</v>
      </c>
      <c r="AO48" t="e">
        <f>AP47*'Hypothetical vaccine model'!$K48</f>
        <v>#VALUE!</v>
      </c>
      <c r="AP48" s="84" t="e">
        <f t="shared" si="12"/>
        <v>#VALUE!</v>
      </c>
      <c r="AQ48" t="e">
        <f>AS47*'Hypothetical vaccine model'!$J48*HelperFunctions!$R$28</f>
        <v>#VALUE!</v>
      </c>
      <c r="AR48" t="e">
        <f>AS47*'Hypothetical vaccine model'!$K48</f>
        <v>#VALUE!</v>
      </c>
      <c r="AS48" s="84" t="e">
        <f t="shared" si="13"/>
        <v>#VALUE!</v>
      </c>
      <c r="AT48" t="e">
        <f>AV47*'Hypothetical vaccine model'!$J48*HelperFunctions!$R$28</f>
        <v>#VALUE!</v>
      </c>
      <c r="AU48" t="e">
        <f>AV47*'Hypothetical vaccine model'!$K48</f>
        <v>#VALUE!</v>
      </c>
      <c r="AV48" s="84" t="e">
        <f t="shared" si="14"/>
        <v>#VALUE!</v>
      </c>
      <c r="AW48" t="e">
        <f>AY47*'Hypothetical vaccine model'!$J48*HelperFunctions!$R$28</f>
        <v>#VALUE!</v>
      </c>
      <c r="AX48" t="e">
        <f>AY47*'Hypothetical vaccine model'!$K48</f>
        <v>#VALUE!</v>
      </c>
      <c r="AY48" s="84" t="e">
        <f t="shared" si="15"/>
        <v>#VALUE!</v>
      </c>
      <c r="AZ48" t="e">
        <f>BB47*'Hypothetical vaccine model'!$J48*HelperFunctions!$R$28</f>
        <v>#VALUE!</v>
      </c>
      <c r="BA48" t="e">
        <f>BB47*'Hypothetical vaccine model'!$K48</f>
        <v>#VALUE!</v>
      </c>
      <c r="BB48" s="84" t="e">
        <f t="shared" si="16"/>
        <v>#VALUE!</v>
      </c>
      <c r="BC48" t="e">
        <f>BE47*'Hypothetical vaccine model'!$J48*HelperFunctions!$R$28</f>
        <v>#VALUE!</v>
      </c>
      <c r="BD48" t="e">
        <f>BE47*'Hypothetical vaccine model'!$K48</f>
        <v>#VALUE!</v>
      </c>
      <c r="BE48" s="84" t="e">
        <f t="shared" si="17"/>
        <v>#VALUE!</v>
      </c>
      <c r="BF48" t="e">
        <f>BH47*'Hypothetical vaccine model'!$J48*HelperFunctions!$R$28</f>
        <v>#VALUE!</v>
      </c>
      <c r="BG48" t="e">
        <f>BH47*'Hypothetical vaccine model'!$K48</f>
        <v>#VALUE!</v>
      </c>
      <c r="BH48" s="84" t="e">
        <f t="shared" si="18"/>
        <v>#VALUE!</v>
      </c>
      <c r="BI48" t="e">
        <f>BK47*'Hypothetical vaccine model'!$J48*HelperFunctions!$R$28</f>
        <v>#VALUE!</v>
      </c>
      <c r="BJ48" t="e">
        <f>BK47*'Hypothetical vaccine model'!$K48</f>
        <v>#VALUE!</v>
      </c>
      <c r="BK48" s="84" t="e">
        <f t="shared" si="19"/>
        <v>#VALUE!</v>
      </c>
      <c r="BL48" t="e">
        <f>BN47*'Hypothetical vaccine model'!$J48*HelperFunctions!$R$28</f>
        <v>#VALUE!</v>
      </c>
      <c r="BM48" t="e">
        <f>BN47*'Hypothetical vaccine model'!$K48</f>
        <v>#VALUE!</v>
      </c>
      <c r="BN48" s="84" t="e">
        <f t="shared" si="20"/>
        <v>#VALUE!</v>
      </c>
      <c r="BO48" t="e">
        <f>BQ47*'Hypothetical vaccine model'!$J48*HelperFunctions!$R$28</f>
        <v>#VALUE!</v>
      </c>
      <c r="BP48" t="e">
        <f>BQ47*'Hypothetical vaccine model'!$K48</f>
        <v>#VALUE!</v>
      </c>
      <c r="BQ48" s="84" t="e">
        <f t="shared" si="21"/>
        <v>#VALUE!</v>
      </c>
      <c r="BR48" t="e">
        <f>BT47*'Hypothetical vaccine model'!$J48*HelperFunctions!$R$28</f>
        <v>#VALUE!</v>
      </c>
      <c r="BS48" t="e">
        <f>BT47*'Hypothetical vaccine model'!$K48</f>
        <v>#VALUE!</v>
      </c>
      <c r="BT48" s="84" t="e">
        <f t="shared" si="22"/>
        <v>#VALUE!</v>
      </c>
      <c r="BU48" t="e">
        <f>BW47*'Hypothetical vaccine model'!$J48*HelperFunctions!$R$28</f>
        <v>#VALUE!</v>
      </c>
      <c r="BV48" t="e">
        <f>BW47*'Hypothetical vaccine model'!$K48</f>
        <v>#VALUE!</v>
      </c>
      <c r="BW48" s="84" t="e">
        <f t="shared" si="23"/>
        <v>#VALUE!</v>
      </c>
      <c r="BX48" t="e">
        <f>BZ47*'Hypothetical vaccine model'!$J48*HelperFunctions!$R$42</f>
        <v>#VALUE!</v>
      </c>
      <c r="BY48" t="e">
        <f>BZ47*'Hypothetical vaccine model'!$K48</f>
        <v>#VALUE!</v>
      </c>
      <c r="BZ48" s="84" t="e">
        <f t="shared" si="24"/>
        <v>#VALUE!</v>
      </c>
      <c r="CA48" t="e">
        <f>CC47*'Hypothetical vaccine model'!$J48*HelperFunctions!$R$42</f>
        <v>#VALUE!</v>
      </c>
      <c r="CB48" t="e">
        <f>CC47*'Hypothetical vaccine model'!$K48</f>
        <v>#VALUE!</v>
      </c>
      <c r="CC48" s="84" t="e">
        <f t="shared" si="25"/>
        <v>#VALUE!</v>
      </c>
      <c r="CD48" t="e">
        <f>CF47*'Hypothetical vaccine model'!$J48*HelperFunctions!$R$42</f>
        <v>#VALUE!</v>
      </c>
      <c r="CE48" t="e">
        <f>CF47*'Hypothetical vaccine model'!$K48</f>
        <v>#VALUE!</v>
      </c>
      <c r="CF48" s="84" t="e">
        <f t="shared" si="26"/>
        <v>#VALUE!</v>
      </c>
      <c r="CG48" t="e">
        <f>CI47*'Hypothetical vaccine model'!$J48*HelperFunctions!$R$42</f>
        <v>#VALUE!</v>
      </c>
      <c r="CH48" t="e">
        <f>CI47*'Hypothetical vaccine model'!$K48</f>
        <v>#VALUE!</v>
      </c>
      <c r="CI48" s="84" t="e">
        <f t="shared" si="27"/>
        <v>#VALUE!</v>
      </c>
      <c r="CJ48" t="e">
        <f>CL47*'Hypothetical vaccine model'!$J48*HelperFunctions!$R$42</f>
        <v>#VALUE!</v>
      </c>
      <c r="CK48" t="e">
        <f>CL47*'Hypothetical vaccine model'!$K48</f>
        <v>#VALUE!</v>
      </c>
      <c r="CL48" s="84" t="e">
        <f t="shared" si="28"/>
        <v>#VALUE!</v>
      </c>
      <c r="CM48" t="e">
        <f>CO47*'Hypothetical vaccine model'!$J48*HelperFunctions!$R$42</f>
        <v>#VALUE!</v>
      </c>
      <c r="CN48" t="e">
        <f>CO47*'Hypothetical vaccine model'!$K48</f>
        <v>#VALUE!</v>
      </c>
      <c r="CO48" s="84" t="e">
        <f t="shared" si="29"/>
        <v>#VALUE!</v>
      </c>
      <c r="CP48" t="e">
        <f>CR47*'Hypothetical vaccine model'!$J48*HelperFunctions!$R$42</f>
        <v>#VALUE!</v>
      </c>
      <c r="CQ48" t="e">
        <f>CR47*'Hypothetical vaccine model'!$K48</f>
        <v>#VALUE!</v>
      </c>
      <c r="CR48" s="84" t="e">
        <f t="shared" si="30"/>
        <v>#VALUE!</v>
      </c>
      <c r="CS48" t="e">
        <f>CU47*'Hypothetical vaccine model'!$J48*HelperFunctions!$R$42</f>
        <v>#VALUE!</v>
      </c>
      <c r="CT48" t="e">
        <f>CU47*'Hypothetical vaccine model'!$K48</f>
        <v>#VALUE!</v>
      </c>
      <c r="CU48" s="84" t="e">
        <f t="shared" si="31"/>
        <v>#VALUE!</v>
      </c>
      <c r="CV48" t="e">
        <f>CX47*'Hypothetical vaccine model'!$J48*HelperFunctions!$R$42</f>
        <v>#VALUE!</v>
      </c>
      <c r="CW48" t="e">
        <f>CX47*'Hypothetical vaccine model'!$K48</f>
        <v>#VALUE!</v>
      </c>
      <c r="CX48" s="84" t="e">
        <f t="shared" si="32"/>
        <v>#VALUE!</v>
      </c>
      <c r="CY48" t="e">
        <f>DA47*'Hypothetical vaccine model'!$J48*HelperFunctions!$R41</f>
        <v>#VALUE!</v>
      </c>
      <c r="CZ48" t="e">
        <f>DA47*'Hypothetical vaccine model'!$K48</f>
        <v>#VALUE!</v>
      </c>
      <c r="DA48" s="84" t="e">
        <f t="shared" si="33"/>
        <v>#VALUE!</v>
      </c>
      <c r="DB48" t="e">
        <f>DD47*'Hypothetical vaccine model'!$J48*HelperFunctions!$R40</f>
        <v>#VALUE!</v>
      </c>
      <c r="DC48" t="e">
        <f>DD47*'Hypothetical vaccine model'!$K48</f>
        <v>#VALUE!</v>
      </c>
      <c r="DD48" s="84" t="e">
        <f t="shared" si="34"/>
        <v>#VALUE!</v>
      </c>
      <c r="DE48" t="e">
        <f>DG47*'Hypothetical vaccine model'!$J48*HelperFunctions!$R39</f>
        <v>#VALUE!</v>
      </c>
      <c r="DF48" t="e">
        <f>DG47*'Hypothetical vaccine model'!$K48</f>
        <v>#VALUE!</v>
      </c>
      <c r="DG48" s="84" t="e">
        <f t="shared" si="35"/>
        <v>#VALUE!</v>
      </c>
      <c r="DH48" t="e">
        <f>DJ47*'Hypothetical vaccine model'!$J48*HelperFunctions!$R52</f>
        <v>#VALUE!</v>
      </c>
      <c r="DI48" t="e">
        <f>DJ47*'Hypothetical vaccine model'!$K48</f>
        <v>#VALUE!</v>
      </c>
      <c r="DJ48" s="84" t="e">
        <f t="shared" si="36"/>
        <v>#VALUE!</v>
      </c>
      <c r="DK48" t="e">
        <f>DM47*'Hypothetical vaccine model'!$J48*HelperFunctions!$R51</f>
        <v>#VALUE!</v>
      </c>
      <c r="DL48" t="e">
        <f>DM47*'Hypothetical vaccine model'!$K48</f>
        <v>#VALUE!</v>
      </c>
      <c r="DM48" s="84" t="e">
        <f t="shared" si="37"/>
        <v>#VALUE!</v>
      </c>
      <c r="DN48" t="e">
        <f>DP47*'Hypothetical vaccine model'!$J48*HelperFunctions!$R50</f>
        <v>#VALUE!</v>
      </c>
      <c r="DO48" t="e">
        <f>DP47*'Hypothetical vaccine model'!$K48</f>
        <v>#VALUE!</v>
      </c>
      <c r="DP48" s="84" t="e">
        <f t="shared" si="38"/>
        <v>#VALUE!</v>
      </c>
      <c r="DQ48" t="e">
        <f>DS47*'Hypothetical vaccine model'!$J48*HelperFunctions!$R49</f>
        <v>#VALUE!</v>
      </c>
      <c r="DR48" t="e">
        <f>DS47*'Hypothetical vaccine model'!$K48</f>
        <v>#VALUE!</v>
      </c>
      <c r="DS48" s="84" t="e">
        <f t="shared" si="39"/>
        <v>#VALUE!</v>
      </c>
      <c r="DT48" t="e">
        <f>DV47*'Hypothetical vaccine model'!$J48*HelperFunctions!$R48</f>
        <v>#VALUE!</v>
      </c>
      <c r="DU48" t="e">
        <f>DV47*'Hypothetical vaccine model'!$K48</f>
        <v>#VALUE!</v>
      </c>
      <c r="DV48" s="84" t="e">
        <f t="shared" si="40"/>
        <v>#VALUE!</v>
      </c>
      <c r="DW48" t="e">
        <f>DY47*'Hypothetical vaccine model'!$J48*HelperFunctions!$R47</f>
        <v>#VALUE!</v>
      </c>
      <c r="DX48" t="e">
        <f>DY47*'Hypothetical vaccine model'!$K48</f>
        <v>#VALUE!</v>
      </c>
      <c r="DY48" s="84" t="e">
        <f t="shared" si="41"/>
        <v>#VALUE!</v>
      </c>
      <c r="DZ48" t="e">
        <f>EB47*'Hypothetical vaccine model'!$J48*HelperFunctions!$R46</f>
        <v>#VALUE!</v>
      </c>
      <c r="EA48" t="e">
        <f>EB47*'Hypothetical vaccine model'!$K48</f>
        <v>#VALUE!</v>
      </c>
      <c r="EB48" s="84" t="e">
        <f t="shared" ref="EB48:EB63" si="42">EB47-DZ48-EA48</f>
        <v>#VALUE!</v>
      </c>
      <c r="EC48" t="e">
        <f>EE47*'Hypothetical vaccine model'!$J48*HelperFunctions!$R45</f>
        <v>#VALUE!</v>
      </c>
      <c r="ED48" t="e">
        <f>EE47*'Hypothetical vaccine model'!$K48</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F48*'Hypothetical vaccine model'!J49*HelperFunctions!R$14</f>
        <v>#VALUE!</v>
      </c>
      <c r="E49" t="e">
        <f>F48*'Hypothetical vaccine model'!K49</f>
        <v>#VALUE!</v>
      </c>
      <c r="F49" s="84" t="e">
        <f t="shared" si="0"/>
        <v>#VALUE!</v>
      </c>
      <c r="G49" t="e">
        <f>I48*'Hypothetical vaccine model'!$J49*HelperFunctions!$R$14</f>
        <v>#VALUE!</v>
      </c>
      <c r="H49" t="e">
        <f>I48*'Hypothetical vaccine model'!$K49</f>
        <v>#VALUE!</v>
      </c>
      <c r="I49" s="84" t="e">
        <f t="shared" si="1"/>
        <v>#VALUE!</v>
      </c>
      <c r="J49" t="e">
        <f>L48*'Hypothetical vaccine model'!$J49*HelperFunctions!$R$14</f>
        <v>#VALUE!</v>
      </c>
      <c r="K49" t="e">
        <f>L48*'Hypothetical vaccine model'!$K49</f>
        <v>#VALUE!</v>
      </c>
      <c r="L49" s="84" t="e">
        <f t="shared" si="2"/>
        <v>#VALUE!</v>
      </c>
      <c r="M49" t="e">
        <f>O48*'Hypothetical vaccine model'!$J49*HelperFunctions!$R$14</f>
        <v>#VALUE!</v>
      </c>
      <c r="N49" t="e">
        <f>O48*'Hypothetical vaccine model'!$K49</f>
        <v>#VALUE!</v>
      </c>
      <c r="O49" s="84" t="e">
        <f t="shared" si="3"/>
        <v>#VALUE!</v>
      </c>
      <c r="P49" t="e">
        <f>R48*'Hypothetical vaccine model'!$J49*HelperFunctions!$R$14</f>
        <v>#VALUE!</v>
      </c>
      <c r="Q49" t="e">
        <f>R48*'Hypothetical vaccine model'!$K49</f>
        <v>#VALUE!</v>
      </c>
      <c r="R49" s="84" t="e">
        <f t="shared" si="4"/>
        <v>#VALUE!</v>
      </c>
      <c r="S49" t="e">
        <f>U48*'Hypothetical vaccine model'!$J49*HelperFunctions!$R$14</f>
        <v>#VALUE!</v>
      </c>
      <c r="T49" t="e">
        <f>U48*'Hypothetical vaccine model'!$K49</f>
        <v>#VALUE!</v>
      </c>
      <c r="U49" s="84" t="e">
        <f t="shared" si="5"/>
        <v>#VALUE!</v>
      </c>
      <c r="V49" t="e">
        <f>X48*'Hypothetical vaccine model'!$J49*HelperFunctions!$R$14</f>
        <v>#VALUE!</v>
      </c>
      <c r="W49" t="e">
        <f>X48*'Hypothetical vaccine model'!$K49</f>
        <v>#VALUE!</v>
      </c>
      <c r="X49" s="84" t="e">
        <f t="shared" si="6"/>
        <v>#VALUE!</v>
      </c>
      <c r="Y49" t="e">
        <f>AA48*'Hypothetical vaccine model'!$J49*HelperFunctions!$R$14</f>
        <v>#VALUE!</v>
      </c>
      <c r="Z49" t="e">
        <f>AA48*'Hypothetical vaccine model'!$K49</f>
        <v>#VALUE!</v>
      </c>
      <c r="AA49" s="84" t="e">
        <f t="shared" si="7"/>
        <v>#VALUE!</v>
      </c>
      <c r="AB49" t="e">
        <f>AD48*'Hypothetical vaccine model'!$J49*HelperFunctions!$R$14</f>
        <v>#VALUE!</v>
      </c>
      <c r="AC49" t="e">
        <f>AD48*'Hypothetical vaccine model'!$K49</f>
        <v>#VALUE!</v>
      </c>
      <c r="AD49" s="84" t="e">
        <f t="shared" si="8"/>
        <v>#VALUE!</v>
      </c>
      <c r="AE49" t="e">
        <f>AG48*'Hypothetical vaccine model'!$J49*HelperFunctions!$R$14</f>
        <v>#VALUE!</v>
      </c>
      <c r="AF49" t="e">
        <f>AG48*'Hypothetical vaccine model'!$K49</f>
        <v>#VALUE!</v>
      </c>
      <c r="AG49" s="84" t="e">
        <f t="shared" si="9"/>
        <v>#VALUE!</v>
      </c>
      <c r="AH49" t="e">
        <f>AJ48*'Hypothetical vaccine model'!$J49*HelperFunctions!$R$14</f>
        <v>#VALUE!</v>
      </c>
      <c r="AI49" t="e">
        <f>AJ48*'Hypothetical vaccine model'!$K49</f>
        <v>#VALUE!</v>
      </c>
      <c r="AJ49" s="84" t="e">
        <f t="shared" si="10"/>
        <v>#VALUE!</v>
      </c>
      <c r="AK49" t="e">
        <f>AM48*'Hypothetical vaccine model'!$J49*HelperFunctions!$R$14</f>
        <v>#VALUE!</v>
      </c>
      <c r="AL49" t="e">
        <f>AM48*'Hypothetical vaccine model'!$K49</f>
        <v>#VALUE!</v>
      </c>
      <c r="AM49" s="84" t="e">
        <f t="shared" si="11"/>
        <v>#VALUE!</v>
      </c>
      <c r="AN49" t="e">
        <f>AP48*'Hypothetical vaccine model'!$J49*HelperFunctions!$R$28</f>
        <v>#VALUE!</v>
      </c>
      <c r="AO49" t="e">
        <f>AP48*'Hypothetical vaccine model'!$K49</f>
        <v>#VALUE!</v>
      </c>
      <c r="AP49" s="84" t="e">
        <f t="shared" si="12"/>
        <v>#VALUE!</v>
      </c>
      <c r="AQ49" t="e">
        <f>AS48*'Hypothetical vaccine model'!$J49*HelperFunctions!$R$28</f>
        <v>#VALUE!</v>
      </c>
      <c r="AR49" t="e">
        <f>AS48*'Hypothetical vaccine model'!$K49</f>
        <v>#VALUE!</v>
      </c>
      <c r="AS49" s="84" t="e">
        <f t="shared" si="13"/>
        <v>#VALUE!</v>
      </c>
      <c r="AT49" t="e">
        <f>AV48*'Hypothetical vaccine model'!$J49*HelperFunctions!$R$28</f>
        <v>#VALUE!</v>
      </c>
      <c r="AU49" t="e">
        <f>AV48*'Hypothetical vaccine model'!$K49</f>
        <v>#VALUE!</v>
      </c>
      <c r="AV49" s="84" t="e">
        <f t="shared" si="14"/>
        <v>#VALUE!</v>
      </c>
      <c r="AW49" t="e">
        <f>AY48*'Hypothetical vaccine model'!$J49*HelperFunctions!$R$28</f>
        <v>#VALUE!</v>
      </c>
      <c r="AX49" t="e">
        <f>AY48*'Hypothetical vaccine model'!$K49</f>
        <v>#VALUE!</v>
      </c>
      <c r="AY49" s="84" t="e">
        <f t="shared" si="15"/>
        <v>#VALUE!</v>
      </c>
      <c r="AZ49" t="e">
        <f>BB48*'Hypothetical vaccine model'!$J49*HelperFunctions!$R$28</f>
        <v>#VALUE!</v>
      </c>
      <c r="BA49" t="e">
        <f>BB48*'Hypothetical vaccine model'!$K49</f>
        <v>#VALUE!</v>
      </c>
      <c r="BB49" s="84" t="e">
        <f t="shared" si="16"/>
        <v>#VALUE!</v>
      </c>
      <c r="BC49" t="e">
        <f>BE48*'Hypothetical vaccine model'!$J49*HelperFunctions!$R$28</f>
        <v>#VALUE!</v>
      </c>
      <c r="BD49" t="e">
        <f>BE48*'Hypothetical vaccine model'!$K49</f>
        <v>#VALUE!</v>
      </c>
      <c r="BE49" s="84" t="e">
        <f t="shared" si="17"/>
        <v>#VALUE!</v>
      </c>
      <c r="BF49" t="e">
        <f>BH48*'Hypothetical vaccine model'!$J49*HelperFunctions!$R$28</f>
        <v>#VALUE!</v>
      </c>
      <c r="BG49" t="e">
        <f>BH48*'Hypothetical vaccine model'!$K49</f>
        <v>#VALUE!</v>
      </c>
      <c r="BH49" s="84" t="e">
        <f t="shared" si="18"/>
        <v>#VALUE!</v>
      </c>
      <c r="BI49" t="e">
        <f>BK48*'Hypothetical vaccine model'!$J49*HelperFunctions!$R$28</f>
        <v>#VALUE!</v>
      </c>
      <c r="BJ49" t="e">
        <f>BK48*'Hypothetical vaccine model'!$K49</f>
        <v>#VALUE!</v>
      </c>
      <c r="BK49" s="84" t="e">
        <f t="shared" si="19"/>
        <v>#VALUE!</v>
      </c>
      <c r="BL49" t="e">
        <f>BN48*'Hypothetical vaccine model'!$J49*HelperFunctions!$R$28</f>
        <v>#VALUE!</v>
      </c>
      <c r="BM49" t="e">
        <f>BN48*'Hypothetical vaccine model'!$K49</f>
        <v>#VALUE!</v>
      </c>
      <c r="BN49" s="84" t="e">
        <f t="shared" si="20"/>
        <v>#VALUE!</v>
      </c>
      <c r="BO49" t="e">
        <f>BQ48*'Hypothetical vaccine model'!$J49*HelperFunctions!$R$28</f>
        <v>#VALUE!</v>
      </c>
      <c r="BP49" t="e">
        <f>BQ48*'Hypothetical vaccine model'!$K49</f>
        <v>#VALUE!</v>
      </c>
      <c r="BQ49" s="84" t="e">
        <f t="shared" si="21"/>
        <v>#VALUE!</v>
      </c>
      <c r="BR49" t="e">
        <f>BT48*'Hypothetical vaccine model'!$J49*HelperFunctions!$R$28</f>
        <v>#VALUE!</v>
      </c>
      <c r="BS49" t="e">
        <f>BT48*'Hypothetical vaccine model'!$K49</f>
        <v>#VALUE!</v>
      </c>
      <c r="BT49" s="84" t="e">
        <f t="shared" si="22"/>
        <v>#VALUE!</v>
      </c>
      <c r="BU49" t="e">
        <f>BW48*'Hypothetical vaccine model'!$J49*HelperFunctions!$R$28</f>
        <v>#VALUE!</v>
      </c>
      <c r="BV49" t="e">
        <f>BW48*'Hypothetical vaccine model'!$K49</f>
        <v>#VALUE!</v>
      </c>
      <c r="BW49" s="84" t="e">
        <f t="shared" si="23"/>
        <v>#VALUE!</v>
      </c>
      <c r="BX49" t="e">
        <f>BZ48*'Hypothetical vaccine model'!$J49*HelperFunctions!$R$42</f>
        <v>#VALUE!</v>
      </c>
      <c r="BY49" t="e">
        <f>BZ48*'Hypothetical vaccine model'!$K49</f>
        <v>#VALUE!</v>
      </c>
      <c r="BZ49" s="84" t="e">
        <f t="shared" si="24"/>
        <v>#VALUE!</v>
      </c>
      <c r="CA49" t="e">
        <f>CC48*'Hypothetical vaccine model'!$J49*HelperFunctions!$R$42</f>
        <v>#VALUE!</v>
      </c>
      <c r="CB49" t="e">
        <f>CC48*'Hypothetical vaccine model'!$K49</f>
        <v>#VALUE!</v>
      </c>
      <c r="CC49" s="84" t="e">
        <f t="shared" si="25"/>
        <v>#VALUE!</v>
      </c>
      <c r="CD49" t="e">
        <f>CF48*'Hypothetical vaccine model'!$J49*HelperFunctions!$R$42</f>
        <v>#VALUE!</v>
      </c>
      <c r="CE49" t="e">
        <f>CF48*'Hypothetical vaccine model'!$K49</f>
        <v>#VALUE!</v>
      </c>
      <c r="CF49" s="84" t="e">
        <f t="shared" si="26"/>
        <v>#VALUE!</v>
      </c>
      <c r="CG49" t="e">
        <f>CI48*'Hypothetical vaccine model'!$J49*HelperFunctions!$R$42</f>
        <v>#VALUE!</v>
      </c>
      <c r="CH49" t="e">
        <f>CI48*'Hypothetical vaccine model'!$K49</f>
        <v>#VALUE!</v>
      </c>
      <c r="CI49" s="84" t="e">
        <f t="shared" si="27"/>
        <v>#VALUE!</v>
      </c>
      <c r="CJ49" t="e">
        <f>CL48*'Hypothetical vaccine model'!$J49*HelperFunctions!$R$42</f>
        <v>#VALUE!</v>
      </c>
      <c r="CK49" t="e">
        <f>CL48*'Hypothetical vaccine model'!$K49</f>
        <v>#VALUE!</v>
      </c>
      <c r="CL49" s="84" t="e">
        <f t="shared" si="28"/>
        <v>#VALUE!</v>
      </c>
      <c r="CM49" t="e">
        <f>CO48*'Hypothetical vaccine model'!$J49*HelperFunctions!$R$42</f>
        <v>#VALUE!</v>
      </c>
      <c r="CN49" t="e">
        <f>CO48*'Hypothetical vaccine model'!$K49</f>
        <v>#VALUE!</v>
      </c>
      <c r="CO49" s="84" t="e">
        <f t="shared" si="29"/>
        <v>#VALUE!</v>
      </c>
      <c r="CP49" t="e">
        <f>CR48*'Hypothetical vaccine model'!$J49*HelperFunctions!$R$42</f>
        <v>#VALUE!</v>
      </c>
      <c r="CQ49" t="e">
        <f>CR48*'Hypothetical vaccine model'!$K49</f>
        <v>#VALUE!</v>
      </c>
      <c r="CR49" s="84" t="e">
        <f t="shared" si="30"/>
        <v>#VALUE!</v>
      </c>
      <c r="CS49" t="e">
        <f>CU48*'Hypothetical vaccine model'!$J49*HelperFunctions!$R$42</f>
        <v>#VALUE!</v>
      </c>
      <c r="CT49" t="e">
        <f>CU48*'Hypothetical vaccine model'!$K49</f>
        <v>#VALUE!</v>
      </c>
      <c r="CU49" s="84" t="e">
        <f t="shared" si="31"/>
        <v>#VALUE!</v>
      </c>
      <c r="CV49" t="e">
        <f>CX48*'Hypothetical vaccine model'!$J49*HelperFunctions!$R$42</f>
        <v>#VALUE!</v>
      </c>
      <c r="CW49" t="e">
        <f>CX48*'Hypothetical vaccine model'!$K49</f>
        <v>#VALUE!</v>
      </c>
      <c r="CX49" s="84" t="e">
        <f t="shared" si="32"/>
        <v>#VALUE!</v>
      </c>
      <c r="CY49" t="e">
        <f>DA48*'Hypothetical vaccine model'!$J49*HelperFunctions!$R$42</f>
        <v>#VALUE!</v>
      </c>
      <c r="CZ49" t="e">
        <f>DA48*'Hypothetical vaccine model'!$K49</f>
        <v>#VALUE!</v>
      </c>
      <c r="DA49" s="84" t="e">
        <f t="shared" si="33"/>
        <v>#VALUE!</v>
      </c>
      <c r="DB49" t="e">
        <f>DD48*'Hypothetical vaccine model'!$J49*HelperFunctions!$R41</f>
        <v>#VALUE!</v>
      </c>
      <c r="DC49" t="e">
        <f>DD48*'Hypothetical vaccine model'!$K49</f>
        <v>#VALUE!</v>
      </c>
      <c r="DD49" s="84" t="e">
        <f t="shared" si="34"/>
        <v>#VALUE!</v>
      </c>
      <c r="DE49" t="e">
        <f>DG48*'Hypothetical vaccine model'!$J49*HelperFunctions!$R40</f>
        <v>#VALUE!</v>
      </c>
      <c r="DF49" t="e">
        <f>DG48*'Hypothetical vaccine model'!$K49</f>
        <v>#VALUE!</v>
      </c>
      <c r="DG49" s="84" t="e">
        <f t="shared" si="35"/>
        <v>#VALUE!</v>
      </c>
      <c r="DH49" t="e">
        <f>DJ48*'Hypothetical vaccine model'!$J49*HelperFunctions!$R53</f>
        <v>#VALUE!</v>
      </c>
      <c r="DI49" t="e">
        <f>DJ48*'Hypothetical vaccine model'!$K49</f>
        <v>#VALUE!</v>
      </c>
      <c r="DJ49" s="84" t="e">
        <f t="shared" si="36"/>
        <v>#VALUE!</v>
      </c>
      <c r="DK49" t="e">
        <f>DM48*'Hypothetical vaccine model'!$J49*HelperFunctions!$R52</f>
        <v>#VALUE!</v>
      </c>
      <c r="DL49" t="e">
        <f>DM48*'Hypothetical vaccine model'!$K49</f>
        <v>#VALUE!</v>
      </c>
      <c r="DM49" s="84" t="e">
        <f t="shared" si="37"/>
        <v>#VALUE!</v>
      </c>
      <c r="DN49" t="e">
        <f>DP48*'Hypothetical vaccine model'!$J49*HelperFunctions!$R51</f>
        <v>#VALUE!</v>
      </c>
      <c r="DO49" t="e">
        <f>DP48*'Hypothetical vaccine model'!$K49</f>
        <v>#VALUE!</v>
      </c>
      <c r="DP49" s="84" t="e">
        <f t="shared" si="38"/>
        <v>#VALUE!</v>
      </c>
      <c r="DQ49" t="e">
        <f>DS48*'Hypothetical vaccine model'!$J49*HelperFunctions!$R50</f>
        <v>#VALUE!</v>
      </c>
      <c r="DR49" t="e">
        <f>DS48*'Hypothetical vaccine model'!$K49</f>
        <v>#VALUE!</v>
      </c>
      <c r="DS49" s="84" t="e">
        <f t="shared" si="39"/>
        <v>#VALUE!</v>
      </c>
      <c r="DT49" t="e">
        <f>DV48*'Hypothetical vaccine model'!$J49*HelperFunctions!$R49</f>
        <v>#VALUE!</v>
      </c>
      <c r="DU49" t="e">
        <f>DV48*'Hypothetical vaccine model'!$K49</f>
        <v>#VALUE!</v>
      </c>
      <c r="DV49" s="84" t="e">
        <f t="shared" si="40"/>
        <v>#VALUE!</v>
      </c>
      <c r="DW49" t="e">
        <f>DY48*'Hypothetical vaccine model'!$J49*HelperFunctions!$R48</f>
        <v>#VALUE!</v>
      </c>
      <c r="DX49" t="e">
        <f>DY48*'Hypothetical vaccine model'!$K49</f>
        <v>#VALUE!</v>
      </c>
      <c r="DY49" s="84" t="e">
        <f t="shared" si="41"/>
        <v>#VALUE!</v>
      </c>
      <c r="DZ49" t="e">
        <f>EB48*'Hypothetical vaccine model'!$J49*HelperFunctions!$R47</f>
        <v>#VALUE!</v>
      </c>
      <c r="EA49" t="e">
        <f>EB48*'Hypothetical vaccine model'!$K49</f>
        <v>#VALUE!</v>
      </c>
      <c r="EB49" s="84" t="e">
        <f t="shared" si="42"/>
        <v>#VALUE!</v>
      </c>
      <c r="EC49" t="e">
        <f>EE48*'Hypothetical vaccine model'!$J49*HelperFunctions!$R46</f>
        <v>#VALUE!</v>
      </c>
      <c r="ED49" t="e">
        <f>EE48*'Hypothetical vaccine model'!$K49</f>
        <v>#VALUE!</v>
      </c>
      <c r="EE49" s="84" t="e">
        <f t="shared" ref="EE49:EE63" si="43">EE48-EC49-ED49</f>
        <v>#VALUE!</v>
      </c>
      <c r="EF49" t="e">
        <f>EH48*'Hypothetical vaccine model'!$J49*HelperFunctions!$R45</f>
        <v>#VALUE!</v>
      </c>
      <c r="EG49" t="e">
        <f>EH48*'Hypothetical vaccine model'!$K49</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F49*'Hypothetical vaccine model'!J50*HelperFunctions!R$14</f>
        <v>#VALUE!</v>
      </c>
      <c r="E50" t="e">
        <f>F49*'Hypothetical vaccine model'!K50</f>
        <v>#VALUE!</v>
      </c>
      <c r="F50" s="84" t="e">
        <f t="shared" si="0"/>
        <v>#VALUE!</v>
      </c>
      <c r="G50" t="e">
        <f>I49*'Hypothetical vaccine model'!$J50*HelperFunctions!$R$14</f>
        <v>#VALUE!</v>
      </c>
      <c r="H50" t="e">
        <f>I49*'Hypothetical vaccine model'!$K50</f>
        <v>#VALUE!</v>
      </c>
      <c r="I50" s="84" t="e">
        <f t="shared" si="1"/>
        <v>#VALUE!</v>
      </c>
      <c r="J50" t="e">
        <f>L49*'Hypothetical vaccine model'!$J50*HelperFunctions!$R$14</f>
        <v>#VALUE!</v>
      </c>
      <c r="K50" t="e">
        <f>L49*'Hypothetical vaccine model'!$K50</f>
        <v>#VALUE!</v>
      </c>
      <c r="L50" s="84" t="e">
        <f t="shared" si="2"/>
        <v>#VALUE!</v>
      </c>
      <c r="M50" t="e">
        <f>O49*'Hypothetical vaccine model'!$J50*HelperFunctions!$R$14</f>
        <v>#VALUE!</v>
      </c>
      <c r="N50" t="e">
        <f>O49*'Hypothetical vaccine model'!$K50</f>
        <v>#VALUE!</v>
      </c>
      <c r="O50" s="84" t="e">
        <f t="shared" si="3"/>
        <v>#VALUE!</v>
      </c>
      <c r="P50" t="e">
        <f>R49*'Hypothetical vaccine model'!$J50*HelperFunctions!$R$14</f>
        <v>#VALUE!</v>
      </c>
      <c r="Q50" t="e">
        <f>R49*'Hypothetical vaccine model'!$K50</f>
        <v>#VALUE!</v>
      </c>
      <c r="R50" s="84" t="e">
        <f t="shared" si="4"/>
        <v>#VALUE!</v>
      </c>
      <c r="S50" t="e">
        <f>U49*'Hypothetical vaccine model'!$J50*HelperFunctions!$R$14</f>
        <v>#VALUE!</v>
      </c>
      <c r="T50" t="e">
        <f>U49*'Hypothetical vaccine model'!$K50</f>
        <v>#VALUE!</v>
      </c>
      <c r="U50" s="84" t="e">
        <f t="shared" si="5"/>
        <v>#VALUE!</v>
      </c>
      <c r="V50" t="e">
        <f>X49*'Hypothetical vaccine model'!$J50*HelperFunctions!$R$14</f>
        <v>#VALUE!</v>
      </c>
      <c r="W50" t="e">
        <f>X49*'Hypothetical vaccine model'!$K50</f>
        <v>#VALUE!</v>
      </c>
      <c r="X50" s="84" t="e">
        <f t="shared" si="6"/>
        <v>#VALUE!</v>
      </c>
      <c r="Y50" t="e">
        <f>AA49*'Hypothetical vaccine model'!$J50*HelperFunctions!$R$14</f>
        <v>#VALUE!</v>
      </c>
      <c r="Z50" t="e">
        <f>AA49*'Hypothetical vaccine model'!$K50</f>
        <v>#VALUE!</v>
      </c>
      <c r="AA50" s="84" t="e">
        <f t="shared" si="7"/>
        <v>#VALUE!</v>
      </c>
      <c r="AB50" t="e">
        <f>AD49*'Hypothetical vaccine model'!$J50*HelperFunctions!$R$14</f>
        <v>#VALUE!</v>
      </c>
      <c r="AC50" t="e">
        <f>AD49*'Hypothetical vaccine model'!$K50</f>
        <v>#VALUE!</v>
      </c>
      <c r="AD50" s="84" t="e">
        <f t="shared" si="8"/>
        <v>#VALUE!</v>
      </c>
      <c r="AE50" t="e">
        <f>AG49*'Hypothetical vaccine model'!$J50*HelperFunctions!$R$14</f>
        <v>#VALUE!</v>
      </c>
      <c r="AF50" t="e">
        <f>AG49*'Hypothetical vaccine model'!$K50</f>
        <v>#VALUE!</v>
      </c>
      <c r="AG50" s="84" t="e">
        <f t="shared" si="9"/>
        <v>#VALUE!</v>
      </c>
      <c r="AH50" t="e">
        <f>AJ49*'Hypothetical vaccine model'!$J50*HelperFunctions!$R$14</f>
        <v>#VALUE!</v>
      </c>
      <c r="AI50" t="e">
        <f>AJ49*'Hypothetical vaccine model'!$K50</f>
        <v>#VALUE!</v>
      </c>
      <c r="AJ50" s="84" t="e">
        <f t="shared" si="10"/>
        <v>#VALUE!</v>
      </c>
      <c r="AK50" t="e">
        <f>AM49*'Hypothetical vaccine model'!$J50*HelperFunctions!$R$14</f>
        <v>#VALUE!</v>
      </c>
      <c r="AL50" t="e">
        <f>AM49*'Hypothetical vaccine model'!$K50</f>
        <v>#VALUE!</v>
      </c>
      <c r="AM50" s="84" t="e">
        <f t="shared" si="11"/>
        <v>#VALUE!</v>
      </c>
      <c r="AN50" t="e">
        <f>AP49*'Hypothetical vaccine model'!$J50*HelperFunctions!$R$28</f>
        <v>#VALUE!</v>
      </c>
      <c r="AO50" t="e">
        <f>AP49*'Hypothetical vaccine model'!$K50</f>
        <v>#VALUE!</v>
      </c>
      <c r="AP50" s="84" t="e">
        <f t="shared" si="12"/>
        <v>#VALUE!</v>
      </c>
      <c r="AQ50" t="e">
        <f>AS49*'Hypothetical vaccine model'!$J50*HelperFunctions!$R$28</f>
        <v>#VALUE!</v>
      </c>
      <c r="AR50" t="e">
        <f>AS49*'Hypothetical vaccine model'!$K50</f>
        <v>#VALUE!</v>
      </c>
      <c r="AS50" s="84" t="e">
        <f t="shared" si="13"/>
        <v>#VALUE!</v>
      </c>
      <c r="AT50" t="e">
        <f>AV49*'Hypothetical vaccine model'!$J50*HelperFunctions!$R$28</f>
        <v>#VALUE!</v>
      </c>
      <c r="AU50" t="e">
        <f>AV49*'Hypothetical vaccine model'!$K50</f>
        <v>#VALUE!</v>
      </c>
      <c r="AV50" s="84" t="e">
        <f t="shared" si="14"/>
        <v>#VALUE!</v>
      </c>
      <c r="AW50" t="e">
        <f>AY49*'Hypothetical vaccine model'!$J50*HelperFunctions!$R$28</f>
        <v>#VALUE!</v>
      </c>
      <c r="AX50" t="e">
        <f>AY49*'Hypothetical vaccine model'!$K50</f>
        <v>#VALUE!</v>
      </c>
      <c r="AY50" s="84" t="e">
        <f t="shared" si="15"/>
        <v>#VALUE!</v>
      </c>
      <c r="AZ50" t="e">
        <f>BB49*'Hypothetical vaccine model'!$J50*HelperFunctions!$R$28</f>
        <v>#VALUE!</v>
      </c>
      <c r="BA50" t="e">
        <f>BB49*'Hypothetical vaccine model'!$K50</f>
        <v>#VALUE!</v>
      </c>
      <c r="BB50" s="84" t="e">
        <f t="shared" si="16"/>
        <v>#VALUE!</v>
      </c>
      <c r="BC50" t="e">
        <f>BE49*'Hypothetical vaccine model'!$J50*HelperFunctions!$R$28</f>
        <v>#VALUE!</v>
      </c>
      <c r="BD50" t="e">
        <f>BE49*'Hypothetical vaccine model'!$K50</f>
        <v>#VALUE!</v>
      </c>
      <c r="BE50" s="84" t="e">
        <f t="shared" si="17"/>
        <v>#VALUE!</v>
      </c>
      <c r="BF50" t="e">
        <f>BH49*'Hypothetical vaccine model'!$J50*HelperFunctions!$R$28</f>
        <v>#VALUE!</v>
      </c>
      <c r="BG50" t="e">
        <f>BH49*'Hypothetical vaccine model'!$K50</f>
        <v>#VALUE!</v>
      </c>
      <c r="BH50" s="84" t="e">
        <f t="shared" si="18"/>
        <v>#VALUE!</v>
      </c>
      <c r="BI50" t="e">
        <f>BK49*'Hypothetical vaccine model'!$J50*HelperFunctions!$R$28</f>
        <v>#VALUE!</v>
      </c>
      <c r="BJ50" t="e">
        <f>BK49*'Hypothetical vaccine model'!$K50</f>
        <v>#VALUE!</v>
      </c>
      <c r="BK50" s="84" t="e">
        <f t="shared" si="19"/>
        <v>#VALUE!</v>
      </c>
      <c r="BL50" t="e">
        <f>BN49*'Hypothetical vaccine model'!$J50*HelperFunctions!$R$28</f>
        <v>#VALUE!</v>
      </c>
      <c r="BM50" t="e">
        <f>BN49*'Hypothetical vaccine model'!$K50</f>
        <v>#VALUE!</v>
      </c>
      <c r="BN50" s="84" t="e">
        <f t="shared" si="20"/>
        <v>#VALUE!</v>
      </c>
      <c r="BO50" t="e">
        <f>BQ49*'Hypothetical vaccine model'!$J50*HelperFunctions!$R$28</f>
        <v>#VALUE!</v>
      </c>
      <c r="BP50" t="e">
        <f>BQ49*'Hypothetical vaccine model'!$K50</f>
        <v>#VALUE!</v>
      </c>
      <c r="BQ50" s="84" t="e">
        <f t="shared" si="21"/>
        <v>#VALUE!</v>
      </c>
      <c r="BR50" t="e">
        <f>BT49*'Hypothetical vaccine model'!$J50*HelperFunctions!$R$28</f>
        <v>#VALUE!</v>
      </c>
      <c r="BS50" t="e">
        <f>BT49*'Hypothetical vaccine model'!$K50</f>
        <v>#VALUE!</v>
      </c>
      <c r="BT50" s="84" t="e">
        <f t="shared" si="22"/>
        <v>#VALUE!</v>
      </c>
      <c r="BU50" t="e">
        <f>BW49*'Hypothetical vaccine model'!$J50*HelperFunctions!$R$28</f>
        <v>#VALUE!</v>
      </c>
      <c r="BV50" t="e">
        <f>BW49*'Hypothetical vaccine model'!$K50</f>
        <v>#VALUE!</v>
      </c>
      <c r="BW50" s="84" t="e">
        <f t="shared" si="23"/>
        <v>#VALUE!</v>
      </c>
      <c r="BX50" t="e">
        <f>BZ49*'Hypothetical vaccine model'!$J50*HelperFunctions!$R$42</f>
        <v>#VALUE!</v>
      </c>
      <c r="BY50" t="e">
        <f>BZ49*'Hypothetical vaccine model'!$K50</f>
        <v>#VALUE!</v>
      </c>
      <c r="BZ50" s="84" t="e">
        <f t="shared" si="24"/>
        <v>#VALUE!</v>
      </c>
      <c r="CA50" t="e">
        <f>CC49*'Hypothetical vaccine model'!$J50*HelperFunctions!$R$42</f>
        <v>#VALUE!</v>
      </c>
      <c r="CB50" t="e">
        <f>CC49*'Hypothetical vaccine model'!$K50</f>
        <v>#VALUE!</v>
      </c>
      <c r="CC50" s="84" t="e">
        <f t="shared" si="25"/>
        <v>#VALUE!</v>
      </c>
      <c r="CD50" t="e">
        <f>CF49*'Hypothetical vaccine model'!$J50*HelperFunctions!$R$42</f>
        <v>#VALUE!</v>
      </c>
      <c r="CE50" t="e">
        <f>CF49*'Hypothetical vaccine model'!$K50</f>
        <v>#VALUE!</v>
      </c>
      <c r="CF50" s="84" t="e">
        <f t="shared" si="26"/>
        <v>#VALUE!</v>
      </c>
      <c r="CG50" t="e">
        <f>CI49*'Hypothetical vaccine model'!$J50*HelperFunctions!$R$42</f>
        <v>#VALUE!</v>
      </c>
      <c r="CH50" t="e">
        <f>CI49*'Hypothetical vaccine model'!$K50</f>
        <v>#VALUE!</v>
      </c>
      <c r="CI50" s="84" t="e">
        <f t="shared" si="27"/>
        <v>#VALUE!</v>
      </c>
      <c r="CJ50" t="e">
        <f>CL49*'Hypothetical vaccine model'!$J50*HelperFunctions!$R$42</f>
        <v>#VALUE!</v>
      </c>
      <c r="CK50" t="e">
        <f>CL49*'Hypothetical vaccine model'!$K50</f>
        <v>#VALUE!</v>
      </c>
      <c r="CL50" s="84" t="e">
        <f t="shared" si="28"/>
        <v>#VALUE!</v>
      </c>
      <c r="CM50" t="e">
        <f>CO49*'Hypothetical vaccine model'!$J50*HelperFunctions!$R$42</f>
        <v>#VALUE!</v>
      </c>
      <c r="CN50" t="e">
        <f>CO49*'Hypothetical vaccine model'!$K50</f>
        <v>#VALUE!</v>
      </c>
      <c r="CO50" s="84" t="e">
        <f t="shared" si="29"/>
        <v>#VALUE!</v>
      </c>
      <c r="CP50" t="e">
        <f>CR49*'Hypothetical vaccine model'!$J50*HelperFunctions!$R$42</f>
        <v>#VALUE!</v>
      </c>
      <c r="CQ50" t="e">
        <f>CR49*'Hypothetical vaccine model'!$K50</f>
        <v>#VALUE!</v>
      </c>
      <c r="CR50" s="84" t="e">
        <f t="shared" si="30"/>
        <v>#VALUE!</v>
      </c>
      <c r="CS50" t="e">
        <f>CU49*'Hypothetical vaccine model'!$J50*HelperFunctions!$R$42</f>
        <v>#VALUE!</v>
      </c>
      <c r="CT50" t="e">
        <f>CU49*'Hypothetical vaccine model'!$K50</f>
        <v>#VALUE!</v>
      </c>
      <c r="CU50" s="84" t="e">
        <f t="shared" si="31"/>
        <v>#VALUE!</v>
      </c>
      <c r="CV50" t="e">
        <f>CX49*'Hypothetical vaccine model'!$J50*HelperFunctions!$R$42</f>
        <v>#VALUE!</v>
      </c>
      <c r="CW50" t="e">
        <f>CX49*'Hypothetical vaccine model'!$K50</f>
        <v>#VALUE!</v>
      </c>
      <c r="CX50" s="84" t="e">
        <f t="shared" si="32"/>
        <v>#VALUE!</v>
      </c>
      <c r="CY50" t="e">
        <f>DA49*'Hypothetical vaccine model'!$J50*HelperFunctions!$R$42</f>
        <v>#VALUE!</v>
      </c>
      <c r="CZ50" t="e">
        <f>DA49*'Hypothetical vaccine model'!$K50</f>
        <v>#VALUE!</v>
      </c>
      <c r="DA50" s="84" t="e">
        <f t="shared" si="33"/>
        <v>#VALUE!</v>
      </c>
      <c r="DB50" t="e">
        <f>DD49*'Hypothetical vaccine model'!$J50*HelperFunctions!$R$42</f>
        <v>#VALUE!</v>
      </c>
      <c r="DC50" t="e">
        <f>DD49*'Hypothetical vaccine model'!$K50</f>
        <v>#VALUE!</v>
      </c>
      <c r="DD50" s="84" t="e">
        <f t="shared" si="34"/>
        <v>#VALUE!</v>
      </c>
      <c r="DE50" t="e">
        <f>DG49*'Hypothetical vaccine model'!$J50*HelperFunctions!$R41</f>
        <v>#VALUE!</v>
      </c>
      <c r="DF50" t="e">
        <f>DG49*'Hypothetical vaccine model'!$K50</f>
        <v>#VALUE!</v>
      </c>
      <c r="DG50" s="84" t="e">
        <f t="shared" si="35"/>
        <v>#VALUE!</v>
      </c>
      <c r="DH50" t="e">
        <f>DJ49*'Hypothetical vaccine model'!$J50*HelperFunctions!$R54</f>
        <v>#VALUE!</v>
      </c>
      <c r="DI50" t="e">
        <f>DJ49*'Hypothetical vaccine model'!$K50</f>
        <v>#VALUE!</v>
      </c>
      <c r="DJ50" s="84" t="e">
        <f t="shared" si="36"/>
        <v>#VALUE!</v>
      </c>
      <c r="DK50" t="e">
        <f>DM49*'Hypothetical vaccine model'!$J50*HelperFunctions!$R53</f>
        <v>#VALUE!</v>
      </c>
      <c r="DL50" t="e">
        <f>DM49*'Hypothetical vaccine model'!$K50</f>
        <v>#VALUE!</v>
      </c>
      <c r="DM50" s="84" t="e">
        <f t="shared" si="37"/>
        <v>#VALUE!</v>
      </c>
      <c r="DN50" t="e">
        <f>DP49*'Hypothetical vaccine model'!$J50*HelperFunctions!$R52</f>
        <v>#VALUE!</v>
      </c>
      <c r="DO50" t="e">
        <f>DP49*'Hypothetical vaccine model'!$K50</f>
        <v>#VALUE!</v>
      </c>
      <c r="DP50" s="84" t="e">
        <f t="shared" si="38"/>
        <v>#VALUE!</v>
      </c>
      <c r="DQ50" t="e">
        <f>DS49*'Hypothetical vaccine model'!$J50*HelperFunctions!$R51</f>
        <v>#VALUE!</v>
      </c>
      <c r="DR50" t="e">
        <f>DS49*'Hypothetical vaccine model'!$K50</f>
        <v>#VALUE!</v>
      </c>
      <c r="DS50" s="84" t="e">
        <f t="shared" si="39"/>
        <v>#VALUE!</v>
      </c>
      <c r="DT50" t="e">
        <f>DV49*'Hypothetical vaccine model'!$J50*HelperFunctions!$R50</f>
        <v>#VALUE!</v>
      </c>
      <c r="DU50" t="e">
        <f>DV49*'Hypothetical vaccine model'!$K50</f>
        <v>#VALUE!</v>
      </c>
      <c r="DV50" s="84" t="e">
        <f t="shared" si="40"/>
        <v>#VALUE!</v>
      </c>
      <c r="DW50" t="e">
        <f>DY49*'Hypothetical vaccine model'!$J50*HelperFunctions!$R49</f>
        <v>#VALUE!</v>
      </c>
      <c r="DX50" t="e">
        <f>DY49*'Hypothetical vaccine model'!$K50</f>
        <v>#VALUE!</v>
      </c>
      <c r="DY50" s="84" t="e">
        <f t="shared" si="41"/>
        <v>#VALUE!</v>
      </c>
      <c r="DZ50" t="e">
        <f>EB49*'Hypothetical vaccine model'!$J50*HelperFunctions!$R48</f>
        <v>#VALUE!</v>
      </c>
      <c r="EA50" t="e">
        <f>EB49*'Hypothetical vaccine model'!$K50</f>
        <v>#VALUE!</v>
      </c>
      <c r="EB50" s="84" t="e">
        <f t="shared" si="42"/>
        <v>#VALUE!</v>
      </c>
      <c r="EC50" t="e">
        <f>EE49*'Hypothetical vaccine model'!$J50*HelperFunctions!$R47</f>
        <v>#VALUE!</v>
      </c>
      <c r="ED50" t="e">
        <f>EE49*'Hypothetical vaccine model'!$K50</f>
        <v>#VALUE!</v>
      </c>
      <c r="EE50" s="84" t="e">
        <f t="shared" si="43"/>
        <v>#VALUE!</v>
      </c>
      <c r="EF50" t="e">
        <f>EH49*'Hypothetical vaccine model'!$J50*HelperFunctions!$R46</f>
        <v>#VALUE!</v>
      </c>
      <c r="EG50" t="e">
        <f>EH49*'Hypothetical vaccine model'!$K50</f>
        <v>#VALUE!</v>
      </c>
      <c r="EH50" s="84" t="e">
        <f t="shared" ref="EH50:EH63" si="44">EH49-EF50-EG50</f>
        <v>#VALUE!</v>
      </c>
      <c r="EI50" t="e">
        <f>EK49*'Hypothetical vaccine model'!$J50*HelperFunctions!$R45</f>
        <v>#VALUE!</v>
      </c>
      <c r="EJ50" t="e">
        <f>EK49*'Hypothetical vaccine model'!$K50</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F50*'Hypothetical vaccine model'!J51*HelperFunctions!R$14</f>
        <v>#VALUE!</v>
      </c>
      <c r="E51" t="e">
        <f>F50*'Hypothetical vaccine model'!K51</f>
        <v>#VALUE!</v>
      </c>
      <c r="F51" s="84" t="e">
        <f t="shared" si="0"/>
        <v>#VALUE!</v>
      </c>
      <c r="G51" t="e">
        <f>I50*'Hypothetical vaccine model'!$J51*HelperFunctions!$R$14</f>
        <v>#VALUE!</v>
      </c>
      <c r="H51" t="e">
        <f>I50*'Hypothetical vaccine model'!$K51</f>
        <v>#VALUE!</v>
      </c>
      <c r="I51" s="84" t="e">
        <f t="shared" si="1"/>
        <v>#VALUE!</v>
      </c>
      <c r="J51" t="e">
        <f>L50*'Hypothetical vaccine model'!$J51*HelperFunctions!$R$14</f>
        <v>#VALUE!</v>
      </c>
      <c r="K51" t="e">
        <f>L50*'Hypothetical vaccine model'!$K51</f>
        <v>#VALUE!</v>
      </c>
      <c r="L51" s="84" t="e">
        <f t="shared" si="2"/>
        <v>#VALUE!</v>
      </c>
      <c r="M51" t="e">
        <f>O50*'Hypothetical vaccine model'!$J51*HelperFunctions!$R$14</f>
        <v>#VALUE!</v>
      </c>
      <c r="N51" t="e">
        <f>O50*'Hypothetical vaccine model'!$K51</f>
        <v>#VALUE!</v>
      </c>
      <c r="O51" s="84" t="e">
        <f t="shared" si="3"/>
        <v>#VALUE!</v>
      </c>
      <c r="P51" t="e">
        <f>R50*'Hypothetical vaccine model'!$J51*HelperFunctions!$R$14</f>
        <v>#VALUE!</v>
      </c>
      <c r="Q51" t="e">
        <f>R50*'Hypothetical vaccine model'!$K51</f>
        <v>#VALUE!</v>
      </c>
      <c r="R51" s="84" t="e">
        <f t="shared" si="4"/>
        <v>#VALUE!</v>
      </c>
      <c r="S51" t="e">
        <f>U50*'Hypothetical vaccine model'!$J51*HelperFunctions!$R$14</f>
        <v>#VALUE!</v>
      </c>
      <c r="T51" t="e">
        <f>U50*'Hypothetical vaccine model'!$K51</f>
        <v>#VALUE!</v>
      </c>
      <c r="U51" s="84" t="e">
        <f t="shared" si="5"/>
        <v>#VALUE!</v>
      </c>
      <c r="V51" t="e">
        <f>X50*'Hypothetical vaccine model'!$J51*HelperFunctions!$R$14</f>
        <v>#VALUE!</v>
      </c>
      <c r="W51" t="e">
        <f>X50*'Hypothetical vaccine model'!$K51</f>
        <v>#VALUE!</v>
      </c>
      <c r="X51" s="84" t="e">
        <f t="shared" si="6"/>
        <v>#VALUE!</v>
      </c>
      <c r="Y51" t="e">
        <f>AA50*'Hypothetical vaccine model'!$J51*HelperFunctions!$R$14</f>
        <v>#VALUE!</v>
      </c>
      <c r="Z51" t="e">
        <f>AA50*'Hypothetical vaccine model'!$K51</f>
        <v>#VALUE!</v>
      </c>
      <c r="AA51" s="84" t="e">
        <f t="shared" si="7"/>
        <v>#VALUE!</v>
      </c>
      <c r="AB51" t="e">
        <f>AD50*'Hypothetical vaccine model'!$J51*HelperFunctions!$R$14</f>
        <v>#VALUE!</v>
      </c>
      <c r="AC51" t="e">
        <f>AD50*'Hypothetical vaccine model'!$K51</f>
        <v>#VALUE!</v>
      </c>
      <c r="AD51" s="84" t="e">
        <f t="shared" si="8"/>
        <v>#VALUE!</v>
      </c>
      <c r="AE51" t="e">
        <f>AG50*'Hypothetical vaccine model'!$J51*HelperFunctions!$R$14</f>
        <v>#VALUE!</v>
      </c>
      <c r="AF51" t="e">
        <f>AG50*'Hypothetical vaccine model'!$K51</f>
        <v>#VALUE!</v>
      </c>
      <c r="AG51" s="84" t="e">
        <f t="shared" si="9"/>
        <v>#VALUE!</v>
      </c>
      <c r="AH51" t="e">
        <f>AJ50*'Hypothetical vaccine model'!$J51*HelperFunctions!$R$14</f>
        <v>#VALUE!</v>
      </c>
      <c r="AI51" t="e">
        <f>AJ50*'Hypothetical vaccine model'!$K51</f>
        <v>#VALUE!</v>
      </c>
      <c r="AJ51" s="84" t="e">
        <f t="shared" si="10"/>
        <v>#VALUE!</v>
      </c>
      <c r="AK51" t="e">
        <f>AM50*'Hypothetical vaccine model'!$J51*HelperFunctions!$R$14</f>
        <v>#VALUE!</v>
      </c>
      <c r="AL51" t="e">
        <f>AM50*'Hypothetical vaccine model'!$K51</f>
        <v>#VALUE!</v>
      </c>
      <c r="AM51" s="84" t="e">
        <f t="shared" si="11"/>
        <v>#VALUE!</v>
      </c>
      <c r="AN51" t="e">
        <f>AP50*'Hypothetical vaccine model'!$J51*HelperFunctions!$R$28</f>
        <v>#VALUE!</v>
      </c>
      <c r="AO51" t="e">
        <f>AP50*'Hypothetical vaccine model'!$K51</f>
        <v>#VALUE!</v>
      </c>
      <c r="AP51" s="84" t="e">
        <f t="shared" si="12"/>
        <v>#VALUE!</v>
      </c>
      <c r="AQ51" t="e">
        <f>AS50*'Hypothetical vaccine model'!$J51*HelperFunctions!$R$28</f>
        <v>#VALUE!</v>
      </c>
      <c r="AR51" t="e">
        <f>AS50*'Hypothetical vaccine model'!$K51</f>
        <v>#VALUE!</v>
      </c>
      <c r="AS51" s="84" t="e">
        <f t="shared" si="13"/>
        <v>#VALUE!</v>
      </c>
      <c r="AT51" t="e">
        <f>AV50*'Hypothetical vaccine model'!$J51*HelperFunctions!$R$28</f>
        <v>#VALUE!</v>
      </c>
      <c r="AU51" t="e">
        <f>AV50*'Hypothetical vaccine model'!$K51</f>
        <v>#VALUE!</v>
      </c>
      <c r="AV51" s="84" t="e">
        <f t="shared" si="14"/>
        <v>#VALUE!</v>
      </c>
      <c r="AW51" t="e">
        <f>AY50*'Hypothetical vaccine model'!$J51*HelperFunctions!$R$28</f>
        <v>#VALUE!</v>
      </c>
      <c r="AX51" t="e">
        <f>AY50*'Hypothetical vaccine model'!$K51</f>
        <v>#VALUE!</v>
      </c>
      <c r="AY51" s="84" t="e">
        <f t="shared" si="15"/>
        <v>#VALUE!</v>
      </c>
      <c r="AZ51" t="e">
        <f>BB50*'Hypothetical vaccine model'!$J51*HelperFunctions!$R$28</f>
        <v>#VALUE!</v>
      </c>
      <c r="BA51" t="e">
        <f>BB50*'Hypothetical vaccine model'!$K51</f>
        <v>#VALUE!</v>
      </c>
      <c r="BB51" s="84" t="e">
        <f t="shared" si="16"/>
        <v>#VALUE!</v>
      </c>
      <c r="BC51" t="e">
        <f>BE50*'Hypothetical vaccine model'!$J51*HelperFunctions!$R$28</f>
        <v>#VALUE!</v>
      </c>
      <c r="BD51" t="e">
        <f>BE50*'Hypothetical vaccine model'!$K51</f>
        <v>#VALUE!</v>
      </c>
      <c r="BE51" s="84" t="e">
        <f t="shared" si="17"/>
        <v>#VALUE!</v>
      </c>
      <c r="BF51" t="e">
        <f>BH50*'Hypothetical vaccine model'!$J51*HelperFunctions!$R$28</f>
        <v>#VALUE!</v>
      </c>
      <c r="BG51" t="e">
        <f>BH50*'Hypothetical vaccine model'!$K51</f>
        <v>#VALUE!</v>
      </c>
      <c r="BH51" s="84" t="e">
        <f t="shared" si="18"/>
        <v>#VALUE!</v>
      </c>
      <c r="BI51" t="e">
        <f>BK50*'Hypothetical vaccine model'!$J51*HelperFunctions!$R$28</f>
        <v>#VALUE!</v>
      </c>
      <c r="BJ51" t="e">
        <f>BK50*'Hypothetical vaccine model'!$K51</f>
        <v>#VALUE!</v>
      </c>
      <c r="BK51" s="84" t="e">
        <f t="shared" si="19"/>
        <v>#VALUE!</v>
      </c>
      <c r="BL51" t="e">
        <f>BN50*'Hypothetical vaccine model'!$J51*HelperFunctions!$R$28</f>
        <v>#VALUE!</v>
      </c>
      <c r="BM51" t="e">
        <f>BN50*'Hypothetical vaccine model'!$K51</f>
        <v>#VALUE!</v>
      </c>
      <c r="BN51" s="84" t="e">
        <f t="shared" si="20"/>
        <v>#VALUE!</v>
      </c>
      <c r="BO51" t="e">
        <f>BQ50*'Hypothetical vaccine model'!$J51*HelperFunctions!$R$28</f>
        <v>#VALUE!</v>
      </c>
      <c r="BP51" t="e">
        <f>BQ50*'Hypothetical vaccine model'!$K51</f>
        <v>#VALUE!</v>
      </c>
      <c r="BQ51" s="84" t="e">
        <f t="shared" si="21"/>
        <v>#VALUE!</v>
      </c>
      <c r="BR51" t="e">
        <f>BT50*'Hypothetical vaccine model'!$J51*HelperFunctions!$R$28</f>
        <v>#VALUE!</v>
      </c>
      <c r="BS51" t="e">
        <f>BT50*'Hypothetical vaccine model'!$K51</f>
        <v>#VALUE!</v>
      </c>
      <c r="BT51" s="84" t="e">
        <f t="shared" si="22"/>
        <v>#VALUE!</v>
      </c>
      <c r="BU51" t="e">
        <f>BW50*'Hypothetical vaccine model'!$J51*HelperFunctions!$R$28</f>
        <v>#VALUE!</v>
      </c>
      <c r="BV51" t="e">
        <f>BW50*'Hypothetical vaccine model'!$K51</f>
        <v>#VALUE!</v>
      </c>
      <c r="BW51" s="84" t="e">
        <f t="shared" si="23"/>
        <v>#VALUE!</v>
      </c>
      <c r="BX51" t="e">
        <f>BZ50*'Hypothetical vaccine model'!$J51*HelperFunctions!$R$42</f>
        <v>#VALUE!</v>
      </c>
      <c r="BY51" t="e">
        <f>BZ50*'Hypothetical vaccine model'!$K51</f>
        <v>#VALUE!</v>
      </c>
      <c r="BZ51" s="84" t="e">
        <f t="shared" si="24"/>
        <v>#VALUE!</v>
      </c>
      <c r="CA51" t="e">
        <f>CC50*'Hypothetical vaccine model'!$J51*HelperFunctions!$R$42</f>
        <v>#VALUE!</v>
      </c>
      <c r="CB51" t="e">
        <f>CC50*'Hypothetical vaccine model'!$K51</f>
        <v>#VALUE!</v>
      </c>
      <c r="CC51" s="84" t="e">
        <f t="shared" si="25"/>
        <v>#VALUE!</v>
      </c>
      <c r="CD51" t="e">
        <f>CF50*'Hypothetical vaccine model'!$J51*HelperFunctions!$R$42</f>
        <v>#VALUE!</v>
      </c>
      <c r="CE51" t="e">
        <f>CF50*'Hypothetical vaccine model'!$K51</f>
        <v>#VALUE!</v>
      </c>
      <c r="CF51" s="84" t="e">
        <f t="shared" si="26"/>
        <v>#VALUE!</v>
      </c>
      <c r="CG51" t="e">
        <f>CI50*'Hypothetical vaccine model'!$J51*HelperFunctions!$R$42</f>
        <v>#VALUE!</v>
      </c>
      <c r="CH51" t="e">
        <f>CI50*'Hypothetical vaccine model'!$K51</f>
        <v>#VALUE!</v>
      </c>
      <c r="CI51" s="84" t="e">
        <f t="shared" si="27"/>
        <v>#VALUE!</v>
      </c>
      <c r="CJ51" t="e">
        <f>CL50*'Hypothetical vaccine model'!$J51*HelperFunctions!$R$42</f>
        <v>#VALUE!</v>
      </c>
      <c r="CK51" t="e">
        <f>CL50*'Hypothetical vaccine model'!$K51</f>
        <v>#VALUE!</v>
      </c>
      <c r="CL51" s="84" t="e">
        <f t="shared" si="28"/>
        <v>#VALUE!</v>
      </c>
      <c r="CM51" t="e">
        <f>CO50*'Hypothetical vaccine model'!$J51*HelperFunctions!$R$42</f>
        <v>#VALUE!</v>
      </c>
      <c r="CN51" t="e">
        <f>CO50*'Hypothetical vaccine model'!$K51</f>
        <v>#VALUE!</v>
      </c>
      <c r="CO51" s="84" t="e">
        <f t="shared" si="29"/>
        <v>#VALUE!</v>
      </c>
      <c r="CP51" t="e">
        <f>CR50*'Hypothetical vaccine model'!$J51*HelperFunctions!$R$42</f>
        <v>#VALUE!</v>
      </c>
      <c r="CQ51" t="e">
        <f>CR50*'Hypothetical vaccine model'!$K51</f>
        <v>#VALUE!</v>
      </c>
      <c r="CR51" s="84" t="e">
        <f t="shared" si="30"/>
        <v>#VALUE!</v>
      </c>
      <c r="CS51" t="e">
        <f>CU50*'Hypothetical vaccine model'!$J51*HelperFunctions!$R$42</f>
        <v>#VALUE!</v>
      </c>
      <c r="CT51" t="e">
        <f>CU50*'Hypothetical vaccine model'!$K51</f>
        <v>#VALUE!</v>
      </c>
      <c r="CU51" s="84" t="e">
        <f t="shared" si="31"/>
        <v>#VALUE!</v>
      </c>
      <c r="CV51" t="e">
        <f>CX50*'Hypothetical vaccine model'!$J51*HelperFunctions!$R$42</f>
        <v>#VALUE!</v>
      </c>
      <c r="CW51" t="e">
        <f>CX50*'Hypothetical vaccine model'!$K51</f>
        <v>#VALUE!</v>
      </c>
      <c r="CX51" s="84" t="e">
        <f t="shared" si="32"/>
        <v>#VALUE!</v>
      </c>
      <c r="CY51" t="e">
        <f>DA50*'Hypothetical vaccine model'!$J51*HelperFunctions!$R$42</f>
        <v>#VALUE!</v>
      </c>
      <c r="CZ51" t="e">
        <f>DA50*'Hypothetical vaccine model'!$K51</f>
        <v>#VALUE!</v>
      </c>
      <c r="DA51" s="84" t="e">
        <f t="shared" si="33"/>
        <v>#VALUE!</v>
      </c>
      <c r="DB51" t="e">
        <f>DD50*'Hypothetical vaccine model'!$J51*HelperFunctions!$R$42</f>
        <v>#VALUE!</v>
      </c>
      <c r="DC51" t="e">
        <f>DD50*'Hypothetical vaccine model'!$K51</f>
        <v>#VALUE!</v>
      </c>
      <c r="DD51" s="84" t="e">
        <f t="shared" si="34"/>
        <v>#VALUE!</v>
      </c>
      <c r="DE51" t="e">
        <f>DG50*'Hypothetical vaccine model'!$J51*HelperFunctions!$R$42</f>
        <v>#VALUE!</v>
      </c>
      <c r="DF51" t="e">
        <f>DG50*'Hypothetical vaccine model'!$K51</f>
        <v>#VALUE!</v>
      </c>
      <c r="DG51" s="84" t="e">
        <f t="shared" si="35"/>
        <v>#VALUE!</v>
      </c>
      <c r="DH51" t="e">
        <f>DJ50*'Hypothetical vaccine model'!$J51*HelperFunctions!$R55</f>
        <v>#VALUE!</v>
      </c>
      <c r="DI51" t="e">
        <f>DJ50*'Hypothetical vaccine model'!$K51</f>
        <v>#VALUE!</v>
      </c>
      <c r="DJ51" s="84" t="e">
        <f t="shared" si="36"/>
        <v>#VALUE!</v>
      </c>
      <c r="DK51" t="e">
        <f>DM50*'Hypothetical vaccine model'!$J51*HelperFunctions!$R54</f>
        <v>#VALUE!</v>
      </c>
      <c r="DL51" t="e">
        <f>DM50*'Hypothetical vaccine model'!$K51</f>
        <v>#VALUE!</v>
      </c>
      <c r="DM51" s="84" t="e">
        <f t="shared" si="37"/>
        <v>#VALUE!</v>
      </c>
      <c r="DN51" t="e">
        <f>DP50*'Hypothetical vaccine model'!$J51*HelperFunctions!$R53</f>
        <v>#VALUE!</v>
      </c>
      <c r="DO51" t="e">
        <f>DP50*'Hypothetical vaccine model'!$K51</f>
        <v>#VALUE!</v>
      </c>
      <c r="DP51" s="84" t="e">
        <f t="shared" si="38"/>
        <v>#VALUE!</v>
      </c>
      <c r="DQ51" t="e">
        <f>DS50*'Hypothetical vaccine model'!$J51*HelperFunctions!$R52</f>
        <v>#VALUE!</v>
      </c>
      <c r="DR51" t="e">
        <f>DS50*'Hypothetical vaccine model'!$K51</f>
        <v>#VALUE!</v>
      </c>
      <c r="DS51" s="84" t="e">
        <f t="shared" si="39"/>
        <v>#VALUE!</v>
      </c>
      <c r="DT51" t="e">
        <f>DV50*'Hypothetical vaccine model'!$J51*HelperFunctions!$R51</f>
        <v>#VALUE!</v>
      </c>
      <c r="DU51" t="e">
        <f>DV50*'Hypothetical vaccine model'!$K51</f>
        <v>#VALUE!</v>
      </c>
      <c r="DV51" s="84" t="e">
        <f t="shared" si="40"/>
        <v>#VALUE!</v>
      </c>
      <c r="DW51" t="e">
        <f>DY50*'Hypothetical vaccine model'!$J51*HelperFunctions!$R50</f>
        <v>#VALUE!</v>
      </c>
      <c r="DX51" t="e">
        <f>DY50*'Hypothetical vaccine model'!$K51</f>
        <v>#VALUE!</v>
      </c>
      <c r="DY51" s="84" t="e">
        <f t="shared" si="41"/>
        <v>#VALUE!</v>
      </c>
      <c r="DZ51" t="e">
        <f>EB50*'Hypothetical vaccine model'!$J51*HelperFunctions!$R49</f>
        <v>#VALUE!</v>
      </c>
      <c r="EA51" t="e">
        <f>EB50*'Hypothetical vaccine model'!$K51</f>
        <v>#VALUE!</v>
      </c>
      <c r="EB51" s="84" t="e">
        <f t="shared" si="42"/>
        <v>#VALUE!</v>
      </c>
      <c r="EC51" t="e">
        <f>EE50*'Hypothetical vaccine model'!$J51*HelperFunctions!$R48</f>
        <v>#VALUE!</v>
      </c>
      <c r="ED51" t="e">
        <f>EE50*'Hypothetical vaccine model'!$K51</f>
        <v>#VALUE!</v>
      </c>
      <c r="EE51" s="84" t="e">
        <f t="shared" si="43"/>
        <v>#VALUE!</v>
      </c>
      <c r="EF51" t="e">
        <f>EH50*'Hypothetical vaccine model'!$J51*HelperFunctions!$R47</f>
        <v>#VALUE!</v>
      </c>
      <c r="EG51" t="e">
        <f>EH50*'Hypothetical vaccine model'!$K51</f>
        <v>#VALUE!</v>
      </c>
      <c r="EH51" s="84" t="e">
        <f t="shared" si="44"/>
        <v>#VALUE!</v>
      </c>
      <c r="EI51" t="e">
        <f>EK50*'Hypothetical vaccine model'!$J51*HelperFunctions!$R46</f>
        <v>#VALUE!</v>
      </c>
      <c r="EJ51" t="e">
        <f>EK50*'Hypothetical vaccine model'!$K51</f>
        <v>#VALUE!</v>
      </c>
      <c r="EK51" s="84" t="e">
        <f t="shared" ref="EK51:EK63" si="45">EK50-EI51-EJ51</f>
        <v>#VALUE!</v>
      </c>
      <c r="EL51" t="e">
        <f>EN50*'Hypothetical vaccine model'!$J51*HelperFunctions!$R45</f>
        <v>#VALUE!</v>
      </c>
      <c r="EM51" t="e">
        <f>EN50*'Hypothetical vaccine model'!$K51</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F51*'Hypothetical vaccine model'!J52*HelperFunctions!R$14</f>
        <v>#VALUE!</v>
      </c>
      <c r="E52" t="e">
        <f>F51*'Hypothetical vaccine model'!K52</f>
        <v>#VALUE!</v>
      </c>
      <c r="F52" s="84" t="e">
        <f t="shared" si="0"/>
        <v>#VALUE!</v>
      </c>
      <c r="G52" t="e">
        <f>I51*'Hypothetical vaccine model'!$J52*HelperFunctions!$R$14</f>
        <v>#VALUE!</v>
      </c>
      <c r="H52" t="e">
        <f>I51*'Hypothetical vaccine model'!$K52</f>
        <v>#VALUE!</v>
      </c>
      <c r="I52" s="84" t="e">
        <f t="shared" si="1"/>
        <v>#VALUE!</v>
      </c>
      <c r="J52" t="e">
        <f>L51*'Hypothetical vaccine model'!$J52*HelperFunctions!$R$14</f>
        <v>#VALUE!</v>
      </c>
      <c r="K52" t="e">
        <f>L51*'Hypothetical vaccine model'!$K52</f>
        <v>#VALUE!</v>
      </c>
      <c r="L52" s="84" t="e">
        <f t="shared" si="2"/>
        <v>#VALUE!</v>
      </c>
      <c r="M52" t="e">
        <f>O51*'Hypothetical vaccine model'!$J52*HelperFunctions!$R$14</f>
        <v>#VALUE!</v>
      </c>
      <c r="N52" t="e">
        <f>O51*'Hypothetical vaccine model'!$K52</f>
        <v>#VALUE!</v>
      </c>
      <c r="O52" s="84" t="e">
        <f t="shared" si="3"/>
        <v>#VALUE!</v>
      </c>
      <c r="P52" t="e">
        <f>R51*'Hypothetical vaccine model'!$J52*HelperFunctions!$R$14</f>
        <v>#VALUE!</v>
      </c>
      <c r="Q52" t="e">
        <f>R51*'Hypothetical vaccine model'!$K52</f>
        <v>#VALUE!</v>
      </c>
      <c r="R52" s="84" t="e">
        <f t="shared" si="4"/>
        <v>#VALUE!</v>
      </c>
      <c r="S52" t="e">
        <f>U51*'Hypothetical vaccine model'!$J52*HelperFunctions!$R$14</f>
        <v>#VALUE!</v>
      </c>
      <c r="T52" t="e">
        <f>U51*'Hypothetical vaccine model'!$K52</f>
        <v>#VALUE!</v>
      </c>
      <c r="U52" s="84" t="e">
        <f t="shared" si="5"/>
        <v>#VALUE!</v>
      </c>
      <c r="V52" t="e">
        <f>X51*'Hypothetical vaccine model'!$J52*HelperFunctions!$R$14</f>
        <v>#VALUE!</v>
      </c>
      <c r="W52" t="e">
        <f>X51*'Hypothetical vaccine model'!$K52</f>
        <v>#VALUE!</v>
      </c>
      <c r="X52" s="84" t="e">
        <f t="shared" si="6"/>
        <v>#VALUE!</v>
      </c>
      <c r="Y52" t="e">
        <f>AA51*'Hypothetical vaccine model'!$J52*HelperFunctions!$R$14</f>
        <v>#VALUE!</v>
      </c>
      <c r="Z52" t="e">
        <f>AA51*'Hypothetical vaccine model'!$K52</f>
        <v>#VALUE!</v>
      </c>
      <c r="AA52" s="84" t="e">
        <f t="shared" si="7"/>
        <v>#VALUE!</v>
      </c>
      <c r="AB52" t="e">
        <f>AD51*'Hypothetical vaccine model'!$J52*HelperFunctions!$R$14</f>
        <v>#VALUE!</v>
      </c>
      <c r="AC52" t="e">
        <f>AD51*'Hypothetical vaccine model'!$K52</f>
        <v>#VALUE!</v>
      </c>
      <c r="AD52" s="84" t="e">
        <f t="shared" si="8"/>
        <v>#VALUE!</v>
      </c>
      <c r="AE52" t="e">
        <f>AG51*'Hypothetical vaccine model'!$J52*HelperFunctions!$R$14</f>
        <v>#VALUE!</v>
      </c>
      <c r="AF52" t="e">
        <f>AG51*'Hypothetical vaccine model'!$K52</f>
        <v>#VALUE!</v>
      </c>
      <c r="AG52" s="84" t="e">
        <f t="shared" si="9"/>
        <v>#VALUE!</v>
      </c>
      <c r="AH52" t="e">
        <f>AJ51*'Hypothetical vaccine model'!$J52*HelperFunctions!$R$14</f>
        <v>#VALUE!</v>
      </c>
      <c r="AI52" t="e">
        <f>AJ51*'Hypothetical vaccine model'!$K52</f>
        <v>#VALUE!</v>
      </c>
      <c r="AJ52" s="84" t="e">
        <f t="shared" si="10"/>
        <v>#VALUE!</v>
      </c>
      <c r="AK52" t="e">
        <f>AM51*'Hypothetical vaccine model'!$J52*HelperFunctions!$R$14</f>
        <v>#VALUE!</v>
      </c>
      <c r="AL52" t="e">
        <f>AM51*'Hypothetical vaccine model'!$K52</f>
        <v>#VALUE!</v>
      </c>
      <c r="AM52" s="84" t="e">
        <f t="shared" si="11"/>
        <v>#VALUE!</v>
      </c>
      <c r="AN52" t="e">
        <f>AP51*'Hypothetical vaccine model'!$J52*HelperFunctions!$R$28</f>
        <v>#VALUE!</v>
      </c>
      <c r="AO52" t="e">
        <f>AP51*'Hypothetical vaccine model'!$K52</f>
        <v>#VALUE!</v>
      </c>
      <c r="AP52" s="84" t="e">
        <f t="shared" si="12"/>
        <v>#VALUE!</v>
      </c>
      <c r="AQ52" t="e">
        <f>AS51*'Hypothetical vaccine model'!$J52*HelperFunctions!$R$28</f>
        <v>#VALUE!</v>
      </c>
      <c r="AR52" t="e">
        <f>AS51*'Hypothetical vaccine model'!$K52</f>
        <v>#VALUE!</v>
      </c>
      <c r="AS52" s="84" t="e">
        <f t="shared" si="13"/>
        <v>#VALUE!</v>
      </c>
      <c r="AT52" t="e">
        <f>AV51*'Hypothetical vaccine model'!$J52*HelperFunctions!$R$28</f>
        <v>#VALUE!</v>
      </c>
      <c r="AU52" t="e">
        <f>AV51*'Hypothetical vaccine model'!$K52</f>
        <v>#VALUE!</v>
      </c>
      <c r="AV52" s="84" t="e">
        <f t="shared" si="14"/>
        <v>#VALUE!</v>
      </c>
      <c r="AW52" t="e">
        <f>AY51*'Hypothetical vaccine model'!$J52*HelperFunctions!$R$28</f>
        <v>#VALUE!</v>
      </c>
      <c r="AX52" t="e">
        <f>AY51*'Hypothetical vaccine model'!$K52</f>
        <v>#VALUE!</v>
      </c>
      <c r="AY52" s="84" t="e">
        <f t="shared" si="15"/>
        <v>#VALUE!</v>
      </c>
      <c r="AZ52" t="e">
        <f>BB51*'Hypothetical vaccine model'!$J52*HelperFunctions!$R$28</f>
        <v>#VALUE!</v>
      </c>
      <c r="BA52" t="e">
        <f>BB51*'Hypothetical vaccine model'!$K52</f>
        <v>#VALUE!</v>
      </c>
      <c r="BB52" s="84" t="e">
        <f t="shared" si="16"/>
        <v>#VALUE!</v>
      </c>
      <c r="BC52" t="e">
        <f>BE51*'Hypothetical vaccine model'!$J52*HelperFunctions!$R$28</f>
        <v>#VALUE!</v>
      </c>
      <c r="BD52" t="e">
        <f>BE51*'Hypothetical vaccine model'!$K52</f>
        <v>#VALUE!</v>
      </c>
      <c r="BE52" s="84" t="e">
        <f t="shared" si="17"/>
        <v>#VALUE!</v>
      </c>
      <c r="BF52" t="e">
        <f>BH51*'Hypothetical vaccine model'!$J52*HelperFunctions!$R$28</f>
        <v>#VALUE!</v>
      </c>
      <c r="BG52" t="e">
        <f>BH51*'Hypothetical vaccine model'!$K52</f>
        <v>#VALUE!</v>
      </c>
      <c r="BH52" s="84" t="e">
        <f t="shared" si="18"/>
        <v>#VALUE!</v>
      </c>
      <c r="BI52" t="e">
        <f>BK51*'Hypothetical vaccine model'!$J52*HelperFunctions!$R$28</f>
        <v>#VALUE!</v>
      </c>
      <c r="BJ52" t="e">
        <f>BK51*'Hypothetical vaccine model'!$K52</f>
        <v>#VALUE!</v>
      </c>
      <c r="BK52" s="84" t="e">
        <f t="shared" si="19"/>
        <v>#VALUE!</v>
      </c>
      <c r="BL52" t="e">
        <f>BN51*'Hypothetical vaccine model'!$J52*HelperFunctions!$R$28</f>
        <v>#VALUE!</v>
      </c>
      <c r="BM52" t="e">
        <f>BN51*'Hypothetical vaccine model'!$K52</f>
        <v>#VALUE!</v>
      </c>
      <c r="BN52" s="84" t="e">
        <f t="shared" si="20"/>
        <v>#VALUE!</v>
      </c>
      <c r="BO52" t="e">
        <f>BQ51*'Hypothetical vaccine model'!$J52*HelperFunctions!$R$28</f>
        <v>#VALUE!</v>
      </c>
      <c r="BP52" t="e">
        <f>BQ51*'Hypothetical vaccine model'!$K52</f>
        <v>#VALUE!</v>
      </c>
      <c r="BQ52" s="84" t="e">
        <f t="shared" si="21"/>
        <v>#VALUE!</v>
      </c>
      <c r="BR52" t="e">
        <f>BT51*'Hypothetical vaccine model'!$J52*HelperFunctions!$R$28</f>
        <v>#VALUE!</v>
      </c>
      <c r="BS52" t="e">
        <f>BT51*'Hypothetical vaccine model'!$K52</f>
        <v>#VALUE!</v>
      </c>
      <c r="BT52" s="84" t="e">
        <f t="shared" si="22"/>
        <v>#VALUE!</v>
      </c>
      <c r="BU52" t="e">
        <f>BW51*'Hypothetical vaccine model'!$J52*HelperFunctions!$R$28</f>
        <v>#VALUE!</v>
      </c>
      <c r="BV52" t="e">
        <f>BW51*'Hypothetical vaccine model'!$K52</f>
        <v>#VALUE!</v>
      </c>
      <c r="BW52" s="84" t="e">
        <f t="shared" si="23"/>
        <v>#VALUE!</v>
      </c>
      <c r="BX52" t="e">
        <f>BZ51*'Hypothetical vaccine model'!$J52*HelperFunctions!$R$42</f>
        <v>#VALUE!</v>
      </c>
      <c r="BY52" t="e">
        <f>BZ51*'Hypothetical vaccine model'!$K52</f>
        <v>#VALUE!</v>
      </c>
      <c r="BZ52" s="84" t="e">
        <f t="shared" si="24"/>
        <v>#VALUE!</v>
      </c>
      <c r="CA52" t="e">
        <f>CC51*'Hypothetical vaccine model'!$J52*HelperFunctions!$R$42</f>
        <v>#VALUE!</v>
      </c>
      <c r="CB52" t="e">
        <f>CC51*'Hypothetical vaccine model'!$K52</f>
        <v>#VALUE!</v>
      </c>
      <c r="CC52" s="84" t="e">
        <f t="shared" si="25"/>
        <v>#VALUE!</v>
      </c>
      <c r="CD52" t="e">
        <f>CF51*'Hypothetical vaccine model'!$J52*HelperFunctions!$R$42</f>
        <v>#VALUE!</v>
      </c>
      <c r="CE52" t="e">
        <f>CF51*'Hypothetical vaccine model'!$K52</f>
        <v>#VALUE!</v>
      </c>
      <c r="CF52" s="84" t="e">
        <f t="shared" si="26"/>
        <v>#VALUE!</v>
      </c>
      <c r="CG52" t="e">
        <f>CI51*'Hypothetical vaccine model'!$J52*HelperFunctions!$R$42</f>
        <v>#VALUE!</v>
      </c>
      <c r="CH52" t="e">
        <f>CI51*'Hypothetical vaccine model'!$K52</f>
        <v>#VALUE!</v>
      </c>
      <c r="CI52" s="84" t="e">
        <f t="shared" si="27"/>
        <v>#VALUE!</v>
      </c>
      <c r="CJ52" t="e">
        <f>CL51*'Hypothetical vaccine model'!$J52*HelperFunctions!$R$42</f>
        <v>#VALUE!</v>
      </c>
      <c r="CK52" t="e">
        <f>CL51*'Hypothetical vaccine model'!$K52</f>
        <v>#VALUE!</v>
      </c>
      <c r="CL52" s="84" t="e">
        <f t="shared" si="28"/>
        <v>#VALUE!</v>
      </c>
      <c r="CM52" t="e">
        <f>CO51*'Hypothetical vaccine model'!$J52*HelperFunctions!$R$42</f>
        <v>#VALUE!</v>
      </c>
      <c r="CN52" t="e">
        <f>CO51*'Hypothetical vaccine model'!$K52</f>
        <v>#VALUE!</v>
      </c>
      <c r="CO52" s="84" t="e">
        <f t="shared" si="29"/>
        <v>#VALUE!</v>
      </c>
      <c r="CP52" t="e">
        <f>CR51*'Hypothetical vaccine model'!$J52*HelperFunctions!$R$42</f>
        <v>#VALUE!</v>
      </c>
      <c r="CQ52" t="e">
        <f>CR51*'Hypothetical vaccine model'!$K52</f>
        <v>#VALUE!</v>
      </c>
      <c r="CR52" s="84" t="e">
        <f t="shared" si="30"/>
        <v>#VALUE!</v>
      </c>
      <c r="CS52" t="e">
        <f>CU51*'Hypothetical vaccine model'!$J52*HelperFunctions!$R$42</f>
        <v>#VALUE!</v>
      </c>
      <c r="CT52" t="e">
        <f>CU51*'Hypothetical vaccine model'!$K52</f>
        <v>#VALUE!</v>
      </c>
      <c r="CU52" s="84" t="e">
        <f t="shared" si="31"/>
        <v>#VALUE!</v>
      </c>
      <c r="CV52" t="e">
        <f>CX51*'Hypothetical vaccine model'!$J52*HelperFunctions!$R$42</f>
        <v>#VALUE!</v>
      </c>
      <c r="CW52" t="e">
        <f>CX51*'Hypothetical vaccine model'!$K52</f>
        <v>#VALUE!</v>
      </c>
      <c r="CX52" s="84" t="e">
        <f t="shared" si="32"/>
        <v>#VALUE!</v>
      </c>
      <c r="CY52" t="e">
        <f>DA51*'Hypothetical vaccine model'!$J52*HelperFunctions!$R$42</f>
        <v>#VALUE!</v>
      </c>
      <c r="CZ52" t="e">
        <f>DA51*'Hypothetical vaccine model'!$K52</f>
        <v>#VALUE!</v>
      </c>
      <c r="DA52" s="84" t="e">
        <f t="shared" si="33"/>
        <v>#VALUE!</v>
      </c>
      <c r="DB52" t="e">
        <f>DD51*'Hypothetical vaccine model'!$J52*HelperFunctions!$R$42</f>
        <v>#VALUE!</v>
      </c>
      <c r="DC52" t="e">
        <f>DD51*'Hypothetical vaccine model'!$K52</f>
        <v>#VALUE!</v>
      </c>
      <c r="DD52" s="84" t="e">
        <f t="shared" si="34"/>
        <v>#VALUE!</v>
      </c>
      <c r="DE52" t="e">
        <f>DG51*'Hypothetical vaccine model'!$J52*HelperFunctions!$R$42</f>
        <v>#VALUE!</v>
      </c>
      <c r="DF52" t="e">
        <f>DG51*'Hypothetical vaccine model'!$K52</f>
        <v>#VALUE!</v>
      </c>
      <c r="DG52" s="84" t="e">
        <f t="shared" si="35"/>
        <v>#VALUE!</v>
      </c>
      <c r="DH52" t="e">
        <f>DJ51*'Hypothetical vaccine model'!$J52*HelperFunctions!$R$56</f>
        <v>#VALUE!</v>
      </c>
      <c r="DI52" t="e">
        <f>DJ51*'Hypothetical vaccine model'!$K52</f>
        <v>#VALUE!</v>
      </c>
      <c r="DJ52" s="84" t="e">
        <f t="shared" si="36"/>
        <v>#VALUE!</v>
      </c>
      <c r="DK52" t="e">
        <f>DM51*'Hypothetical vaccine model'!$J52*HelperFunctions!$R55</f>
        <v>#VALUE!</v>
      </c>
      <c r="DL52" t="e">
        <f>DM51*'Hypothetical vaccine model'!$K52</f>
        <v>#VALUE!</v>
      </c>
      <c r="DM52" s="84" t="e">
        <f t="shared" si="37"/>
        <v>#VALUE!</v>
      </c>
      <c r="DN52" t="e">
        <f>DP51*'Hypothetical vaccine model'!$J52*HelperFunctions!$R54</f>
        <v>#VALUE!</v>
      </c>
      <c r="DO52" t="e">
        <f>DP51*'Hypothetical vaccine model'!$K52</f>
        <v>#VALUE!</v>
      </c>
      <c r="DP52" s="84" t="e">
        <f t="shared" si="38"/>
        <v>#VALUE!</v>
      </c>
      <c r="DQ52" t="e">
        <f>DS51*'Hypothetical vaccine model'!$J52*HelperFunctions!$R53</f>
        <v>#VALUE!</v>
      </c>
      <c r="DR52" t="e">
        <f>DS51*'Hypothetical vaccine model'!$K52</f>
        <v>#VALUE!</v>
      </c>
      <c r="DS52" s="84" t="e">
        <f t="shared" si="39"/>
        <v>#VALUE!</v>
      </c>
      <c r="DT52" t="e">
        <f>DV51*'Hypothetical vaccine model'!$J52*HelperFunctions!$R52</f>
        <v>#VALUE!</v>
      </c>
      <c r="DU52" t="e">
        <f>DV51*'Hypothetical vaccine model'!$K52</f>
        <v>#VALUE!</v>
      </c>
      <c r="DV52" s="84" t="e">
        <f t="shared" si="40"/>
        <v>#VALUE!</v>
      </c>
      <c r="DW52" t="e">
        <f>DY51*'Hypothetical vaccine model'!$J52*HelperFunctions!$R51</f>
        <v>#VALUE!</v>
      </c>
      <c r="DX52" t="e">
        <f>DY51*'Hypothetical vaccine model'!$K52</f>
        <v>#VALUE!</v>
      </c>
      <c r="DY52" s="84" t="e">
        <f t="shared" si="41"/>
        <v>#VALUE!</v>
      </c>
      <c r="DZ52" t="e">
        <f>EB51*'Hypothetical vaccine model'!$J52*HelperFunctions!$R50</f>
        <v>#VALUE!</v>
      </c>
      <c r="EA52" t="e">
        <f>EB51*'Hypothetical vaccine model'!$K52</f>
        <v>#VALUE!</v>
      </c>
      <c r="EB52" s="84" t="e">
        <f t="shared" si="42"/>
        <v>#VALUE!</v>
      </c>
      <c r="EC52" t="e">
        <f>EE51*'Hypothetical vaccine model'!$J52*HelperFunctions!$R49</f>
        <v>#VALUE!</v>
      </c>
      <c r="ED52" t="e">
        <f>EE51*'Hypothetical vaccine model'!$K52</f>
        <v>#VALUE!</v>
      </c>
      <c r="EE52" s="84" t="e">
        <f t="shared" si="43"/>
        <v>#VALUE!</v>
      </c>
      <c r="EF52" t="e">
        <f>EH51*'Hypothetical vaccine model'!$J52*HelperFunctions!$R48</f>
        <v>#VALUE!</v>
      </c>
      <c r="EG52" t="e">
        <f>EH51*'Hypothetical vaccine model'!$K52</f>
        <v>#VALUE!</v>
      </c>
      <c r="EH52" s="84" t="e">
        <f t="shared" si="44"/>
        <v>#VALUE!</v>
      </c>
      <c r="EI52" t="e">
        <f>EK51*'Hypothetical vaccine model'!$J52*HelperFunctions!$R47</f>
        <v>#VALUE!</v>
      </c>
      <c r="EJ52" t="e">
        <f>EK51*'Hypothetical vaccine model'!$K52</f>
        <v>#VALUE!</v>
      </c>
      <c r="EK52" s="84" t="e">
        <f t="shared" si="45"/>
        <v>#VALUE!</v>
      </c>
      <c r="EL52" t="e">
        <f>EN51*'Hypothetical vaccine model'!$J52*HelperFunctions!$R46</f>
        <v>#VALUE!</v>
      </c>
      <c r="EM52" t="e">
        <f>EN51*'Hypothetical vaccine model'!$K52</f>
        <v>#VALUE!</v>
      </c>
      <c r="EN52" s="84" t="e">
        <f t="shared" ref="EN52:EN63" si="46">EN51-EL52-EM52</f>
        <v>#VALUE!</v>
      </c>
      <c r="EO52" t="e">
        <f>EQ51*'Hypothetical vaccine model'!$J52*HelperFunctions!$R45</f>
        <v>#VALUE!</v>
      </c>
      <c r="EP52" t="e">
        <f>EQ51*'Hypothetical vaccine model'!$K52</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F52*'Hypothetical vaccine model'!J53*HelperFunctions!R$14</f>
        <v>#VALUE!</v>
      </c>
      <c r="E53" t="e">
        <f>F52*'Hypothetical vaccine model'!K53</f>
        <v>#VALUE!</v>
      </c>
      <c r="F53" s="84" t="e">
        <f t="shared" si="0"/>
        <v>#VALUE!</v>
      </c>
      <c r="G53" t="e">
        <f>I52*'Hypothetical vaccine model'!$J53*HelperFunctions!$R$14</f>
        <v>#VALUE!</v>
      </c>
      <c r="H53" t="e">
        <f>I52*'Hypothetical vaccine model'!$K53</f>
        <v>#VALUE!</v>
      </c>
      <c r="I53" s="84" t="e">
        <f t="shared" si="1"/>
        <v>#VALUE!</v>
      </c>
      <c r="J53" t="e">
        <f>L52*'Hypothetical vaccine model'!$J53*HelperFunctions!$R$14</f>
        <v>#VALUE!</v>
      </c>
      <c r="K53" t="e">
        <f>L52*'Hypothetical vaccine model'!$K53</f>
        <v>#VALUE!</v>
      </c>
      <c r="L53" s="84" t="e">
        <f t="shared" si="2"/>
        <v>#VALUE!</v>
      </c>
      <c r="M53" t="e">
        <f>O52*'Hypothetical vaccine model'!$J53*HelperFunctions!$R$14</f>
        <v>#VALUE!</v>
      </c>
      <c r="N53" t="e">
        <f>O52*'Hypothetical vaccine model'!$K53</f>
        <v>#VALUE!</v>
      </c>
      <c r="O53" s="84" t="e">
        <f t="shared" si="3"/>
        <v>#VALUE!</v>
      </c>
      <c r="P53" t="e">
        <f>R52*'Hypothetical vaccine model'!$J53*HelperFunctions!$R$14</f>
        <v>#VALUE!</v>
      </c>
      <c r="Q53" t="e">
        <f>R52*'Hypothetical vaccine model'!$K53</f>
        <v>#VALUE!</v>
      </c>
      <c r="R53" s="84" t="e">
        <f t="shared" si="4"/>
        <v>#VALUE!</v>
      </c>
      <c r="S53" t="e">
        <f>U52*'Hypothetical vaccine model'!$J53*HelperFunctions!$R$14</f>
        <v>#VALUE!</v>
      </c>
      <c r="T53" t="e">
        <f>U52*'Hypothetical vaccine model'!$K53</f>
        <v>#VALUE!</v>
      </c>
      <c r="U53" s="84" t="e">
        <f t="shared" si="5"/>
        <v>#VALUE!</v>
      </c>
      <c r="V53" t="e">
        <f>X52*'Hypothetical vaccine model'!$J53*HelperFunctions!$R$14</f>
        <v>#VALUE!</v>
      </c>
      <c r="W53" t="e">
        <f>X52*'Hypothetical vaccine model'!$K53</f>
        <v>#VALUE!</v>
      </c>
      <c r="X53" s="84" t="e">
        <f t="shared" si="6"/>
        <v>#VALUE!</v>
      </c>
      <c r="Y53" t="e">
        <f>AA52*'Hypothetical vaccine model'!$J53*HelperFunctions!$R$14</f>
        <v>#VALUE!</v>
      </c>
      <c r="Z53" t="e">
        <f>AA52*'Hypothetical vaccine model'!$K53</f>
        <v>#VALUE!</v>
      </c>
      <c r="AA53" s="84" t="e">
        <f t="shared" si="7"/>
        <v>#VALUE!</v>
      </c>
      <c r="AB53" t="e">
        <f>AD52*'Hypothetical vaccine model'!$J53*HelperFunctions!$R$14</f>
        <v>#VALUE!</v>
      </c>
      <c r="AC53" t="e">
        <f>AD52*'Hypothetical vaccine model'!$K53</f>
        <v>#VALUE!</v>
      </c>
      <c r="AD53" s="84" t="e">
        <f t="shared" si="8"/>
        <v>#VALUE!</v>
      </c>
      <c r="AE53" t="e">
        <f>AG52*'Hypothetical vaccine model'!$J53*HelperFunctions!$R$14</f>
        <v>#VALUE!</v>
      </c>
      <c r="AF53" t="e">
        <f>AG52*'Hypothetical vaccine model'!$K53</f>
        <v>#VALUE!</v>
      </c>
      <c r="AG53" s="84" t="e">
        <f t="shared" si="9"/>
        <v>#VALUE!</v>
      </c>
      <c r="AH53" t="e">
        <f>AJ52*'Hypothetical vaccine model'!$J53*HelperFunctions!$R$14</f>
        <v>#VALUE!</v>
      </c>
      <c r="AI53" t="e">
        <f>AJ52*'Hypothetical vaccine model'!$K53</f>
        <v>#VALUE!</v>
      </c>
      <c r="AJ53" s="84" t="e">
        <f t="shared" si="10"/>
        <v>#VALUE!</v>
      </c>
      <c r="AK53" t="e">
        <f>AM52*'Hypothetical vaccine model'!$J53*HelperFunctions!$R$14</f>
        <v>#VALUE!</v>
      </c>
      <c r="AL53" t="e">
        <f>AM52*'Hypothetical vaccine model'!$K53</f>
        <v>#VALUE!</v>
      </c>
      <c r="AM53" s="84" t="e">
        <f t="shared" si="11"/>
        <v>#VALUE!</v>
      </c>
      <c r="AN53" t="e">
        <f>AP52*'Hypothetical vaccine model'!$J53*HelperFunctions!$R$28</f>
        <v>#VALUE!</v>
      </c>
      <c r="AO53" t="e">
        <f>AP52*'Hypothetical vaccine model'!$K53</f>
        <v>#VALUE!</v>
      </c>
      <c r="AP53" s="84" t="e">
        <f t="shared" si="12"/>
        <v>#VALUE!</v>
      </c>
      <c r="AQ53" t="e">
        <f>AS52*'Hypothetical vaccine model'!$J53*HelperFunctions!$R$28</f>
        <v>#VALUE!</v>
      </c>
      <c r="AR53" t="e">
        <f>AS52*'Hypothetical vaccine model'!$K53</f>
        <v>#VALUE!</v>
      </c>
      <c r="AS53" s="84" t="e">
        <f t="shared" si="13"/>
        <v>#VALUE!</v>
      </c>
      <c r="AT53" t="e">
        <f>AV52*'Hypothetical vaccine model'!$J53*HelperFunctions!$R$28</f>
        <v>#VALUE!</v>
      </c>
      <c r="AU53" t="e">
        <f>AV52*'Hypothetical vaccine model'!$K53</f>
        <v>#VALUE!</v>
      </c>
      <c r="AV53" s="84" t="e">
        <f t="shared" si="14"/>
        <v>#VALUE!</v>
      </c>
      <c r="AW53" t="e">
        <f>AY52*'Hypothetical vaccine model'!$J53*HelperFunctions!$R$28</f>
        <v>#VALUE!</v>
      </c>
      <c r="AX53" t="e">
        <f>AY52*'Hypothetical vaccine model'!$K53</f>
        <v>#VALUE!</v>
      </c>
      <c r="AY53" s="84" t="e">
        <f t="shared" si="15"/>
        <v>#VALUE!</v>
      </c>
      <c r="AZ53" t="e">
        <f>BB52*'Hypothetical vaccine model'!$J53*HelperFunctions!$R$28</f>
        <v>#VALUE!</v>
      </c>
      <c r="BA53" t="e">
        <f>BB52*'Hypothetical vaccine model'!$K53</f>
        <v>#VALUE!</v>
      </c>
      <c r="BB53" s="84" t="e">
        <f t="shared" si="16"/>
        <v>#VALUE!</v>
      </c>
      <c r="BC53" t="e">
        <f>BE52*'Hypothetical vaccine model'!$J53*HelperFunctions!$R$28</f>
        <v>#VALUE!</v>
      </c>
      <c r="BD53" t="e">
        <f>BE52*'Hypothetical vaccine model'!$K53</f>
        <v>#VALUE!</v>
      </c>
      <c r="BE53" s="84" t="e">
        <f t="shared" si="17"/>
        <v>#VALUE!</v>
      </c>
      <c r="BF53" t="e">
        <f>BH52*'Hypothetical vaccine model'!$J53*HelperFunctions!$R$28</f>
        <v>#VALUE!</v>
      </c>
      <c r="BG53" t="e">
        <f>BH52*'Hypothetical vaccine model'!$K53</f>
        <v>#VALUE!</v>
      </c>
      <c r="BH53" s="84" t="e">
        <f t="shared" si="18"/>
        <v>#VALUE!</v>
      </c>
      <c r="BI53" t="e">
        <f>BK52*'Hypothetical vaccine model'!$J53*HelperFunctions!$R$28</f>
        <v>#VALUE!</v>
      </c>
      <c r="BJ53" t="e">
        <f>BK52*'Hypothetical vaccine model'!$K53</f>
        <v>#VALUE!</v>
      </c>
      <c r="BK53" s="84" t="e">
        <f t="shared" si="19"/>
        <v>#VALUE!</v>
      </c>
      <c r="BL53" t="e">
        <f>BN52*'Hypothetical vaccine model'!$J53*HelperFunctions!$R$28</f>
        <v>#VALUE!</v>
      </c>
      <c r="BM53" t="e">
        <f>BN52*'Hypothetical vaccine model'!$K53</f>
        <v>#VALUE!</v>
      </c>
      <c r="BN53" s="84" t="e">
        <f t="shared" si="20"/>
        <v>#VALUE!</v>
      </c>
      <c r="BO53" t="e">
        <f>BQ52*'Hypothetical vaccine model'!$J53*HelperFunctions!$R$28</f>
        <v>#VALUE!</v>
      </c>
      <c r="BP53" t="e">
        <f>BQ52*'Hypothetical vaccine model'!$K53</f>
        <v>#VALUE!</v>
      </c>
      <c r="BQ53" s="84" t="e">
        <f t="shared" si="21"/>
        <v>#VALUE!</v>
      </c>
      <c r="BR53" t="e">
        <f>BT52*'Hypothetical vaccine model'!$J53*HelperFunctions!$R$28</f>
        <v>#VALUE!</v>
      </c>
      <c r="BS53" t="e">
        <f>BT52*'Hypothetical vaccine model'!$K53</f>
        <v>#VALUE!</v>
      </c>
      <c r="BT53" s="84" t="e">
        <f t="shared" si="22"/>
        <v>#VALUE!</v>
      </c>
      <c r="BU53" t="e">
        <f>BW52*'Hypothetical vaccine model'!$J53*HelperFunctions!$R$28</f>
        <v>#VALUE!</v>
      </c>
      <c r="BV53" t="e">
        <f>BW52*'Hypothetical vaccine model'!$K53</f>
        <v>#VALUE!</v>
      </c>
      <c r="BW53" s="84" t="e">
        <f t="shared" si="23"/>
        <v>#VALUE!</v>
      </c>
      <c r="BX53" t="e">
        <f>BZ52*'Hypothetical vaccine model'!$J53*HelperFunctions!$R$42</f>
        <v>#VALUE!</v>
      </c>
      <c r="BY53" t="e">
        <f>BZ52*'Hypothetical vaccine model'!$K53</f>
        <v>#VALUE!</v>
      </c>
      <c r="BZ53" s="84" t="e">
        <f t="shared" si="24"/>
        <v>#VALUE!</v>
      </c>
      <c r="CA53" t="e">
        <f>CC52*'Hypothetical vaccine model'!$J53*HelperFunctions!$R$42</f>
        <v>#VALUE!</v>
      </c>
      <c r="CB53" t="e">
        <f>CC52*'Hypothetical vaccine model'!$K53</f>
        <v>#VALUE!</v>
      </c>
      <c r="CC53" s="84" t="e">
        <f t="shared" si="25"/>
        <v>#VALUE!</v>
      </c>
      <c r="CD53" t="e">
        <f>CF52*'Hypothetical vaccine model'!$J53*HelperFunctions!$R$42</f>
        <v>#VALUE!</v>
      </c>
      <c r="CE53" t="e">
        <f>CF52*'Hypothetical vaccine model'!$K53</f>
        <v>#VALUE!</v>
      </c>
      <c r="CF53" s="84" t="e">
        <f t="shared" si="26"/>
        <v>#VALUE!</v>
      </c>
      <c r="CG53" t="e">
        <f>CI52*'Hypothetical vaccine model'!$J53*HelperFunctions!$R$42</f>
        <v>#VALUE!</v>
      </c>
      <c r="CH53" t="e">
        <f>CI52*'Hypothetical vaccine model'!$K53</f>
        <v>#VALUE!</v>
      </c>
      <c r="CI53" s="84" t="e">
        <f t="shared" si="27"/>
        <v>#VALUE!</v>
      </c>
      <c r="CJ53" t="e">
        <f>CL52*'Hypothetical vaccine model'!$J53*HelperFunctions!$R$42</f>
        <v>#VALUE!</v>
      </c>
      <c r="CK53" t="e">
        <f>CL52*'Hypothetical vaccine model'!$K53</f>
        <v>#VALUE!</v>
      </c>
      <c r="CL53" s="84" t="e">
        <f t="shared" si="28"/>
        <v>#VALUE!</v>
      </c>
      <c r="CM53" t="e">
        <f>CO52*'Hypothetical vaccine model'!$J53*HelperFunctions!$R$42</f>
        <v>#VALUE!</v>
      </c>
      <c r="CN53" t="e">
        <f>CO52*'Hypothetical vaccine model'!$K53</f>
        <v>#VALUE!</v>
      </c>
      <c r="CO53" s="84" t="e">
        <f t="shared" si="29"/>
        <v>#VALUE!</v>
      </c>
      <c r="CP53" t="e">
        <f>CR52*'Hypothetical vaccine model'!$J53*HelperFunctions!$R$42</f>
        <v>#VALUE!</v>
      </c>
      <c r="CQ53" t="e">
        <f>CR52*'Hypothetical vaccine model'!$K53</f>
        <v>#VALUE!</v>
      </c>
      <c r="CR53" s="84" t="e">
        <f t="shared" si="30"/>
        <v>#VALUE!</v>
      </c>
      <c r="CS53" t="e">
        <f>CU52*'Hypothetical vaccine model'!$J53*HelperFunctions!$R$42</f>
        <v>#VALUE!</v>
      </c>
      <c r="CT53" t="e">
        <f>CU52*'Hypothetical vaccine model'!$K53</f>
        <v>#VALUE!</v>
      </c>
      <c r="CU53" s="84" t="e">
        <f t="shared" si="31"/>
        <v>#VALUE!</v>
      </c>
      <c r="CV53" t="e">
        <f>CX52*'Hypothetical vaccine model'!$J53*HelperFunctions!$R$42</f>
        <v>#VALUE!</v>
      </c>
      <c r="CW53" t="e">
        <f>CX52*'Hypothetical vaccine model'!$K53</f>
        <v>#VALUE!</v>
      </c>
      <c r="CX53" s="84" t="e">
        <f t="shared" si="32"/>
        <v>#VALUE!</v>
      </c>
      <c r="CY53" t="e">
        <f>DA52*'Hypothetical vaccine model'!$J53*HelperFunctions!$R$42</f>
        <v>#VALUE!</v>
      </c>
      <c r="CZ53" t="e">
        <f>DA52*'Hypothetical vaccine model'!$K53</f>
        <v>#VALUE!</v>
      </c>
      <c r="DA53" s="84" t="e">
        <f t="shared" si="33"/>
        <v>#VALUE!</v>
      </c>
      <c r="DB53" t="e">
        <f>DD52*'Hypothetical vaccine model'!$J53*HelperFunctions!$R$42</f>
        <v>#VALUE!</v>
      </c>
      <c r="DC53" t="e">
        <f>DD52*'Hypothetical vaccine model'!$K53</f>
        <v>#VALUE!</v>
      </c>
      <c r="DD53" s="84" t="e">
        <f t="shared" si="34"/>
        <v>#VALUE!</v>
      </c>
      <c r="DE53" t="e">
        <f>DG52*'Hypothetical vaccine model'!$J53*HelperFunctions!$R$42</f>
        <v>#VALUE!</v>
      </c>
      <c r="DF53" t="e">
        <f>DG52*'Hypothetical vaccine model'!$K53</f>
        <v>#VALUE!</v>
      </c>
      <c r="DG53" s="84" t="e">
        <f t="shared" si="35"/>
        <v>#VALUE!</v>
      </c>
      <c r="DH53" t="e">
        <f>DJ52*'Hypothetical vaccine model'!$J53*HelperFunctions!$R$56</f>
        <v>#VALUE!</v>
      </c>
      <c r="DI53" t="e">
        <f>DJ52*'Hypothetical vaccine model'!$K53</f>
        <v>#VALUE!</v>
      </c>
      <c r="DJ53" s="84" t="e">
        <f t="shared" si="36"/>
        <v>#VALUE!</v>
      </c>
      <c r="DK53" t="e">
        <f>DM52*'Hypothetical vaccine model'!$J53*HelperFunctions!$R$56</f>
        <v>#VALUE!</v>
      </c>
      <c r="DL53" t="e">
        <f>DM52*'Hypothetical vaccine model'!$K53</f>
        <v>#VALUE!</v>
      </c>
      <c r="DM53" s="84" t="e">
        <f t="shared" si="37"/>
        <v>#VALUE!</v>
      </c>
      <c r="DN53" t="e">
        <f>DP52*'Hypothetical vaccine model'!$J53*HelperFunctions!$R55</f>
        <v>#VALUE!</v>
      </c>
      <c r="DO53" t="e">
        <f>DP52*'Hypothetical vaccine model'!$K53</f>
        <v>#VALUE!</v>
      </c>
      <c r="DP53" s="84" t="e">
        <f t="shared" si="38"/>
        <v>#VALUE!</v>
      </c>
      <c r="DQ53" t="e">
        <f>DS52*'Hypothetical vaccine model'!$J53*HelperFunctions!$R54</f>
        <v>#VALUE!</v>
      </c>
      <c r="DR53" t="e">
        <f>DS52*'Hypothetical vaccine model'!$K53</f>
        <v>#VALUE!</v>
      </c>
      <c r="DS53" s="84" t="e">
        <f t="shared" si="39"/>
        <v>#VALUE!</v>
      </c>
      <c r="DT53" t="e">
        <f>DV52*'Hypothetical vaccine model'!$J53*HelperFunctions!$R53</f>
        <v>#VALUE!</v>
      </c>
      <c r="DU53" t="e">
        <f>DV52*'Hypothetical vaccine model'!$K53</f>
        <v>#VALUE!</v>
      </c>
      <c r="DV53" s="84" t="e">
        <f t="shared" si="40"/>
        <v>#VALUE!</v>
      </c>
      <c r="DW53" t="e">
        <f>DY52*'Hypothetical vaccine model'!$J53*HelperFunctions!$R52</f>
        <v>#VALUE!</v>
      </c>
      <c r="DX53" t="e">
        <f>DY52*'Hypothetical vaccine model'!$K53</f>
        <v>#VALUE!</v>
      </c>
      <c r="DY53" s="84" t="e">
        <f t="shared" si="41"/>
        <v>#VALUE!</v>
      </c>
      <c r="DZ53" t="e">
        <f>EB52*'Hypothetical vaccine model'!$J53*HelperFunctions!$R51</f>
        <v>#VALUE!</v>
      </c>
      <c r="EA53" t="e">
        <f>EB52*'Hypothetical vaccine model'!$K53</f>
        <v>#VALUE!</v>
      </c>
      <c r="EB53" s="84" t="e">
        <f t="shared" si="42"/>
        <v>#VALUE!</v>
      </c>
      <c r="EC53" t="e">
        <f>EE52*'Hypothetical vaccine model'!$J53*HelperFunctions!$R50</f>
        <v>#VALUE!</v>
      </c>
      <c r="ED53" t="e">
        <f>EE52*'Hypothetical vaccine model'!$K53</f>
        <v>#VALUE!</v>
      </c>
      <c r="EE53" s="84" t="e">
        <f t="shared" si="43"/>
        <v>#VALUE!</v>
      </c>
      <c r="EF53" t="e">
        <f>EH52*'Hypothetical vaccine model'!$J53*HelperFunctions!$R49</f>
        <v>#VALUE!</v>
      </c>
      <c r="EG53" t="e">
        <f>EH52*'Hypothetical vaccine model'!$K53</f>
        <v>#VALUE!</v>
      </c>
      <c r="EH53" s="84" t="e">
        <f t="shared" si="44"/>
        <v>#VALUE!</v>
      </c>
      <c r="EI53" t="e">
        <f>EK52*'Hypothetical vaccine model'!$J53*HelperFunctions!$R48</f>
        <v>#VALUE!</v>
      </c>
      <c r="EJ53" t="e">
        <f>EK52*'Hypothetical vaccine model'!$K53</f>
        <v>#VALUE!</v>
      </c>
      <c r="EK53" s="84" t="e">
        <f t="shared" si="45"/>
        <v>#VALUE!</v>
      </c>
      <c r="EL53" t="e">
        <f>EN52*'Hypothetical vaccine model'!$J53*HelperFunctions!$R47</f>
        <v>#VALUE!</v>
      </c>
      <c r="EM53" t="e">
        <f>EN52*'Hypothetical vaccine model'!$K53</f>
        <v>#VALUE!</v>
      </c>
      <c r="EN53" s="84" t="e">
        <f t="shared" si="46"/>
        <v>#VALUE!</v>
      </c>
      <c r="EO53" t="e">
        <f>EQ52*'Hypothetical vaccine model'!$J53*HelperFunctions!$R46</f>
        <v>#VALUE!</v>
      </c>
      <c r="EP53" t="e">
        <f>EQ52*'Hypothetical vaccine model'!$K53</f>
        <v>#VALUE!</v>
      </c>
      <c r="EQ53" s="84" t="e">
        <f t="shared" ref="EQ53:EQ63" si="47">EQ52-EO53-EP53</f>
        <v>#VALUE!</v>
      </c>
      <c r="ER53" t="e">
        <f>ET52*'Hypothetical vaccine model'!$J53*HelperFunctions!$R59</f>
        <v>#VALUE!</v>
      </c>
      <c r="ES53" t="e">
        <f>ET52*'Hypothetical vaccine model'!$K53</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F53*'Hypothetical vaccine model'!J54*HelperFunctions!R$14</f>
        <v>#VALUE!</v>
      </c>
      <c r="E54" t="e">
        <f>F53*'Hypothetical vaccine model'!K54</f>
        <v>#VALUE!</v>
      </c>
      <c r="F54" s="84" t="e">
        <f t="shared" si="0"/>
        <v>#VALUE!</v>
      </c>
      <c r="G54" t="e">
        <f>I53*'Hypothetical vaccine model'!$J54*HelperFunctions!$R$14</f>
        <v>#VALUE!</v>
      </c>
      <c r="H54" t="e">
        <f>I53*'Hypothetical vaccine model'!$K54</f>
        <v>#VALUE!</v>
      </c>
      <c r="I54" s="84" t="e">
        <f t="shared" si="1"/>
        <v>#VALUE!</v>
      </c>
      <c r="J54" t="e">
        <f>L53*'Hypothetical vaccine model'!$J54*HelperFunctions!$R$14</f>
        <v>#VALUE!</v>
      </c>
      <c r="K54" t="e">
        <f>L53*'Hypothetical vaccine model'!$K54</f>
        <v>#VALUE!</v>
      </c>
      <c r="L54" s="84" t="e">
        <f t="shared" si="2"/>
        <v>#VALUE!</v>
      </c>
      <c r="M54" t="e">
        <f>O53*'Hypothetical vaccine model'!$J54*HelperFunctions!$R$14</f>
        <v>#VALUE!</v>
      </c>
      <c r="N54" t="e">
        <f>O53*'Hypothetical vaccine model'!$K54</f>
        <v>#VALUE!</v>
      </c>
      <c r="O54" s="84" t="e">
        <f t="shared" si="3"/>
        <v>#VALUE!</v>
      </c>
      <c r="P54" t="e">
        <f>R53*'Hypothetical vaccine model'!$J54*HelperFunctions!$R$14</f>
        <v>#VALUE!</v>
      </c>
      <c r="Q54" t="e">
        <f>R53*'Hypothetical vaccine model'!$K54</f>
        <v>#VALUE!</v>
      </c>
      <c r="R54" s="84" t="e">
        <f t="shared" si="4"/>
        <v>#VALUE!</v>
      </c>
      <c r="S54" t="e">
        <f>U53*'Hypothetical vaccine model'!$J54*HelperFunctions!$R$14</f>
        <v>#VALUE!</v>
      </c>
      <c r="T54" t="e">
        <f>U53*'Hypothetical vaccine model'!$K54</f>
        <v>#VALUE!</v>
      </c>
      <c r="U54" s="84" t="e">
        <f t="shared" si="5"/>
        <v>#VALUE!</v>
      </c>
      <c r="V54" t="e">
        <f>X53*'Hypothetical vaccine model'!$J54*HelperFunctions!$R$14</f>
        <v>#VALUE!</v>
      </c>
      <c r="W54" t="e">
        <f>X53*'Hypothetical vaccine model'!$K54</f>
        <v>#VALUE!</v>
      </c>
      <c r="X54" s="84" t="e">
        <f t="shared" si="6"/>
        <v>#VALUE!</v>
      </c>
      <c r="Y54" t="e">
        <f>AA53*'Hypothetical vaccine model'!$J54*HelperFunctions!$R$14</f>
        <v>#VALUE!</v>
      </c>
      <c r="Z54" t="e">
        <f>AA53*'Hypothetical vaccine model'!$K54</f>
        <v>#VALUE!</v>
      </c>
      <c r="AA54" s="84" t="e">
        <f t="shared" si="7"/>
        <v>#VALUE!</v>
      </c>
      <c r="AB54" t="e">
        <f>AD53*'Hypothetical vaccine model'!$J54*HelperFunctions!$R$14</f>
        <v>#VALUE!</v>
      </c>
      <c r="AC54" t="e">
        <f>AD53*'Hypothetical vaccine model'!$K54</f>
        <v>#VALUE!</v>
      </c>
      <c r="AD54" s="84" t="e">
        <f t="shared" si="8"/>
        <v>#VALUE!</v>
      </c>
      <c r="AE54" t="e">
        <f>AG53*'Hypothetical vaccine model'!$J54*HelperFunctions!$R$14</f>
        <v>#VALUE!</v>
      </c>
      <c r="AF54" t="e">
        <f>AG53*'Hypothetical vaccine model'!$K54</f>
        <v>#VALUE!</v>
      </c>
      <c r="AG54" s="84" t="e">
        <f t="shared" si="9"/>
        <v>#VALUE!</v>
      </c>
      <c r="AH54" t="e">
        <f>AJ53*'Hypothetical vaccine model'!$J54*HelperFunctions!$R$14</f>
        <v>#VALUE!</v>
      </c>
      <c r="AI54" t="e">
        <f>AJ53*'Hypothetical vaccine model'!$K54</f>
        <v>#VALUE!</v>
      </c>
      <c r="AJ54" s="84" t="e">
        <f t="shared" si="10"/>
        <v>#VALUE!</v>
      </c>
      <c r="AK54" t="e">
        <f>AM53*'Hypothetical vaccine model'!$J54*HelperFunctions!$R$14</f>
        <v>#VALUE!</v>
      </c>
      <c r="AL54" t="e">
        <f>AM53*'Hypothetical vaccine model'!$K54</f>
        <v>#VALUE!</v>
      </c>
      <c r="AM54" s="84" t="e">
        <f t="shared" si="11"/>
        <v>#VALUE!</v>
      </c>
      <c r="AN54" t="e">
        <f>AP53*'Hypothetical vaccine model'!$J54*HelperFunctions!$R$28</f>
        <v>#VALUE!</v>
      </c>
      <c r="AO54" t="e">
        <f>AP53*'Hypothetical vaccine model'!$K54</f>
        <v>#VALUE!</v>
      </c>
      <c r="AP54" s="84" t="e">
        <f t="shared" si="12"/>
        <v>#VALUE!</v>
      </c>
      <c r="AQ54" t="e">
        <f>AS53*'Hypothetical vaccine model'!$J54*HelperFunctions!$R$28</f>
        <v>#VALUE!</v>
      </c>
      <c r="AR54" t="e">
        <f>AS53*'Hypothetical vaccine model'!$K54</f>
        <v>#VALUE!</v>
      </c>
      <c r="AS54" s="84" t="e">
        <f t="shared" si="13"/>
        <v>#VALUE!</v>
      </c>
      <c r="AT54" t="e">
        <f>AV53*'Hypothetical vaccine model'!$J54*HelperFunctions!$R$28</f>
        <v>#VALUE!</v>
      </c>
      <c r="AU54" t="e">
        <f>AV53*'Hypothetical vaccine model'!$K54</f>
        <v>#VALUE!</v>
      </c>
      <c r="AV54" s="84" t="e">
        <f t="shared" si="14"/>
        <v>#VALUE!</v>
      </c>
      <c r="AW54" t="e">
        <f>AY53*'Hypothetical vaccine model'!$J54*HelperFunctions!$R$28</f>
        <v>#VALUE!</v>
      </c>
      <c r="AX54" t="e">
        <f>AY53*'Hypothetical vaccine model'!$K54</f>
        <v>#VALUE!</v>
      </c>
      <c r="AY54" s="84" t="e">
        <f t="shared" si="15"/>
        <v>#VALUE!</v>
      </c>
      <c r="AZ54" t="e">
        <f>BB53*'Hypothetical vaccine model'!$J54*HelperFunctions!$R$28</f>
        <v>#VALUE!</v>
      </c>
      <c r="BA54" t="e">
        <f>BB53*'Hypothetical vaccine model'!$K54</f>
        <v>#VALUE!</v>
      </c>
      <c r="BB54" s="84" t="e">
        <f t="shared" si="16"/>
        <v>#VALUE!</v>
      </c>
      <c r="BC54" t="e">
        <f>BE53*'Hypothetical vaccine model'!$J54*HelperFunctions!$R$28</f>
        <v>#VALUE!</v>
      </c>
      <c r="BD54" t="e">
        <f>BE53*'Hypothetical vaccine model'!$K54</f>
        <v>#VALUE!</v>
      </c>
      <c r="BE54" s="84" t="e">
        <f t="shared" si="17"/>
        <v>#VALUE!</v>
      </c>
      <c r="BF54" t="e">
        <f>BH53*'Hypothetical vaccine model'!$J54*HelperFunctions!$R$28</f>
        <v>#VALUE!</v>
      </c>
      <c r="BG54" t="e">
        <f>BH53*'Hypothetical vaccine model'!$K54</f>
        <v>#VALUE!</v>
      </c>
      <c r="BH54" s="84" t="e">
        <f t="shared" si="18"/>
        <v>#VALUE!</v>
      </c>
      <c r="BI54" t="e">
        <f>BK53*'Hypothetical vaccine model'!$J54*HelperFunctions!$R$28</f>
        <v>#VALUE!</v>
      </c>
      <c r="BJ54" t="e">
        <f>BK53*'Hypothetical vaccine model'!$K54</f>
        <v>#VALUE!</v>
      </c>
      <c r="BK54" s="84" t="e">
        <f t="shared" si="19"/>
        <v>#VALUE!</v>
      </c>
      <c r="BL54" t="e">
        <f>BN53*'Hypothetical vaccine model'!$J54*HelperFunctions!$R$28</f>
        <v>#VALUE!</v>
      </c>
      <c r="BM54" t="e">
        <f>BN53*'Hypothetical vaccine model'!$K54</f>
        <v>#VALUE!</v>
      </c>
      <c r="BN54" s="84" t="e">
        <f t="shared" si="20"/>
        <v>#VALUE!</v>
      </c>
      <c r="BO54" t="e">
        <f>BQ53*'Hypothetical vaccine model'!$J54*HelperFunctions!$R$28</f>
        <v>#VALUE!</v>
      </c>
      <c r="BP54" t="e">
        <f>BQ53*'Hypothetical vaccine model'!$K54</f>
        <v>#VALUE!</v>
      </c>
      <c r="BQ54" s="84" t="e">
        <f t="shared" si="21"/>
        <v>#VALUE!</v>
      </c>
      <c r="BR54" t="e">
        <f>BT53*'Hypothetical vaccine model'!$J54*HelperFunctions!$R$28</f>
        <v>#VALUE!</v>
      </c>
      <c r="BS54" t="e">
        <f>BT53*'Hypothetical vaccine model'!$K54</f>
        <v>#VALUE!</v>
      </c>
      <c r="BT54" s="84" t="e">
        <f t="shared" si="22"/>
        <v>#VALUE!</v>
      </c>
      <c r="BU54" t="e">
        <f>BW53*'Hypothetical vaccine model'!$J54*HelperFunctions!$R$28</f>
        <v>#VALUE!</v>
      </c>
      <c r="BV54" t="e">
        <f>BW53*'Hypothetical vaccine model'!$K54</f>
        <v>#VALUE!</v>
      </c>
      <c r="BW54" s="84" t="e">
        <f t="shared" si="23"/>
        <v>#VALUE!</v>
      </c>
      <c r="BX54" t="e">
        <f>BZ53*'Hypothetical vaccine model'!$J54*HelperFunctions!$R$42</f>
        <v>#VALUE!</v>
      </c>
      <c r="BY54" t="e">
        <f>BZ53*'Hypothetical vaccine model'!$K54</f>
        <v>#VALUE!</v>
      </c>
      <c r="BZ54" s="84" t="e">
        <f t="shared" si="24"/>
        <v>#VALUE!</v>
      </c>
      <c r="CA54" t="e">
        <f>CC53*'Hypothetical vaccine model'!$J54*HelperFunctions!$R$42</f>
        <v>#VALUE!</v>
      </c>
      <c r="CB54" t="e">
        <f>CC53*'Hypothetical vaccine model'!$K54</f>
        <v>#VALUE!</v>
      </c>
      <c r="CC54" s="84" t="e">
        <f t="shared" si="25"/>
        <v>#VALUE!</v>
      </c>
      <c r="CD54" t="e">
        <f>CF53*'Hypothetical vaccine model'!$J54*HelperFunctions!$R$42</f>
        <v>#VALUE!</v>
      </c>
      <c r="CE54" t="e">
        <f>CF53*'Hypothetical vaccine model'!$K54</f>
        <v>#VALUE!</v>
      </c>
      <c r="CF54" s="84" t="e">
        <f t="shared" si="26"/>
        <v>#VALUE!</v>
      </c>
      <c r="CG54" t="e">
        <f>CI53*'Hypothetical vaccine model'!$J54*HelperFunctions!$R$42</f>
        <v>#VALUE!</v>
      </c>
      <c r="CH54" t="e">
        <f>CI53*'Hypothetical vaccine model'!$K54</f>
        <v>#VALUE!</v>
      </c>
      <c r="CI54" s="84" t="e">
        <f t="shared" si="27"/>
        <v>#VALUE!</v>
      </c>
      <c r="CJ54" t="e">
        <f>CL53*'Hypothetical vaccine model'!$J54*HelperFunctions!$R$42</f>
        <v>#VALUE!</v>
      </c>
      <c r="CK54" t="e">
        <f>CL53*'Hypothetical vaccine model'!$K54</f>
        <v>#VALUE!</v>
      </c>
      <c r="CL54" s="84" t="e">
        <f t="shared" si="28"/>
        <v>#VALUE!</v>
      </c>
      <c r="CM54" t="e">
        <f>CO53*'Hypothetical vaccine model'!$J54*HelperFunctions!$R$42</f>
        <v>#VALUE!</v>
      </c>
      <c r="CN54" t="e">
        <f>CO53*'Hypothetical vaccine model'!$K54</f>
        <v>#VALUE!</v>
      </c>
      <c r="CO54" s="84" t="e">
        <f t="shared" si="29"/>
        <v>#VALUE!</v>
      </c>
      <c r="CP54" t="e">
        <f>CR53*'Hypothetical vaccine model'!$J54*HelperFunctions!$R$42</f>
        <v>#VALUE!</v>
      </c>
      <c r="CQ54" t="e">
        <f>CR53*'Hypothetical vaccine model'!$K54</f>
        <v>#VALUE!</v>
      </c>
      <c r="CR54" s="84" t="e">
        <f t="shared" si="30"/>
        <v>#VALUE!</v>
      </c>
      <c r="CS54" t="e">
        <f>CU53*'Hypothetical vaccine model'!$J54*HelperFunctions!$R$42</f>
        <v>#VALUE!</v>
      </c>
      <c r="CT54" t="e">
        <f>CU53*'Hypothetical vaccine model'!$K54</f>
        <v>#VALUE!</v>
      </c>
      <c r="CU54" s="84" t="e">
        <f t="shared" si="31"/>
        <v>#VALUE!</v>
      </c>
      <c r="CV54" t="e">
        <f>CX53*'Hypothetical vaccine model'!$J54*HelperFunctions!$R$42</f>
        <v>#VALUE!</v>
      </c>
      <c r="CW54" t="e">
        <f>CX53*'Hypothetical vaccine model'!$K54</f>
        <v>#VALUE!</v>
      </c>
      <c r="CX54" s="84" t="e">
        <f t="shared" si="32"/>
        <v>#VALUE!</v>
      </c>
      <c r="CY54" t="e">
        <f>DA53*'Hypothetical vaccine model'!$J54*HelperFunctions!$R$42</f>
        <v>#VALUE!</v>
      </c>
      <c r="CZ54" t="e">
        <f>DA53*'Hypothetical vaccine model'!$K54</f>
        <v>#VALUE!</v>
      </c>
      <c r="DA54" s="84" t="e">
        <f t="shared" si="33"/>
        <v>#VALUE!</v>
      </c>
      <c r="DB54" t="e">
        <f>DD53*'Hypothetical vaccine model'!$J54*HelperFunctions!$R$42</f>
        <v>#VALUE!</v>
      </c>
      <c r="DC54" t="e">
        <f>DD53*'Hypothetical vaccine model'!$K54</f>
        <v>#VALUE!</v>
      </c>
      <c r="DD54" s="84" t="e">
        <f t="shared" si="34"/>
        <v>#VALUE!</v>
      </c>
      <c r="DE54" t="e">
        <f>DG53*'Hypothetical vaccine model'!$J54*HelperFunctions!$R$42</f>
        <v>#VALUE!</v>
      </c>
      <c r="DF54" t="e">
        <f>DG53*'Hypothetical vaccine model'!$K54</f>
        <v>#VALUE!</v>
      </c>
      <c r="DG54" s="84" t="e">
        <f t="shared" si="35"/>
        <v>#VALUE!</v>
      </c>
      <c r="DH54" t="e">
        <f>DJ53*'Hypothetical vaccine model'!$J54*HelperFunctions!$R$56</f>
        <v>#VALUE!</v>
      </c>
      <c r="DI54" t="e">
        <f>DJ53*'Hypothetical vaccine model'!$K54</f>
        <v>#VALUE!</v>
      </c>
      <c r="DJ54" s="84" t="e">
        <f t="shared" si="36"/>
        <v>#VALUE!</v>
      </c>
      <c r="DK54" t="e">
        <f>DM53*'Hypothetical vaccine model'!$J54*HelperFunctions!$R$56</f>
        <v>#VALUE!</v>
      </c>
      <c r="DL54" t="e">
        <f>DM53*'Hypothetical vaccine model'!$K54</f>
        <v>#VALUE!</v>
      </c>
      <c r="DM54" s="84" t="e">
        <f t="shared" si="37"/>
        <v>#VALUE!</v>
      </c>
      <c r="DN54" t="e">
        <f>DP53*'Hypothetical vaccine model'!$J54*HelperFunctions!$R$56</f>
        <v>#VALUE!</v>
      </c>
      <c r="DO54" t="e">
        <f>DP53*'Hypothetical vaccine model'!$K54</f>
        <v>#VALUE!</v>
      </c>
      <c r="DP54" s="84" t="e">
        <f t="shared" si="38"/>
        <v>#VALUE!</v>
      </c>
      <c r="DQ54" t="e">
        <f>DS53*'Hypothetical vaccine model'!$J54*HelperFunctions!$R55</f>
        <v>#VALUE!</v>
      </c>
      <c r="DR54" t="e">
        <f>DS53*'Hypothetical vaccine model'!$K54</f>
        <v>#VALUE!</v>
      </c>
      <c r="DS54" s="84" t="e">
        <f t="shared" si="39"/>
        <v>#VALUE!</v>
      </c>
      <c r="DT54" t="e">
        <f>DV53*'Hypothetical vaccine model'!$J54*HelperFunctions!$R54</f>
        <v>#VALUE!</v>
      </c>
      <c r="DU54" t="e">
        <f>DV53*'Hypothetical vaccine model'!$K54</f>
        <v>#VALUE!</v>
      </c>
      <c r="DV54" s="84" t="e">
        <f t="shared" si="40"/>
        <v>#VALUE!</v>
      </c>
      <c r="DW54" t="e">
        <f>DY53*'Hypothetical vaccine model'!$J54*HelperFunctions!$R53</f>
        <v>#VALUE!</v>
      </c>
      <c r="DX54" t="e">
        <f>DY53*'Hypothetical vaccine model'!$K54</f>
        <v>#VALUE!</v>
      </c>
      <c r="DY54" s="84" t="e">
        <f t="shared" si="41"/>
        <v>#VALUE!</v>
      </c>
      <c r="DZ54" t="e">
        <f>EB53*'Hypothetical vaccine model'!$J54*HelperFunctions!$R52</f>
        <v>#VALUE!</v>
      </c>
      <c r="EA54" t="e">
        <f>EB53*'Hypothetical vaccine model'!$K54</f>
        <v>#VALUE!</v>
      </c>
      <c r="EB54" s="84" t="e">
        <f t="shared" si="42"/>
        <v>#VALUE!</v>
      </c>
      <c r="EC54" t="e">
        <f>EE53*'Hypothetical vaccine model'!$J54*HelperFunctions!$R51</f>
        <v>#VALUE!</v>
      </c>
      <c r="ED54" t="e">
        <f>EE53*'Hypothetical vaccine model'!$K54</f>
        <v>#VALUE!</v>
      </c>
      <c r="EE54" s="84" t="e">
        <f t="shared" si="43"/>
        <v>#VALUE!</v>
      </c>
      <c r="EF54" t="e">
        <f>EH53*'Hypothetical vaccine model'!$J54*HelperFunctions!$R50</f>
        <v>#VALUE!</v>
      </c>
      <c r="EG54" t="e">
        <f>EH53*'Hypothetical vaccine model'!$K54</f>
        <v>#VALUE!</v>
      </c>
      <c r="EH54" s="84" t="e">
        <f t="shared" si="44"/>
        <v>#VALUE!</v>
      </c>
      <c r="EI54" t="e">
        <f>EK53*'Hypothetical vaccine model'!$J54*HelperFunctions!$R49</f>
        <v>#VALUE!</v>
      </c>
      <c r="EJ54" t="e">
        <f>EK53*'Hypothetical vaccine model'!$K54</f>
        <v>#VALUE!</v>
      </c>
      <c r="EK54" s="84" t="e">
        <f t="shared" si="45"/>
        <v>#VALUE!</v>
      </c>
      <c r="EL54" t="e">
        <f>EN53*'Hypothetical vaccine model'!$J54*HelperFunctions!$R48</f>
        <v>#VALUE!</v>
      </c>
      <c r="EM54" t="e">
        <f>EN53*'Hypothetical vaccine model'!$K54</f>
        <v>#VALUE!</v>
      </c>
      <c r="EN54" s="84" t="e">
        <f t="shared" si="46"/>
        <v>#VALUE!</v>
      </c>
      <c r="EO54" t="e">
        <f>EQ53*'Hypothetical vaccine model'!$J54*HelperFunctions!$R47</f>
        <v>#VALUE!</v>
      </c>
      <c r="EP54" t="e">
        <f>EQ53*'Hypothetical vaccine model'!$K54</f>
        <v>#VALUE!</v>
      </c>
      <c r="EQ54" s="84" t="e">
        <f t="shared" si="47"/>
        <v>#VALUE!</v>
      </c>
      <c r="ER54" t="e">
        <f>ET53*'Hypothetical vaccine model'!$J54*HelperFunctions!$R60</f>
        <v>#VALUE!</v>
      </c>
      <c r="ES54" t="e">
        <f>ET53*'Hypothetical vaccine model'!$K54</f>
        <v>#VALUE!</v>
      </c>
      <c r="ET54" s="84" t="e">
        <f t="shared" ref="ET54:ET63" si="48">ET53-ER54-ES54</f>
        <v>#VALUE!</v>
      </c>
      <c r="EU54" t="e">
        <f>EW53*'Hypothetical vaccine model'!$J54*HelperFunctions!$R59</f>
        <v>#VALUE!</v>
      </c>
      <c r="EV54" t="e">
        <f>EW53*'Hypothetical vaccine model'!$K54</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F54*'Hypothetical vaccine model'!J55*HelperFunctions!R$14</f>
        <v>#VALUE!</v>
      </c>
      <c r="E55" t="e">
        <f>F54*'Hypothetical vaccine model'!K55</f>
        <v>#VALUE!</v>
      </c>
      <c r="F55" s="84" t="e">
        <f t="shared" si="0"/>
        <v>#VALUE!</v>
      </c>
      <c r="G55" t="e">
        <f>I54*'Hypothetical vaccine model'!$J55*HelperFunctions!$R$14</f>
        <v>#VALUE!</v>
      </c>
      <c r="H55" t="e">
        <f>I54*'Hypothetical vaccine model'!$K55</f>
        <v>#VALUE!</v>
      </c>
      <c r="I55" s="84" t="e">
        <f t="shared" si="1"/>
        <v>#VALUE!</v>
      </c>
      <c r="J55" t="e">
        <f>L54*'Hypothetical vaccine model'!$J55*HelperFunctions!$R$14</f>
        <v>#VALUE!</v>
      </c>
      <c r="K55" t="e">
        <f>L54*'Hypothetical vaccine model'!$K55</f>
        <v>#VALUE!</v>
      </c>
      <c r="L55" s="84" t="e">
        <f t="shared" si="2"/>
        <v>#VALUE!</v>
      </c>
      <c r="M55" t="e">
        <f>O54*'Hypothetical vaccine model'!$J55*HelperFunctions!$R$14</f>
        <v>#VALUE!</v>
      </c>
      <c r="N55" t="e">
        <f>O54*'Hypothetical vaccine model'!$K55</f>
        <v>#VALUE!</v>
      </c>
      <c r="O55" s="84" t="e">
        <f t="shared" si="3"/>
        <v>#VALUE!</v>
      </c>
      <c r="P55" t="e">
        <f>R54*'Hypothetical vaccine model'!$J55*HelperFunctions!$R$14</f>
        <v>#VALUE!</v>
      </c>
      <c r="Q55" t="e">
        <f>R54*'Hypothetical vaccine model'!$K55</f>
        <v>#VALUE!</v>
      </c>
      <c r="R55" s="84" t="e">
        <f t="shared" si="4"/>
        <v>#VALUE!</v>
      </c>
      <c r="S55" t="e">
        <f>U54*'Hypothetical vaccine model'!$J55*HelperFunctions!$R$14</f>
        <v>#VALUE!</v>
      </c>
      <c r="T55" t="e">
        <f>U54*'Hypothetical vaccine model'!$K55</f>
        <v>#VALUE!</v>
      </c>
      <c r="U55" s="84" t="e">
        <f t="shared" si="5"/>
        <v>#VALUE!</v>
      </c>
      <c r="V55" t="e">
        <f>X54*'Hypothetical vaccine model'!$J55*HelperFunctions!$R$14</f>
        <v>#VALUE!</v>
      </c>
      <c r="W55" t="e">
        <f>X54*'Hypothetical vaccine model'!$K55</f>
        <v>#VALUE!</v>
      </c>
      <c r="X55" s="84" t="e">
        <f t="shared" si="6"/>
        <v>#VALUE!</v>
      </c>
      <c r="Y55" t="e">
        <f>AA54*'Hypothetical vaccine model'!$J55*HelperFunctions!$R$14</f>
        <v>#VALUE!</v>
      </c>
      <c r="Z55" t="e">
        <f>AA54*'Hypothetical vaccine model'!$K55</f>
        <v>#VALUE!</v>
      </c>
      <c r="AA55" s="84" t="e">
        <f t="shared" si="7"/>
        <v>#VALUE!</v>
      </c>
      <c r="AB55" t="e">
        <f>AD54*'Hypothetical vaccine model'!$J55*HelperFunctions!$R$14</f>
        <v>#VALUE!</v>
      </c>
      <c r="AC55" t="e">
        <f>AD54*'Hypothetical vaccine model'!$K55</f>
        <v>#VALUE!</v>
      </c>
      <c r="AD55" s="84" t="e">
        <f t="shared" si="8"/>
        <v>#VALUE!</v>
      </c>
      <c r="AE55" t="e">
        <f>AG54*'Hypothetical vaccine model'!$J55*HelperFunctions!$R$14</f>
        <v>#VALUE!</v>
      </c>
      <c r="AF55" t="e">
        <f>AG54*'Hypothetical vaccine model'!$K55</f>
        <v>#VALUE!</v>
      </c>
      <c r="AG55" s="84" t="e">
        <f t="shared" si="9"/>
        <v>#VALUE!</v>
      </c>
      <c r="AH55" t="e">
        <f>AJ54*'Hypothetical vaccine model'!$J55*HelperFunctions!$R$14</f>
        <v>#VALUE!</v>
      </c>
      <c r="AI55" t="e">
        <f>AJ54*'Hypothetical vaccine model'!$K55</f>
        <v>#VALUE!</v>
      </c>
      <c r="AJ55" s="84" t="e">
        <f t="shared" si="10"/>
        <v>#VALUE!</v>
      </c>
      <c r="AK55" t="e">
        <f>AM54*'Hypothetical vaccine model'!$J55*HelperFunctions!$R$14</f>
        <v>#VALUE!</v>
      </c>
      <c r="AL55" t="e">
        <f>AM54*'Hypothetical vaccine model'!$K55</f>
        <v>#VALUE!</v>
      </c>
      <c r="AM55" s="84" t="e">
        <f t="shared" si="11"/>
        <v>#VALUE!</v>
      </c>
      <c r="AN55" t="e">
        <f>AP54*'Hypothetical vaccine model'!$J55*HelperFunctions!$R$28</f>
        <v>#VALUE!</v>
      </c>
      <c r="AO55" t="e">
        <f>AP54*'Hypothetical vaccine model'!$K55</f>
        <v>#VALUE!</v>
      </c>
      <c r="AP55" s="84" t="e">
        <f t="shared" si="12"/>
        <v>#VALUE!</v>
      </c>
      <c r="AQ55" t="e">
        <f>AS54*'Hypothetical vaccine model'!$J55*HelperFunctions!$R$28</f>
        <v>#VALUE!</v>
      </c>
      <c r="AR55" t="e">
        <f>AS54*'Hypothetical vaccine model'!$K55</f>
        <v>#VALUE!</v>
      </c>
      <c r="AS55" s="84" t="e">
        <f t="shared" si="13"/>
        <v>#VALUE!</v>
      </c>
      <c r="AT55" t="e">
        <f>AV54*'Hypothetical vaccine model'!$J55*HelperFunctions!$R$28</f>
        <v>#VALUE!</v>
      </c>
      <c r="AU55" t="e">
        <f>AV54*'Hypothetical vaccine model'!$K55</f>
        <v>#VALUE!</v>
      </c>
      <c r="AV55" s="84" t="e">
        <f t="shared" si="14"/>
        <v>#VALUE!</v>
      </c>
      <c r="AW55" t="e">
        <f>AY54*'Hypothetical vaccine model'!$J55*HelperFunctions!$R$28</f>
        <v>#VALUE!</v>
      </c>
      <c r="AX55" t="e">
        <f>AY54*'Hypothetical vaccine model'!$K55</f>
        <v>#VALUE!</v>
      </c>
      <c r="AY55" s="84" t="e">
        <f t="shared" si="15"/>
        <v>#VALUE!</v>
      </c>
      <c r="AZ55" t="e">
        <f>BB54*'Hypothetical vaccine model'!$J55*HelperFunctions!$R$28</f>
        <v>#VALUE!</v>
      </c>
      <c r="BA55" t="e">
        <f>BB54*'Hypothetical vaccine model'!$K55</f>
        <v>#VALUE!</v>
      </c>
      <c r="BB55" s="84" t="e">
        <f t="shared" si="16"/>
        <v>#VALUE!</v>
      </c>
      <c r="BC55" t="e">
        <f>BE54*'Hypothetical vaccine model'!$J55*HelperFunctions!$R$28</f>
        <v>#VALUE!</v>
      </c>
      <c r="BD55" t="e">
        <f>BE54*'Hypothetical vaccine model'!$K55</f>
        <v>#VALUE!</v>
      </c>
      <c r="BE55" s="84" t="e">
        <f t="shared" si="17"/>
        <v>#VALUE!</v>
      </c>
      <c r="BF55" t="e">
        <f>BH54*'Hypothetical vaccine model'!$J55*HelperFunctions!$R$28</f>
        <v>#VALUE!</v>
      </c>
      <c r="BG55" t="e">
        <f>BH54*'Hypothetical vaccine model'!$K55</f>
        <v>#VALUE!</v>
      </c>
      <c r="BH55" s="84" t="e">
        <f t="shared" si="18"/>
        <v>#VALUE!</v>
      </c>
      <c r="BI55" t="e">
        <f>BK54*'Hypothetical vaccine model'!$J55*HelperFunctions!$R$28</f>
        <v>#VALUE!</v>
      </c>
      <c r="BJ55" t="e">
        <f>BK54*'Hypothetical vaccine model'!$K55</f>
        <v>#VALUE!</v>
      </c>
      <c r="BK55" s="84" t="e">
        <f t="shared" si="19"/>
        <v>#VALUE!</v>
      </c>
      <c r="BL55" t="e">
        <f>BN54*'Hypothetical vaccine model'!$J55*HelperFunctions!$R$28</f>
        <v>#VALUE!</v>
      </c>
      <c r="BM55" t="e">
        <f>BN54*'Hypothetical vaccine model'!$K55</f>
        <v>#VALUE!</v>
      </c>
      <c r="BN55" s="84" t="e">
        <f t="shared" si="20"/>
        <v>#VALUE!</v>
      </c>
      <c r="BO55" t="e">
        <f>BQ54*'Hypothetical vaccine model'!$J55*HelperFunctions!$R$28</f>
        <v>#VALUE!</v>
      </c>
      <c r="BP55" t="e">
        <f>BQ54*'Hypothetical vaccine model'!$K55</f>
        <v>#VALUE!</v>
      </c>
      <c r="BQ55" s="84" t="e">
        <f t="shared" si="21"/>
        <v>#VALUE!</v>
      </c>
      <c r="BR55" t="e">
        <f>BT54*'Hypothetical vaccine model'!$J55*HelperFunctions!$R$28</f>
        <v>#VALUE!</v>
      </c>
      <c r="BS55" t="e">
        <f>BT54*'Hypothetical vaccine model'!$K55</f>
        <v>#VALUE!</v>
      </c>
      <c r="BT55" s="84" t="e">
        <f t="shared" si="22"/>
        <v>#VALUE!</v>
      </c>
      <c r="BU55" t="e">
        <f>BW54*'Hypothetical vaccine model'!$J55*HelperFunctions!$R$28</f>
        <v>#VALUE!</v>
      </c>
      <c r="BV55" t="e">
        <f>BW54*'Hypothetical vaccine model'!$K55</f>
        <v>#VALUE!</v>
      </c>
      <c r="BW55" s="84" t="e">
        <f t="shared" si="23"/>
        <v>#VALUE!</v>
      </c>
      <c r="BX55" t="e">
        <f>BZ54*'Hypothetical vaccine model'!$J55*HelperFunctions!$R$42</f>
        <v>#VALUE!</v>
      </c>
      <c r="BY55" t="e">
        <f>BZ54*'Hypothetical vaccine model'!$K55</f>
        <v>#VALUE!</v>
      </c>
      <c r="BZ55" s="84" t="e">
        <f t="shared" si="24"/>
        <v>#VALUE!</v>
      </c>
      <c r="CA55" t="e">
        <f>CC54*'Hypothetical vaccine model'!$J55*HelperFunctions!$R$42</f>
        <v>#VALUE!</v>
      </c>
      <c r="CB55" t="e">
        <f>CC54*'Hypothetical vaccine model'!$K55</f>
        <v>#VALUE!</v>
      </c>
      <c r="CC55" s="84" t="e">
        <f t="shared" si="25"/>
        <v>#VALUE!</v>
      </c>
      <c r="CD55" t="e">
        <f>CF54*'Hypothetical vaccine model'!$J55*HelperFunctions!$R$42</f>
        <v>#VALUE!</v>
      </c>
      <c r="CE55" t="e">
        <f>CF54*'Hypothetical vaccine model'!$K55</f>
        <v>#VALUE!</v>
      </c>
      <c r="CF55" s="84" t="e">
        <f t="shared" si="26"/>
        <v>#VALUE!</v>
      </c>
      <c r="CG55" t="e">
        <f>CI54*'Hypothetical vaccine model'!$J55*HelperFunctions!$R$42</f>
        <v>#VALUE!</v>
      </c>
      <c r="CH55" t="e">
        <f>CI54*'Hypothetical vaccine model'!$K55</f>
        <v>#VALUE!</v>
      </c>
      <c r="CI55" s="84" t="e">
        <f t="shared" si="27"/>
        <v>#VALUE!</v>
      </c>
      <c r="CJ55" t="e">
        <f>CL54*'Hypothetical vaccine model'!$J55*HelperFunctions!$R$42</f>
        <v>#VALUE!</v>
      </c>
      <c r="CK55" t="e">
        <f>CL54*'Hypothetical vaccine model'!$K55</f>
        <v>#VALUE!</v>
      </c>
      <c r="CL55" s="84" t="e">
        <f t="shared" si="28"/>
        <v>#VALUE!</v>
      </c>
      <c r="CM55" t="e">
        <f>CO54*'Hypothetical vaccine model'!$J55*HelperFunctions!$R$42</f>
        <v>#VALUE!</v>
      </c>
      <c r="CN55" t="e">
        <f>CO54*'Hypothetical vaccine model'!$K55</f>
        <v>#VALUE!</v>
      </c>
      <c r="CO55" s="84" t="e">
        <f t="shared" si="29"/>
        <v>#VALUE!</v>
      </c>
      <c r="CP55" t="e">
        <f>CR54*'Hypothetical vaccine model'!$J55*HelperFunctions!$R$42</f>
        <v>#VALUE!</v>
      </c>
      <c r="CQ55" t="e">
        <f>CR54*'Hypothetical vaccine model'!$K55</f>
        <v>#VALUE!</v>
      </c>
      <c r="CR55" s="84" t="e">
        <f t="shared" si="30"/>
        <v>#VALUE!</v>
      </c>
      <c r="CS55" t="e">
        <f>CU54*'Hypothetical vaccine model'!$J55*HelperFunctions!$R$42</f>
        <v>#VALUE!</v>
      </c>
      <c r="CT55" t="e">
        <f>CU54*'Hypothetical vaccine model'!$K55</f>
        <v>#VALUE!</v>
      </c>
      <c r="CU55" s="84" t="e">
        <f t="shared" si="31"/>
        <v>#VALUE!</v>
      </c>
      <c r="CV55" t="e">
        <f>CX54*'Hypothetical vaccine model'!$J55*HelperFunctions!$R$42</f>
        <v>#VALUE!</v>
      </c>
      <c r="CW55" t="e">
        <f>CX54*'Hypothetical vaccine model'!$K55</f>
        <v>#VALUE!</v>
      </c>
      <c r="CX55" s="84" t="e">
        <f t="shared" si="32"/>
        <v>#VALUE!</v>
      </c>
      <c r="CY55" t="e">
        <f>DA54*'Hypothetical vaccine model'!$J55*HelperFunctions!$R$42</f>
        <v>#VALUE!</v>
      </c>
      <c r="CZ55" t="e">
        <f>DA54*'Hypothetical vaccine model'!$K55</f>
        <v>#VALUE!</v>
      </c>
      <c r="DA55" s="84" t="e">
        <f t="shared" si="33"/>
        <v>#VALUE!</v>
      </c>
      <c r="DB55" t="e">
        <f>DD54*'Hypothetical vaccine model'!$J55*HelperFunctions!$R$42</f>
        <v>#VALUE!</v>
      </c>
      <c r="DC55" t="e">
        <f>DD54*'Hypothetical vaccine model'!$K55</f>
        <v>#VALUE!</v>
      </c>
      <c r="DD55" s="84" t="e">
        <f t="shared" si="34"/>
        <v>#VALUE!</v>
      </c>
      <c r="DE55" t="e">
        <f>DG54*'Hypothetical vaccine model'!$J55*HelperFunctions!$R$42</f>
        <v>#VALUE!</v>
      </c>
      <c r="DF55" t="e">
        <f>DG54*'Hypothetical vaccine model'!$K55</f>
        <v>#VALUE!</v>
      </c>
      <c r="DG55" s="84" t="e">
        <f t="shared" si="35"/>
        <v>#VALUE!</v>
      </c>
      <c r="DH55" t="e">
        <f>DJ54*'Hypothetical vaccine model'!$J55*HelperFunctions!$R$56</f>
        <v>#VALUE!</v>
      </c>
      <c r="DI55" t="e">
        <f>DJ54*'Hypothetical vaccine model'!$K55</f>
        <v>#VALUE!</v>
      </c>
      <c r="DJ55" s="84" t="e">
        <f t="shared" si="36"/>
        <v>#VALUE!</v>
      </c>
      <c r="DK55" t="e">
        <f>DM54*'Hypothetical vaccine model'!$J55*HelperFunctions!$R$56</f>
        <v>#VALUE!</v>
      </c>
      <c r="DL55" t="e">
        <f>DM54*'Hypothetical vaccine model'!$K55</f>
        <v>#VALUE!</v>
      </c>
      <c r="DM55" s="84" t="e">
        <f t="shared" si="37"/>
        <v>#VALUE!</v>
      </c>
      <c r="DN55" t="e">
        <f>DP54*'Hypothetical vaccine model'!$J55*HelperFunctions!$R$56</f>
        <v>#VALUE!</v>
      </c>
      <c r="DO55" t="e">
        <f>DP54*'Hypothetical vaccine model'!$K55</f>
        <v>#VALUE!</v>
      </c>
      <c r="DP55" s="84" t="e">
        <f t="shared" si="38"/>
        <v>#VALUE!</v>
      </c>
      <c r="DQ55" t="e">
        <f>DS54*'Hypothetical vaccine model'!$J55*HelperFunctions!$R$56</f>
        <v>#VALUE!</v>
      </c>
      <c r="DR55" t="e">
        <f>DS54*'Hypothetical vaccine model'!$K55</f>
        <v>#VALUE!</v>
      </c>
      <c r="DS55" s="84" t="e">
        <f t="shared" si="39"/>
        <v>#VALUE!</v>
      </c>
      <c r="DT55" t="e">
        <f>DV54*'Hypothetical vaccine model'!$J55*HelperFunctions!$R55</f>
        <v>#VALUE!</v>
      </c>
      <c r="DU55" t="e">
        <f>DV54*'Hypothetical vaccine model'!$K55</f>
        <v>#VALUE!</v>
      </c>
      <c r="DV55" s="84" t="e">
        <f t="shared" si="40"/>
        <v>#VALUE!</v>
      </c>
      <c r="DW55" t="e">
        <f>DY54*'Hypothetical vaccine model'!$J55*HelperFunctions!$R54</f>
        <v>#VALUE!</v>
      </c>
      <c r="DX55" t="e">
        <f>DY54*'Hypothetical vaccine model'!$K55</f>
        <v>#VALUE!</v>
      </c>
      <c r="DY55" s="84" t="e">
        <f t="shared" si="41"/>
        <v>#VALUE!</v>
      </c>
      <c r="DZ55" t="e">
        <f>EB54*'Hypothetical vaccine model'!$J55*HelperFunctions!$R53</f>
        <v>#VALUE!</v>
      </c>
      <c r="EA55" t="e">
        <f>EB54*'Hypothetical vaccine model'!$K55</f>
        <v>#VALUE!</v>
      </c>
      <c r="EB55" s="84" t="e">
        <f t="shared" si="42"/>
        <v>#VALUE!</v>
      </c>
      <c r="EC55" t="e">
        <f>EE54*'Hypothetical vaccine model'!$J55*HelperFunctions!$R52</f>
        <v>#VALUE!</v>
      </c>
      <c r="ED55" t="e">
        <f>EE54*'Hypothetical vaccine model'!$K55</f>
        <v>#VALUE!</v>
      </c>
      <c r="EE55" s="84" t="e">
        <f t="shared" si="43"/>
        <v>#VALUE!</v>
      </c>
      <c r="EF55" t="e">
        <f>EH54*'Hypothetical vaccine model'!$J55*HelperFunctions!$R51</f>
        <v>#VALUE!</v>
      </c>
      <c r="EG55" t="e">
        <f>EH54*'Hypothetical vaccine model'!$K55</f>
        <v>#VALUE!</v>
      </c>
      <c r="EH55" s="84" t="e">
        <f t="shared" si="44"/>
        <v>#VALUE!</v>
      </c>
      <c r="EI55" t="e">
        <f>EK54*'Hypothetical vaccine model'!$J55*HelperFunctions!$R50</f>
        <v>#VALUE!</v>
      </c>
      <c r="EJ55" t="e">
        <f>EK54*'Hypothetical vaccine model'!$K55</f>
        <v>#VALUE!</v>
      </c>
      <c r="EK55" s="84" t="e">
        <f t="shared" si="45"/>
        <v>#VALUE!</v>
      </c>
      <c r="EL55" t="e">
        <f>EN54*'Hypothetical vaccine model'!$J55*HelperFunctions!$R49</f>
        <v>#VALUE!</v>
      </c>
      <c r="EM55" t="e">
        <f>EN54*'Hypothetical vaccine model'!$K55</f>
        <v>#VALUE!</v>
      </c>
      <c r="EN55" s="84" t="e">
        <f t="shared" si="46"/>
        <v>#VALUE!</v>
      </c>
      <c r="EO55" t="e">
        <f>EQ54*'Hypothetical vaccine model'!$J55*HelperFunctions!$R48</f>
        <v>#VALUE!</v>
      </c>
      <c r="EP55" t="e">
        <f>EQ54*'Hypothetical vaccine model'!$K55</f>
        <v>#VALUE!</v>
      </c>
      <c r="EQ55" s="84" t="e">
        <f t="shared" si="47"/>
        <v>#VALUE!</v>
      </c>
      <c r="ER55" t="e">
        <f>ET54*'Hypothetical vaccine model'!$J55*HelperFunctions!$R61</f>
        <v>#VALUE!</v>
      </c>
      <c r="ES55" t="e">
        <f>ET54*'Hypothetical vaccine model'!$K55</f>
        <v>#VALUE!</v>
      </c>
      <c r="ET55" s="84" t="e">
        <f t="shared" si="48"/>
        <v>#VALUE!</v>
      </c>
      <c r="EU55" t="e">
        <f>EW54*'Hypothetical vaccine model'!$J55*HelperFunctions!$R60</f>
        <v>#VALUE!</v>
      </c>
      <c r="EV55" t="e">
        <f>EW54*'Hypothetical vaccine model'!$K55</f>
        <v>#VALUE!</v>
      </c>
      <c r="EW55" s="84" t="e">
        <f t="shared" ref="EW55:EW63" si="49">EW54-EU55-EV55</f>
        <v>#VALUE!</v>
      </c>
      <c r="EX55" t="e">
        <f>EZ54*'Hypothetical vaccine model'!$J55*HelperFunctions!$R59</f>
        <v>#VALUE!</v>
      </c>
      <c r="EY55" t="e">
        <f>EZ54*'Hypothetical vaccine model'!$K55</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F55*'Hypothetical vaccine model'!J56*HelperFunctions!R$14</f>
        <v>#VALUE!</v>
      </c>
      <c r="E56" t="e">
        <f>F55*'Hypothetical vaccine model'!K56</f>
        <v>#VALUE!</v>
      </c>
      <c r="F56" s="84" t="e">
        <f t="shared" si="0"/>
        <v>#VALUE!</v>
      </c>
      <c r="G56" t="e">
        <f>I55*'Hypothetical vaccine model'!$J56*HelperFunctions!$R$14</f>
        <v>#VALUE!</v>
      </c>
      <c r="H56" t="e">
        <f>I55*'Hypothetical vaccine model'!$K56</f>
        <v>#VALUE!</v>
      </c>
      <c r="I56" s="84" t="e">
        <f t="shared" si="1"/>
        <v>#VALUE!</v>
      </c>
      <c r="J56" t="e">
        <f>L55*'Hypothetical vaccine model'!$J56*HelperFunctions!$R$14</f>
        <v>#VALUE!</v>
      </c>
      <c r="K56" t="e">
        <f>L55*'Hypothetical vaccine model'!$K56</f>
        <v>#VALUE!</v>
      </c>
      <c r="L56" s="84" t="e">
        <f t="shared" si="2"/>
        <v>#VALUE!</v>
      </c>
      <c r="M56" t="e">
        <f>O55*'Hypothetical vaccine model'!$J56*HelperFunctions!$R$14</f>
        <v>#VALUE!</v>
      </c>
      <c r="N56" t="e">
        <f>O55*'Hypothetical vaccine model'!$K56</f>
        <v>#VALUE!</v>
      </c>
      <c r="O56" s="84" t="e">
        <f t="shared" si="3"/>
        <v>#VALUE!</v>
      </c>
      <c r="P56" t="e">
        <f>R55*'Hypothetical vaccine model'!$J56*HelperFunctions!$R$14</f>
        <v>#VALUE!</v>
      </c>
      <c r="Q56" t="e">
        <f>R55*'Hypothetical vaccine model'!$K56</f>
        <v>#VALUE!</v>
      </c>
      <c r="R56" s="84" t="e">
        <f t="shared" si="4"/>
        <v>#VALUE!</v>
      </c>
      <c r="S56" t="e">
        <f>U55*'Hypothetical vaccine model'!$J56*HelperFunctions!$R$14</f>
        <v>#VALUE!</v>
      </c>
      <c r="T56" t="e">
        <f>U55*'Hypothetical vaccine model'!$K56</f>
        <v>#VALUE!</v>
      </c>
      <c r="U56" s="84" t="e">
        <f t="shared" si="5"/>
        <v>#VALUE!</v>
      </c>
      <c r="V56" t="e">
        <f>X55*'Hypothetical vaccine model'!$J56*HelperFunctions!$R$14</f>
        <v>#VALUE!</v>
      </c>
      <c r="W56" t="e">
        <f>X55*'Hypothetical vaccine model'!$K56</f>
        <v>#VALUE!</v>
      </c>
      <c r="X56" s="84" t="e">
        <f t="shared" si="6"/>
        <v>#VALUE!</v>
      </c>
      <c r="Y56" t="e">
        <f>AA55*'Hypothetical vaccine model'!$J56*HelperFunctions!$R$14</f>
        <v>#VALUE!</v>
      </c>
      <c r="Z56" t="e">
        <f>AA55*'Hypothetical vaccine model'!$K56</f>
        <v>#VALUE!</v>
      </c>
      <c r="AA56" s="84" t="e">
        <f t="shared" si="7"/>
        <v>#VALUE!</v>
      </c>
      <c r="AB56" t="e">
        <f>AD55*'Hypothetical vaccine model'!$J56*HelperFunctions!$R$14</f>
        <v>#VALUE!</v>
      </c>
      <c r="AC56" t="e">
        <f>AD55*'Hypothetical vaccine model'!$K56</f>
        <v>#VALUE!</v>
      </c>
      <c r="AD56" s="84" t="e">
        <f t="shared" si="8"/>
        <v>#VALUE!</v>
      </c>
      <c r="AE56" t="e">
        <f>AG55*'Hypothetical vaccine model'!$J56*HelperFunctions!$R$14</f>
        <v>#VALUE!</v>
      </c>
      <c r="AF56" t="e">
        <f>AG55*'Hypothetical vaccine model'!$K56</f>
        <v>#VALUE!</v>
      </c>
      <c r="AG56" s="84" t="e">
        <f t="shared" si="9"/>
        <v>#VALUE!</v>
      </c>
      <c r="AH56" t="e">
        <f>AJ55*'Hypothetical vaccine model'!$J56*HelperFunctions!$R$14</f>
        <v>#VALUE!</v>
      </c>
      <c r="AI56" t="e">
        <f>AJ55*'Hypothetical vaccine model'!$K56</f>
        <v>#VALUE!</v>
      </c>
      <c r="AJ56" s="84" t="e">
        <f t="shared" si="10"/>
        <v>#VALUE!</v>
      </c>
      <c r="AK56" t="e">
        <f>AM55*'Hypothetical vaccine model'!$J56*HelperFunctions!$R$14</f>
        <v>#VALUE!</v>
      </c>
      <c r="AL56" t="e">
        <f>AM55*'Hypothetical vaccine model'!$K56</f>
        <v>#VALUE!</v>
      </c>
      <c r="AM56" s="84" t="e">
        <f t="shared" si="11"/>
        <v>#VALUE!</v>
      </c>
      <c r="AN56" t="e">
        <f>AP55*'Hypothetical vaccine model'!$J56*HelperFunctions!$R$28</f>
        <v>#VALUE!</v>
      </c>
      <c r="AO56" t="e">
        <f>AP55*'Hypothetical vaccine model'!$K56</f>
        <v>#VALUE!</v>
      </c>
      <c r="AP56" s="84" t="e">
        <f t="shared" si="12"/>
        <v>#VALUE!</v>
      </c>
      <c r="AQ56" t="e">
        <f>AS55*'Hypothetical vaccine model'!$J56*HelperFunctions!$R$28</f>
        <v>#VALUE!</v>
      </c>
      <c r="AR56" t="e">
        <f>AS55*'Hypothetical vaccine model'!$K56</f>
        <v>#VALUE!</v>
      </c>
      <c r="AS56" s="84" t="e">
        <f t="shared" si="13"/>
        <v>#VALUE!</v>
      </c>
      <c r="AT56" t="e">
        <f>AV55*'Hypothetical vaccine model'!$J56*HelperFunctions!$R$28</f>
        <v>#VALUE!</v>
      </c>
      <c r="AU56" t="e">
        <f>AV55*'Hypothetical vaccine model'!$K56</f>
        <v>#VALUE!</v>
      </c>
      <c r="AV56" s="84" t="e">
        <f t="shared" si="14"/>
        <v>#VALUE!</v>
      </c>
      <c r="AW56" t="e">
        <f>AY55*'Hypothetical vaccine model'!$J56*HelperFunctions!$R$28</f>
        <v>#VALUE!</v>
      </c>
      <c r="AX56" t="e">
        <f>AY55*'Hypothetical vaccine model'!$K56</f>
        <v>#VALUE!</v>
      </c>
      <c r="AY56" s="84" t="e">
        <f t="shared" si="15"/>
        <v>#VALUE!</v>
      </c>
      <c r="AZ56" t="e">
        <f>BB55*'Hypothetical vaccine model'!$J56*HelperFunctions!$R$28</f>
        <v>#VALUE!</v>
      </c>
      <c r="BA56" t="e">
        <f>BB55*'Hypothetical vaccine model'!$K56</f>
        <v>#VALUE!</v>
      </c>
      <c r="BB56" s="84" t="e">
        <f t="shared" si="16"/>
        <v>#VALUE!</v>
      </c>
      <c r="BC56" t="e">
        <f>BE55*'Hypothetical vaccine model'!$J56*HelperFunctions!$R$28</f>
        <v>#VALUE!</v>
      </c>
      <c r="BD56" t="e">
        <f>BE55*'Hypothetical vaccine model'!$K56</f>
        <v>#VALUE!</v>
      </c>
      <c r="BE56" s="84" t="e">
        <f t="shared" si="17"/>
        <v>#VALUE!</v>
      </c>
      <c r="BF56" t="e">
        <f>BH55*'Hypothetical vaccine model'!$J56*HelperFunctions!$R$28</f>
        <v>#VALUE!</v>
      </c>
      <c r="BG56" t="e">
        <f>BH55*'Hypothetical vaccine model'!$K56</f>
        <v>#VALUE!</v>
      </c>
      <c r="BH56" s="84" t="e">
        <f t="shared" si="18"/>
        <v>#VALUE!</v>
      </c>
      <c r="BI56" t="e">
        <f>BK55*'Hypothetical vaccine model'!$J56*HelperFunctions!$R$28</f>
        <v>#VALUE!</v>
      </c>
      <c r="BJ56" t="e">
        <f>BK55*'Hypothetical vaccine model'!$K56</f>
        <v>#VALUE!</v>
      </c>
      <c r="BK56" s="84" t="e">
        <f t="shared" si="19"/>
        <v>#VALUE!</v>
      </c>
      <c r="BL56" t="e">
        <f>BN55*'Hypothetical vaccine model'!$J56*HelperFunctions!$R$28</f>
        <v>#VALUE!</v>
      </c>
      <c r="BM56" t="e">
        <f>BN55*'Hypothetical vaccine model'!$K56</f>
        <v>#VALUE!</v>
      </c>
      <c r="BN56" s="84" t="e">
        <f t="shared" si="20"/>
        <v>#VALUE!</v>
      </c>
      <c r="BO56" t="e">
        <f>BQ55*'Hypothetical vaccine model'!$J56*HelperFunctions!$R$28</f>
        <v>#VALUE!</v>
      </c>
      <c r="BP56" t="e">
        <f>BQ55*'Hypothetical vaccine model'!$K56</f>
        <v>#VALUE!</v>
      </c>
      <c r="BQ56" s="84" t="e">
        <f t="shared" si="21"/>
        <v>#VALUE!</v>
      </c>
      <c r="BR56" t="e">
        <f>BT55*'Hypothetical vaccine model'!$J56*HelperFunctions!$R$28</f>
        <v>#VALUE!</v>
      </c>
      <c r="BS56" t="e">
        <f>BT55*'Hypothetical vaccine model'!$K56</f>
        <v>#VALUE!</v>
      </c>
      <c r="BT56" s="84" t="e">
        <f t="shared" si="22"/>
        <v>#VALUE!</v>
      </c>
      <c r="BU56" t="e">
        <f>BW55*'Hypothetical vaccine model'!$J56*HelperFunctions!$R$28</f>
        <v>#VALUE!</v>
      </c>
      <c r="BV56" t="e">
        <f>BW55*'Hypothetical vaccine model'!$K56</f>
        <v>#VALUE!</v>
      </c>
      <c r="BW56" s="84" t="e">
        <f t="shared" si="23"/>
        <v>#VALUE!</v>
      </c>
      <c r="BX56" t="e">
        <f>BZ55*'Hypothetical vaccine model'!$J56*HelperFunctions!$R$42</f>
        <v>#VALUE!</v>
      </c>
      <c r="BY56" t="e">
        <f>BZ55*'Hypothetical vaccine model'!$K56</f>
        <v>#VALUE!</v>
      </c>
      <c r="BZ56" s="84" t="e">
        <f t="shared" si="24"/>
        <v>#VALUE!</v>
      </c>
      <c r="CA56" t="e">
        <f>CC55*'Hypothetical vaccine model'!$J56*HelperFunctions!$R$42</f>
        <v>#VALUE!</v>
      </c>
      <c r="CB56" t="e">
        <f>CC55*'Hypothetical vaccine model'!$K56</f>
        <v>#VALUE!</v>
      </c>
      <c r="CC56" s="84" t="e">
        <f t="shared" si="25"/>
        <v>#VALUE!</v>
      </c>
      <c r="CD56" t="e">
        <f>CF55*'Hypothetical vaccine model'!$J56*HelperFunctions!$R$42</f>
        <v>#VALUE!</v>
      </c>
      <c r="CE56" t="e">
        <f>CF55*'Hypothetical vaccine model'!$K56</f>
        <v>#VALUE!</v>
      </c>
      <c r="CF56" s="84" t="e">
        <f t="shared" si="26"/>
        <v>#VALUE!</v>
      </c>
      <c r="CG56" t="e">
        <f>CI55*'Hypothetical vaccine model'!$J56*HelperFunctions!$R$42</f>
        <v>#VALUE!</v>
      </c>
      <c r="CH56" t="e">
        <f>CI55*'Hypothetical vaccine model'!$K56</f>
        <v>#VALUE!</v>
      </c>
      <c r="CI56" s="84" t="e">
        <f t="shared" si="27"/>
        <v>#VALUE!</v>
      </c>
      <c r="CJ56" t="e">
        <f>CL55*'Hypothetical vaccine model'!$J56*HelperFunctions!$R$42</f>
        <v>#VALUE!</v>
      </c>
      <c r="CK56" t="e">
        <f>CL55*'Hypothetical vaccine model'!$K56</f>
        <v>#VALUE!</v>
      </c>
      <c r="CL56" s="84" t="e">
        <f t="shared" si="28"/>
        <v>#VALUE!</v>
      </c>
      <c r="CM56" t="e">
        <f>CO55*'Hypothetical vaccine model'!$J56*HelperFunctions!$R$42</f>
        <v>#VALUE!</v>
      </c>
      <c r="CN56" t="e">
        <f>CO55*'Hypothetical vaccine model'!$K56</f>
        <v>#VALUE!</v>
      </c>
      <c r="CO56" s="84" t="e">
        <f t="shared" si="29"/>
        <v>#VALUE!</v>
      </c>
      <c r="CP56" t="e">
        <f>CR55*'Hypothetical vaccine model'!$J56*HelperFunctions!$R$42</f>
        <v>#VALUE!</v>
      </c>
      <c r="CQ56" t="e">
        <f>CR55*'Hypothetical vaccine model'!$K56</f>
        <v>#VALUE!</v>
      </c>
      <c r="CR56" s="84" t="e">
        <f t="shared" si="30"/>
        <v>#VALUE!</v>
      </c>
      <c r="CS56" t="e">
        <f>CU55*'Hypothetical vaccine model'!$J56*HelperFunctions!$R$42</f>
        <v>#VALUE!</v>
      </c>
      <c r="CT56" t="e">
        <f>CU55*'Hypothetical vaccine model'!$K56</f>
        <v>#VALUE!</v>
      </c>
      <c r="CU56" s="84" t="e">
        <f t="shared" si="31"/>
        <v>#VALUE!</v>
      </c>
      <c r="CV56" t="e">
        <f>CX55*'Hypothetical vaccine model'!$J56*HelperFunctions!$R$42</f>
        <v>#VALUE!</v>
      </c>
      <c r="CW56" t="e">
        <f>CX55*'Hypothetical vaccine model'!$K56</f>
        <v>#VALUE!</v>
      </c>
      <c r="CX56" s="84" t="e">
        <f t="shared" si="32"/>
        <v>#VALUE!</v>
      </c>
      <c r="CY56" t="e">
        <f>DA55*'Hypothetical vaccine model'!$J56*HelperFunctions!$R$42</f>
        <v>#VALUE!</v>
      </c>
      <c r="CZ56" t="e">
        <f>DA55*'Hypothetical vaccine model'!$K56</f>
        <v>#VALUE!</v>
      </c>
      <c r="DA56" s="84" t="e">
        <f t="shared" si="33"/>
        <v>#VALUE!</v>
      </c>
      <c r="DB56" t="e">
        <f>DD55*'Hypothetical vaccine model'!$J56*HelperFunctions!$R$42</f>
        <v>#VALUE!</v>
      </c>
      <c r="DC56" t="e">
        <f>DD55*'Hypothetical vaccine model'!$K56</f>
        <v>#VALUE!</v>
      </c>
      <c r="DD56" s="84" t="e">
        <f t="shared" si="34"/>
        <v>#VALUE!</v>
      </c>
      <c r="DE56" t="e">
        <f>DG55*'Hypothetical vaccine model'!$J56*HelperFunctions!$R$42</f>
        <v>#VALUE!</v>
      </c>
      <c r="DF56" t="e">
        <f>DG55*'Hypothetical vaccine model'!$K56</f>
        <v>#VALUE!</v>
      </c>
      <c r="DG56" s="84" t="e">
        <f t="shared" si="35"/>
        <v>#VALUE!</v>
      </c>
      <c r="DH56" t="e">
        <f>DJ55*'Hypothetical vaccine model'!$J56*HelperFunctions!$R$56</f>
        <v>#VALUE!</v>
      </c>
      <c r="DI56" t="e">
        <f>DJ55*'Hypothetical vaccine model'!$K56</f>
        <v>#VALUE!</v>
      </c>
      <c r="DJ56" s="84" t="e">
        <f t="shared" si="36"/>
        <v>#VALUE!</v>
      </c>
      <c r="DK56" t="e">
        <f>DM55*'Hypothetical vaccine model'!$J56*HelperFunctions!$R$56</f>
        <v>#VALUE!</v>
      </c>
      <c r="DL56" t="e">
        <f>DM55*'Hypothetical vaccine model'!$K56</f>
        <v>#VALUE!</v>
      </c>
      <c r="DM56" s="84" t="e">
        <f t="shared" si="37"/>
        <v>#VALUE!</v>
      </c>
      <c r="DN56" t="e">
        <f>DP55*'Hypothetical vaccine model'!$J56*HelperFunctions!$R$56</f>
        <v>#VALUE!</v>
      </c>
      <c r="DO56" t="e">
        <f>DP55*'Hypothetical vaccine model'!$K56</f>
        <v>#VALUE!</v>
      </c>
      <c r="DP56" s="84" t="e">
        <f t="shared" si="38"/>
        <v>#VALUE!</v>
      </c>
      <c r="DQ56" t="e">
        <f>DS55*'Hypothetical vaccine model'!$J56*HelperFunctions!$R$56</f>
        <v>#VALUE!</v>
      </c>
      <c r="DR56" t="e">
        <f>DS55*'Hypothetical vaccine model'!$K56</f>
        <v>#VALUE!</v>
      </c>
      <c r="DS56" s="84" t="e">
        <f t="shared" si="39"/>
        <v>#VALUE!</v>
      </c>
      <c r="DT56" t="e">
        <f>DV55*'Hypothetical vaccine model'!$J56*HelperFunctions!$R$56</f>
        <v>#VALUE!</v>
      </c>
      <c r="DU56" t="e">
        <f>DV55*'Hypothetical vaccine model'!$K56</f>
        <v>#VALUE!</v>
      </c>
      <c r="DV56" s="84" t="e">
        <f t="shared" si="40"/>
        <v>#VALUE!</v>
      </c>
      <c r="DW56" t="e">
        <f>DY55*'Hypothetical vaccine model'!$J56*HelperFunctions!$R55</f>
        <v>#VALUE!</v>
      </c>
      <c r="DX56" t="e">
        <f>DY55*'Hypothetical vaccine model'!$K56</f>
        <v>#VALUE!</v>
      </c>
      <c r="DY56" s="84" t="e">
        <f t="shared" si="41"/>
        <v>#VALUE!</v>
      </c>
      <c r="DZ56" t="e">
        <f>EB55*'Hypothetical vaccine model'!$J56*HelperFunctions!$R54</f>
        <v>#VALUE!</v>
      </c>
      <c r="EA56" t="e">
        <f>EB55*'Hypothetical vaccine model'!$K56</f>
        <v>#VALUE!</v>
      </c>
      <c r="EB56" s="84" t="e">
        <f t="shared" si="42"/>
        <v>#VALUE!</v>
      </c>
      <c r="EC56" t="e">
        <f>EE55*'Hypothetical vaccine model'!$J56*HelperFunctions!$R53</f>
        <v>#VALUE!</v>
      </c>
      <c r="ED56" t="e">
        <f>EE55*'Hypothetical vaccine model'!$K56</f>
        <v>#VALUE!</v>
      </c>
      <c r="EE56" s="84" t="e">
        <f t="shared" si="43"/>
        <v>#VALUE!</v>
      </c>
      <c r="EF56" t="e">
        <f>EH55*'Hypothetical vaccine model'!$J56*HelperFunctions!$R52</f>
        <v>#VALUE!</v>
      </c>
      <c r="EG56" t="e">
        <f>EH55*'Hypothetical vaccine model'!$K56</f>
        <v>#VALUE!</v>
      </c>
      <c r="EH56" s="84" t="e">
        <f t="shared" si="44"/>
        <v>#VALUE!</v>
      </c>
      <c r="EI56" t="e">
        <f>EK55*'Hypothetical vaccine model'!$J56*HelperFunctions!$R51</f>
        <v>#VALUE!</v>
      </c>
      <c r="EJ56" t="e">
        <f>EK55*'Hypothetical vaccine model'!$K56</f>
        <v>#VALUE!</v>
      </c>
      <c r="EK56" s="84" t="e">
        <f t="shared" si="45"/>
        <v>#VALUE!</v>
      </c>
      <c r="EL56" t="e">
        <f>EN55*'Hypothetical vaccine model'!$J56*HelperFunctions!$R50</f>
        <v>#VALUE!</v>
      </c>
      <c r="EM56" t="e">
        <f>EN55*'Hypothetical vaccine model'!$K56</f>
        <v>#VALUE!</v>
      </c>
      <c r="EN56" s="84" t="e">
        <f t="shared" si="46"/>
        <v>#VALUE!</v>
      </c>
      <c r="EO56" t="e">
        <f>EQ55*'Hypothetical vaccine model'!$J56*HelperFunctions!$R49</f>
        <v>#VALUE!</v>
      </c>
      <c r="EP56" t="e">
        <f>EQ55*'Hypothetical vaccine model'!$K56</f>
        <v>#VALUE!</v>
      </c>
      <c r="EQ56" s="84" t="e">
        <f t="shared" si="47"/>
        <v>#VALUE!</v>
      </c>
      <c r="ER56" t="e">
        <f>ET55*'Hypothetical vaccine model'!$J56*HelperFunctions!$R62</f>
        <v>#VALUE!</v>
      </c>
      <c r="ES56" t="e">
        <f>ET55*'Hypothetical vaccine model'!$K56</f>
        <v>#VALUE!</v>
      </c>
      <c r="ET56" s="84" t="e">
        <f t="shared" si="48"/>
        <v>#VALUE!</v>
      </c>
      <c r="EU56" t="e">
        <f>EW55*'Hypothetical vaccine model'!$J56*HelperFunctions!$R61</f>
        <v>#VALUE!</v>
      </c>
      <c r="EV56" t="e">
        <f>EW55*'Hypothetical vaccine model'!$K56</f>
        <v>#VALUE!</v>
      </c>
      <c r="EW56" s="84" t="e">
        <f t="shared" si="49"/>
        <v>#VALUE!</v>
      </c>
      <c r="EX56" t="e">
        <f>EZ55*'Hypothetical vaccine model'!$J56*HelperFunctions!$R60</f>
        <v>#VALUE!</v>
      </c>
      <c r="EY56" t="e">
        <f>EZ55*'Hypothetical vaccine model'!$K56</f>
        <v>#VALUE!</v>
      </c>
      <c r="EZ56" s="84" t="e">
        <f t="shared" ref="EZ56:EZ63" si="50">EZ55-EX56-EY56</f>
        <v>#VALUE!</v>
      </c>
      <c r="FA56" t="e">
        <f>FC55*'Hypothetical vaccine model'!$J56*HelperFunctions!$R59</f>
        <v>#VALUE!</v>
      </c>
      <c r="FB56" t="e">
        <f>FC55*'Hypothetical vaccine model'!$K56</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F56*'Hypothetical vaccine model'!J57*HelperFunctions!R$14</f>
        <v>#VALUE!</v>
      </c>
      <c r="E57" t="e">
        <f>F56*'Hypothetical vaccine model'!K57</f>
        <v>#VALUE!</v>
      </c>
      <c r="F57" s="84" t="e">
        <f t="shared" si="0"/>
        <v>#VALUE!</v>
      </c>
      <c r="G57" t="e">
        <f>I56*'Hypothetical vaccine model'!$J57*HelperFunctions!$R$14</f>
        <v>#VALUE!</v>
      </c>
      <c r="H57" t="e">
        <f>I56*'Hypothetical vaccine model'!$K57</f>
        <v>#VALUE!</v>
      </c>
      <c r="I57" s="84" t="e">
        <f t="shared" si="1"/>
        <v>#VALUE!</v>
      </c>
      <c r="J57" t="e">
        <f>L56*'Hypothetical vaccine model'!$J57*HelperFunctions!$R$14</f>
        <v>#VALUE!</v>
      </c>
      <c r="K57" t="e">
        <f>L56*'Hypothetical vaccine model'!$K57</f>
        <v>#VALUE!</v>
      </c>
      <c r="L57" s="84" t="e">
        <f t="shared" si="2"/>
        <v>#VALUE!</v>
      </c>
      <c r="M57" t="e">
        <f>O56*'Hypothetical vaccine model'!$J57*HelperFunctions!$R$14</f>
        <v>#VALUE!</v>
      </c>
      <c r="N57" t="e">
        <f>O56*'Hypothetical vaccine model'!$K57</f>
        <v>#VALUE!</v>
      </c>
      <c r="O57" s="84" t="e">
        <f t="shared" si="3"/>
        <v>#VALUE!</v>
      </c>
      <c r="P57" t="e">
        <f>R56*'Hypothetical vaccine model'!$J57*HelperFunctions!$R$14</f>
        <v>#VALUE!</v>
      </c>
      <c r="Q57" t="e">
        <f>R56*'Hypothetical vaccine model'!$K57</f>
        <v>#VALUE!</v>
      </c>
      <c r="R57" s="84" t="e">
        <f t="shared" si="4"/>
        <v>#VALUE!</v>
      </c>
      <c r="S57" t="e">
        <f>U56*'Hypothetical vaccine model'!$J57*HelperFunctions!$R$14</f>
        <v>#VALUE!</v>
      </c>
      <c r="T57" t="e">
        <f>U56*'Hypothetical vaccine model'!$K57</f>
        <v>#VALUE!</v>
      </c>
      <c r="U57" s="84" t="e">
        <f t="shared" si="5"/>
        <v>#VALUE!</v>
      </c>
      <c r="V57" t="e">
        <f>X56*'Hypothetical vaccine model'!$J57*HelperFunctions!$R$14</f>
        <v>#VALUE!</v>
      </c>
      <c r="W57" t="e">
        <f>X56*'Hypothetical vaccine model'!$K57</f>
        <v>#VALUE!</v>
      </c>
      <c r="X57" s="84" t="e">
        <f t="shared" si="6"/>
        <v>#VALUE!</v>
      </c>
      <c r="Y57" t="e">
        <f>AA56*'Hypothetical vaccine model'!$J57*HelperFunctions!$R$14</f>
        <v>#VALUE!</v>
      </c>
      <c r="Z57" t="e">
        <f>AA56*'Hypothetical vaccine model'!$K57</f>
        <v>#VALUE!</v>
      </c>
      <c r="AA57" s="84" t="e">
        <f t="shared" si="7"/>
        <v>#VALUE!</v>
      </c>
      <c r="AB57" t="e">
        <f>AD56*'Hypothetical vaccine model'!$J57*HelperFunctions!$R$14</f>
        <v>#VALUE!</v>
      </c>
      <c r="AC57" t="e">
        <f>AD56*'Hypothetical vaccine model'!$K57</f>
        <v>#VALUE!</v>
      </c>
      <c r="AD57" s="84" t="e">
        <f t="shared" si="8"/>
        <v>#VALUE!</v>
      </c>
      <c r="AE57" t="e">
        <f>AG56*'Hypothetical vaccine model'!$J57*HelperFunctions!$R$14</f>
        <v>#VALUE!</v>
      </c>
      <c r="AF57" t="e">
        <f>AG56*'Hypothetical vaccine model'!$K57</f>
        <v>#VALUE!</v>
      </c>
      <c r="AG57" s="84" t="e">
        <f t="shared" si="9"/>
        <v>#VALUE!</v>
      </c>
      <c r="AH57" t="e">
        <f>AJ56*'Hypothetical vaccine model'!$J57*HelperFunctions!$R$14</f>
        <v>#VALUE!</v>
      </c>
      <c r="AI57" t="e">
        <f>AJ56*'Hypothetical vaccine model'!$K57</f>
        <v>#VALUE!</v>
      </c>
      <c r="AJ57" s="84" t="e">
        <f t="shared" si="10"/>
        <v>#VALUE!</v>
      </c>
      <c r="AK57" t="e">
        <f>AM56*'Hypothetical vaccine model'!$J57*HelperFunctions!$R$14</f>
        <v>#VALUE!</v>
      </c>
      <c r="AL57" t="e">
        <f>AM56*'Hypothetical vaccine model'!$K57</f>
        <v>#VALUE!</v>
      </c>
      <c r="AM57" s="84" t="e">
        <f t="shared" si="11"/>
        <v>#VALUE!</v>
      </c>
      <c r="AN57" t="e">
        <f>AP56*'Hypothetical vaccine model'!$J57*HelperFunctions!$R$28</f>
        <v>#VALUE!</v>
      </c>
      <c r="AO57" t="e">
        <f>AP56*'Hypothetical vaccine model'!$K57</f>
        <v>#VALUE!</v>
      </c>
      <c r="AP57" s="84" t="e">
        <f t="shared" si="12"/>
        <v>#VALUE!</v>
      </c>
      <c r="AQ57" t="e">
        <f>AS56*'Hypothetical vaccine model'!$J57*HelperFunctions!$R$28</f>
        <v>#VALUE!</v>
      </c>
      <c r="AR57" t="e">
        <f>AS56*'Hypothetical vaccine model'!$K57</f>
        <v>#VALUE!</v>
      </c>
      <c r="AS57" s="84" t="e">
        <f t="shared" si="13"/>
        <v>#VALUE!</v>
      </c>
      <c r="AT57" t="e">
        <f>AV56*'Hypothetical vaccine model'!$J57*HelperFunctions!$R$28</f>
        <v>#VALUE!</v>
      </c>
      <c r="AU57" t="e">
        <f>AV56*'Hypothetical vaccine model'!$K57</f>
        <v>#VALUE!</v>
      </c>
      <c r="AV57" s="84" t="e">
        <f t="shared" si="14"/>
        <v>#VALUE!</v>
      </c>
      <c r="AW57" t="e">
        <f>AY56*'Hypothetical vaccine model'!$J57*HelperFunctions!$R$28</f>
        <v>#VALUE!</v>
      </c>
      <c r="AX57" t="e">
        <f>AY56*'Hypothetical vaccine model'!$K57</f>
        <v>#VALUE!</v>
      </c>
      <c r="AY57" s="84" t="e">
        <f t="shared" si="15"/>
        <v>#VALUE!</v>
      </c>
      <c r="AZ57" t="e">
        <f>BB56*'Hypothetical vaccine model'!$J57*HelperFunctions!$R$28</f>
        <v>#VALUE!</v>
      </c>
      <c r="BA57" t="e">
        <f>BB56*'Hypothetical vaccine model'!$K57</f>
        <v>#VALUE!</v>
      </c>
      <c r="BB57" s="84" t="e">
        <f t="shared" si="16"/>
        <v>#VALUE!</v>
      </c>
      <c r="BC57" t="e">
        <f>BE56*'Hypothetical vaccine model'!$J57*HelperFunctions!$R$28</f>
        <v>#VALUE!</v>
      </c>
      <c r="BD57" t="e">
        <f>BE56*'Hypothetical vaccine model'!$K57</f>
        <v>#VALUE!</v>
      </c>
      <c r="BE57" s="84" t="e">
        <f t="shared" si="17"/>
        <v>#VALUE!</v>
      </c>
      <c r="BF57" t="e">
        <f>BH56*'Hypothetical vaccine model'!$J57*HelperFunctions!$R$28</f>
        <v>#VALUE!</v>
      </c>
      <c r="BG57" t="e">
        <f>BH56*'Hypothetical vaccine model'!$K57</f>
        <v>#VALUE!</v>
      </c>
      <c r="BH57" s="84" t="e">
        <f t="shared" si="18"/>
        <v>#VALUE!</v>
      </c>
      <c r="BI57" t="e">
        <f>BK56*'Hypothetical vaccine model'!$J57*HelperFunctions!$R$28</f>
        <v>#VALUE!</v>
      </c>
      <c r="BJ57" t="e">
        <f>BK56*'Hypothetical vaccine model'!$K57</f>
        <v>#VALUE!</v>
      </c>
      <c r="BK57" s="84" t="e">
        <f t="shared" si="19"/>
        <v>#VALUE!</v>
      </c>
      <c r="BL57" t="e">
        <f>BN56*'Hypothetical vaccine model'!$J57*HelperFunctions!$R$28</f>
        <v>#VALUE!</v>
      </c>
      <c r="BM57" t="e">
        <f>BN56*'Hypothetical vaccine model'!$K57</f>
        <v>#VALUE!</v>
      </c>
      <c r="BN57" s="84" t="e">
        <f t="shared" si="20"/>
        <v>#VALUE!</v>
      </c>
      <c r="BO57" t="e">
        <f>BQ56*'Hypothetical vaccine model'!$J57*HelperFunctions!$R$28</f>
        <v>#VALUE!</v>
      </c>
      <c r="BP57" t="e">
        <f>BQ56*'Hypothetical vaccine model'!$K57</f>
        <v>#VALUE!</v>
      </c>
      <c r="BQ57" s="84" t="e">
        <f t="shared" si="21"/>
        <v>#VALUE!</v>
      </c>
      <c r="BR57" t="e">
        <f>BT56*'Hypothetical vaccine model'!$J57*HelperFunctions!$R$28</f>
        <v>#VALUE!</v>
      </c>
      <c r="BS57" t="e">
        <f>BT56*'Hypothetical vaccine model'!$K57</f>
        <v>#VALUE!</v>
      </c>
      <c r="BT57" s="84" t="e">
        <f t="shared" si="22"/>
        <v>#VALUE!</v>
      </c>
      <c r="BU57" t="e">
        <f>BW56*'Hypothetical vaccine model'!$J57*HelperFunctions!$R$28</f>
        <v>#VALUE!</v>
      </c>
      <c r="BV57" t="e">
        <f>BW56*'Hypothetical vaccine model'!$K57</f>
        <v>#VALUE!</v>
      </c>
      <c r="BW57" s="84" t="e">
        <f t="shared" si="23"/>
        <v>#VALUE!</v>
      </c>
      <c r="BX57" t="e">
        <f>BZ56*'Hypothetical vaccine model'!$J57*HelperFunctions!$R$42</f>
        <v>#VALUE!</v>
      </c>
      <c r="BY57" t="e">
        <f>BZ56*'Hypothetical vaccine model'!$K57</f>
        <v>#VALUE!</v>
      </c>
      <c r="BZ57" s="84" t="e">
        <f t="shared" si="24"/>
        <v>#VALUE!</v>
      </c>
      <c r="CA57" t="e">
        <f>CC56*'Hypothetical vaccine model'!$J57*HelperFunctions!$R$42</f>
        <v>#VALUE!</v>
      </c>
      <c r="CB57" t="e">
        <f>CC56*'Hypothetical vaccine model'!$K57</f>
        <v>#VALUE!</v>
      </c>
      <c r="CC57" s="84" t="e">
        <f t="shared" si="25"/>
        <v>#VALUE!</v>
      </c>
      <c r="CD57" t="e">
        <f>CF56*'Hypothetical vaccine model'!$J57*HelperFunctions!$R$42</f>
        <v>#VALUE!</v>
      </c>
      <c r="CE57" t="e">
        <f>CF56*'Hypothetical vaccine model'!$K57</f>
        <v>#VALUE!</v>
      </c>
      <c r="CF57" s="84" t="e">
        <f t="shared" si="26"/>
        <v>#VALUE!</v>
      </c>
      <c r="CG57" t="e">
        <f>CI56*'Hypothetical vaccine model'!$J57*HelperFunctions!$R$42</f>
        <v>#VALUE!</v>
      </c>
      <c r="CH57" t="e">
        <f>CI56*'Hypothetical vaccine model'!$K57</f>
        <v>#VALUE!</v>
      </c>
      <c r="CI57" s="84" t="e">
        <f t="shared" si="27"/>
        <v>#VALUE!</v>
      </c>
      <c r="CJ57" t="e">
        <f>CL56*'Hypothetical vaccine model'!$J57*HelperFunctions!$R$42</f>
        <v>#VALUE!</v>
      </c>
      <c r="CK57" t="e">
        <f>CL56*'Hypothetical vaccine model'!$K57</f>
        <v>#VALUE!</v>
      </c>
      <c r="CL57" s="84" t="e">
        <f t="shared" si="28"/>
        <v>#VALUE!</v>
      </c>
      <c r="CM57" t="e">
        <f>CO56*'Hypothetical vaccine model'!$J57*HelperFunctions!$R$42</f>
        <v>#VALUE!</v>
      </c>
      <c r="CN57" t="e">
        <f>CO56*'Hypothetical vaccine model'!$K57</f>
        <v>#VALUE!</v>
      </c>
      <c r="CO57" s="84" t="e">
        <f t="shared" si="29"/>
        <v>#VALUE!</v>
      </c>
      <c r="CP57" t="e">
        <f>CR56*'Hypothetical vaccine model'!$J57*HelperFunctions!$R$42</f>
        <v>#VALUE!</v>
      </c>
      <c r="CQ57" t="e">
        <f>CR56*'Hypothetical vaccine model'!$K57</f>
        <v>#VALUE!</v>
      </c>
      <c r="CR57" s="84" t="e">
        <f t="shared" si="30"/>
        <v>#VALUE!</v>
      </c>
      <c r="CS57" t="e">
        <f>CU56*'Hypothetical vaccine model'!$J57*HelperFunctions!$R$42</f>
        <v>#VALUE!</v>
      </c>
      <c r="CT57" t="e">
        <f>CU56*'Hypothetical vaccine model'!$K57</f>
        <v>#VALUE!</v>
      </c>
      <c r="CU57" s="84" t="e">
        <f t="shared" si="31"/>
        <v>#VALUE!</v>
      </c>
      <c r="CV57" t="e">
        <f>CX56*'Hypothetical vaccine model'!$J57*HelperFunctions!$R$42</f>
        <v>#VALUE!</v>
      </c>
      <c r="CW57" t="e">
        <f>CX56*'Hypothetical vaccine model'!$K57</f>
        <v>#VALUE!</v>
      </c>
      <c r="CX57" s="84" t="e">
        <f t="shared" si="32"/>
        <v>#VALUE!</v>
      </c>
      <c r="CY57" t="e">
        <f>DA56*'Hypothetical vaccine model'!$J57*HelperFunctions!$R$42</f>
        <v>#VALUE!</v>
      </c>
      <c r="CZ57" t="e">
        <f>DA56*'Hypothetical vaccine model'!$K57</f>
        <v>#VALUE!</v>
      </c>
      <c r="DA57" s="84" t="e">
        <f t="shared" si="33"/>
        <v>#VALUE!</v>
      </c>
      <c r="DB57" t="e">
        <f>DD56*'Hypothetical vaccine model'!$J57*HelperFunctions!$R$42</f>
        <v>#VALUE!</v>
      </c>
      <c r="DC57" t="e">
        <f>DD56*'Hypothetical vaccine model'!$K57</f>
        <v>#VALUE!</v>
      </c>
      <c r="DD57" s="84" t="e">
        <f t="shared" si="34"/>
        <v>#VALUE!</v>
      </c>
      <c r="DE57" t="e">
        <f>DG56*'Hypothetical vaccine model'!$J57*HelperFunctions!$R$42</f>
        <v>#VALUE!</v>
      </c>
      <c r="DF57" t="e">
        <f>DG56*'Hypothetical vaccine model'!$K57</f>
        <v>#VALUE!</v>
      </c>
      <c r="DG57" s="84" t="e">
        <f t="shared" si="35"/>
        <v>#VALUE!</v>
      </c>
      <c r="DH57" t="e">
        <f>DJ56*'Hypothetical vaccine model'!$J57*HelperFunctions!$R$56</f>
        <v>#VALUE!</v>
      </c>
      <c r="DI57" t="e">
        <f>DJ56*'Hypothetical vaccine model'!$K57</f>
        <v>#VALUE!</v>
      </c>
      <c r="DJ57" s="84" t="e">
        <f t="shared" si="36"/>
        <v>#VALUE!</v>
      </c>
      <c r="DK57" t="e">
        <f>DM56*'Hypothetical vaccine model'!$J57*HelperFunctions!$R$56</f>
        <v>#VALUE!</v>
      </c>
      <c r="DL57" t="e">
        <f>DM56*'Hypothetical vaccine model'!$K57</f>
        <v>#VALUE!</v>
      </c>
      <c r="DM57" s="84" t="e">
        <f t="shared" si="37"/>
        <v>#VALUE!</v>
      </c>
      <c r="DN57" t="e">
        <f>DP56*'Hypothetical vaccine model'!$J57*HelperFunctions!$R$56</f>
        <v>#VALUE!</v>
      </c>
      <c r="DO57" t="e">
        <f>DP56*'Hypothetical vaccine model'!$K57</f>
        <v>#VALUE!</v>
      </c>
      <c r="DP57" s="84" t="e">
        <f t="shared" si="38"/>
        <v>#VALUE!</v>
      </c>
      <c r="DQ57" t="e">
        <f>DS56*'Hypothetical vaccine model'!$J57*HelperFunctions!$R$56</f>
        <v>#VALUE!</v>
      </c>
      <c r="DR57" t="e">
        <f>DS56*'Hypothetical vaccine model'!$K57</f>
        <v>#VALUE!</v>
      </c>
      <c r="DS57" s="84" t="e">
        <f t="shared" si="39"/>
        <v>#VALUE!</v>
      </c>
      <c r="DT57" t="e">
        <f>DV56*'Hypothetical vaccine model'!$J57*HelperFunctions!$R$56</f>
        <v>#VALUE!</v>
      </c>
      <c r="DU57" t="e">
        <f>DV56*'Hypothetical vaccine model'!$K57</f>
        <v>#VALUE!</v>
      </c>
      <c r="DV57" s="84" t="e">
        <f t="shared" si="40"/>
        <v>#VALUE!</v>
      </c>
      <c r="DW57" t="e">
        <f>DY56*'Hypothetical vaccine model'!$J57*HelperFunctions!$R$56</f>
        <v>#VALUE!</v>
      </c>
      <c r="DX57" t="e">
        <f>DY56*'Hypothetical vaccine model'!$K57</f>
        <v>#VALUE!</v>
      </c>
      <c r="DY57" s="84" t="e">
        <f t="shared" si="41"/>
        <v>#VALUE!</v>
      </c>
      <c r="DZ57" t="e">
        <f>EB56*'Hypothetical vaccine model'!$J57*HelperFunctions!$R55</f>
        <v>#VALUE!</v>
      </c>
      <c r="EA57" t="e">
        <f>EB56*'Hypothetical vaccine model'!$K57</f>
        <v>#VALUE!</v>
      </c>
      <c r="EB57" s="84" t="e">
        <f t="shared" si="42"/>
        <v>#VALUE!</v>
      </c>
      <c r="EC57" t="e">
        <f>EE56*'Hypothetical vaccine model'!$J57*HelperFunctions!$R54</f>
        <v>#VALUE!</v>
      </c>
      <c r="ED57" t="e">
        <f>EE56*'Hypothetical vaccine model'!$K57</f>
        <v>#VALUE!</v>
      </c>
      <c r="EE57" s="84" t="e">
        <f t="shared" si="43"/>
        <v>#VALUE!</v>
      </c>
      <c r="EF57" t="e">
        <f>EH56*'Hypothetical vaccine model'!$J57*HelperFunctions!$R53</f>
        <v>#VALUE!</v>
      </c>
      <c r="EG57" t="e">
        <f>EH56*'Hypothetical vaccine model'!$K57</f>
        <v>#VALUE!</v>
      </c>
      <c r="EH57" s="84" t="e">
        <f t="shared" si="44"/>
        <v>#VALUE!</v>
      </c>
      <c r="EI57" t="e">
        <f>EK56*'Hypothetical vaccine model'!$J57*HelperFunctions!$R52</f>
        <v>#VALUE!</v>
      </c>
      <c r="EJ57" t="e">
        <f>EK56*'Hypothetical vaccine model'!$K57</f>
        <v>#VALUE!</v>
      </c>
      <c r="EK57" s="84" t="e">
        <f t="shared" si="45"/>
        <v>#VALUE!</v>
      </c>
      <c r="EL57" t="e">
        <f>EN56*'Hypothetical vaccine model'!$J57*HelperFunctions!$R51</f>
        <v>#VALUE!</v>
      </c>
      <c r="EM57" t="e">
        <f>EN56*'Hypothetical vaccine model'!$K57</f>
        <v>#VALUE!</v>
      </c>
      <c r="EN57" s="84" t="e">
        <f t="shared" si="46"/>
        <v>#VALUE!</v>
      </c>
      <c r="EO57" t="e">
        <f>EQ56*'Hypothetical vaccine model'!$J57*HelperFunctions!$R50</f>
        <v>#VALUE!</v>
      </c>
      <c r="EP57" t="e">
        <f>EQ56*'Hypothetical vaccine model'!$K57</f>
        <v>#VALUE!</v>
      </c>
      <c r="EQ57" s="84" t="e">
        <f t="shared" si="47"/>
        <v>#VALUE!</v>
      </c>
      <c r="ER57" t="e">
        <f>ET56*'Hypothetical vaccine model'!$J57*HelperFunctions!$R63</f>
        <v>#VALUE!</v>
      </c>
      <c r="ES57" t="e">
        <f>ET56*'Hypothetical vaccine model'!$K57</f>
        <v>#VALUE!</v>
      </c>
      <c r="ET57" s="84" t="e">
        <f t="shared" si="48"/>
        <v>#VALUE!</v>
      </c>
      <c r="EU57" t="e">
        <f>EW56*'Hypothetical vaccine model'!$J57*HelperFunctions!$R62</f>
        <v>#VALUE!</v>
      </c>
      <c r="EV57" t="e">
        <f>EW56*'Hypothetical vaccine model'!$K57</f>
        <v>#VALUE!</v>
      </c>
      <c r="EW57" s="84" t="e">
        <f t="shared" si="49"/>
        <v>#VALUE!</v>
      </c>
      <c r="EX57" t="e">
        <f>EZ56*'Hypothetical vaccine model'!$J57*HelperFunctions!$R61</f>
        <v>#VALUE!</v>
      </c>
      <c r="EY57" t="e">
        <f>EZ56*'Hypothetical vaccine model'!$K57</f>
        <v>#VALUE!</v>
      </c>
      <c r="EZ57" s="84" t="e">
        <f t="shared" si="50"/>
        <v>#VALUE!</v>
      </c>
      <c r="FA57" t="e">
        <f>FC56*'Hypothetical vaccine model'!$J57*HelperFunctions!$R60</f>
        <v>#VALUE!</v>
      </c>
      <c r="FB57" t="e">
        <f>FC56*'Hypothetical vaccine model'!$K57</f>
        <v>#VALUE!</v>
      </c>
      <c r="FC57" s="84" t="e">
        <f t="shared" ref="FC57:FC63" si="51">FC56-FA57-FB57</f>
        <v>#VALUE!</v>
      </c>
      <c r="FD57" t="e">
        <f>FF56*'Hypothetical vaccine model'!$J57*HelperFunctions!$R59</f>
        <v>#VALUE!</v>
      </c>
      <c r="FE57" t="e">
        <f>FF56*'Hypothetical vaccine model'!$K57</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F57*'Hypothetical vaccine model'!J58*HelperFunctions!R$14</f>
        <v>#VALUE!</v>
      </c>
      <c r="E58" t="e">
        <f>F57*'Hypothetical vaccine model'!K58</f>
        <v>#VALUE!</v>
      </c>
      <c r="F58" s="84" t="e">
        <f t="shared" si="0"/>
        <v>#VALUE!</v>
      </c>
      <c r="G58" t="e">
        <f>I57*'Hypothetical vaccine model'!$J58*HelperFunctions!$R$14</f>
        <v>#VALUE!</v>
      </c>
      <c r="H58" t="e">
        <f>I57*'Hypothetical vaccine model'!$K58</f>
        <v>#VALUE!</v>
      </c>
      <c r="I58" s="84" t="e">
        <f t="shared" si="1"/>
        <v>#VALUE!</v>
      </c>
      <c r="J58" t="e">
        <f>L57*'Hypothetical vaccine model'!$J58*HelperFunctions!$R$14</f>
        <v>#VALUE!</v>
      </c>
      <c r="K58" t="e">
        <f>L57*'Hypothetical vaccine model'!$K58</f>
        <v>#VALUE!</v>
      </c>
      <c r="L58" s="84" t="e">
        <f t="shared" si="2"/>
        <v>#VALUE!</v>
      </c>
      <c r="M58" t="e">
        <f>O57*'Hypothetical vaccine model'!$J58*HelperFunctions!$R$14</f>
        <v>#VALUE!</v>
      </c>
      <c r="N58" t="e">
        <f>O57*'Hypothetical vaccine model'!$K58</f>
        <v>#VALUE!</v>
      </c>
      <c r="O58" s="84" t="e">
        <f t="shared" si="3"/>
        <v>#VALUE!</v>
      </c>
      <c r="P58" t="e">
        <f>R57*'Hypothetical vaccine model'!$J58*HelperFunctions!$R$14</f>
        <v>#VALUE!</v>
      </c>
      <c r="Q58" t="e">
        <f>R57*'Hypothetical vaccine model'!$K58</f>
        <v>#VALUE!</v>
      </c>
      <c r="R58" s="84" t="e">
        <f t="shared" si="4"/>
        <v>#VALUE!</v>
      </c>
      <c r="S58" t="e">
        <f>U57*'Hypothetical vaccine model'!$J58*HelperFunctions!$R$14</f>
        <v>#VALUE!</v>
      </c>
      <c r="T58" t="e">
        <f>U57*'Hypothetical vaccine model'!$K58</f>
        <v>#VALUE!</v>
      </c>
      <c r="U58" s="84" t="e">
        <f t="shared" si="5"/>
        <v>#VALUE!</v>
      </c>
      <c r="V58" t="e">
        <f>X57*'Hypothetical vaccine model'!$J58*HelperFunctions!$R$14</f>
        <v>#VALUE!</v>
      </c>
      <c r="W58" t="e">
        <f>X57*'Hypothetical vaccine model'!$K58</f>
        <v>#VALUE!</v>
      </c>
      <c r="X58" s="84" t="e">
        <f t="shared" si="6"/>
        <v>#VALUE!</v>
      </c>
      <c r="Y58" t="e">
        <f>AA57*'Hypothetical vaccine model'!$J58*HelperFunctions!$R$14</f>
        <v>#VALUE!</v>
      </c>
      <c r="Z58" t="e">
        <f>AA57*'Hypothetical vaccine model'!$K58</f>
        <v>#VALUE!</v>
      </c>
      <c r="AA58" s="84" t="e">
        <f t="shared" si="7"/>
        <v>#VALUE!</v>
      </c>
      <c r="AB58" t="e">
        <f>AD57*'Hypothetical vaccine model'!$J58*HelperFunctions!$R$14</f>
        <v>#VALUE!</v>
      </c>
      <c r="AC58" t="e">
        <f>AD57*'Hypothetical vaccine model'!$K58</f>
        <v>#VALUE!</v>
      </c>
      <c r="AD58" s="84" t="e">
        <f t="shared" si="8"/>
        <v>#VALUE!</v>
      </c>
      <c r="AE58" t="e">
        <f>AG57*'Hypothetical vaccine model'!$J58*HelperFunctions!$R$14</f>
        <v>#VALUE!</v>
      </c>
      <c r="AF58" t="e">
        <f>AG57*'Hypothetical vaccine model'!$K58</f>
        <v>#VALUE!</v>
      </c>
      <c r="AG58" s="84" t="e">
        <f t="shared" si="9"/>
        <v>#VALUE!</v>
      </c>
      <c r="AH58" t="e">
        <f>AJ57*'Hypothetical vaccine model'!$J58*HelperFunctions!$R$14</f>
        <v>#VALUE!</v>
      </c>
      <c r="AI58" t="e">
        <f>AJ57*'Hypothetical vaccine model'!$K58</f>
        <v>#VALUE!</v>
      </c>
      <c r="AJ58" s="84" t="e">
        <f t="shared" si="10"/>
        <v>#VALUE!</v>
      </c>
      <c r="AK58" t="e">
        <f>AM57*'Hypothetical vaccine model'!$J58*HelperFunctions!$R$14</f>
        <v>#VALUE!</v>
      </c>
      <c r="AL58" t="e">
        <f>AM57*'Hypothetical vaccine model'!$K58</f>
        <v>#VALUE!</v>
      </c>
      <c r="AM58" s="84" t="e">
        <f t="shared" si="11"/>
        <v>#VALUE!</v>
      </c>
      <c r="AN58" t="e">
        <f>AP57*'Hypothetical vaccine model'!$J58*HelperFunctions!$R$28</f>
        <v>#VALUE!</v>
      </c>
      <c r="AO58" t="e">
        <f>AP57*'Hypothetical vaccine model'!$K58</f>
        <v>#VALUE!</v>
      </c>
      <c r="AP58" s="84" t="e">
        <f t="shared" si="12"/>
        <v>#VALUE!</v>
      </c>
      <c r="AQ58" t="e">
        <f>AS57*'Hypothetical vaccine model'!$J58*HelperFunctions!$R$28</f>
        <v>#VALUE!</v>
      </c>
      <c r="AR58" t="e">
        <f>AS57*'Hypothetical vaccine model'!$K58</f>
        <v>#VALUE!</v>
      </c>
      <c r="AS58" s="84" t="e">
        <f t="shared" si="13"/>
        <v>#VALUE!</v>
      </c>
      <c r="AT58" t="e">
        <f>AV57*'Hypothetical vaccine model'!$J58*HelperFunctions!$R$28</f>
        <v>#VALUE!</v>
      </c>
      <c r="AU58" t="e">
        <f>AV57*'Hypothetical vaccine model'!$K58</f>
        <v>#VALUE!</v>
      </c>
      <c r="AV58" s="84" t="e">
        <f t="shared" si="14"/>
        <v>#VALUE!</v>
      </c>
      <c r="AW58" t="e">
        <f>AY57*'Hypothetical vaccine model'!$J58*HelperFunctions!$R$28</f>
        <v>#VALUE!</v>
      </c>
      <c r="AX58" t="e">
        <f>AY57*'Hypothetical vaccine model'!$K58</f>
        <v>#VALUE!</v>
      </c>
      <c r="AY58" s="84" t="e">
        <f t="shared" si="15"/>
        <v>#VALUE!</v>
      </c>
      <c r="AZ58" t="e">
        <f>BB57*'Hypothetical vaccine model'!$J58*HelperFunctions!$R$28</f>
        <v>#VALUE!</v>
      </c>
      <c r="BA58" t="e">
        <f>BB57*'Hypothetical vaccine model'!$K58</f>
        <v>#VALUE!</v>
      </c>
      <c r="BB58" s="84" t="e">
        <f t="shared" si="16"/>
        <v>#VALUE!</v>
      </c>
      <c r="BC58" t="e">
        <f>BE57*'Hypothetical vaccine model'!$J58*HelperFunctions!$R$28</f>
        <v>#VALUE!</v>
      </c>
      <c r="BD58" t="e">
        <f>BE57*'Hypothetical vaccine model'!$K58</f>
        <v>#VALUE!</v>
      </c>
      <c r="BE58" s="84" t="e">
        <f t="shared" si="17"/>
        <v>#VALUE!</v>
      </c>
      <c r="BF58" t="e">
        <f>BH57*'Hypothetical vaccine model'!$J58*HelperFunctions!$R$28</f>
        <v>#VALUE!</v>
      </c>
      <c r="BG58" t="e">
        <f>BH57*'Hypothetical vaccine model'!$K58</f>
        <v>#VALUE!</v>
      </c>
      <c r="BH58" s="84" t="e">
        <f t="shared" si="18"/>
        <v>#VALUE!</v>
      </c>
      <c r="BI58" t="e">
        <f>BK57*'Hypothetical vaccine model'!$J58*HelperFunctions!$R$28</f>
        <v>#VALUE!</v>
      </c>
      <c r="BJ58" t="e">
        <f>BK57*'Hypothetical vaccine model'!$K58</f>
        <v>#VALUE!</v>
      </c>
      <c r="BK58" s="84" t="e">
        <f t="shared" si="19"/>
        <v>#VALUE!</v>
      </c>
      <c r="BL58" t="e">
        <f>BN57*'Hypothetical vaccine model'!$J58*HelperFunctions!$R$28</f>
        <v>#VALUE!</v>
      </c>
      <c r="BM58" t="e">
        <f>BN57*'Hypothetical vaccine model'!$K58</f>
        <v>#VALUE!</v>
      </c>
      <c r="BN58" s="84" t="e">
        <f t="shared" si="20"/>
        <v>#VALUE!</v>
      </c>
      <c r="BO58" t="e">
        <f>BQ57*'Hypothetical vaccine model'!$J58*HelperFunctions!$R$28</f>
        <v>#VALUE!</v>
      </c>
      <c r="BP58" t="e">
        <f>BQ57*'Hypothetical vaccine model'!$K58</f>
        <v>#VALUE!</v>
      </c>
      <c r="BQ58" s="84" t="e">
        <f t="shared" si="21"/>
        <v>#VALUE!</v>
      </c>
      <c r="BR58" t="e">
        <f>BT57*'Hypothetical vaccine model'!$J58*HelperFunctions!$R$28</f>
        <v>#VALUE!</v>
      </c>
      <c r="BS58" t="e">
        <f>BT57*'Hypothetical vaccine model'!$K58</f>
        <v>#VALUE!</v>
      </c>
      <c r="BT58" s="84" t="e">
        <f t="shared" si="22"/>
        <v>#VALUE!</v>
      </c>
      <c r="BU58" t="e">
        <f>BW57*'Hypothetical vaccine model'!$J58*HelperFunctions!$R$28</f>
        <v>#VALUE!</v>
      </c>
      <c r="BV58" t="e">
        <f>BW57*'Hypothetical vaccine model'!$K58</f>
        <v>#VALUE!</v>
      </c>
      <c r="BW58" s="84" t="e">
        <f t="shared" si="23"/>
        <v>#VALUE!</v>
      </c>
      <c r="BX58" t="e">
        <f>BZ57*'Hypothetical vaccine model'!$J58*HelperFunctions!$R$42</f>
        <v>#VALUE!</v>
      </c>
      <c r="BY58" t="e">
        <f>BZ57*'Hypothetical vaccine model'!$K58</f>
        <v>#VALUE!</v>
      </c>
      <c r="BZ58" s="84" t="e">
        <f t="shared" si="24"/>
        <v>#VALUE!</v>
      </c>
      <c r="CA58" t="e">
        <f>CC57*'Hypothetical vaccine model'!$J58*HelperFunctions!$R$42</f>
        <v>#VALUE!</v>
      </c>
      <c r="CB58" t="e">
        <f>CC57*'Hypothetical vaccine model'!$K58</f>
        <v>#VALUE!</v>
      </c>
      <c r="CC58" s="84" t="e">
        <f t="shared" si="25"/>
        <v>#VALUE!</v>
      </c>
      <c r="CD58" t="e">
        <f>CF57*'Hypothetical vaccine model'!$J58*HelperFunctions!$R$42</f>
        <v>#VALUE!</v>
      </c>
      <c r="CE58" t="e">
        <f>CF57*'Hypothetical vaccine model'!$K58</f>
        <v>#VALUE!</v>
      </c>
      <c r="CF58" s="84" t="e">
        <f t="shared" si="26"/>
        <v>#VALUE!</v>
      </c>
      <c r="CG58" t="e">
        <f>CI57*'Hypothetical vaccine model'!$J58*HelperFunctions!$R$42</f>
        <v>#VALUE!</v>
      </c>
      <c r="CH58" t="e">
        <f>CI57*'Hypothetical vaccine model'!$K58</f>
        <v>#VALUE!</v>
      </c>
      <c r="CI58" s="84" t="e">
        <f t="shared" si="27"/>
        <v>#VALUE!</v>
      </c>
      <c r="CJ58" t="e">
        <f>CL57*'Hypothetical vaccine model'!$J58*HelperFunctions!$R$42</f>
        <v>#VALUE!</v>
      </c>
      <c r="CK58" t="e">
        <f>CL57*'Hypothetical vaccine model'!$K58</f>
        <v>#VALUE!</v>
      </c>
      <c r="CL58" s="84" t="e">
        <f t="shared" si="28"/>
        <v>#VALUE!</v>
      </c>
      <c r="CM58" t="e">
        <f>CO57*'Hypothetical vaccine model'!$J58*HelperFunctions!$R$42</f>
        <v>#VALUE!</v>
      </c>
      <c r="CN58" t="e">
        <f>CO57*'Hypothetical vaccine model'!$K58</f>
        <v>#VALUE!</v>
      </c>
      <c r="CO58" s="84" t="e">
        <f t="shared" si="29"/>
        <v>#VALUE!</v>
      </c>
      <c r="CP58" t="e">
        <f>CR57*'Hypothetical vaccine model'!$J58*HelperFunctions!$R$42</f>
        <v>#VALUE!</v>
      </c>
      <c r="CQ58" t="e">
        <f>CR57*'Hypothetical vaccine model'!$K58</f>
        <v>#VALUE!</v>
      </c>
      <c r="CR58" s="84" t="e">
        <f t="shared" si="30"/>
        <v>#VALUE!</v>
      </c>
      <c r="CS58" t="e">
        <f>CU57*'Hypothetical vaccine model'!$J58*HelperFunctions!$R$42</f>
        <v>#VALUE!</v>
      </c>
      <c r="CT58" t="e">
        <f>CU57*'Hypothetical vaccine model'!$K58</f>
        <v>#VALUE!</v>
      </c>
      <c r="CU58" s="84" t="e">
        <f t="shared" si="31"/>
        <v>#VALUE!</v>
      </c>
      <c r="CV58" t="e">
        <f>CX57*'Hypothetical vaccine model'!$J58*HelperFunctions!$R$42</f>
        <v>#VALUE!</v>
      </c>
      <c r="CW58" t="e">
        <f>CX57*'Hypothetical vaccine model'!$K58</f>
        <v>#VALUE!</v>
      </c>
      <c r="CX58" s="84" t="e">
        <f t="shared" si="32"/>
        <v>#VALUE!</v>
      </c>
      <c r="CY58" t="e">
        <f>DA57*'Hypothetical vaccine model'!$J58*HelperFunctions!$R$42</f>
        <v>#VALUE!</v>
      </c>
      <c r="CZ58" t="e">
        <f>DA57*'Hypothetical vaccine model'!$K58</f>
        <v>#VALUE!</v>
      </c>
      <c r="DA58" s="84" t="e">
        <f t="shared" si="33"/>
        <v>#VALUE!</v>
      </c>
      <c r="DB58" t="e">
        <f>DD57*'Hypothetical vaccine model'!$J58*HelperFunctions!$R$42</f>
        <v>#VALUE!</v>
      </c>
      <c r="DC58" t="e">
        <f>DD57*'Hypothetical vaccine model'!$K58</f>
        <v>#VALUE!</v>
      </c>
      <c r="DD58" s="84" t="e">
        <f t="shared" si="34"/>
        <v>#VALUE!</v>
      </c>
      <c r="DE58" t="e">
        <f>DG57*'Hypothetical vaccine model'!$J58*HelperFunctions!$R$42</f>
        <v>#VALUE!</v>
      </c>
      <c r="DF58" t="e">
        <f>DG57*'Hypothetical vaccine model'!$K58</f>
        <v>#VALUE!</v>
      </c>
      <c r="DG58" s="84" t="e">
        <f t="shared" si="35"/>
        <v>#VALUE!</v>
      </c>
      <c r="DH58" t="e">
        <f>DJ57*'Hypothetical vaccine model'!$J58*HelperFunctions!$R$56</f>
        <v>#VALUE!</v>
      </c>
      <c r="DI58" t="e">
        <f>DJ57*'Hypothetical vaccine model'!$K58</f>
        <v>#VALUE!</v>
      </c>
      <c r="DJ58" s="84" t="e">
        <f t="shared" si="36"/>
        <v>#VALUE!</v>
      </c>
      <c r="DK58" t="e">
        <f>DM57*'Hypothetical vaccine model'!$J58*HelperFunctions!$R$56</f>
        <v>#VALUE!</v>
      </c>
      <c r="DL58" t="e">
        <f>DM57*'Hypothetical vaccine model'!$K58</f>
        <v>#VALUE!</v>
      </c>
      <c r="DM58" s="84" t="e">
        <f t="shared" si="37"/>
        <v>#VALUE!</v>
      </c>
      <c r="DN58" t="e">
        <f>DP57*'Hypothetical vaccine model'!$J58*HelperFunctions!$R$56</f>
        <v>#VALUE!</v>
      </c>
      <c r="DO58" t="e">
        <f>DP57*'Hypothetical vaccine model'!$K58</f>
        <v>#VALUE!</v>
      </c>
      <c r="DP58" s="84" t="e">
        <f t="shared" si="38"/>
        <v>#VALUE!</v>
      </c>
      <c r="DQ58" t="e">
        <f>DS57*'Hypothetical vaccine model'!$J58*HelperFunctions!$R$56</f>
        <v>#VALUE!</v>
      </c>
      <c r="DR58" t="e">
        <f>DS57*'Hypothetical vaccine model'!$K58</f>
        <v>#VALUE!</v>
      </c>
      <c r="DS58" s="84" t="e">
        <f t="shared" si="39"/>
        <v>#VALUE!</v>
      </c>
      <c r="DT58" t="e">
        <f>DV57*'Hypothetical vaccine model'!$J58*HelperFunctions!$R$56</f>
        <v>#VALUE!</v>
      </c>
      <c r="DU58" t="e">
        <f>DV57*'Hypothetical vaccine model'!$K58</f>
        <v>#VALUE!</v>
      </c>
      <c r="DV58" s="84" t="e">
        <f t="shared" si="40"/>
        <v>#VALUE!</v>
      </c>
      <c r="DW58" t="e">
        <f>DY57*'Hypothetical vaccine model'!$J58*HelperFunctions!$R$56</f>
        <v>#VALUE!</v>
      </c>
      <c r="DX58" t="e">
        <f>DY57*'Hypothetical vaccine model'!$K58</f>
        <v>#VALUE!</v>
      </c>
      <c r="DY58" s="84" t="e">
        <f t="shared" si="41"/>
        <v>#VALUE!</v>
      </c>
      <c r="DZ58" t="e">
        <f>EB57*'Hypothetical vaccine model'!$J58*HelperFunctions!$R$56</f>
        <v>#VALUE!</v>
      </c>
      <c r="EA58" t="e">
        <f>EB57*'Hypothetical vaccine model'!$K58</f>
        <v>#VALUE!</v>
      </c>
      <c r="EB58" s="84" t="e">
        <f t="shared" si="42"/>
        <v>#VALUE!</v>
      </c>
      <c r="EC58" t="e">
        <f>EE57*'Hypothetical vaccine model'!$J58*HelperFunctions!$R55</f>
        <v>#VALUE!</v>
      </c>
      <c r="ED58" t="e">
        <f>EE57*'Hypothetical vaccine model'!$K58</f>
        <v>#VALUE!</v>
      </c>
      <c r="EE58" s="84" t="e">
        <f t="shared" si="43"/>
        <v>#VALUE!</v>
      </c>
      <c r="EF58" t="e">
        <f>EH57*'Hypothetical vaccine model'!$J58*HelperFunctions!$R54</f>
        <v>#VALUE!</v>
      </c>
      <c r="EG58" t="e">
        <f>EH57*'Hypothetical vaccine model'!$K58</f>
        <v>#VALUE!</v>
      </c>
      <c r="EH58" s="84" t="e">
        <f t="shared" si="44"/>
        <v>#VALUE!</v>
      </c>
      <c r="EI58" t="e">
        <f>EK57*'Hypothetical vaccine model'!$J58*HelperFunctions!$R53</f>
        <v>#VALUE!</v>
      </c>
      <c r="EJ58" t="e">
        <f>EK57*'Hypothetical vaccine model'!$K58</f>
        <v>#VALUE!</v>
      </c>
      <c r="EK58" s="84" t="e">
        <f t="shared" si="45"/>
        <v>#VALUE!</v>
      </c>
      <c r="EL58" t="e">
        <f>EN57*'Hypothetical vaccine model'!$J58*HelperFunctions!$R52</f>
        <v>#VALUE!</v>
      </c>
      <c r="EM58" t="e">
        <f>EN57*'Hypothetical vaccine model'!$K58</f>
        <v>#VALUE!</v>
      </c>
      <c r="EN58" s="84" t="e">
        <f t="shared" si="46"/>
        <v>#VALUE!</v>
      </c>
      <c r="EO58" t="e">
        <f>EQ57*'Hypothetical vaccine model'!$J58*HelperFunctions!$R51</f>
        <v>#VALUE!</v>
      </c>
      <c r="EP58" t="e">
        <f>EQ57*'Hypothetical vaccine model'!$K58</f>
        <v>#VALUE!</v>
      </c>
      <c r="EQ58" s="84" t="e">
        <f t="shared" si="47"/>
        <v>#VALUE!</v>
      </c>
      <c r="ER58" t="e">
        <f>ET57*'Hypothetical vaccine model'!$J58*HelperFunctions!$R64</f>
        <v>#VALUE!</v>
      </c>
      <c r="ES58" t="e">
        <f>ET57*'Hypothetical vaccine model'!$K58</f>
        <v>#VALUE!</v>
      </c>
      <c r="ET58" s="84" t="e">
        <f t="shared" si="48"/>
        <v>#VALUE!</v>
      </c>
      <c r="EU58" t="e">
        <f>EW57*'Hypothetical vaccine model'!$J58*HelperFunctions!$R63</f>
        <v>#VALUE!</v>
      </c>
      <c r="EV58" t="e">
        <f>EW57*'Hypothetical vaccine model'!$K58</f>
        <v>#VALUE!</v>
      </c>
      <c r="EW58" s="84" t="e">
        <f t="shared" si="49"/>
        <v>#VALUE!</v>
      </c>
      <c r="EX58" t="e">
        <f>EZ57*'Hypothetical vaccine model'!$J58*HelperFunctions!$R62</f>
        <v>#VALUE!</v>
      </c>
      <c r="EY58" t="e">
        <f>EZ57*'Hypothetical vaccine model'!$K58</f>
        <v>#VALUE!</v>
      </c>
      <c r="EZ58" s="84" t="e">
        <f t="shared" si="50"/>
        <v>#VALUE!</v>
      </c>
      <c r="FA58" t="e">
        <f>FC57*'Hypothetical vaccine model'!$J58*HelperFunctions!$R61</f>
        <v>#VALUE!</v>
      </c>
      <c r="FB58" t="e">
        <f>FC57*'Hypothetical vaccine model'!$K58</f>
        <v>#VALUE!</v>
      </c>
      <c r="FC58" s="84" t="e">
        <f t="shared" si="51"/>
        <v>#VALUE!</v>
      </c>
      <c r="FD58" t="e">
        <f>FF57*'Hypothetical vaccine model'!$J58*HelperFunctions!$R60</f>
        <v>#VALUE!</v>
      </c>
      <c r="FE58" t="e">
        <f>FF57*'Hypothetical vaccine model'!$K58</f>
        <v>#VALUE!</v>
      </c>
      <c r="FF58" s="84" t="e">
        <f t="shared" ref="FF58:FF63" si="52">FF57-FD58-FE58</f>
        <v>#VALUE!</v>
      </c>
      <c r="FG58" t="e">
        <f>FI57*'Hypothetical vaccine model'!$J58*HelperFunctions!$R59</f>
        <v>#VALUE!</v>
      </c>
      <c r="FH58" t="e">
        <f>FI57*'Hypothetical vaccine model'!$K58</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F58*'Hypothetical vaccine model'!J59*HelperFunctions!R$14</f>
        <v>#VALUE!</v>
      </c>
      <c r="E59" t="e">
        <f>F58*'Hypothetical vaccine model'!K59</f>
        <v>#VALUE!</v>
      </c>
      <c r="F59" s="84" t="e">
        <f t="shared" si="0"/>
        <v>#VALUE!</v>
      </c>
      <c r="G59" t="e">
        <f>I58*'Hypothetical vaccine model'!$J59*HelperFunctions!$R$14</f>
        <v>#VALUE!</v>
      </c>
      <c r="H59" t="e">
        <f>I58*'Hypothetical vaccine model'!$K59</f>
        <v>#VALUE!</v>
      </c>
      <c r="I59" s="84" t="e">
        <f t="shared" si="1"/>
        <v>#VALUE!</v>
      </c>
      <c r="J59" t="e">
        <f>L58*'Hypothetical vaccine model'!$J59*HelperFunctions!$R$14</f>
        <v>#VALUE!</v>
      </c>
      <c r="K59" t="e">
        <f>L58*'Hypothetical vaccine model'!$K59</f>
        <v>#VALUE!</v>
      </c>
      <c r="L59" s="84" t="e">
        <f t="shared" si="2"/>
        <v>#VALUE!</v>
      </c>
      <c r="M59" t="e">
        <f>O58*'Hypothetical vaccine model'!$J59*HelperFunctions!$R$14</f>
        <v>#VALUE!</v>
      </c>
      <c r="N59" t="e">
        <f>O58*'Hypothetical vaccine model'!$K59</f>
        <v>#VALUE!</v>
      </c>
      <c r="O59" s="84" t="e">
        <f t="shared" si="3"/>
        <v>#VALUE!</v>
      </c>
      <c r="P59" t="e">
        <f>R58*'Hypothetical vaccine model'!$J59*HelperFunctions!$R$14</f>
        <v>#VALUE!</v>
      </c>
      <c r="Q59" t="e">
        <f>R58*'Hypothetical vaccine model'!$K59</f>
        <v>#VALUE!</v>
      </c>
      <c r="R59" s="84" t="e">
        <f t="shared" si="4"/>
        <v>#VALUE!</v>
      </c>
      <c r="S59" t="e">
        <f>U58*'Hypothetical vaccine model'!$J59*HelperFunctions!$R$14</f>
        <v>#VALUE!</v>
      </c>
      <c r="T59" t="e">
        <f>U58*'Hypothetical vaccine model'!$K59</f>
        <v>#VALUE!</v>
      </c>
      <c r="U59" s="84" t="e">
        <f t="shared" si="5"/>
        <v>#VALUE!</v>
      </c>
      <c r="V59" t="e">
        <f>X58*'Hypothetical vaccine model'!$J59*HelperFunctions!$R$14</f>
        <v>#VALUE!</v>
      </c>
      <c r="W59" t="e">
        <f>X58*'Hypothetical vaccine model'!$K59</f>
        <v>#VALUE!</v>
      </c>
      <c r="X59" s="84" t="e">
        <f t="shared" si="6"/>
        <v>#VALUE!</v>
      </c>
      <c r="Y59" t="e">
        <f>AA58*'Hypothetical vaccine model'!$J59*HelperFunctions!$R$14</f>
        <v>#VALUE!</v>
      </c>
      <c r="Z59" t="e">
        <f>AA58*'Hypothetical vaccine model'!$K59</f>
        <v>#VALUE!</v>
      </c>
      <c r="AA59" s="84" t="e">
        <f t="shared" si="7"/>
        <v>#VALUE!</v>
      </c>
      <c r="AB59" t="e">
        <f>AD58*'Hypothetical vaccine model'!$J59*HelperFunctions!$R$14</f>
        <v>#VALUE!</v>
      </c>
      <c r="AC59" t="e">
        <f>AD58*'Hypothetical vaccine model'!$K59</f>
        <v>#VALUE!</v>
      </c>
      <c r="AD59" s="84" t="e">
        <f t="shared" si="8"/>
        <v>#VALUE!</v>
      </c>
      <c r="AE59" t="e">
        <f>AG58*'Hypothetical vaccine model'!$J59*HelperFunctions!$R$14</f>
        <v>#VALUE!</v>
      </c>
      <c r="AF59" t="e">
        <f>AG58*'Hypothetical vaccine model'!$K59</f>
        <v>#VALUE!</v>
      </c>
      <c r="AG59" s="84" t="e">
        <f t="shared" si="9"/>
        <v>#VALUE!</v>
      </c>
      <c r="AH59" t="e">
        <f>AJ58*'Hypothetical vaccine model'!$J59*HelperFunctions!$R$14</f>
        <v>#VALUE!</v>
      </c>
      <c r="AI59" t="e">
        <f>AJ58*'Hypothetical vaccine model'!$K59</f>
        <v>#VALUE!</v>
      </c>
      <c r="AJ59" s="84" t="e">
        <f t="shared" si="10"/>
        <v>#VALUE!</v>
      </c>
      <c r="AK59" t="e">
        <f>AM58*'Hypothetical vaccine model'!$J59*HelperFunctions!$R$14</f>
        <v>#VALUE!</v>
      </c>
      <c r="AL59" t="e">
        <f>AM58*'Hypothetical vaccine model'!$K59</f>
        <v>#VALUE!</v>
      </c>
      <c r="AM59" s="84" t="e">
        <f t="shared" si="11"/>
        <v>#VALUE!</v>
      </c>
      <c r="AN59" t="e">
        <f>AP58*'Hypothetical vaccine model'!$J59*HelperFunctions!$R$28</f>
        <v>#VALUE!</v>
      </c>
      <c r="AO59" t="e">
        <f>AP58*'Hypothetical vaccine model'!$K59</f>
        <v>#VALUE!</v>
      </c>
      <c r="AP59" s="84" t="e">
        <f t="shared" si="12"/>
        <v>#VALUE!</v>
      </c>
      <c r="AQ59" t="e">
        <f>AS58*'Hypothetical vaccine model'!$J59*HelperFunctions!$R$28</f>
        <v>#VALUE!</v>
      </c>
      <c r="AR59" t="e">
        <f>AS58*'Hypothetical vaccine model'!$K59</f>
        <v>#VALUE!</v>
      </c>
      <c r="AS59" s="84" t="e">
        <f t="shared" si="13"/>
        <v>#VALUE!</v>
      </c>
      <c r="AT59" t="e">
        <f>AV58*'Hypothetical vaccine model'!$J59*HelperFunctions!$R$28</f>
        <v>#VALUE!</v>
      </c>
      <c r="AU59" t="e">
        <f>AV58*'Hypothetical vaccine model'!$K59</f>
        <v>#VALUE!</v>
      </c>
      <c r="AV59" s="84" t="e">
        <f t="shared" si="14"/>
        <v>#VALUE!</v>
      </c>
      <c r="AW59" t="e">
        <f>AY58*'Hypothetical vaccine model'!$J59*HelperFunctions!$R$28</f>
        <v>#VALUE!</v>
      </c>
      <c r="AX59" t="e">
        <f>AY58*'Hypothetical vaccine model'!$K59</f>
        <v>#VALUE!</v>
      </c>
      <c r="AY59" s="84" t="e">
        <f t="shared" si="15"/>
        <v>#VALUE!</v>
      </c>
      <c r="AZ59" t="e">
        <f>BB58*'Hypothetical vaccine model'!$J59*HelperFunctions!$R$28</f>
        <v>#VALUE!</v>
      </c>
      <c r="BA59" t="e">
        <f>BB58*'Hypothetical vaccine model'!$K59</f>
        <v>#VALUE!</v>
      </c>
      <c r="BB59" s="84" t="e">
        <f t="shared" si="16"/>
        <v>#VALUE!</v>
      </c>
      <c r="BC59" t="e">
        <f>BE58*'Hypothetical vaccine model'!$J59*HelperFunctions!$R$28</f>
        <v>#VALUE!</v>
      </c>
      <c r="BD59" t="e">
        <f>BE58*'Hypothetical vaccine model'!$K59</f>
        <v>#VALUE!</v>
      </c>
      <c r="BE59" s="84" t="e">
        <f t="shared" si="17"/>
        <v>#VALUE!</v>
      </c>
      <c r="BF59" t="e">
        <f>BH58*'Hypothetical vaccine model'!$J59*HelperFunctions!$R$28</f>
        <v>#VALUE!</v>
      </c>
      <c r="BG59" t="e">
        <f>BH58*'Hypothetical vaccine model'!$K59</f>
        <v>#VALUE!</v>
      </c>
      <c r="BH59" s="84" t="e">
        <f t="shared" si="18"/>
        <v>#VALUE!</v>
      </c>
      <c r="BI59" t="e">
        <f>BK58*'Hypothetical vaccine model'!$J59*HelperFunctions!$R$28</f>
        <v>#VALUE!</v>
      </c>
      <c r="BJ59" t="e">
        <f>BK58*'Hypothetical vaccine model'!$K59</f>
        <v>#VALUE!</v>
      </c>
      <c r="BK59" s="84" t="e">
        <f t="shared" si="19"/>
        <v>#VALUE!</v>
      </c>
      <c r="BL59" t="e">
        <f>BN58*'Hypothetical vaccine model'!$J59*HelperFunctions!$R$28</f>
        <v>#VALUE!</v>
      </c>
      <c r="BM59" t="e">
        <f>BN58*'Hypothetical vaccine model'!$K59</f>
        <v>#VALUE!</v>
      </c>
      <c r="BN59" s="84" t="e">
        <f t="shared" si="20"/>
        <v>#VALUE!</v>
      </c>
      <c r="BO59" t="e">
        <f>BQ58*'Hypothetical vaccine model'!$J59*HelperFunctions!$R$28</f>
        <v>#VALUE!</v>
      </c>
      <c r="BP59" t="e">
        <f>BQ58*'Hypothetical vaccine model'!$K59</f>
        <v>#VALUE!</v>
      </c>
      <c r="BQ59" s="84" t="e">
        <f t="shared" si="21"/>
        <v>#VALUE!</v>
      </c>
      <c r="BR59" t="e">
        <f>BT58*'Hypothetical vaccine model'!$J59*HelperFunctions!$R$28</f>
        <v>#VALUE!</v>
      </c>
      <c r="BS59" t="e">
        <f>BT58*'Hypothetical vaccine model'!$K59</f>
        <v>#VALUE!</v>
      </c>
      <c r="BT59" s="84" t="e">
        <f t="shared" si="22"/>
        <v>#VALUE!</v>
      </c>
      <c r="BU59" t="e">
        <f>BW58*'Hypothetical vaccine model'!$J59*HelperFunctions!$R$28</f>
        <v>#VALUE!</v>
      </c>
      <c r="BV59" t="e">
        <f>BW58*'Hypothetical vaccine model'!$K59</f>
        <v>#VALUE!</v>
      </c>
      <c r="BW59" s="84" t="e">
        <f t="shared" si="23"/>
        <v>#VALUE!</v>
      </c>
      <c r="BX59" t="e">
        <f>BZ58*'Hypothetical vaccine model'!$J59*HelperFunctions!$R$42</f>
        <v>#VALUE!</v>
      </c>
      <c r="BY59" t="e">
        <f>BZ58*'Hypothetical vaccine model'!$K59</f>
        <v>#VALUE!</v>
      </c>
      <c r="BZ59" s="84" t="e">
        <f t="shared" si="24"/>
        <v>#VALUE!</v>
      </c>
      <c r="CA59" t="e">
        <f>CC58*'Hypothetical vaccine model'!$J59*HelperFunctions!$R$42</f>
        <v>#VALUE!</v>
      </c>
      <c r="CB59" t="e">
        <f>CC58*'Hypothetical vaccine model'!$K59</f>
        <v>#VALUE!</v>
      </c>
      <c r="CC59" s="84" t="e">
        <f t="shared" si="25"/>
        <v>#VALUE!</v>
      </c>
      <c r="CD59" t="e">
        <f>CF58*'Hypothetical vaccine model'!$J59*HelperFunctions!$R$42</f>
        <v>#VALUE!</v>
      </c>
      <c r="CE59" t="e">
        <f>CF58*'Hypothetical vaccine model'!$K59</f>
        <v>#VALUE!</v>
      </c>
      <c r="CF59" s="84" t="e">
        <f t="shared" si="26"/>
        <v>#VALUE!</v>
      </c>
      <c r="CG59" t="e">
        <f>CI58*'Hypothetical vaccine model'!$J59*HelperFunctions!$R$42</f>
        <v>#VALUE!</v>
      </c>
      <c r="CH59" t="e">
        <f>CI58*'Hypothetical vaccine model'!$K59</f>
        <v>#VALUE!</v>
      </c>
      <c r="CI59" s="84" t="e">
        <f t="shared" si="27"/>
        <v>#VALUE!</v>
      </c>
      <c r="CJ59" t="e">
        <f>CL58*'Hypothetical vaccine model'!$J59*HelperFunctions!$R$42</f>
        <v>#VALUE!</v>
      </c>
      <c r="CK59" t="e">
        <f>CL58*'Hypothetical vaccine model'!$K59</f>
        <v>#VALUE!</v>
      </c>
      <c r="CL59" s="84" t="e">
        <f t="shared" si="28"/>
        <v>#VALUE!</v>
      </c>
      <c r="CM59" t="e">
        <f>CO58*'Hypothetical vaccine model'!$J59*HelperFunctions!$R$42</f>
        <v>#VALUE!</v>
      </c>
      <c r="CN59" t="e">
        <f>CO58*'Hypothetical vaccine model'!$K59</f>
        <v>#VALUE!</v>
      </c>
      <c r="CO59" s="84" t="e">
        <f t="shared" si="29"/>
        <v>#VALUE!</v>
      </c>
      <c r="CP59" t="e">
        <f>CR58*'Hypothetical vaccine model'!$J59*HelperFunctions!$R$42</f>
        <v>#VALUE!</v>
      </c>
      <c r="CQ59" t="e">
        <f>CR58*'Hypothetical vaccine model'!$K59</f>
        <v>#VALUE!</v>
      </c>
      <c r="CR59" s="84" t="e">
        <f t="shared" si="30"/>
        <v>#VALUE!</v>
      </c>
      <c r="CS59" t="e">
        <f>CU58*'Hypothetical vaccine model'!$J59*HelperFunctions!$R$42</f>
        <v>#VALUE!</v>
      </c>
      <c r="CT59" t="e">
        <f>CU58*'Hypothetical vaccine model'!$K59</f>
        <v>#VALUE!</v>
      </c>
      <c r="CU59" s="84" t="e">
        <f t="shared" si="31"/>
        <v>#VALUE!</v>
      </c>
      <c r="CV59" t="e">
        <f>CX58*'Hypothetical vaccine model'!$J59*HelperFunctions!$R$42</f>
        <v>#VALUE!</v>
      </c>
      <c r="CW59" t="e">
        <f>CX58*'Hypothetical vaccine model'!$K59</f>
        <v>#VALUE!</v>
      </c>
      <c r="CX59" s="84" t="e">
        <f t="shared" si="32"/>
        <v>#VALUE!</v>
      </c>
      <c r="CY59" t="e">
        <f>DA58*'Hypothetical vaccine model'!$J59*HelperFunctions!$R$42</f>
        <v>#VALUE!</v>
      </c>
      <c r="CZ59" t="e">
        <f>DA58*'Hypothetical vaccine model'!$K59</f>
        <v>#VALUE!</v>
      </c>
      <c r="DA59" s="84" t="e">
        <f t="shared" si="33"/>
        <v>#VALUE!</v>
      </c>
      <c r="DB59" t="e">
        <f>DD58*'Hypothetical vaccine model'!$J59*HelperFunctions!$R$42</f>
        <v>#VALUE!</v>
      </c>
      <c r="DC59" t="e">
        <f>DD58*'Hypothetical vaccine model'!$K59</f>
        <v>#VALUE!</v>
      </c>
      <c r="DD59" s="84" t="e">
        <f t="shared" si="34"/>
        <v>#VALUE!</v>
      </c>
      <c r="DE59" t="e">
        <f>DG58*'Hypothetical vaccine model'!$J59*HelperFunctions!$R$42</f>
        <v>#VALUE!</v>
      </c>
      <c r="DF59" t="e">
        <f>DG58*'Hypothetical vaccine model'!$K59</f>
        <v>#VALUE!</v>
      </c>
      <c r="DG59" s="84" t="e">
        <f t="shared" si="35"/>
        <v>#VALUE!</v>
      </c>
      <c r="DH59" t="e">
        <f>DJ58*'Hypothetical vaccine model'!$J59*HelperFunctions!$R$56</f>
        <v>#VALUE!</v>
      </c>
      <c r="DI59" t="e">
        <f>DJ58*'Hypothetical vaccine model'!$K59</f>
        <v>#VALUE!</v>
      </c>
      <c r="DJ59" s="84" t="e">
        <f t="shared" si="36"/>
        <v>#VALUE!</v>
      </c>
      <c r="DK59" t="e">
        <f>DM58*'Hypothetical vaccine model'!$J59*HelperFunctions!$R$56</f>
        <v>#VALUE!</v>
      </c>
      <c r="DL59" t="e">
        <f>DM58*'Hypothetical vaccine model'!$K59</f>
        <v>#VALUE!</v>
      </c>
      <c r="DM59" s="84" t="e">
        <f t="shared" si="37"/>
        <v>#VALUE!</v>
      </c>
      <c r="DN59" t="e">
        <f>DP58*'Hypothetical vaccine model'!$J59*HelperFunctions!$R$56</f>
        <v>#VALUE!</v>
      </c>
      <c r="DO59" t="e">
        <f>DP58*'Hypothetical vaccine model'!$K59</f>
        <v>#VALUE!</v>
      </c>
      <c r="DP59" s="84" t="e">
        <f t="shared" si="38"/>
        <v>#VALUE!</v>
      </c>
      <c r="DQ59" t="e">
        <f>DS58*'Hypothetical vaccine model'!$J59*HelperFunctions!$R$56</f>
        <v>#VALUE!</v>
      </c>
      <c r="DR59" t="e">
        <f>DS58*'Hypothetical vaccine model'!$K59</f>
        <v>#VALUE!</v>
      </c>
      <c r="DS59" s="84" t="e">
        <f t="shared" si="39"/>
        <v>#VALUE!</v>
      </c>
      <c r="DT59" t="e">
        <f>DV58*'Hypothetical vaccine model'!$J59*HelperFunctions!$R$56</f>
        <v>#VALUE!</v>
      </c>
      <c r="DU59" t="e">
        <f>DV58*'Hypothetical vaccine model'!$K59</f>
        <v>#VALUE!</v>
      </c>
      <c r="DV59" s="84" t="e">
        <f t="shared" si="40"/>
        <v>#VALUE!</v>
      </c>
      <c r="DW59" t="e">
        <f>DY58*'Hypothetical vaccine model'!$J59*HelperFunctions!$R$56</f>
        <v>#VALUE!</v>
      </c>
      <c r="DX59" t="e">
        <f>DY58*'Hypothetical vaccine model'!$K59</f>
        <v>#VALUE!</v>
      </c>
      <c r="DY59" s="84" t="e">
        <f t="shared" si="41"/>
        <v>#VALUE!</v>
      </c>
      <c r="DZ59" t="e">
        <f>EB58*'Hypothetical vaccine model'!$J59*HelperFunctions!$R$56</f>
        <v>#VALUE!</v>
      </c>
      <c r="EA59" t="e">
        <f>EB58*'Hypothetical vaccine model'!$K59</f>
        <v>#VALUE!</v>
      </c>
      <c r="EB59" s="84" t="e">
        <f t="shared" si="42"/>
        <v>#VALUE!</v>
      </c>
      <c r="EC59" t="e">
        <f>EE58*'Hypothetical vaccine model'!$J59*HelperFunctions!$R$56</f>
        <v>#VALUE!</v>
      </c>
      <c r="ED59" t="e">
        <f>EE58*'Hypothetical vaccine model'!$K59</f>
        <v>#VALUE!</v>
      </c>
      <c r="EE59" s="84" t="e">
        <f t="shared" si="43"/>
        <v>#VALUE!</v>
      </c>
      <c r="EF59" t="e">
        <f>EH58*'Hypothetical vaccine model'!$J59*HelperFunctions!$R55</f>
        <v>#VALUE!</v>
      </c>
      <c r="EG59" t="e">
        <f>EH58*'Hypothetical vaccine model'!$K59</f>
        <v>#VALUE!</v>
      </c>
      <c r="EH59" s="84" t="e">
        <f t="shared" si="44"/>
        <v>#VALUE!</v>
      </c>
      <c r="EI59" t="e">
        <f>EK58*'Hypothetical vaccine model'!$J59*HelperFunctions!$R54</f>
        <v>#VALUE!</v>
      </c>
      <c r="EJ59" t="e">
        <f>EK58*'Hypothetical vaccine model'!$K59</f>
        <v>#VALUE!</v>
      </c>
      <c r="EK59" s="84" t="e">
        <f t="shared" si="45"/>
        <v>#VALUE!</v>
      </c>
      <c r="EL59" t="e">
        <f>EN58*'Hypothetical vaccine model'!$J59*HelperFunctions!$R53</f>
        <v>#VALUE!</v>
      </c>
      <c r="EM59" t="e">
        <f>EN58*'Hypothetical vaccine model'!$K59</f>
        <v>#VALUE!</v>
      </c>
      <c r="EN59" s="84" t="e">
        <f t="shared" si="46"/>
        <v>#VALUE!</v>
      </c>
      <c r="EO59" t="e">
        <f>EQ58*'Hypothetical vaccine model'!$J59*HelperFunctions!$R52</f>
        <v>#VALUE!</v>
      </c>
      <c r="EP59" t="e">
        <f>EQ58*'Hypothetical vaccine model'!$K59</f>
        <v>#VALUE!</v>
      </c>
      <c r="EQ59" s="84" t="e">
        <f t="shared" si="47"/>
        <v>#VALUE!</v>
      </c>
      <c r="ER59" t="e">
        <f>ET58*'Hypothetical vaccine model'!$J59*HelperFunctions!$R65</f>
        <v>#VALUE!</v>
      </c>
      <c r="ES59" t="e">
        <f>ET58*'Hypothetical vaccine model'!$K59</f>
        <v>#VALUE!</v>
      </c>
      <c r="ET59" s="84" t="e">
        <f t="shared" si="48"/>
        <v>#VALUE!</v>
      </c>
      <c r="EU59" t="e">
        <f>EW58*'Hypothetical vaccine model'!$J59*HelperFunctions!$R64</f>
        <v>#VALUE!</v>
      </c>
      <c r="EV59" t="e">
        <f>EW58*'Hypothetical vaccine model'!$K59</f>
        <v>#VALUE!</v>
      </c>
      <c r="EW59" s="84" t="e">
        <f t="shared" si="49"/>
        <v>#VALUE!</v>
      </c>
      <c r="EX59" t="e">
        <f>EZ58*'Hypothetical vaccine model'!$J59*HelperFunctions!$R63</f>
        <v>#VALUE!</v>
      </c>
      <c r="EY59" t="e">
        <f>EZ58*'Hypothetical vaccine model'!$K59</f>
        <v>#VALUE!</v>
      </c>
      <c r="EZ59" s="84" t="e">
        <f t="shared" si="50"/>
        <v>#VALUE!</v>
      </c>
      <c r="FA59" t="e">
        <f>FC58*'Hypothetical vaccine model'!$J59*HelperFunctions!$R62</f>
        <v>#VALUE!</v>
      </c>
      <c r="FB59" t="e">
        <f>FC58*'Hypothetical vaccine model'!$K59</f>
        <v>#VALUE!</v>
      </c>
      <c r="FC59" s="84" t="e">
        <f t="shared" si="51"/>
        <v>#VALUE!</v>
      </c>
      <c r="FD59" t="e">
        <f>FF58*'Hypothetical vaccine model'!$J59*HelperFunctions!$R61</f>
        <v>#VALUE!</v>
      </c>
      <c r="FE59" t="e">
        <f>FF58*'Hypothetical vaccine model'!$K59</f>
        <v>#VALUE!</v>
      </c>
      <c r="FF59" s="84" t="e">
        <f t="shared" si="52"/>
        <v>#VALUE!</v>
      </c>
      <c r="FG59" t="e">
        <f>FI58*'Hypothetical vaccine model'!$J59*HelperFunctions!$R60</f>
        <v>#VALUE!</v>
      </c>
      <c r="FH59" t="e">
        <f>FI58*'Hypothetical vaccine model'!$K59</f>
        <v>#VALUE!</v>
      </c>
      <c r="FI59" s="84" t="e">
        <f t="shared" ref="FI59:FI63" si="53">FI58-FG59-FH59</f>
        <v>#VALUE!</v>
      </c>
      <c r="FJ59" t="e">
        <f>FL58*'Hypothetical vaccine model'!$J59*HelperFunctions!$R59</f>
        <v>#VALUE!</v>
      </c>
      <c r="FK59" t="e">
        <f>FL58*'Hypothetical vaccine model'!$K59</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35">
      <c r="B60">
        <v>4</v>
      </c>
      <c r="C60" t="str">
        <f>Inputs!I80</f>
        <v/>
      </c>
      <c r="D60" t="e">
        <f>F59*'Hypothetical vaccine model'!J60*HelperFunctions!R$14</f>
        <v>#VALUE!</v>
      </c>
      <c r="E60" t="e">
        <f>F59*'Hypothetical vaccine model'!K60</f>
        <v>#VALUE!</v>
      </c>
      <c r="F60" s="84" t="e">
        <f t="shared" si="0"/>
        <v>#VALUE!</v>
      </c>
      <c r="G60" t="e">
        <f>I59*'Hypothetical vaccine model'!$J60*HelperFunctions!$R$14</f>
        <v>#VALUE!</v>
      </c>
      <c r="H60" t="e">
        <f>I59*'Hypothetical vaccine model'!$K60</f>
        <v>#VALUE!</v>
      </c>
      <c r="I60" s="84" t="e">
        <f t="shared" si="1"/>
        <v>#VALUE!</v>
      </c>
      <c r="J60" t="e">
        <f>L59*'Hypothetical vaccine model'!$J60*HelperFunctions!$R$14</f>
        <v>#VALUE!</v>
      </c>
      <c r="K60" t="e">
        <f>L59*'Hypothetical vaccine model'!$K60</f>
        <v>#VALUE!</v>
      </c>
      <c r="L60" s="84" t="e">
        <f t="shared" si="2"/>
        <v>#VALUE!</v>
      </c>
      <c r="M60" t="e">
        <f>O59*'Hypothetical vaccine model'!$J60*HelperFunctions!$R$14</f>
        <v>#VALUE!</v>
      </c>
      <c r="N60" t="e">
        <f>O59*'Hypothetical vaccine model'!$K60</f>
        <v>#VALUE!</v>
      </c>
      <c r="O60" s="84" t="e">
        <f t="shared" si="3"/>
        <v>#VALUE!</v>
      </c>
      <c r="P60" t="e">
        <f>R59*'Hypothetical vaccine model'!$J60*HelperFunctions!$R$14</f>
        <v>#VALUE!</v>
      </c>
      <c r="Q60" t="e">
        <f>R59*'Hypothetical vaccine model'!$K60</f>
        <v>#VALUE!</v>
      </c>
      <c r="R60" s="84" t="e">
        <f t="shared" si="4"/>
        <v>#VALUE!</v>
      </c>
      <c r="S60" t="e">
        <f>U59*'Hypothetical vaccine model'!$J60*HelperFunctions!$R$14</f>
        <v>#VALUE!</v>
      </c>
      <c r="T60" t="e">
        <f>U59*'Hypothetical vaccine model'!$K60</f>
        <v>#VALUE!</v>
      </c>
      <c r="U60" s="84" t="e">
        <f t="shared" si="5"/>
        <v>#VALUE!</v>
      </c>
      <c r="V60" t="e">
        <f>X59*'Hypothetical vaccine model'!$J60*HelperFunctions!$R$14</f>
        <v>#VALUE!</v>
      </c>
      <c r="W60" t="e">
        <f>X59*'Hypothetical vaccine model'!$K60</f>
        <v>#VALUE!</v>
      </c>
      <c r="X60" s="84" t="e">
        <f t="shared" si="6"/>
        <v>#VALUE!</v>
      </c>
      <c r="Y60" t="e">
        <f>AA59*'Hypothetical vaccine model'!$J60*HelperFunctions!$R$14</f>
        <v>#VALUE!</v>
      </c>
      <c r="Z60" t="e">
        <f>AA59*'Hypothetical vaccine model'!$K60</f>
        <v>#VALUE!</v>
      </c>
      <c r="AA60" s="84" t="e">
        <f t="shared" si="7"/>
        <v>#VALUE!</v>
      </c>
      <c r="AB60" t="e">
        <f>AD59*'Hypothetical vaccine model'!$J60*HelperFunctions!$R$14</f>
        <v>#VALUE!</v>
      </c>
      <c r="AC60" t="e">
        <f>AD59*'Hypothetical vaccine model'!$K60</f>
        <v>#VALUE!</v>
      </c>
      <c r="AD60" s="84" t="e">
        <f t="shared" si="8"/>
        <v>#VALUE!</v>
      </c>
      <c r="AE60" t="e">
        <f>AG59*'Hypothetical vaccine model'!$J60*HelperFunctions!$R$14</f>
        <v>#VALUE!</v>
      </c>
      <c r="AF60" t="e">
        <f>AG59*'Hypothetical vaccine model'!$K60</f>
        <v>#VALUE!</v>
      </c>
      <c r="AG60" s="84" t="e">
        <f t="shared" si="9"/>
        <v>#VALUE!</v>
      </c>
      <c r="AH60" t="e">
        <f>AJ59*'Hypothetical vaccine model'!$J60*HelperFunctions!$R$14</f>
        <v>#VALUE!</v>
      </c>
      <c r="AI60" t="e">
        <f>AJ59*'Hypothetical vaccine model'!$K60</f>
        <v>#VALUE!</v>
      </c>
      <c r="AJ60" s="84" t="e">
        <f t="shared" si="10"/>
        <v>#VALUE!</v>
      </c>
      <c r="AK60" t="e">
        <f>AM59*'Hypothetical vaccine model'!$J60*HelperFunctions!$R$14</f>
        <v>#VALUE!</v>
      </c>
      <c r="AL60" t="e">
        <f>AM59*'Hypothetical vaccine model'!$K60</f>
        <v>#VALUE!</v>
      </c>
      <c r="AM60" s="84" t="e">
        <f t="shared" si="11"/>
        <v>#VALUE!</v>
      </c>
      <c r="AN60" t="e">
        <f>AP59*'Hypothetical vaccine model'!$J60*HelperFunctions!$R$28</f>
        <v>#VALUE!</v>
      </c>
      <c r="AO60" t="e">
        <f>AP59*'Hypothetical vaccine model'!$K60</f>
        <v>#VALUE!</v>
      </c>
      <c r="AP60" s="84" t="e">
        <f t="shared" si="12"/>
        <v>#VALUE!</v>
      </c>
      <c r="AQ60" t="e">
        <f>AS59*'Hypothetical vaccine model'!$J60*HelperFunctions!$R$28</f>
        <v>#VALUE!</v>
      </c>
      <c r="AR60" t="e">
        <f>AS59*'Hypothetical vaccine model'!$K60</f>
        <v>#VALUE!</v>
      </c>
      <c r="AS60" s="84" t="e">
        <f t="shared" si="13"/>
        <v>#VALUE!</v>
      </c>
      <c r="AT60" t="e">
        <f>AV59*'Hypothetical vaccine model'!$J60*HelperFunctions!$R$28</f>
        <v>#VALUE!</v>
      </c>
      <c r="AU60" t="e">
        <f>AV59*'Hypothetical vaccine model'!$K60</f>
        <v>#VALUE!</v>
      </c>
      <c r="AV60" s="84" t="e">
        <f t="shared" si="14"/>
        <v>#VALUE!</v>
      </c>
      <c r="AW60" t="e">
        <f>AY59*'Hypothetical vaccine model'!$J60*HelperFunctions!$R$28</f>
        <v>#VALUE!</v>
      </c>
      <c r="AX60" t="e">
        <f>AY59*'Hypothetical vaccine model'!$K60</f>
        <v>#VALUE!</v>
      </c>
      <c r="AY60" s="84" t="e">
        <f t="shared" si="15"/>
        <v>#VALUE!</v>
      </c>
      <c r="AZ60" t="e">
        <f>BB59*'Hypothetical vaccine model'!$J60*HelperFunctions!$R$28</f>
        <v>#VALUE!</v>
      </c>
      <c r="BA60" t="e">
        <f>BB59*'Hypothetical vaccine model'!$K60</f>
        <v>#VALUE!</v>
      </c>
      <c r="BB60" s="84" t="e">
        <f t="shared" si="16"/>
        <v>#VALUE!</v>
      </c>
      <c r="BC60" t="e">
        <f>BE59*'Hypothetical vaccine model'!$J60*HelperFunctions!$R$28</f>
        <v>#VALUE!</v>
      </c>
      <c r="BD60" t="e">
        <f>BE59*'Hypothetical vaccine model'!$K60</f>
        <v>#VALUE!</v>
      </c>
      <c r="BE60" s="84" t="e">
        <f t="shared" si="17"/>
        <v>#VALUE!</v>
      </c>
      <c r="BF60" t="e">
        <f>BH59*'Hypothetical vaccine model'!$J60*HelperFunctions!$R$28</f>
        <v>#VALUE!</v>
      </c>
      <c r="BG60" t="e">
        <f>BH59*'Hypothetical vaccine model'!$K60</f>
        <v>#VALUE!</v>
      </c>
      <c r="BH60" s="84" t="e">
        <f t="shared" si="18"/>
        <v>#VALUE!</v>
      </c>
      <c r="BI60" t="e">
        <f>BK59*'Hypothetical vaccine model'!$J60*HelperFunctions!$R$28</f>
        <v>#VALUE!</v>
      </c>
      <c r="BJ60" t="e">
        <f>BK59*'Hypothetical vaccine model'!$K60</f>
        <v>#VALUE!</v>
      </c>
      <c r="BK60" s="84" t="e">
        <f t="shared" si="19"/>
        <v>#VALUE!</v>
      </c>
      <c r="BL60" t="e">
        <f>BN59*'Hypothetical vaccine model'!$J60*HelperFunctions!$R$28</f>
        <v>#VALUE!</v>
      </c>
      <c r="BM60" t="e">
        <f>BN59*'Hypothetical vaccine model'!$K60</f>
        <v>#VALUE!</v>
      </c>
      <c r="BN60" s="84" t="e">
        <f t="shared" si="20"/>
        <v>#VALUE!</v>
      </c>
      <c r="BO60" t="e">
        <f>BQ59*'Hypothetical vaccine model'!$J60*HelperFunctions!$R$28</f>
        <v>#VALUE!</v>
      </c>
      <c r="BP60" t="e">
        <f>BQ59*'Hypothetical vaccine model'!$K60</f>
        <v>#VALUE!</v>
      </c>
      <c r="BQ60" s="84" t="e">
        <f t="shared" si="21"/>
        <v>#VALUE!</v>
      </c>
      <c r="BR60" t="e">
        <f>BT59*'Hypothetical vaccine model'!$J60*HelperFunctions!$R$28</f>
        <v>#VALUE!</v>
      </c>
      <c r="BS60" t="e">
        <f>BT59*'Hypothetical vaccine model'!$K60</f>
        <v>#VALUE!</v>
      </c>
      <c r="BT60" s="84" t="e">
        <f t="shared" si="22"/>
        <v>#VALUE!</v>
      </c>
      <c r="BU60" t="e">
        <f>BW59*'Hypothetical vaccine model'!$J60*HelperFunctions!$R$28</f>
        <v>#VALUE!</v>
      </c>
      <c r="BV60" t="e">
        <f>BW59*'Hypothetical vaccine model'!$K60</f>
        <v>#VALUE!</v>
      </c>
      <c r="BW60" s="84" t="e">
        <f t="shared" si="23"/>
        <v>#VALUE!</v>
      </c>
      <c r="BX60" t="e">
        <f>BZ59*'Hypothetical vaccine model'!$J60*HelperFunctions!$R$42</f>
        <v>#VALUE!</v>
      </c>
      <c r="BY60" t="e">
        <f>BZ59*'Hypothetical vaccine model'!$K60</f>
        <v>#VALUE!</v>
      </c>
      <c r="BZ60" s="84" t="e">
        <f t="shared" si="24"/>
        <v>#VALUE!</v>
      </c>
      <c r="CA60" t="e">
        <f>CC59*'Hypothetical vaccine model'!$J60*HelperFunctions!$R$42</f>
        <v>#VALUE!</v>
      </c>
      <c r="CB60" t="e">
        <f>CC59*'Hypothetical vaccine model'!$K60</f>
        <v>#VALUE!</v>
      </c>
      <c r="CC60" s="84" t="e">
        <f t="shared" si="25"/>
        <v>#VALUE!</v>
      </c>
      <c r="CD60" t="e">
        <f>CF59*'Hypothetical vaccine model'!$J60*HelperFunctions!$R$42</f>
        <v>#VALUE!</v>
      </c>
      <c r="CE60" t="e">
        <f>CF59*'Hypothetical vaccine model'!$K60</f>
        <v>#VALUE!</v>
      </c>
      <c r="CF60" s="84" t="e">
        <f t="shared" si="26"/>
        <v>#VALUE!</v>
      </c>
      <c r="CG60" t="e">
        <f>CI59*'Hypothetical vaccine model'!$J60*HelperFunctions!$R$42</f>
        <v>#VALUE!</v>
      </c>
      <c r="CH60" t="e">
        <f>CI59*'Hypothetical vaccine model'!$K60</f>
        <v>#VALUE!</v>
      </c>
      <c r="CI60" s="84" t="e">
        <f t="shared" si="27"/>
        <v>#VALUE!</v>
      </c>
      <c r="CJ60" t="e">
        <f>CL59*'Hypothetical vaccine model'!$J60*HelperFunctions!$R$42</f>
        <v>#VALUE!</v>
      </c>
      <c r="CK60" t="e">
        <f>CL59*'Hypothetical vaccine model'!$K60</f>
        <v>#VALUE!</v>
      </c>
      <c r="CL60" s="84" t="e">
        <f t="shared" si="28"/>
        <v>#VALUE!</v>
      </c>
      <c r="CM60" t="e">
        <f>CO59*'Hypothetical vaccine model'!$J60*HelperFunctions!$R$42</f>
        <v>#VALUE!</v>
      </c>
      <c r="CN60" t="e">
        <f>CO59*'Hypothetical vaccine model'!$K60</f>
        <v>#VALUE!</v>
      </c>
      <c r="CO60" s="84" t="e">
        <f t="shared" si="29"/>
        <v>#VALUE!</v>
      </c>
      <c r="CP60" t="e">
        <f>CR59*'Hypothetical vaccine model'!$J60*HelperFunctions!$R$42</f>
        <v>#VALUE!</v>
      </c>
      <c r="CQ60" t="e">
        <f>CR59*'Hypothetical vaccine model'!$K60</f>
        <v>#VALUE!</v>
      </c>
      <c r="CR60" s="84" t="e">
        <f t="shared" si="30"/>
        <v>#VALUE!</v>
      </c>
      <c r="CS60" t="e">
        <f>CU59*'Hypothetical vaccine model'!$J60*HelperFunctions!$R$42</f>
        <v>#VALUE!</v>
      </c>
      <c r="CT60" t="e">
        <f>CU59*'Hypothetical vaccine model'!$K60</f>
        <v>#VALUE!</v>
      </c>
      <c r="CU60" s="84" t="e">
        <f t="shared" si="31"/>
        <v>#VALUE!</v>
      </c>
      <c r="CV60" t="e">
        <f>CX59*'Hypothetical vaccine model'!$J60*HelperFunctions!$R$42</f>
        <v>#VALUE!</v>
      </c>
      <c r="CW60" t="e">
        <f>CX59*'Hypothetical vaccine model'!$K60</f>
        <v>#VALUE!</v>
      </c>
      <c r="CX60" s="84" t="e">
        <f t="shared" si="32"/>
        <v>#VALUE!</v>
      </c>
      <c r="CY60" t="e">
        <f>DA59*'Hypothetical vaccine model'!$J60*HelperFunctions!$R$42</f>
        <v>#VALUE!</v>
      </c>
      <c r="CZ60" t="e">
        <f>DA59*'Hypothetical vaccine model'!$K60</f>
        <v>#VALUE!</v>
      </c>
      <c r="DA60" s="84" t="e">
        <f t="shared" si="33"/>
        <v>#VALUE!</v>
      </c>
      <c r="DB60" t="e">
        <f>DD59*'Hypothetical vaccine model'!$J60*HelperFunctions!$R$42</f>
        <v>#VALUE!</v>
      </c>
      <c r="DC60" t="e">
        <f>DD59*'Hypothetical vaccine model'!$K60</f>
        <v>#VALUE!</v>
      </c>
      <c r="DD60" s="84" t="e">
        <f t="shared" si="34"/>
        <v>#VALUE!</v>
      </c>
      <c r="DE60" t="e">
        <f>DG59*'Hypothetical vaccine model'!$J60*HelperFunctions!$R$42</f>
        <v>#VALUE!</v>
      </c>
      <c r="DF60" t="e">
        <f>DG59*'Hypothetical vaccine model'!$K60</f>
        <v>#VALUE!</v>
      </c>
      <c r="DG60" s="84" t="e">
        <f t="shared" si="35"/>
        <v>#VALUE!</v>
      </c>
      <c r="DH60" t="e">
        <f>DJ59*'Hypothetical vaccine model'!$J60*HelperFunctions!$R$56</f>
        <v>#VALUE!</v>
      </c>
      <c r="DI60" t="e">
        <f>DJ59*'Hypothetical vaccine model'!$K60</f>
        <v>#VALUE!</v>
      </c>
      <c r="DJ60" s="84" t="e">
        <f t="shared" si="36"/>
        <v>#VALUE!</v>
      </c>
      <c r="DK60" t="e">
        <f>DM59*'Hypothetical vaccine model'!$J60*HelperFunctions!$R$56</f>
        <v>#VALUE!</v>
      </c>
      <c r="DL60" t="e">
        <f>DM59*'Hypothetical vaccine model'!$K60</f>
        <v>#VALUE!</v>
      </c>
      <c r="DM60" s="84" t="e">
        <f t="shared" si="37"/>
        <v>#VALUE!</v>
      </c>
      <c r="DN60" t="e">
        <f>DP59*'Hypothetical vaccine model'!$J60*HelperFunctions!$R$56</f>
        <v>#VALUE!</v>
      </c>
      <c r="DO60" t="e">
        <f>DP59*'Hypothetical vaccine model'!$K60</f>
        <v>#VALUE!</v>
      </c>
      <c r="DP60" s="84" t="e">
        <f t="shared" si="38"/>
        <v>#VALUE!</v>
      </c>
      <c r="DQ60" t="e">
        <f>DS59*'Hypothetical vaccine model'!$J60*HelperFunctions!$R$56</f>
        <v>#VALUE!</v>
      </c>
      <c r="DR60" t="e">
        <f>DS59*'Hypothetical vaccine model'!$K60</f>
        <v>#VALUE!</v>
      </c>
      <c r="DS60" s="84" t="e">
        <f t="shared" si="39"/>
        <v>#VALUE!</v>
      </c>
      <c r="DT60" t="e">
        <f>DV59*'Hypothetical vaccine model'!$J60*HelperFunctions!$R$56</f>
        <v>#VALUE!</v>
      </c>
      <c r="DU60" t="e">
        <f>DV59*'Hypothetical vaccine model'!$K60</f>
        <v>#VALUE!</v>
      </c>
      <c r="DV60" s="84" t="e">
        <f t="shared" si="40"/>
        <v>#VALUE!</v>
      </c>
      <c r="DW60" t="e">
        <f>DY59*'Hypothetical vaccine model'!$J60*HelperFunctions!$R$56</f>
        <v>#VALUE!</v>
      </c>
      <c r="DX60" t="e">
        <f>DY59*'Hypothetical vaccine model'!$K60</f>
        <v>#VALUE!</v>
      </c>
      <c r="DY60" s="84" t="e">
        <f t="shared" si="41"/>
        <v>#VALUE!</v>
      </c>
      <c r="DZ60" t="e">
        <f>EB59*'Hypothetical vaccine model'!$J60*HelperFunctions!$R$56</f>
        <v>#VALUE!</v>
      </c>
      <c r="EA60" t="e">
        <f>EB59*'Hypothetical vaccine model'!$K60</f>
        <v>#VALUE!</v>
      </c>
      <c r="EB60" s="84" t="e">
        <f t="shared" si="42"/>
        <v>#VALUE!</v>
      </c>
      <c r="EC60" t="e">
        <f>EE59*'Hypothetical vaccine model'!$J60*HelperFunctions!$R$56</f>
        <v>#VALUE!</v>
      </c>
      <c r="ED60" t="e">
        <f>EE59*'Hypothetical vaccine model'!$K60</f>
        <v>#VALUE!</v>
      </c>
      <c r="EE60" s="84" t="e">
        <f t="shared" si="43"/>
        <v>#VALUE!</v>
      </c>
      <c r="EF60" t="e">
        <f>EH59*'Hypothetical vaccine model'!$J60*HelperFunctions!$R$56</f>
        <v>#VALUE!</v>
      </c>
      <c r="EG60" t="e">
        <f>EH59*'Hypothetical vaccine model'!$K60</f>
        <v>#VALUE!</v>
      </c>
      <c r="EH60" s="84" t="e">
        <f t="shared" si="44"/>
        <v>#VALUE!</v>
      </c>
      <c r="EI60" t="e">
        <f>EK59*'Hypothetical vaccine model'!$J60*HelperFunctions!$R55</f>
        <v>#VALUE!</v>
      </c>
      <c r="EJ60" t="e">
        <f>EK59*'Hypothetical vaccine model'!$K60</f>
        <v>#VALUE!</v>
      </c>
      <c r="EK60" s="84" t="e">
        <f t="shared" si="45"/>
        <v>#VALUE!</v>
      </c>
      <c r="EL60" t="e">
        <f>EN59*'Hypothetical vaccine model'!$J60*HelperFunctions!$R54</f>
        <v>#VALUE!</v>
      </c>
      <c r="EM60" t="e">
        <f>EN59*'Hypothetical vaccine model'!$K60</f>
        <v>#VALUE!</v>
      </c>
      <c r="EN60" s="84" t="e">
        <f t="shared" si="46"/>
        <v>#VALUE!</v>
      </c>
      <c r="EO60" t="e">
        <f>EQ59*'Hypothetical vaccine model'!$J60*HelperFunctions!$R53</f>
        <v>#VALUE!</v>
      </c>
      <c r="EP60" t="e">
        <f>EQ59*'Hypothetical vaccine model'!$K60</f>
        <v>#VALUE!</v>
      </c>
      <c r="EQ60" s="84" t="e">
        <f t="shared" si="47"/>
        <v>#VALUE!</v>
      </c>
      <c r="ER60" t="e">
        <f>ET59*'Hypothetical vaccine model'!$J60*HelperFunctions!$R66</f>
        <v>#VALUE!</v>
      </c>
      <c r="ES60" t="e">
        <f>ET59*'Hypothetical vaccine model'!$K60</f>
        <v>#VALUE!</v>
      </c>
      <c r="ET60" s="84" t="e">
        <f t="shared" si="48"/>
        <v>#VALUE!</v>
      </c>
      <c r="EU60" t="e">
        <f>EW59*'Hypothetical vaccine model'!$J60*HelperFunctions!$R65</f>
        <v>#VALUE!</v>
      </c>
      <c r="EV60" t="e">
        <f>EW59*'Hypothetical vaccine model'!$K60</f>
        <v>#VALUE!</v>
      </c>
      <c r="EW60" s="84" t="e">
        <f t="shared" si="49"/>
        <v>#VALUE!</v>
      </c>
      <c r="EX60" t="e">
        <f>EZ59*'Hypothetical vaccine model'!$J60*HelperFunctions!$R64</f>
        <v>#VALUE!</v>
      </c>
      <c r="EY60" t="e">
        <f>EZ59*'Hypothetical vaccine model'!$K60</f>
        <v>#VALUE!</v>
      </c>
      <c r="EZ60" s="84" t="e">
        <f t="shared" si="50"/>
        <v>#VALUE!</v>
      </c>
      <c r="FA60" t="e">
        <f>FC59*'Hypothetical vaccine model'!$J60*HelperFunctions!$R63</f>
        <v>#VALUE!</v>
      </c>
      <c r="FB60" t="e">
        <f>FC59*'Hypothetical vaccine model'!$K60</f>
        <v>#VALUE!</v>
      </c>
      <c r="FC60" s="84" t="e">
        <f t="shared" si="51"/>
        <v>#VALUE!</v>
      </c>
      <c r="FD60" t="e">
        <f>FF59*'Hypothetical vaccine model'!$J60*HelperFunctions!$R62</f>
        <v>#VALUE!</v>
      </c>
      <c r="FE60" t="e">
        <f>FF59*'Hypothetical vaccine model'!$K60</f>
        <v>#VALUE!</v>
      </c>
      <c r="FF60" s="84" t="e">
        <f t="shared" si="52"/>
        <v>#VALUE!</v>
      </c>
      <c r="FG60" t="e">
        <f>FI59*'Hypothetical vaccine model'!$J60*HelperFunctions!$R61</f>
        <v>#VALUE!</v>
      </c>
      <c r="FH60" t="e">
        <f>FI59*'Hypothetical vaccine model'!$K60</f>
        <v>#VALUE!</v>
      </c>
      <c r="FI60" s="84" t="e">
        <f t="shared" si="53"/>
        <v>#VALUE!</v>
      </c>
      <c r="FJ60" t="e">
        <f>FL59*'Hypothetical vaccine model'!$J60*HelperFunctions!$R60</f>
        <v>#VALUE!</v>
      </c>
      <c r="FK60" t="e">
        <f>FL59*'Hypothetical vaccine model'!$K60</f>
        <v>#VALUE!</v>
      </c>
      <c r="FL60" s="84" t="e">
        <f t="shared" ref="FL60:FL63" si="54">FL59-FJ60-FK60</f>
        <v>#VALUE!</v>
      </c>
      <c r="FM60" t="e">
        <f>FO59*'Hypothetical vaccine model'!$J60*HelperFunctions!$R59</f>
        <v>#VALUE!</v>
      </c>
      <c r="FN60" t="e">
        <f>FO59*'Hypothetical vaccine model'!$K60</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35">
      <c r="B61">
        <v>4</v>
      </c>
      <c r="C61" t="str">
        <f>Inputs!I81</f>
        <v/>
      </c>
      <c r="D61" t="e">
        <f>F60*'Hypothetical vaccine model'!J61*HelperFunctions!R$14</f>
        <v>#VALUE!</v>
      </c>
      <c r="E61" t="e">
        <f>F60*'Hypothetical vaccine model'!K61</f>
        <v>#VALUE!</v>
      </c>
      <c r="F61" s="84" t="e">
        <f t="shared" si="0"/>
        <v>#VALUE!</v>
      </c>
      <c r="G61" t="e">
        <f>I60*'Hypothetical vaccine model'!$J61*HelperFunctions!$R$14</f>
        <v>#VALUE!</v>
      </c>
      <c r="H61" t="e">
        <f>I60*'Hypothetical vaccine model'!$K61</f>
        <v>#VALUE!</v>
      </c>
      <c r="I61" s="84" t="e">
        <f t="shared" si="1"/>
        <v>#VALUE!</v>
      </c>
      <c r="J61" t="e">
        <f>L60*'Hypothetical vaccine model'!$J61*HelperFunctions!$R$14</f>
        <v>#VALUE!</v>
      </c>
      <c r="K61" t="e">
        <f>L60*'Hypothetical vaccine model'!$K61</f>
        <v>#VALUE!</v>
      </c>
      <c r="L61" s="84" t="e">
        <f t="shared" si="2"/>
        <v>#VALUE!</v>
      </c>
      <c r="M61" t="e">
        <f>O60*'Hypothetical vaccine model'!$J61*HelperFunctions!$R$14</f>
        <v>#VALUE!</v>
      </c>
      <c r="N61" t="e">
        <f>O60*'Hypothetical vaccine model'!$K61</f>
        <v>#VALUE!</v>
      </c>
      <c r="O61" s="84" t="e">
        <f t="shared" si="3"/>
        <v>#VALUE!</v>
      </c>
      <c r="P61" t="e">
        <f>R60*'Hypothetical vaccine model'!$J61*HelperFunctions!$R$14</f>
        <v>#VALUE!</v>
      </c>
      <c r="Q61" t="e">
        <f>R60*'Hypothetical vaccine model'!$K61</f>
        <v>#VALUE!</v>
      </c>
      <c r="R61" s="84" t="e">
        <f t="shared" si="4"/>
        <v>#VALUE!</v>
      </c>
      <c r="S61" t="e">
        <f>U60*'Hypothetical vaccine model'!$J61*HelperFunctions!$R$14</f>
        <v>#VALUE!</v>
      </c>
      <c r="T61" t="e">
        <f>U60*'Hypothetical vaccine model'!$K61</f>
        <v>#VALUE!</v>
      </c>
      <c r="U61" s="84" t="e">
        <f t="shared" si="5"/>
        <v>#VALUE!</v>
      </c>
      <c r="V61" t="e">
        <f>X60*'Hypothetical vaccine model'!$J61*HelperFunctions!$R$14</f>
        <v>#VALUE!</v>
      </c>
      <c r="W61" t="e">
        <f>X60*'Hypothetical vaccine model'!$K61</f>
        <v>#VALUE!</v>
      </c>
      <c r="X61" s="84" t="e">
        <f t="shared" si="6"/>
        <v>#VALUE!</v>
      </c>
      <c r="Y61" t="e">
        <f>AA60*'Hypothetical vaccine model'!$J61*HelperFunctions!$R$14</f>
        <v>#VALUE!</v>
      </c>
      <c r="Z61" t="e">
        <f>AA60*'Hypothetical vaccine model'!$K61</f>
        <v>#VALUE!</v>
      </c>
      <c r="AA61" s="84" t="e">
        <f t="shared" si="7"/>
        <v>#VALUE!</v>
      </c>
      <c r="AB61" t="e">
        <f>AD60*'Hypothetical vaccine model'!$J61*HelperFunctions!$R$14</f>
        <v>#VALUE!</v>
      </c>
      <c r="AC61" t="e">
        <f>AD60*'Hypothetical vaccine model'!$K61</f>
        <v>#VALUE!</v>
      </c>
      <c r="AD61" s="84" t="e">
        <f t="shared" si="8"/>
        <v>#VALUE!</v>
      </c>
      <c r="AE61" t="e">
        <f>AG60*'Hypothetical vaccine model'!$J61*HelperFunctions!$R$14</f>
        <v>#VALUE!</v>
      </c>
      <c r="AF61" t="e">
        <f>AG60*'Hypothetical vaccine model'!$K61</f>
        <v>#VALUE!</v>
      </c>
      <c r="AG61" s="84" t="e">
        <f t="shared" si="9"/>
        <v>#VALUE!</v>
      </c>
      <c r="AH61" t="e">
        <f>AJ60*'Hypothetical vaccine model'!$J61*HelperFunctions!$R$14</f>
        <v>#VALUE!</v>
      </c>
      <c r="AI61" t="e">
        <f>AJ60*'Hypothetical vaccine model'!$K61</f>
        <v>#VALUE!</v>
      </c>
      <c r="AJ61" s="84" t="e">
        <f t="shared" si="10"/>
        <v>#VALUE!</v>
      </c>
      <c r="AK61" t="e">
        <f>AM60*'Hypothetical vaccine model'!$J61*HelperFunctions!$R$14</f>
        <v>#VALUE!</v>
      </c>
      <c r="AL61" t="e">
        <f>AM60*'Hypothetical vaccine model'!$K61</f>
        <v>#VALUE!</v>
      </c>
      <c r="AM61" s="84" t="e">
        <f t="shared" si="11"/>
        <v>#VALUE!</v>
      </c>
      <c r="AN61" t="e">
        <f>AP60*'Hypothetical vaccine model'!$J61*HelperFunctions!$R$28</f>
        <v>#VALUE!</v>
      </c>
      <c r="AO61" t="e">
        <f>AP60*'Hypothetical vaccine model'!$K61</f>
        <v>#VALUE!</v>
      </c>
      <c r="AP61" s="84" t="e">
        <f t="shared" si="12"/>
        <v>#VALUE!</v>
      </c>
      <c r="AQ61" t="e">
        <f>AS60*'Hypothetical vaccine model'!$J61*HelperFunctions!$R$28</f>
        <v>#VALUE!</v>
      </c>
      <c r="AR61" t="e">
        <f>AS60*'Hypothetical vaccine model'!$K61</f>
        <v>#VALUE!</v>
      </c>
      <c r="AS61" s="84" t="e">
        <f t="shared" si="13"/>
        <v>#VALUE!</v>
      </c>
      <c r="AT61" t="e">
        <f>AV60*'Hypothetical vaccine model'!$J61*HelperFunctions!$R$28</f>
        <v>#VALUE!</v>
      </c>
      <c r="AU61" t="e">
        <f>AV60*'Hypothetical vaccine model'!$K61</f>
        <v>#VALUE!</v>
      </c>
      <c r="AV61" s="84" t="e">
        <f t="shared" si="14"/>
        <v>#VALUE!</v>
      </c>
      <c r="AW61" t="e">
        <f>AY60*'Hypothetical vaccine model'!$J61*HelperFunctions!$R$28</f>
        <v>#VALUE!</v>
      </c>
      <c r="AX61" t="e">
        <f>AY60*'Hypothetical vaccine model'!$K61</f>
        <v>#VALUE!</v>
      </c>
      <c r="AY61" s="84" t="e">
        <f t="shared" si="15"/>
        <v>#VALUE!</v>
      </c>
      <c r="AZ61" t="e">
        <f>BB60*'Hypothetical vaccine model'!$J61*HelperFunctions!$R$28</f>
        <v>#VALUE!</v>
      </c>
      <c r="BA61" t="e">
        <f>BB60*'Hypothetical vaccine model'!$K61</f>
        <v>#VALUE!</v>
      </c>
      <c r="BB61" s="84" t="e">
        <f t="shared" si="16"/>
        <v>#VALUE!</v>
      </c>
      <c r="BC61" t="e">
        <f>BE60*'Hypothetical vaccine model'!$J61*HelperFunctions!$R$28</f>
        <v>#VALUE!</v>
      </c>
      <c r="BD61" t="e">
        <f>BE60*'Hypothetical vaccine model'!$K61</f>
        <v>#VALUE!</v>
      </c>
      <c r="BE61" s="84" t="e">
        <f t="shared" si="17"/>
        <v>#VALUE!</v>
      </c>
      <c r="BF61" t="e">
        <f>BH60*'Hypothetical vaccine model'!$J61*HelperFunctions!$R$28</f>
        <v>#VALUE!</v>
      </c>
      <c r="BG61" t="e">
        <f>BH60*'Hypothetical vaccine model'!$K61</f>
        <v>#VALUE!</v>
      </c>
      <c r="BH61" s="84" t="e">
        <f t="shared" si="18"/>
        <v>#VALUE!</v>
      </c>
      <c r="BI61" t="e">
        <f>BK60*'Hypothetical vaccine model'!$J61*HelperFunctions!$R$28</f>
        <v>#VALUE!</v>
      </c>
      <c r="BJ61" t="e">
        <f>BK60*'Hypothetical vaccine model'!$K61</f>
        <v>#VALUE!</v>
      </c>
      <c r="BK61" s="84" t="e">
        <f t="shared" si="19"/>
        <v>#VALUE!</v>
      </c>
      <c r="BL61" t="e">
        <f>BN60*'Hypothetical vaccine model'!$J61*HelperFunctions!$R$28</f>
        <v>#VALUE!</v>
      </c>
      <c r="BM61" t="e">
        <f>BN60*'Hypothetical vaccine model'!$K61</f>
        <v>#VALUE!</v>
      </c>
      <c r="BN61" s="84" t="e">
        <f t="shared" si="20"/>
        <v>#VALUE!</v>
      </c>
      <c r="BO61" t="e">
        <f>BQ60*'Hypothetical vaccine model'!$J61*HelperFunctions!$R$28</f>
        <v>#VALUE!</v>
      </c>
      <c r="BP61" t="e">
        <f>BQ60*'Hypothetical vaccine model'!$K61</f>
        <v>#VALUE!</v>
      </c>
      <c r="BQ61" s="84" t="e">
        <f t="shared" si="21"/>
        <v>#VALUE!</v>
      </c>
      <c r="BR61" t="e">
        <f>BT60*'Hypothetical vaccine model'!$J61*HelperFunctions!$R$28</f>
        <v>#VALUE!</v>
      </c>
      <c r="BS61" t="e">
        <f>BT60*'Hypothetical vaccine model'!$K61</f>
        <v>#VALUE!</v>
      </c>
      <c r="BT61" s="84" t="e">
        <f t="shared" si="22"/>
        <v>#VALUE!</v>
      </c>
      <c r="BU61" t="e">
        <f>BW60*'Hypothetical vaccine model'!$J61*HelperFunctions!$R$28</f>
        <v>#VALUE!</v>
      </c>
      <c r="BV61" t="e">
        <f>BW60*'Hypothetical vaccine model'!$K61</f>
        <v>#VALUE!</v>
      </c>
      <c r="BW61" s="84" t="e">
        <f t="shared" si="23"/>
        <v>#VALUE!</v>
      </c>
      <c r="BX61" t="e">
        <f>BZ60*'Hypothetical vaccine model'!$J61*HelperFunctions!$R$42</f>
        <v>#VALUE!</v>
      </c>
      <c r="BY61" t="e">
        <f>BZ60*'Hypothetical vaccine model'!$K61</f>
        <v>#VALUE!</v>
      </c>
      <c r="BZ61" s="84" t="e">
        <f t="shared" si="24"/>
        <v>#VALUE!</v>
      </c>
      <c r="CA61" t="e">
        <f>CC60*'Hypothetical vaccine model'!$J61*HelperFunctions!$R$42</f>
        <v>#VALUE!</v>
      </c>
      <c r="CB61" t="e">
        <f>CC60*'Hypothetical vaccine model'!$K61</f>
        <v>#VALUE!</v>
      </c>
      <c r="CC61" s="84" t="e">
        <f t="shared" si="25"/>
        <v>#VALUE!</v>
      </c>
      <c r="CD61" t="e">
        <f>CF60*'Hypothetical vaccine model'!$J61*HelperFunctions!$R$42</f>
        <v>#VALUE!</v>
      </c>
      <c r="CE61" t="e">
        <f>CF60*'Hypothetical vaccine model'!$K61</f>
        <v>#VALUE!</v>
      </c>
      <c r="CF61" s="84" t="e">
        <f t="shared" si="26"/>
        <v>#VALUE!</v>
      </c>
      <c r="CG61" t="e">
        <f>CI60*'Hypothetical vaccine model'!$J61*HelperFunctions!$R$42</f>
        <v>#VALUE!</v>
      </c>
      <c r="CH61" t="e">
        <f>CI60*'Hypothetical vaccine model'!$K61</f>
        <v>#VALUE!</v>
      </c>
      <c r="CI61" s="84" t="e">
        <f t="shared" si="27"/>
        <v>#VALUE!</v>
      </c>
      <c r="CJ61" t="e">
        <f>CL60*'Hypothetical vaccine model'!$J61*HelperFunctions!$R$42</f>
        <v>#VALUE!</v>
      </c>
      <c r="CK61" t="e">
        <f>CL60*'Hypothetical vaccine model'!$K61</f>
        <v>#VALUE!</v>
      </c>
      <c r="CL61" s="84" t="e">
        <f t="shared" si="28"/>
        <v>#VALUE!</v>
      </c>
      <c r="CM61" t="e">
        <f>CO60*'Hypothetical vaccine model'!$J61*HelperFunctions!$R$42</f>
        <v>#VALUE!</v>
      </c>
      <c r="CN61" t="e">
        <f>CO60*'Hypothetical vaccine model'!$K61</f>
        <v>#VALUE!</v>
      </c>
      <c r="CO61" s="84" t="e">
        <f t="shared" si="29"/>
        <v>#VALUE!</v>
      </c>
      <c r="CP61" t="e">
        <f>CR60*'Hypothetical vaccine model'!$J61*HelperFunctions!$R$42</f>
        <v>#VALUE!</v>
      </c>
      <c r="CQ61" t="e">
        <f>CR60*'Hypothetical vaccine model'!$K61</f>
        <v>#VALUE!</v>
      </c>
      <c r="CR61" s="84" t="e">
        <f t="shared" si="30"/>
        <v>#VALUE!</v>
      </c>
      <c r="CS61" t="e">
        <f>CU60*'Hypothetical vaccine model'!$J61*HelperFunctions!$R$42</f>
        <v>#VALUE!</v>
      </c>
      <c r="CT61" t="e">
        <f>CU60*'Hypothetical vaccine model'!$K61</f>
        <v>#VALUE!</v>
      </c>
      <c r="CU61" s="84" t="e">
        <f t="shared" si="31"/>
        <v>#VALUE!</v>
      </c>
      <c r="CV61" t="e">
        <f>CX60*'Hypothetical vaccine model'!$J61*HelperFunctions!$R$42</f>
        <v>#VALUE!</v>
      </c>
      <c r="CW61" t="e">
        <f>CX60*'Hypothetical vaccine model'!$K61</f>
        <v>#VALUE!</v>
      </c>
      <c r="CX61" s="84" t="e">
        <f t="shared" si="32"/>
        <v>#VALUE!</v>
      </c>
      <c r="CY61" t="e">
        <f>DA60*'Hypothetical vaccine model'!$J61*HelperFunctions!$R$42</f>
        <v>#VALUE!</v>
      </c>
      <c r="CZ61" t="e">
        <f>DA60*'Hypothetical vaccine model'!$K61</f>
        <v>#VALUE!</v>
      </c>
      <c r="DA61" s="84" t="e">
        <f t="shared" si="33"/>
        <v>#VALUE!</v>
      </c>
      <c r="DB61" t="e">
        <f>DD60*'Hypothetical vaccine model'!$J61*HelperFunctions!$R$42</f>
        <v>#VALUE!</v>
      </c>
      <c r="DC61" t="e">
        <f>DD60*'Hypothetical vaccine model'!$K61</f>
        <v>#VALUE!</v>
      </c>
      <c r="DD61" s="84" t="e">
        <f t="shared" si="34"/>
        <v>#VALUE!</v>
      </c>
      <c r="DE61" t="e">
        <f>DG60*'Hypothetical vaccine model'!$J61*HelperFunctions!$R$42</f>
        <v>#VALUE!</v>
      </c>
      <c r="DF61" t="e">
        <f>DG60*'Hypothetical vaccine model'!$K61</f>
        <v>#VALUE!</v>
      </c>
      <c r="DG61" s="84" t="e">
        <f t="shared" si="35"/>
        <v>#VALUE!</v>
      </c>
      <c r="DH61" t="e">
        <f>DJ60*'Hypothetical vaccine model'!$J61*HelperFunctions!$R$56</f>
        <v>#VALUE!</v>
      </c>
      <c r="DI61" t="e">
        <f>DJ60*'Hypothetical vaccine model'!$K61</f>
        <v>#VALUE!</v>
      </c>
      <c r="DJ61" s="84" t="e">
        <f t="shared" si="36"/>
        <v>#VALUE!</v>
      </c>
      <c r="DK61" t="e">
        <f>DM60*'Hypothetical vaccine model'!$J61*HelperFunctions!$R$56</f>
        <v>#VALUE!</v>
      </c>
      <c r="DL61" t="e">
        <f>DM60*'Hypothetical vaccine model'!$K61</f>
        <v>#VALUE!</v>
      </c>
      <c r="DM61" s="84" t="e">
        <f t="shared" si="37"/>
        <v>#VALUE!</v>
      </c>
      <c r="DN61" t="e">
        <f>DP60*'Hypothetical vaccine model'!$J61*HelperFunctions!$R$56</f>
        <v>#VALUE!</v>
      </c>
      <c r="DO61" t="e">
        <f>DP60*'Hypothetical vaccine model'!$K61</f>
        <v>#VALUE!</v>
      </c>
      <c r="DP61" s="84" t="e">
        <f t="shared" si="38"/>
        <v>#VALUE!</v>
      </c>
      <c r="DQ61" t="e">
        <f>DS60*'Hypothetical vaccine model'!$J61*HelperFunctions!$R$56</f>
        <v>#VALUE!</v>
      </c>
      <c r="DR61" t="e">
        <f>DS60*'Hypothetical vaccine model'!$K61</f>
        <v>#VALUE!</v>
      </c>
      <c r="DS61" s="84" t="e">
        <f t="shared" si="39"/>
        <v>#VALUE!</v>
      </c>
      <c r="DT61" t="e">
        <f>DV60*'Hypothetical vaccine model'!$J61*HelperFunctions!$R$56</f>
        <v>#VALUE!</v>
      </c>
      <c r="DU61" t="e">
        <f>DV60*'Hypothetical vaccine model'!$K61</f>
        <v>#VALUE!</v>
      </c>
      <c r="DV61" s="84" t="e">
        <f t="shared" si="40"/>
        <v>#VALUE!</v>
      </c>
      <c r="DW61" t="e">
        <f>DY60*'Hypothetical vaccine model'!$J61*HelperFunctions!$R$56</f>
        <v>#VALUE!</v>
      </c>
      <c r="DX61" t="e">
        <f>DY60*'Hypothetical vaccine model'!$K61</f>
        <v>#VALUE!</v>
      </c>
      <c r="DY61" s="84" t="e">
        <f t="shared" si="41"/>
        <v>#VALUE!</v>
      </c>
      <c r="DZ61" t="e">
        <f>EB60*'Hypothetical vaccine model'!$J61*HelperFunctions!$R$56</f>
        <v>#VALUE!</v>
      </c>
      <c r="EA61" t="e">
        <f>EB60*'Hypothetical vaccine model'!$K61</f>
        <v>#VALUE!</v>
      </c>
      <c r="EB61" s="84" t="e">
        <f t="shared" si="42"/>
        <v>#VALUE!</v>
      </c>
      <c r="EC61" t="e">
        <f>EE60*'Hypothetical vaccine model'!$J61*HelperFunctions!$R$56</f>
        <v>#VALUE!</v>
      </c>
      <c r="ED61" t="e">
        <f>EE60*'Hypothetical vaccine model'!$K61</f>
        <v>#VALUE!</v>
      </c>
      <c r="EE61" s="84" t="e">
        <f t="shared" si="43"/>
        <v>#VALUE!</v>
      </c>
      <c r="EF61" t="e">
        <f>EH60*'Hypothetical vaccine model'!$J61*HelperFunctions!$R$56</f>
        <v>#VALUE!</v>
      </c>
      <c r="EG61" t="e">
        <f>EH60*'Hypothetical vaccine model'!$K61</f>
        <v>#VALUE!</v>
      </c>
      <c r="EH61" s="84" t="e">
        <f t="shared" si="44"/>
        <v>#VALUE!</v>
      </c>
      <c r="EI61" t="e">
        <f>EK60*'Hypothetical vaccine model'!$J61*HelperFunctions!$R$56</f>
        <v>#VALUE!</v>
      </c>
      <c r="EJ61" t="e">
        <f>EK60*'Hypothetical vaccine model'!$K61</f>
        <v>#VALUE!</v>
      </c>
      <c r="EK61" s="84" t="e">
        <f t="shared" si="45"/>
        <v>#VALUE!</v>
      </c>
      <c r="EL61" t="e">
        <f>EN60*'Hypothetical vaccine model'!$J61*HelperFunctions!$R55</f>
        <v>#VALUE!</v>
      </c>
      <c r="EM61" t="e">
        <f>EN60*'Hypothetical vaccine model'!$K61</f>
        <v>#VALUE!</v>
      </c>
      <c r="EN61" s="84" t="e">
        <f t="shared" si="46"/>
        <v>#VALUE!</v>
      </c>
      <c r="EO61" t="e">
        <f>EQ60*'Hypothetical vaccine model'!$J61*HelperFunctions!$R54</f>
        <v>#VALUE!</v>
      </c>
      <c r="EP61" t="e">
        <f>EQ60*'Hypothetical vaccine model'!$K61</f>
        <v>#VALUE!</v>
      </c>
      <c r="EQ61" s="84" t="e">
        <f t="shared" si="47"/>
        <v>#VALUE!</v>
      </c>
      <c r="ER61" t="e">
        <f>ET60*'Hypothetical vaccine model'!$J61*HelperFunctions!$R67</f>
        <v>#VALUE!</v>
      </c>
      <c r="ES61" t="e">
        <f>ET60*'Hypothetical vaccine model'!$K61</f>
        <v>#VALUE!</v>
      </c>
      <c r="ET61" s="84" t="e">
        <f t="shared" si="48"/>
        <v>#VALUE!</v>
      </c>
      <c r="EU61" t="e">
        <f>EW60*'Hypothetical vaccine model'!$J61*HelperFunctions!$R66</f>
        <v>#VALUE!</v>
      </c>
      <c r="EV61" t="e">
        <f>EW60*'Hypothetical vaccine model'!$K61</f>
        <v>#VALUE!</v>
      </c>
      <c r="EW61" s="84" t="e">
        <f t="shared" si="49"/>
        <v>#VALUE!</v>
      </c>
      <c r="EX61" t="e">
        <f>EZ60*'Hypothetical vaccine model'!$J61*HelperFunctions!$R65</f>
        <v>#VALUE!</v>
      </c>
      <c r="EY61" t="e">
        <f>EZ60*'Hypothetical vaccine model'!$K61</f>
        <v>#VALUE!</v>
      </c>
      <c r="EZ61" s="84" t="e">
        <f t="shared" si="50"/>
        <v>#VALUE!</v>
      </c>
      <c r="FA61" t="e">
        <f>FC60*'Hypothetical vaccine model'!$J61*HelperFunctions!$R64</f>
        <v>#VALUE!</v>
      </c>
      <c r="FB61" t="e">
        <f>FC60*'Hypothetical vaccine model'!$K61</f>
        <v>#VALUE!</v>
      </c>
      <c r="FC61" s="84" t="e">
        <f t="shared" si="51"/>
        <v>#VALUE!</v>
      </c>
      <c r="FD61" t="e">
        <f>FF60*'Hypothetical vaccine model'!$J61*HelperFunctions!$R63</f>
        <v>#VALUE!</v>
      </c>
      <c r="FE61" t="e">
        <f>FF60*'Hypothetical vaccine model'!$K61</f>
        <v>#VALUE!</v>
      </c>
      <c r="FF61" s="84" t="e">
        <f t="shared" si="52"/>
        <v>#VALUE!</v>
      </c>
      <c r="FG61" t="e">
        <f>FI60*'Hypothetical vaccine model'!$J61*HelperFunctions!$R62</f>
        <v>#VALUE!</v>
      </c>
      <c r="FH61" t="e">
        <f>FI60*'Hypothetical vaccine model'!$K61</f>
        <v>#VALUE!</v>
      </c>
      <c r="FI61" s="84" t="e">
        <f t="shared" si="53"/>
        <v>#VALUE!</v>
      </c>
      <c r="FJ61" t="e">
        <f>FL60*'Hypothetical vaccine model'!$J61*HelperFunctions!$R61</f>
        <v>#VALUE!</v>
      </c>
      <c r="FK61" t="e">
        <f>FL60*'Hypothetical vaccine model'!$K61</f>
        <v>#VALUE!</v>
      </c>
      <c r="FL61" s="84" t="e">
        <f t="shared" si="54"/>
        <v>#VALUE!</v>
      </c>
      <c r="FM61" t="e">
        <f>FO60*'Hypothetical vaccine model'!$J61*HelperFunctions!$R60</f>
        <v>#VALUE!</v>
      </c>
      <c r="FN61" t="e">
        <f>FO60*'Hypothetical vaccine model'!$K61</f>
        <v>#VALUE!</v>
      </c>
      <c r="FO61" s="84" t="e">
        <f t="shared" ref="FO61:FO63" si="55">FO60-FM61-FN61</f>
        <v>#VALUE!</v>
      </c>
      <c r="FP61" t="e">
        <f>FR60*'Hypothetical vaccine model'!$J61*HelperFunctions!$R59</f>
        <v>#VALUE!</v>
      </c>
      <c r="FQ61" t="e">
        <f>FR60*'Hypothetical vaccine model'!$K61</f>
        <v>#VALUE!</v>
      </c>
      <c r="FR61" s="84" t="e">
        <f>FR60-FP61-FQ61</f>
        <v>#VALUE!</v>
      </c>
      <c r="FS61" s="93"/>
      <c r="FT61" s="93"/>
      <c r="FU61" s="84" t="e">
        <f>Export!$N59*Export!$B59*(1-HelperFunctions!$G$59)</f>
        <v>#VALUE!</v>
      </c>
      <c r="FV61" s="93"/>
      <c r="FW61" s="93"/>
      <c r="FX61" s="93"/>
      <c r="FY61" s="93"/>
      <c r="FZ61" s="93"/>
      <c r="GA61" s="93"/>
    </row>
    <row r="62" spans="2:183" x14ac:dyDescent="0.35">
      <c r="B62">
        <v>4</v>
      </c>
      <c r="C62" t="str">
        <f>Inputs!I82</f>
        <v/>
      </c>
      <c r="D62" t="e">
        <f>F61*'Hypothetical vaccine model'!J62*HelperFunctions!R$14</f>
        <v>#VALUE!</v>
      </c>
      <c r="E62" t="e">
        <f>F61*'Hypothetical vaccine model'!K62</f>
        <v>#VALUE!</v>
      </c>
      <c r="F62" s="84" t="e">
        <f t="shared" si="0"/>
        <v>#VALUE!</v>
      </c>
      <c r="G62" t="e">
        <f>I61*'Hypothetical vaccine model'!$J62*HelperFunctions!$R$14</f>
        <v>#VALUE!</v>
      </c>
      <c r="H62" t="e">
        <f>I61*'Hypothetical vaccine model'!$K62</f>
        <v>#VALUE!</v>
      </c>
      <c r="I62" s="84" t="e">
        <f t="shared" si="1"/>
        <v>#VALUE!</v>
      </c>
      <c r="J62" t="e">
        <f>L61*'Hypothetical vaccine model'!$J62*HelperFunctions!$R$14</f>
        <v>#VALUE!</v>
      </c>
      <c r="K62" t="e">
        <f>L61*'Hypothetical vaccine model'!$K62</f>
        <v>#VALUE!</v>
      </c>
      <c r="L62" s="84" t="e">
        <f t="shared" si="2"/>
        <v>#VALUE!</v>
      </c>
      <c r="M62" t="e">
        <f>O61*'Hypothetical vaccine model'!$J62*HelperFunctions!$R$14</f>
        <v>#VALUE!</v>
      </c>
      <c r="N62" t="e">
        <f>O61*'Hypothetical vaccine model'!$K62</f>
        <v>#VALUE!</v>
      </c>
      <c r="O62" s="84" t="e">
        <f t="shared" si="3"/>
        <v>#VALUE!</v>
      </c>
      <c r="P62" t="e">
        <f>R61*'Hypothetical vaccine model'!$J62*HelperFunctions!$R$14</f>
        <v>#VALUE!</v>
      </c>
      <c r="Q62" t="e">
        <f>R61*'Hypothetical vaccine model'!$K62</f>
        <v>#VALUE!</v>
      </c>
      <c r="R62" s="84" t="e">
        <f t="shared" si="4"/>
        <v>#VALUE!</v>
      </c>
      <c r="S62" t="e">
        <f>U61*'Hypothetical vaccine model'!$J62*HelperFunctions!$R$14</f>
        <v>#VALUE!</v>
      </c>
      <c r="T62" t="e">
        <f>U61*'Hypothetical vaccine model'!$K62</f>
        <v>#VALUE!</v>
      </c>
      <c r="U62" s="84" t="e">
        <f t="shared" si="5"/>
        <v>#VALUE!</v>
      </c>
      <c r="V62" t="e">
        <f>X61*'Hypothetical vaccine model'!$J62*HelperFunctions!$R$14</f>
        <v>#VALUE!</v>
      </c>
      <c r="W62" t="e">
        <f>X61*'Hypothetical vaccine model'!$K62</f>
        <v>#VALUE!</v>
      </c>
      <c r="X62" s="84" t="e">
        <f t="shared" si="6"/>
        <v>#VALUE!</v>
      </c>
      <c r="Y62" t="e">
        <f>AA61*'Hypothetical vaccine model'!$J62*HelperFunctions!$R$14</f>
        <v>#VALUE!</v>
      </c>
      <c r="Z62" t="e">
        <f>AA61*'Hypothetical vaccine model'!$K62</f>
        <v>#VALUE!</v>
      </c>
      <c r="AA62" s="84" t="e">
        <f t="shared" si="7"/>
        <v>#VALUE!</v>
      </c>
      <c r="AB62" t="e">
        <f>AD61*'Hypothetical vaccine model'!$J62*HelperFunctions!$R$14</f>
        <v>#VALUE!</v>
      </c>
      <c r="AC62" t="e">
        <f>AD61*'Hypothetical vaccine model'!$K62</f>
        <v>#VALUE!</v>
      </c>
      <c r="AD62" s="84" t="e">
        <f t="shared" si="8"/>
        <v>#VALUE!</v>
      </c>
      <c r="AE62" t="e">
        <f>AG61*'Hypothetical vaccine model'!$J62*HelperFunctions!$R$14</f>
        <v>#VALUE!</v>
      </c>
      <c r="AF62" t="e">
        <f>AG61*'Hypothetical vaccine model'!$K62</f>
        <v>#VALUE!</v>
      </c>
      <c r="AG62" s="84" t="e">
        <f t="shared" si="9"/>
        <v>#VALUE!</v>
      </c>
      <c r="AH62" t="e">
        <f>AJ61*'Hypothetical vaccine model'!$J62*HelperFunctions!$R$14</f>
        <v>#VALUE!</v>
      </c>
      <c r="AI62" t="e">
        <f>AJ61*'Hypothetical vaccine model'!$K62</f>
        <v>#VALUE!</v>
      </c>
      <c r="AJ62" s="84" t="e">
        <f t="shared" si="10"/>
        <v>#VALUE!</v>
      </c>
      <c r="AK62" t="e">
        <f>AM61*'Hypothetical vaccine model'!$J62*HelperFunctions!$R$14</f>
        <v>#VALUE!</v>
      </c>
      <c r="AL62" t="e">
        <f>AM61*'Hypothetical vaccine model'!$K62</f>
        <v>#VALUE!</v>
      </c>
      <c r="AM62" s="84" t="e">
        <f t="shared" si="11"/>
        <v>#VALUE!</v>
      </c>
      <c r="AN62" t="e">
        <f>AP61*'Hypothetical vaccine model'!$J62*HelperFunctions!$R$28</f>
        <v>#VALUE!</v>
      </c>
      <c r="AO62" t="e">
        <f>AP61*'Hypothetical vaccine model'!$K62</f>
        <v>#VALUE!</v>
      </c>
      <c r="AP62" s="84" t="e">
        <f t="shared" si="12"/>
        <v>#VALUE!</v>
      </c>
      <c r="AQ62" t="e">
        <f>AS61*'Hypothetical vaccine model'!$J62*HelperFunctions!$R$28</f>
        <v>#VALUE!</v>
      </c>
      <c r="AR62" t="e">
        <f>AS61*'Hypothetical vaccine model'!$K62</f>
        <v>#VALUE!</v>
      </c>
      <c r="AS62" s="84" t="e">
        <f t="shared" si="13"/>
        <v>#VALUE!</v>
      </c>
      <c r="AT62" t="e">
        <f>AV61*'Hypothetical vaccine model'!$J62*HelperFunctions!$R$28</f>
        <v>#VALUE!</v>
      </c>
      <c r="AU62" t="e">
        <f>AV61*'Hypothetical vaccine model'!$K62</f>
        <v>#VALUE!</v>
      </c>
      <c r="AV62" s="84" t="e">
        <f t="shared" si="14"/>
        <v>#VALUE!</v>
      </c>
      <c r="AW62" t="e">
        <f>AY61*'Hypothetical vaccine model'!$J62*HelperFunctions!$R$28</f>
        <v>#VALUE!</v>
      </c>
      <c r="AX62" t="e">
        <f>AY61*'Hypothetical vaccine model'!$K62</f>
        <v>#VALUE!</v>
      </c>
      <c r="AY62" s="84" t="e">
        <f t="shared" si="15"/>
        <v>#VALUE!</v>
      </c>
      <c r="AZ62" t="e">
        <f>BB61*'Hypothetical vaccine model'!$J62*HelperFunctions!$R$28</f>
        <v>#VALUE!</v>
      </c>
      <c r="BA62" t="e">
        <f>BB61*'Hypothetical vaccine model'!$K62</f>
        <v>#VALUE!</v>
      </c>
      <c r="BB62" s="84" t="e">
        <f t="shared" si="16"/>
        <v>#VALUE!</v>
      </c>
      <c r="BC62" t="e">
        <f>BE61*'Hypothetical vaccine model'!$J62*HelperFunctions!$R$28</f>
        <v>#VALUE!</v>
      </c>
      <c r="BD62" t="e">
        <f>BE61*'Hypothetical vaccine model'!$K62</f>
        <v>#VALUE!</v>
      </c>
      <c r="BE62" s="84" t="e">
        <f t="shared" si="17"/>
        <v>#VALUE!</v>
      </c>
      <c r="BF62" t="e">
        <f>BH61*'Hypothetical vaccine model'!$J62*HelperFunctions!$R$28</f>
        <v>#VALUE!</v>
      </c>
      <c r="BG62" t="e">
        <f>BH61*'Hypothetical vaccine model'!$K62</f>
        <v>#VALUE!</v>
      </c>
      <c r="BH62" s="84" t="e">
        <f t="shared" si="18"/>
        <v>#VALUE!</v>
      </c>
      <c r="BI62" t="e">
        <f>BK61*'Hypothetical vaccine model'!$J62*HelperFunctions!$R$28</f>
        <v>#VALUE!</v>
      </c>
      <c r="BJ62" t="e">
        <f>BK61*'Hypothetical vaccine model'!$K62</f>
        <v>#VALUE!</v>
      </c>
      <c r="BK62" s="84" t="e">
        <f t="shared" si="19"/>
        <v>#VALUE!</v>
      </c>
      <c r="BL62" t="e">
        <f>BN61*'Hypothetical vaccine model'!$J62*HelperFunctions!$R$28</f>
        <v>#VALUE!</v>
      </c>
      <c r="BM62" t="e">
        <f>BN61*'Hypothetical vaccine model'!$K62</f>
        <v>#VALUE!</v>
      </c>
      <c r="BN62" s="84" t="e">
        <f t="shared" si="20"/>
        <v>#VALUE!</v>
      </c>
      <c r="BO62" t="e">
        <f>BQ61*'Hypothetical vaccine model'!$J62*HelperFunctions!$R$28</f>
        <v>#VALUE!</v>
      </c>
      <c r="BP62" t="e">
        <f>BQ61*'Hypothetical vaccine model'!$K62</f>
        <v>#VALUE!</v>
      </c>
      <c r="BQ62" s="84" t="e">
        <f t="shared" si="21"/>
        <v>#VALUE!</v>
      </c>
      <c r="BR62" t="e">
        <f>BT61*'Hypothetical vaccine model'!$J62*HelperFunctions!$R$28</f>
        <v>#VALUE!</v>
      </c>
      <c r="BS62" t="e">
        <f>BT61*'Hypothetical vaccine model'!$K62</f>
        <v>#VALUE!</v>
      </c>
      <c r="BT62" s="84" t="e">
        <f t="shared" si="22"/>
        <v>#VALUE!</v>
      </c>
      <c r="BU62" t="e">
        <f>BW61*'Hypothetical vaccine model'!$J62*HelperFunctions!$R$28</f>
        <v>#VALUE!</v>
      </c>
      <c r="BV62" t="e">
        <f>BW61*'Hypothetical vaccine model'!$K62</f>
        <v>#VALUE!</v>
      </c>
      <c r="BW62" s="84" t="e">
        <f t="shared" si="23"/>
        <v>#VALUE!</v>
      </c>
      <c r="BX62" t="e">
        <f>BZ61*'Hypothetical vaccine model'!$J62*HelperFunctions!$R$42</f>
        <v>#VALUE!</v>
      </c>
      <c r="BY62" t="e">
        <f>BZ61*'Hypothetical vaccine model'!$K62</f>
        <v>#VALUE!</v>
      </c>
      <c r="BZ62" s="84" t="e">
        <f t="shared" si="24"/>
        <v>#VALUE!</v>
      </c>
      <c r="CA62" t="e">
        <f>CC61*'Hypothetical vaccine model'!$J62*HelperFunctions!$R$42</f>
        <v>#VALUE!</v>
      </c>
      <c r="CB62" t="e">
        <f>CC61*'Hypothetical vaccine model'!$K62</f>
        <v>#VALUE!</v>
      </c>
      <c r="CC62" s="84" t="e">
        <f t="shared" si="25"/>
        <v>#VALUE!</v>
      </c>
      <c r="CD62" t="e">
        <f>CF61*'Hypothetical vaccine model'!$J62*HelperFunctions!$R$42</f>
        <v>#VALUE!</v>
      </c>
      <c r="CE62" t="e">
        <f>CF61*'Hypothetical vaccine model'!$K62</f>
        <v>#VALUE!</v>
      </c>
      <c r="CF62" s="84" t="e">
        <f t="shared" si="26"/>
        <v>#VALUE!</v>
      </c>
      <c r="CG62" t="e">
        <f>CI61*'Hypothetical vaccine model'!$J62*HelperFunctions!$R$42</f>
        <v>#VALUE!</v>
      </c>
      <c r="CH62" t="e">
        <f>CI61*'Hypothetical vaccine model'!$K62</f>
        <v>#VALUE!</v>
      </c>
      <c r="CI62" s="84" t="e">
        <f t="shared" si="27"/>
        <v>#VALUE!</v>
      </c>
      <c r="CJ62" t="e">
        <f>CL61*'Hypothetical vaccine model'!$J62*HelperFunctions!$R$42</f>
        <v>#VALUE!</v>
      </c>
      <c r="CK62" t="e">
        <f>CL61*'Hypothetical vaccine model'!$K62</f>
        <v>#VALUE!</v>
      </c>
      <c r="CL62" s="84" t="e">
        <f t="shared" si="28"/>
        <v>#VALUE!</v>
      </c>
      <c r="CM62" t="e">
        <f>CO61*'Hypothetical vaccine model'!$J62*HelperFunctions!$R$42</f>
        <v>#VALUE!</v>
      </c>
      <c r="CN62" t="e">
        <f>CO61*'Hypothetical vaccine model'!$K62</f>
        <v>#VALUE!</v>
      </c>
      <c r="CO62" s="84" t="e">
        <f t="shared" si="29"/>
        <v>#VALUE!</v>
      </c>
      <c r="CP62" t="e">
        <f>CR61*'Hypothetical vaccine model'!$J62*HelperFunctions!$R$42</f>
        <v>#VALUE!</v>
      </c>
      <c r="CQ62" t="e">
        <f>CR61*'Hypothetical vaccine model'!$K62</f>
        <v>#VALUE!</v>
      </c>
      <c r="CR62" s="84" t="e">
        <f t="shared" si="30"/>
        <v>#VALUE!</v>
      </c>
      <c r="CS62" t="e">
        <f>CU61*'Hypothetical vaccine model'!$J62*HelperFunctions!$R$42</f>
        <v>#VALUE!</v>
      </c>
      <c r="CT62" t="e">
        <f>CU61*'Hypothetical vaccine model'!$K62</f>
        <v>#VALUE!</v>
      </c>
      <c r="CU62" s="84" t="e">
        <f t="shared" si="31"/>
        <v>#VALUE!</v>
      </c>
      <c r="CV62" t="e">
        <f>CX61*'Hypothetical vaccine model'!$J62*HelperFunctions!$R$42</f>
        <v>#VALUE!</v>
      </c>
      <c r="CW62" t="e">
        <f>CX61*'Hypothetical vaccine model'!$K62</f>
        <v>#VALUE!</v>
      </c>
      <c r="CX62" s="84" t="e">
        <f t="shared" si="32"/>
        <v>#VALUE!</v>
      </c>
      <c r="CY62" t="e">
        <f>DA61*'Hypothetical vaccine model'!$J62*HelperFunctions!$R$42</f>
        <v>#VALUE!</v>
      </c>
      <c r="CZ62" t="e">
        <f>DA61*'Hypothetical vaccine model'!$K62</f>
        <v>#VALUE!</v>
      </c>
      <c r="DA62" s="84" t="e">
        <f t="shared" si="33"/>
        <v>#VALUE!</v>
      </c>
      <c r="DB62" t="e">
        <f>DD61*'Hypothetical vaccine model'!$J62*HelperFunctions!$R$42</f>
        <v>#VALUE!</v>
      </c>
      <c r="DC62" t="e">
        <f>DD61*'Hypothetical vaccine model'!$K62</f>
        <v>#VALUE!</v>
      </c>
      <c r="DD62" s="84" t="e">
        <f t="shared" si="34"/>
        <v>#VALUE!</v>
      </c>
      <c r="DE62" t="e">
        <f>DG61*'Hypothetical vaccine model'!$J62*HelperFunctions!$R$42</f>
        <v>#VALUE!</v>
      </c>
      <c r="DF62" t="e">
        <f>DG61*'Hypothetical vaccine model'!$K62</f>
        <v>#VALUE!</v>
      </c>
      <c r="DG62" s="84" t="e">
        <f t="shared" si="35"/>
        <v>#VALUE!</v>
      </c>
      <c r="DH62" t="e">
        <f>DJ61*'Hypothetical vaccine model'!$J62*HelperFunctions!$R$56</f>
        <v>#VALUE!</v>
      </c>
      <c r="DI62" t="e">
        <f>DJ61*'Hypothetical vaccine model'!$K62</f>
        <v>#VALUE!</v>
      </c>
      <c r="DJ62" s="84" t="e">
        <f t="shared" si="36"/>
        <v>#VALUE!</v>
      </c>
      <c r="DK62" t="e">
        <f>DM61*'Hypothetical vaccine model'!$J62*HelperFunctions!$R$56</f>
        <v>#VALUE!</v>
      </c>
      <c r="DL62" t="e">
        <f>DM61*'Hypothetical vaccine model'!$K62</f>
        <v>#VALUE!</v>
      </c>
      <c r="DM62" s="84" t="e">
        <f t="shared" si="37"/>
        <v>#VALUE!</v>
      </c>
      <c r="DN62" t="e">
        <f>DP61*'Hypothetical vaccine model'!$J62*HelperFunctions!$R$56</f>
        <v>#VALUE!</v>
      </c>
      <c r="DO62" t="e">
        <f>DP61*'Hypothetical vaccine model'!$K62</f>
        <v>#VALUE!</v>
      </c>
      <c r="DP62" s="84" t="e">
        <f t="shared" si="38"/>
        <v>#VALUE!</v>
      </c>
      <c r="DQ62" t="e">
        <f>DS61*'Hypothetical vaccine model'!$J62*HelperFunctions!$R$56</f>
        <v>#VALUE!</v>
      </c>
      <c r="DR62" t="e">
        <f>DS61*'Hypothetical vaccine model'!$K62</f>
        <v>#VALUE!</v>
      </c>
      <c r="DS62" s="84" t="e">
        <f t="shared" si="39"/>
        <v>#VALUE!</v>
      </c>
      <c r="DT62" t="e">
        <f>DV61*'Hypothetical vaccine model'!$J62*HelperFunctions!$R$56</f>
        <v>#VALUE!</v>
      </c>
      <c r="DU62" t="e">
        <f>DV61*'Hypothetical vaccine model'!$K62</f>
        <v>#VALUE!</v>
      </c>
      <c r="DV62" s="84" t="e">
        <f t="shared" si="40"/>
        <v>#VALUE!</v>
      </c>
      <c r="DW62" t="e">
        <f>DY61*'Hypothetical vaccine model'!$J62*HelperFunctions!$R$56</f>
        <v>#VALUE!</v>
      </c>
      <c r="DX62" t="e">
        <f>DY61*'Hypothetical vaccine model'!$K62</f>
        <v>#VALUE!</v>
      </c>
      <c r="DY62" s="84" t="e">
        <f t="shared" si="41"/>
        <v>#VALUE!</v>
      </c>
      <c r="DZ62" t="e">
        <f>EB61*'Hypothetical vaccine model'!$J62*HelperFunctions!$R$56</f>
        <v>#VALUE!</v>
      </c>
      <c r="EA62" t="e">
        <f>EB61*'Hypothetical vaccine model'!$K62</f>
        <v>#VALUE!</v>
      </c>
      <c r="EB62" s="84" t="e">
        <f t="shared" si="42"/>
        <v>#VALUE!</v>
      </c>
      <c r="EC62" t="e">
        <f>EE61*'Hypothetical vaccine model'!$J62*HelperFunctions!$R$56</f>
        <v>#VALUE!</v>
      </c>
      <c r="ED62" t="e">
        <f>EE61*'Hypothetical vaccine model'!$K62</f>
        <v>#VALUE!</v>
      </c>
      <c r="EE62" s="84" t="e">
        <f t="shared" si="43"/>
        <v>#VALUE!</v>
      </c>
      <c r="EF62" t="e">
        <f>EH61*'Hypothetical vaccine model'!$J62*HelperFunctions!$R$56</f>
        <v>#VALUE!</v>
      </c>
      <c r="EG62" t="e">
        <f>EH61*'Hypothetical vaccine model'!$K62</f>
        <v>#VALUE!</v>
      </c>
      <c r="EH62" s="84" t="e">
        <f t="shared" si="44"/>
        <v>#VALUE!</v>
      </c>
      <c r="EI62" t="e">
        <f>EK61*'Hypothetical vaccine model'!$J62*HelperFunctions!$R$56</f>
        <v>#VALUE!</v>
      </c>
      <c r="EJ62" t="e">
        <f>EK61*'Hypothetical vaccine model'!$K62</f>
        <v>#VALUE!</v>
      </c>
      <c r="EK62" s="84" t="e">
        <f t="shared" si="45"/>
        <v>#VALUE!</v>
      </c>
      <c r="EL62" t="e">
        <f>EN61*'Hypothetical vaccine model'!$J62*HelperFunctions!$R$56</f>
        <v>#VALUE!</v>
      </c>
      <c r="EM62" t="e">
        <f>EN61*'Hypothetical vaccine model'!$K62</f>
        <v>#VALUE!</v>
      </c>
      <c r="EN62" s="84" t="e">
        <f t="shared" si="46"/>
        <v>#VALUE!</v>
      </c>
      <c r="EO62" t="e">
        <f>EQ61*'Hypothetical vaccine model'!$J62*HelperFunctions!$R55</f>
        <v>#VALUE!</v>
      </c>
      <c r="EP62" t="e">
        <f>EQ61*'Hypothetical vaccine model'!$K62</f>
        <v>#VALUE!</v>
      </c>
      <c r="EQ62" s="84" t="e">
        <f t="shared" si="47"/>
        <v>#VALUE!</v>
      </c>
      <c r="ER62" t="e">
        <f>ET61*'Hypothetical vaccine model'!$J62*HelperFunctions!$R68</f>
        <v>#VALUE!</v>
      </c>
      <c r="ES62" t="e">
        <f>ET61*'Hypothetical vaccine model'!$K62</f>
        <v>#VALUE!</v>
      </c>
      <c r="ET62" s="84" t="e">
        <f t="shared" si="48"/>
        <v>#VALUE!</v>
      </c>
      <c r="EU62" t="e">
        <f>EW61*'Hypothetical vaccine model'!$J62*HelperFunctions!$R67</f>
        <v>#VALUE!</v>
      </c>
      <c r="EV62" t="e">
        <f>EW61*'Hypothetical vaccine model'!$K62</f>
        <v>#VALUE!</v>
      </c>
      <c r="EW62" s="84" t="e">
        <f t="shared" si="49"/>
        <v>#VALUE!</v>
      </c>
      <c r="EX62" t="e">
        <f>EZ61*'Hypothetical vaccine model'!$J62*HelperFunctions!$R66</f>
        <v>#VALUE!</v>
      </c>
      <c r="EY62" t="e">
        <f>EZ61*'Hypothetical vaccine model'!$K62</f>
        <v>#VALUE!</v>
      </c>
      <c r="EZ62" s="84" t="e">
        <f t="shared" si="50"/>
        <v>#VALUE!</v>
      </c>
      <c r="FA62" t="e">
        <f>FC61*'Hypothetical vaccine model'!$J62*HelperFunctions!$R65</f>
        <v>#VALUE!</v>
      </c>
      <c r="FB62" t="e">
        <f>FC61*'Hypothetical vaccine model'!$K62</f>
        <v>#VALUE!</v>
      </c>
      <c r="FC62" s="84" t="e">
        <f t="shared" si="51"/>
        <v>#VALUE!</v>
      </c>
      <c r="FD62" t="e">
        <f>FF61*'Hypothetical vaccine model'!$J62*HelperFunctions!$R64</f>
        <v>#VALUE!</v>
      </c>
      <c r="FE62" t="e">
        <f>FF61*'Hypothetical vaccine model'!$K62</f>
        <v>#VALUE!</v>
      </c>
      <c r="FF62" s="84" t="e">
        <f t="shared" si="52"/>
        <v>#VALUE!</v>
      </c>
      <c r="FG62" t="e">
        <f>FI61*'Hypothetical vaccine model'!$J62*HelperFunctions!$R63</f>
        <v>#VALUE!</v>
      </c>
      <c r="FH62" t="e">
        <f>FI61*'Hypothetical vaccine model'!$K62</f>
        <v>#VALUE!</v>
      </c>
      <c r="FI62" s="84" t="e">
        <f t="shared" si="53"/>
        <v>#VALUE!</v>
      </c>
      <c r="FJ62" t="e">
        <f>FL61*'Hypothetical vaccine model'!$J62*HelperFunctions!$R62</f>
        <v>#VALUE!</v>
      </c>
      <c r="FK62" t="e">
        <f>FL61*'Hypothetical vaccine model'!$K62</f>
        <v>#VALUE!</v>
      </c>
      <c r="FL62" s="84" t="e">
        <f t="shared" si="54"/>
        <v>#VALUE!</v>
      </c>
      <c r="FM62" t="e">
        <f>FO61*'Hypothetical vaccine model'!$J62*HelperFunctions!$R61</f>
        <v>#VALUE!</v>
      </c>
      <c r="FN62" t="e">
        <f>FO61*'Hypothetical vaccine model'!$K62</f>
        <v>#VALUE!</v>
      </c>
      <c r="FO62" s="84" t="e">
        <f t="shared" si="55"/>
        <v>#VALUE!</v>
      </c>
      <c r="FP62" t="e">
        <f>FR61*'Hypothetical vaccine model'!$J62*HelperFunctions!$R60</f>
        <v>#VALUE!</v>
      </c>
      <c r="FQ62" t="e">
        <f>FR61*'Hypothetical vaccine model'!$K62</f>
        <v>#VALUE!</v>
      </c>
      <c r="FR62" s="84" t="e">
        <f t="shared" ref="FR62:FR63" si="56">FR61-FP62-FQ62</f>
        <v>#VALUE!</v>
      </c>
      <c r="FS62" t="e">
        <f>FU61*'Hypothetical vaccine model'!$J62*HelperFunctions!$R59</f>
        <v>#VALUE!</v>
      </c>
      <c r="FT62" t="e">
        <f>FU61*'Hypothetical vaccine model'!$K62</f>
        <v>#VALUE!</v>
      </c>
      <c r="FU62" s="84" t="e">
        <f>FU61-FS62-FT62</f>
        <v>#VALUE!</v>
      </c>
      <c r="FV62" s="93"/>
      <c r="FW62" s="93"/>
      <c r="FX62" s="84" t="e">
        <f>Export!$N60*Export!$B60*(1-HelperFunctions!$G$59)</f>
        <v>#VALUE!</v>
      </c>
      <c r="FY62" s="93"/>
      <c r="FZ62" s="93"/>
      <c r="GA62" s="93"/>
    </row>
    <row r="63" spans="2:183" x14ac:dyDescent="0.35">
      <c r="B63">
        <v>4</v>
      </c>
      <c r="C63" t="str">
        <f>Inputs!I83</f>
        <v/>
      </c>
      <c r="D63" t="e">
        <f>F62*'Hypothetical vaccine model'!J63*HelperFunctions!R$14</f>
        <v>#VALUE!</v>
      </c>
      <c r="E63" t="e">
        <f>F62*'Hypothetical vaccine model'!K63</f>
        <v>#VALUE!</v>
      </c>
      <c r="F63" s="84" t="e">
        <f t="shared" si="0"/>
        <v>#VALUE!</v>
      </c>
      <c r="G63" t="e">
        <f>I62*'Hypothetical vaccine model'!$J63*HelperFunctions!$R$14</f>
        <v>#VALUE!</v>
      </c>
      <c r="H63" t="e">
        <f>I62*'Hypothetical vaccine model'!$K63</f>
        <v>#VALUE!</v>
      </c>
      <c r="I63" s="84" t="e">
        <f t="shared" si="1"/>
        <v>#VALUE!</v>
      </c>
      <c r="J63" t="e">
        <f>L62*'Hypothetical vaccine model'!$J63*HelperFunctions!$R$14</f>
        <v>#VALUE!</v>
      </c>
      <c r="K63" t="e">
        <f>L62*'Hypothetical vaccine model'!$K63</f>
        <v>#VALUE!</v>
      </c>
      <c r="L63" s="84" t="e">
        <f t="shared" si="2"/>
        <v>#VALUE!</v>
      </c>
      <c r="M63" t="e">
        <f>O62*'Hypothetical vaccine model'!$J63*HelperFunctions!$R$14</f>
        <v>#VALUE!</v>
      </c>
      <c r="N63" t="e">
        <f>O62*'Hypothetical vaccine model'!$K63</f>
        <v>#VALUE!</v>
      </c>
      <c r="O63" s="84" t="e">
        <f t="shared" si="3"/>
        <v>#VALUE!</v>
      </c>
      <c r="P63" t="e">
        <f>R62*'Hypothetical vaccine model'!$J63*HelperFunctions!$R$14</f>
        <v>#VALUE!</v>
      </c>
      <c r="Q63" t="e">
        <f>R62*'Hypothetical vaccine model'!$K63</f>
        <v>#VALUE!</v>
      </c>
      <c r="R63" s="84" t="e">
        <f t="shared" si="4"/>
        <v>#VALUE!</v>
      </c>
      <c r="S63" t="e">
        <f>U62*'Hypothetical vaccine model'!$J63*HelperFunctions!$R$14</f>
        <v>#VALUE!</v>
      </c>
      <c r="T63" t="e">
        <f>U62*'Hypothetical vaccine model'!$K63</f>
        <v>#VALUE!</v>
      </c>
      <c r="U63" s="84" t="e">
        <f t="shared" si="5"/>
        <v>#VALUE!</v>
      </c>
      <c r="V63" t="e">
        <f>X62*'Hypothetical vaccine model'!$J63*HelperFunctions!$R$14</f>
        <v>#VALUE!</v>
      </c>
      <c r="W63" t="e">
        <f>X62*'Hypothetical vaccine model'!$K63</f>
        <v>#VALUE!</v>
      </c>
      <c r="X63" s="84" t="e">
        <f t="shared" si="6"/>
        <v>#VALUE!</v>
      </c>
      <c r="Y63" t="e">
        <f>AA62*'Hypothetical vaccine model'!$J63*HelperFunctions!$R$14</f>
        <v>#VALUE!</v>
      </c>
      <c r="Z63" t="e">
        <f>AA62*'Hypothetical vaccine model'!$K63</f>
        <v>#VALUE!</v>
      </c>
      <c r="AA63" s="84" t="e">
        <f t="shared" si="7"/>
        <v>#VALUE!</v>
      </c>
      <c r="AB63" t="e">
        <f>AD62*'Hypothetical vaccine model'!$J63*HelperFunctions!$R$14</f>
        <v>#VALUE!</v>
      </c>
      <c r="AC63" t="e">
        <f>AD62*'Hypothetical vaccine model'!$K63</f>
        <v>#VALUE!</v>
      </c>
      <c r="AD63" s="84" t="e">
        <f t="shared" si="8"/>
        <v>#VALUE!</v>
      </c>
      <c r="AE63" t="e">
        <f>AG62*'Hypothetical vaccine model'!$J63*HelperFunctions!$R$14</f>
        <v>#VALUE!</v>
      </c>
      <c r="AF63" t="e">
        <f>AG62*'Hypothetical vaccine model'!$K63</f>
        <v>#VALUE!</v>
      </c>
      <c r="AG63" s="84" t="e">
        <f t="shared" si="9"/>
        <v>#VALUE!</v>
      </c>
      <c r="AH63" t="e">
        <f>AJ62*'Hypothetical vaccine model'!$J63*HelperFunctions!$R$14</f>
        <v>#VALUE!</v>
      </c>
      <c r="AI63" t="e">
        <f>AJ62*'Hypothetical vaccine model'!$K63</f>
        <v>#VALUE!</v>
      </c>
      <c r="AJ63" s="84" t="e">
        <f t="shared" si="10"/>
        <v>#VALUE!</v>
      </c>
      <c r="AK63" t="e">
        <f>AM62*'Hypothetical vaccine model'!$J63*HelperFunctions!$R$14</f>
        <v>#VALUE!</v>
      </c>
      <c r="AL63" t="e">
        <f>AM62*'Hypothetical vaccine model'!$K63</f>
        <v>#VALUE!</v>
      </c>
      <c r="AM63" s="84" t="e">
        <f t="shared" si="11"/>
        <v>#VALUE!</v>
      </c>
      <c r="AN63" t="e">
        <f>AP62*'Hypothetical vaccine model'!$J63*HelperFunctions!$R$28</f>
        <v>#VALUE!</v>
      </c>
      <c r="AO63" t="e">
        <f>AP62*'Hypothetical vaccine model'!$K63</f>
        <v>#VALUE!</v>
      </c>
      <c r="AP63" s="84" t="e">
        <f t="shared" si="12"/>
        <v>#VALUE!</v>
      </c>
      <c r="AQ63" t="e">
        <f>AS62*'Hypothetical vaccine model'!$J63*HelperFunctions!$R$28</f>
        <v>#VALUE!</v>
      </c>
      <c r="AR63" t="e">
        <f>AS62*'Hypothetical vaccine model'!$K63</f>
        <v>#VALUE!</v>
      </c>
      <c r="AS63" s="84" t="e">
        <f t="shared" si="13"/>
        <v>#VALUE!</v>
      </c>
      <c r="AT63" t="e">
        <f>AV62*'Hypothetical vaccine model'!$J63*HelperFunctions!$R$28</f>
        <v>#VALUE!</v>
      </c>
      <c r="AU63" t="e">
        <f>AV62*'Hypothetical vaccine model'!$K63</f>
        <v>#VALUE!</v>
      </c>
      <c r="AV63" s="84" t="e">
        <f t="shared" si="14"/>
        <v>#VALUE!</v>
      </c>
      <c r="AW63" t="e">
        <f>AY62*'Hypothetical vaccine model'!$J63*HelperFunctions!$R$28</f>
        <v>#VALUE!</v>
      </c>
      <c r="AX63" t="e">
        <f>AY62*'Hypothetical vaccine model'!$K63</f>
        <v>#VALUE!</v>
      </c>
      <c r="AY63" s="84" t="e">
        <f t="shared" si="15"/>
        <v>#VALUE!</v>
      </c>
      <c r="AZ63" t="e">
        <f>BB62*'Hypothetical vaccine model'!$J63*HelperFunctions!$R$28</f>
        <v>#VALUE!</v>
      </c>
      <c r="BA63" t="e">
        <f>BB62*'Hypothetical vaccine model'!$K63</f>
        <v>#VALUE!</v>
      </c>
      <c r="BB63" s="84" t="e">
        <f t="shared" si="16"/>
        <v>#VALUE!</v>
      </c>
      <c r="BC63" t="e">
        <f>BE62*'Hypothetical vaccine model'!$J63*HelperFunctions!$R$28</f>
        <v>#VALUE!</v>
      </c>
      <c r="BD63" t="e">
        <f>BE62*'Hypothetical vaccine model'!$K63</f>
        <v>#VALUE!</v>
      </c>
      <c r="BE63" s="84" t="e">
        <f t="shared" si="17"/>
        <v>#VALUE!</v>
      </c>
      <c r="BF63" t="e">
        <f>BH62*'Hypothetical vaccine model'!$J63*HelperFunctions!$R$28</f>
        <v>#VALUE!</v>
      </c>
      <c r="BG63" t="e">
        <f>BH62*'Hypothetical vaccine model'!$K63</f>
        <v>#VALUE!</v>
      </c>
      <c r="BH63" s="84" t="e">
        <f t="shared" si="18"/>
        <v>#VALUE!</v>
      </c>
      <c r="BI63" t="e">
        <f>BK62*'Hypothetical vaccine model'!$J63*HelperFunctions!$R$28</f>
        <v>#VALUE!</v>
      </c>
      <c r="BJ63" t="e">
        <f>BK62*'Hypothetical vaccine model'!$K63</f>
        <v>#VALUE!</v>
      </c>
      <c r="BK63" s="84" t="e">
        <f t="shared" si="19"/>
        <v>#VALUE!</v>
      </c>
      <c r="BL63" t="e">
        <f>BN62*'Hypothetical vaccine model'!$J63*HelperFunctions!$R$28</f>
        <v>#VALUE!</v>
      </c>
      <c r="BM63" t="e">
        <f>BN62*'Hypothetical vaccine model'!$K63</f>
        <v>#VALUE!</v>
      </c>
      <c r="BN63" s="84" t="e">
        <f t="shared" si="20"/>
        <v>#VALUE!</v>
      </c>
      <c r="BO63" t="e">
        <f>BQ62*'Hypothetical vaccine model'!$J63*HelperFunctions!$R$28</f>
        <v>#VALUE!</v>
      </c>
      <c r="BP63" t="e">
        <f>BQ62*'Hypothetical vaccine model'!$K63</f>
        <v>#VALUE!</v>
      </c>
      <c r="BQ63" s="84" t="e">
        <f t="shared" si="21"/>
        <v>#VALUE!</v>
      </c>
      <c r="BR63" t="e">
        <f>BT62*'Hypothetical vaccine model'!$J63*HelperFunctions!$R$28</f>
        <v>#VALUE!</v>
      </c>
      <c r="BS63" t="e">
        <f>BT62*'Hypothetical vaccine model'!$K63</f>
        <v>#VALUE!</v>
      </c>
      <c r="BT63" s="84" t="e">
        <f t="shared" si="22"/>
        <v>#VALUE!</v>
      </c>
      <c r="BU63" t="e">
        <f>BW62*'Hypothetical vaccine model'!$J63*HelperFunctions!$R$28</f>
        <v>#VALUE!</v>
      </c>
      <c r="BV63" t="e">
        <f>BW62*'Hypothetical vaccine model'!$K63</f>
        <v>#VALUE!</v>
      </c>
      <c r="BW63" s="84" t="e">
        <f t="shared" si="23"/>
        <v>#VALUE!</v>
      </c>
      <c r="BX63" t="e">
        <f>BZ62*'Hypothetical vaccine model'!$J63*HelperFunctions!$R$42</f>
        <v>#VALUE!</v>
      </c>
      <c r="BY63" t="e">
        <f>BZ62*'Hypothetical vaccine model'!$K63</f>
        <v>#VALUE!</v>
      </c>
      <c r="BZ63" s="84" t="e">
        <f t="shared" si="24"/>
        <v>#VALUE!</v>
      </c>
      <c r="CA63" t="e">
        <f>CC62*'Hypothetical vaccine model'!$J63*HelperFunctions!$R$42</f>
        <v>#VALUE!</v>
      </c>
      <c r="CB63" t="e">
        <f>CC62*'Hypothetical vaccine model'!$K63</f>
        <v>#VALUE!</v>
      </c>
      <c r="CC63" s="84" t="e">
        <f t="shared" si="25"/>
        <v>#VALUE!</v>
      </c>
      <c r="CD63" t="e">
        <f>CF62*'Hypothetical vaccine model'!$J63*HelperFunctions!$R$42</f>
        <v>#VALUE!</v>
      </c>
      <c r="CE63" t="e">
        <f>CF62*'Hypothetical vaccine model'!$K63</f>
        <v>#VALUE!</v>
      </c>
      <c r="CF63" s="84" t="e">
        <f t="shared" si="26"/>
        <v>#VALUE!</v>
      </c>
      <c r="CG63" t="e">
        <f>CI62*'Hypothetical vaccine model'!$J63*HelperFunctions!$R$42</f>
        <v>#VALUE!</v>
      </c>
      <c r="CH63" t="e">
        <f>CI62*'Hypothetical vaccine model'!$K63</f>
        <v>#VALUE!</v>
      </c>
      <c r="CI63" s="84" t="e">
        <f t="shared" si="27"/>
        <v>#VALUE!</v>
      </c>
      <c r="CJ63" t="e">
        <f>CL62*'Hypothetical vaccine model'!$J63*HelperFunctions!$R$42</f>
        <v>#VALUE!</v>
      </c>
      <c r="CK63" t="e">
        <f>CL62*'Hypothetical vaccine model'!$K63</f>
        <v>#VALUE!</v>
      </c>
      <c r="CL63" s="84" t="e">
        <f t="shared" si="28"/>
        <v>#VALUE!</v>
      </c>
      <c r="CM63" t="e">
        <f>CO62*'Hypothetical vaccine model'!$J63*HelperFunctions!$R$42</f>
        <v>#VALUE!</v>
      </c>
      <c r="CN63" t="e">
        <f>CO62*'Hypothetical vaccine model'!$K63</f>
        <v>#VALUE!</v>
      </c>
      <c r="CO63" s="84" t="e">
        <f t="shared" si="29"/>
        <v>#VALUE!</v>
      </c>
      <c r="CP63" t="e">
        <f>CR62*'Hypothetical vaccine model'!$J63*HelperFunctions!$R$42</f>
        <v>#VALUE!</v>
      </c>
      <c r="CQ63" t="e">
        <f>CR62*'Hypothetical vaccine model'!$K63</f>
        <v>#VALUE!</v>
      </c>
      <c r="CR63" s="84" t="e">
        <f t="shared" si="30"/>
        <v>#VALUE!</v>
      </c>
      <c r="CS63" t="e">
        <f>CU62*'Hypothetical vaccine model'!$J63*HelperFunctions!$R$42</f>
        <v>#VALUE!</v>
      </c>
      <c r="CT63" t="e">
        <f>CU62*'Hypothetical vaccine model'!$K63</f>
        <v>#VALUE!</v>
      </c>
      <c r="CU63" s="84" t="e">
        <f t="shared" si="31"/>
        <v>#VALUE!</v>
      </c>
      <c r="CV63" t="e">
        <f>CX62*'Hypothetical vaccine model'!$J63*HelperFunctions!$R$42</f>
        <v>#VALUE!</v>
      </c>
      <c r="CW63" t="e">
        <f>CX62*'Hypothetical vaccine model'!$K63</f>
        <v>#VALUE!</v>
      </c>
      <c r="CX63" s="84" t="e">
        <f t="shared" si="32"/>
        <v>#VALUE!</v>
      </c>
      <c r="CY63" t="e">
        <f>DA62*'Hypothetical vaccine model'!$J63*HelperFunctions!$R$42</f>
        <v>#VALUE!</v>
      </c>
      <c r="CZ63" t="e">
        <f>DA62*'Hypothetical vaccine model'!$K63</f>
        <v>#VALUE!</v>
      </c>
      <c r="DA63" s="84" t="e">
        <f t="shared" si="33"/>
        <v>#VALUE!</v>
      </c>
      <c r="DB63" t="e">
        <f>DD62*'Hypothetical vaccine model'!$J63*HelperFunctions!$R$42</f>
        <v>#VALUE!</v>
      </c>
      <c r="DC63" t="e">
        <f>DD62*'Hypothetical vaccine model'!$K63</f>
        <v>#VALUE!</v>
      </c>
      <c r="DD63" s="84" t="e">
        <f t="shared" si="34"/>
        <v>#VALUE!</v>
      </c>
      <c r="DE63" t="e">
        <f>DG62*'Hypothetical vaccine model'!$J63*HelperFunctions!$R$42</f>
        <v>#VALUE!</v>
      </c>
      <c r="DF63" t="e">
        <f>DG62*'Hypothetical vaccine model'!$K63</f>
        <v>#VALUE!</v>
      </c>
      <c r="DG63" s="84" t="e">
        <f t="shared" si="35"/>
        <v>#VALUE!</v>
      </c>
      <c r="DH63" t="e">
        <f>DJ62*'Hypothetical vaccine model'!$J63*HelperFunctions!$R$56</f>
        <v>#VALUE!</v>
      </c>
      <c r="DI63" t="e">
        <f>DJ62*'Hypothetical vaccine model'!$K63</f>
        <v>#VALUE!</v>
      </c>
      <c r="DJ63" s="84" t="e">
        <f t="shared" si="36"/>
        <v>#VALUE!</v>
      </c>
      <c r="DK63" t="e">
        <f>DM62*'Hypothetical vaccine model'!$J63*HelperFunctions!$R$56</f>
        <v>#VALUE!</v>
      </c>
      <c r="DL63" t="e">
        <f>DM62*'Hypothetical vaccine model'!$K63</f>
        <v>#VALUE!</v>
      </c>
      <c r="DM63" s="84" t="e">
        <f t="shared" si="37"/>
        <v>#VALUE!</v>
      </c>
      <c r="DN63" t="e">
        <f>DP62*'Hypothetical vaccine model'!$J63*HelperFunctions!$R$56</f>
        <v>#VALUE!</v>
      </c>
      <c r="DO63" t="e">
        <f>DP62*'Hypothetical vaccine model'!$K63</f>
        <v>#VALUE!</v>
      </c>
      <c r="DP63" s="84" t="e">
        <f t="shared" si="38"/>
        <v>#VALUE!</v>
      </c>
      <c r="DQ63" t="e">
        <f>DS62*'Hypothetical vaccine model'!$J63*HelperFunctions!$R$56</f>
        <v>#VALUE!</v>
      </c>
      <c r="DR63" t="e">
        <f>DS62*'Hypothetical vaccine model'!$K63</f>
        <v>#VALUE!</v>
      </c>
      <c r="DS63" s="84" t="e">
        <f t="shared" si="39"/>
        <v>#VALUE!</v>
      </c>
      <c r="DT63" t="e">
        <f>DV62*'Hypothetical vaccine model'!$J63*HelperFunctions!$R$56</f>
        <v>#VALUE!</v>
      </c>
      <c r="DU63" t="e">
        <f>DV62*'Hypothetical vaccine model'!$K63</f>
        <v>#VALUE!</v>
      </c>
      <c r="DV63" s="84" t="e">
        <f t="shared" si="40"/>
        <v>#VALUE!</v>
      </c>
      <c r="DW63" t="e">
        <f>DY62*'Hypothetical vaccine model'!$J63*HelperFunctions!$R$56</f>
        <v>#VALUE!</v>
      </c>
      <c r="DX63" t="e">
        <f>DY62*'Hypothetical vaccine model'!$K63</f>
        <v>#VALUE!</v>
      </c>
      <c r="DY63" s="84" t="e">
        <f t="shared" si="41"/>
        <v>#VALUE!</v>
      </c>
      <c r="DZ63" t="e">
        <f>EB62*'Hypothetical vaccine model'!$J63*HelperFunctions!$R$56</f>
        <v>#VALUE!</v>
      </c>
      <c r="EA63" t="e">
        <f>EB62*'Hypothetical vaccine model'!$K63</f>
        <v>#VALUE!</v>
      </c>
      <c r="EB63" s="84" t="e">
        <f t="shared" si="42"/>
        <v>#VALUE!</v>
      </c>
      <c r="EC63" t="e">
        <f>EE62*'Hypothetical vaccine model'!$J63*HelperFunctions!$R$56</f>
        <v>#VALUE!</v>
      </c>
      <c r="ED63" t="e">
        <f>EE62*'Hypothetical vaccine model'!$K63</f>
        <v>#VALUE!</v>
      </c>
      <c r="EE63" s="84" t="e">
        <f t="shared" si="43"/>
        <v>#VALUE!</v>
      </c>
      <c r="EF63" t="e">
        <f>EH62*'Hypothetical vaccine model'!$J63*HelperFunctions!$R$56</f>
        <v>#VALUE!</v>
      </c>
      <c r="EG63" t="e">
        <f>EH62*'Hypothetical vaccine model'!$K63</f>
        <v>#VALUE!</v>
      </c>
      <c r="EH63" s="84" t="e">
        <f t="shared" si="44"/>
        <v>#VALUE!</v>
      </c>
      <c r="EI63" t="e">
        <f>EK62*'Hypothetical vaccine model'!$J63*HelperFunctions!$R$56</f>
        <v>#VALUE!</v>
      </c>
      <c r="EJ63" t="e">
        <f>EK62*'Hypothetical vaccine model'!$K63</f>
        <v>#VALUE!</v>
      </c>
      <c r="EK63" s="84" t="e">
        <f t="shared" si="45"/>
        <v>#VALUE!</v>
      </c>
      <c r="EL63" t="e">
        <f>EN62*'Hypothetical vaccine model'!$J63*HelperFunctions!$R$56</f>
        <v>#VALUE!</v>
      </c>
      <c r="EM63" t="e">
        <f>EN62*'Hypothetical vaccine model'!$K63</f>
        <v>#VALUE!</v>
      </c>
      <c r="EN63" s="84" t="e">
        <f t="shared" si="46"/>
        <v>#VALUE!</v>
      </c>
      <c r="EO63" t="e">
        <f>EQ62*'Hypothetical vaccine model'!$J63*HelperFunctions!$R56</f>
        <v>#VALUE!</v>
      </c>
      <c r="EP63" t="e">
        <f>EQ62*'Hypothetical vaccine model'!$K63</f>
        <v>#VALUE!</v>
      </c>
      <c r="EQ63" s="84" t="e">
        <f t="shared" si="47"/>
        <v>#VALUE!</v>
      </c>
      <c r="ER63" t="e">
        <f>ET62*'Hypothetical vaccine model'!$J63*HelperFunctions!$R69</f>
        <v>#VALUE!</v>
      </c>
      <c r="ES63" t="e">
        <f>ET62*'Hypothetical vaccine model'!$K63</f>
        <v>#VALUE!</v>
      </c>
      <c r="ET63" s="84" t="e">
        <f t="shared" si="48"/>
        <v>#VALUE!</v>
      </c>
      <c r="EU63" t="e">
        <f>EW62*'Hypothetical vaccine model'!$J63*HelperFunctions!$R68</f>
        <v>#VALUE!</v>
      </c>
      <c r="EV63" t="e">
        <f>EW62*'Hypothetical vaccine model'!$K63</f>
        <v>#VALUE!</v>
      </c>
      <c r="EW63" s="84" t="e">
        <f t="shared" si="49"/>
        <v>#VALUE!</v>
      </c>
      <c r="EX63" t="e">
        <f>EZ62*'Hypothetical vaccine model'!$J63*HelperFunctions!$R67</f>
        <v>#VALUE!</v>
      </c>
      <c r="EY63" t="e">
        <f>EZ62*'Hypothetical vaccine model'!$K63</f>
        <v>#VALUE!</v>
      </c>
      <c r="EZ63" s="84" t="e">
        <f t="shared" si="50"/>
        <v>#VALUE!</v>
      </c>
      <c r="FA63" t="e">
        <f>FC62*'Hypothetical vaccine model'!$J63*HelperFunctions!$R66</f>
        <v>#VALUE!</v>
      </c>
      <c r="FB63" t="e">
        <f>FC62*'Hypothetical vaccine model'!$K63</f>
        <v>#VALUE!</v>
      </c>
      <c r="FC63" s="84" t="e">
        <f t="shared" si="51"/>
        <v>#VALUE!</v>
      </c>
      <c r="FD63" t="e">
        <f>FF62*'Hypothetical vaccine model'!$J63*HelperFunctions!$R65</f>
        <v>#VALUE!</v>
      </c>
      <c r="FE63" t="e">
        <f>FF62*'Hypothetical vaccine model'!$K63</f>
        <v>#VALUE!</v>
      </c>
      <c r="FF63" s="84" t="e">
        <f t="shared" si="52"/>
        <v>#VALUE!</v>
      </c>
      <c r="FG63" t="e">
        <f>FI62*'Hypothetical vaccine model'!$J63*HelperFunctions!$R64</f>
        <v>#VALUE!</v>
      </c>
      <c r="FH63" t="e">
        <f>FI62*'Hypothetical vaccine model'!$K63</f>
        <v>#VALUE!</v>
      </c>
      <c r="FI63" s="84" t="e">
        <f t="shared" si="53"/>
        <v>#VALUE!</v>
      </c>
      <c r="FJ63" t="e">
        <f>FL62*'Hypothetical vaccine model'!$J63*HelperFunctions!$R63</f>
        <v>#VALUE!</v>
      </c>
      <c r="FK63" t="e">
        <f>FL62*'Hypothetical vaccine model'!$K63</f>
        <v>#VALUE!</v>
      </c>
      <c r="FL63" s="84" t="e">
        <f t="shared" si="54"/>
        <v>#VALUE!</v>
      </c>
      <c r="FM63" t="e">
        <f>FO62*'Hypothetical vaccine model'!$J63*HelperFunctions!$R62</f>
        <v>#VALUE!</v>
      </c>
      <c r="FN63" t="e">
        <f>FO62*'Hypothetical vaccine model'!$K63</f>
        <v>#VALUE!</v>
      </c>
      <c r="FO63" s="84" t="e">
        <f t="shared" si="55"/>
        <v>#VALUE!</v>
      </c>
      <c r="FP63" t="e">
        <f>FR62*'Hypothetical vaccine model'!$J63*HelperFunctions!$R61</f>
        <v>#VALUE!</v>
      </c>
      <c r="FQ63" t="e">
        <f>FR62*'Hypothetical vaccine model'!$K63</f>
        <v>#VALUE!</v>
      </c>
      <c r="FR63" s="84" t="e">
        <f t="shared" si="56"/>
        <v>#VALUE!</v>
      </c>
      <c r="FS63" t="e">
        <f>FU62*'Hypothetical vaccine model'!$J63*HelperFunctions!$R60</f>
        <v>#VALUE!</v>
      </c>
      <c r="FT63" t="e">
        <f>FU62*'Hypothetical vaccine model'!$K63</f>
        <v>#VALUE!</v>
      </c>
      <c r="FU63" s="84" t="e">
        <f>FU62-FS63-FT63</f>
        <v>#VALUE!</v>
      </c>
      <c r="FV63" t="e">
        <f>FX62*'Hypothetical vaccine model'!$J63*HelperFunctions!$R59</f>
        <v>#VALUE!</v>
      </c>
      <c r="FW63" t="e">
        <f>FX62*'Hypothetical vaccine model'!$K63</f>
        <v>#VALUE!</v>
      </c>
      <c r="FX63" s="84" t="e">
        <f>FX62-FV63-FW63</f>
        <v>#VALUE!</v>
      </c>
      <c r="FY63" s="93"/>
      <c r="FZ63" s="93"/>
      <c r="GA63" s="84" t="e">
        <f>Export!$N61*Export!$B61*(1-HelperFunctions!$G$59)</f>
        <v>#VALUE!</v>
      </c>
    </row>
  </sheetData>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4" tint="-0.249977111117893"/>
  </sheetPr>
  <dimension ref="A1:AS66"/>
  <sheetViews>
    <sheetView topLeftCell="Q1" zoomScale="85" zoomScaleNormal="85" workbookViewId="0">
      <selection activeCell="AB27" sqref="AB27:AB30"/>
    </sheetView>
  </sheetViews>
  <sheetFormatPr defaultColWidth="10.90625" defaultRowHeight="14.5" x14ac:dyDescent="0.35"/>
  <cols>
    <col min="2" max="2" width="15.54296875" customWidth="1"/>
    <col min="3" max="14" width="20.1796875" customWidth="1"/>
    <col min="15" max="26" width="19.54296875" customWidth="1"/>
    <col min="27" max="81" width="20.1796875" customWidth="1"/>
  </cols>
  <sheetData>
    <row r="1" spans="1:43" ht="15.75" customHeight="1" x14ac:dyDescent="0.35"/>
    <row r="2" spans="1:43" ht="25.4" customHeight="1" x14ac:dyDescent="0.5">
      <c r="A2" s="344"/>
      <c r="B2" s="345"/>
      <c r="C2" s="346" t="s">
        <v>279</v>
      </c>
      <c r="D2" s="347"/>
      <c r="E2" s="347"/>
      <c r="F2" s="347"/>
      <c r="G2" s="347"/>
      <c r="H2" s="347"/>
      <c r="I2" s="347"/>
      <c r="J2" s="347"/>
      <c r="K2" s="348"/>
      <c r="L2" s="349" t="s">
        <v>280</v>
      </c>
      <c r="M2" s="350"/>
      <c r="N2" s="351"/>
      <c r="O2" s="352" t="s">
        <v>281</v>
      </c>
      <c r="P2" s="353"/>
      <c r="Q2" s="353"/>
      <c r="R2" s="353"/>
      <c r="S2" s="353"/>
      <c r="T2" s="353"/>
      <c r="U2" s="353"/>
      <c r="V2" s="353"/>
      <c r="W2" s="353"/>
      <c r="X2" s="353"/>
      <c r="Y2" s="353"/>
      <c r="Z2" s="353"/>
      <c r="AA2" s="354"/>
      <c r="AC2" s="355" t="s">
        <v>282</v>
      </c>
      <c r="AD2" s="340"/>
      <c r="AE2" s="340"/>
      <c r="AF2" s="340"/>
      <c r="AG2" s="356"/>
      <c r="AH2" s="339" t="s">
        <v>283</v>
      </c>
      <c r="AI2" s="340"/>
      <c r="AJ2" s="340"/>
      <c r="AK2" s="340"/>
      <c r="AL2" s="341"/>
      <c r="AM2" s="339" t="s">
        <v>284</v>
      </c>
      <c r="AN2" s="340"/>
      <c r="AO2" s="340"/>
      <c r="AP2" s="340"/>
      <c r="AQ2" s="341"/>
    </row>
    <row r="3" spans="1:43" ht="61.5" customHeight="1" x14ac:dyDescent="0.35">
      <c r="A3" s="118" t="s">
        <v>153</v>
      </c>
      <c r="B3" s="118" t="s">
        <v>64</v>
      </c>
      <c r="C3" s="119" t="s">
        <v>285</v>
      </c>
      <c r="D3" s="120" t="s">
        <v>215</v>
      </c>
      <c r="E3" s="120" t="s">
        <v>286</v>
      </c>
      <c r="F3" s="120" t="s">
        <v>287</v>
      </c>
      <c r="G3" s="120" t="s">
        <v>288</v>
      </c>
      <c r="H3" s="120" t="s">
        <v>289</v>
      </c>
      <c r="I3" s="120" t="s">
        <v>290</v>
      </c>
      <c r="J3" s="120" t="s">
        <v>291</v>
      </c>
      <c r="K3" s="121" t="s">
        <v>292</v>
      </c>
      <c r="L3" s="122" t="s">
        <v>28</v>
      </c>
      <c r="M3" s="123" t="s">
        <v>293</v>
      </c>
      <c r="N3" s="124" t="s">
        <v>294</v>
      </c>
      <c r="O3" s="125" t="s">
        <v>295</v>
      </c>
      <c r="P3" s="126" t="s">
        <v>296</v>
      </c>
      <c r="Q3" s="126" t="s">
        <v>297</v>
      </c>
      <c r="R3" s="126" t="s">
        <v>298</v>
      </c>
      <c r="S3" s="126" t="s">
        <v>299</v>
      </c>
      <c r="T3" s="126" t="s">
        <v>300</v>
      </c>
      <c r="U3" s="127" t="s">
        <v>301</v>
      </c>
      <c r="V3" s="125" t="s">
        <v>302</v>
      </c>
      <c r="W3" s="126" t="s">
        <v>303</v>
      </c>
      <c r="X3" s="126" t="s">
        <v>304</v>
      </c>
      <c r="Y3" s="126" t="s">
        <v>305</v>
      </c>
      <c r="Z3" s="126" t="s">
        <v>306</v>
      </c>
      <c r="AA3" s="127" t="s">
        <v>307</v>
      </c>
      <c r="AC3" s="128" t="s">
        <v>215</v>
      </c>
      <c r="AD3" s="129" t="s">
        <v>286</v>
      </c>
      <c r="AE3" s="129" t="s">
        <v>308</v>
      </c>
      <c r="AF3" s="129" t="s">
        <v>289</v>
      </c>
      <c r="AG3" s="129" t="s">
        <v>309</v>
      </c>
      <c r="AH3" s="128" t="s">
        <v>215</v>
      </c>
      <c r="AI3" s="129" t="s">
        <v>286</v>
      </c>
      <c r="AJ3" s="129" t="s">
        <v>308</v>
      </c>
      <c r="AK3" s="129" t="s">
        <v>289</v>
      </c>
      <c r="AL3" s="129" t="s">
        <v>309</v>
      </c>
      <c r="AM3" s="128" t="s">
        <v>215</v>
      </c>
      <c r="AN3" s="129" t="s">
        <v>286</v>
      </c>
      <c r="AO3" s="129" t="s">
        <v>308</v>
      </c>
      <c r="AP3" s="129" t="s">
        <v>289</v>
      </c>
      <c r="AQ3" s="129" t="s">
        <v>309</v>
      </c>
    </row>
    <row r="4" spans="1:43" x14ac:dyDescent="0.35">
      <c r="A4" s="130">
        <f>EffectivelyVax!B3</f>
        <v>0</v>
      </c>
      <c r="B4" s="131">
        <f>EffectivelyVax!C3</f>
        <v>0</v>
      </c>
      <c r="C4" s="132">
        <f>Export!N2</f>
        <v>0</v>
      </c>
      <c r="D4" s="133">
        <f>Export!C2</f>
        <v>0</v>
      </c>
      <c r="E4" s="133" t="e">
        <f>Export!C2*Export!L2</f>
        <v>#VALUE!</v>
      </c>
      <c r="F4" s="133" t="e">
        <f>D4+E4</f>
        <v>#VALUE!</v>
      </c>
      <c r="G4" s="133" t="e">
        <f>IF(Export!M2&lt;&gt;"",D4*Export!K2*(1/Export!M2),D4*Export!K2)</f>
        <v>#VALUE!</v>
      </c>
      <c r="H4" s="133" t="e">
        <f>F4*Export!J2</f>
        <v>#VALUE!</v>
      </c>
      <c r="I4" s="133" t="e">
        <f>C4-F4</f>
        <v>#VALUE!</v>
      </c>
      <c r="J4" s="134" t="e">
        <f>D4/C4</f>
        <v>#DIV/0!</v>
      </c>
      <c r="K4" s="135" t="e">
        <f>E4/C4</f>
        <v>#VALUE!</v>
      </c>
      <c r="L4" s="117">
        <f>Export!B2</f>
        <v>0</v>
      </c>
      <c r="M4" s="115">
        <f>C4*L4*HelperFunctions!G$3</f>
        <v>0</v>
      </c>
      <c r="N4" s="116">
        <f>C4*L4*(1-HelperFunctions!G$3)</f>
        <v>0</v>
      </c>
      <c r="O4" s="136" t="e">
        <f>C4-S4-M4-N4+P4</f>
        <v>#DIV/0!</v>
      </c>
      <c r="P4" s="137">
        <f>SUM(EffectivelyVax!D3:BK3)</f>
        <v>0</v>
      </c>
      <c r="Q4" s="138" t="e">
        <f>J4*C4</f>
        <v>#DIV/0!</v>
      </c>
      <c r="R4" s="138" t="e">
        <f>K4*C4</f>
        <v>#VALUE!</v>
      </c>
      <c r="S4" s="137" t="e">
        <f>Q4+R4</f>
        <v>#DIV/0!</v>
      </c>
      <c r="T4" s="138" t="e">
        <f>IF(Export!M2&lt;&gt;"",Q4*Export!K2*(1/Export!M2),Q4*Export!K2)</f>
        <v>#DIV/0!</v>
      </c>
      <c r="U4" s="139" t="e">
        <f>S4*Export!J2</f>
        <v>#DIV/0!</v>
      </c>
      <c r="V4" s="140">
        <f>SUM('NotEffectivelyVax (hypo)'!F4,'NotEffectivelyVax (hypo)'!I4,'NotEffectivelyVax (hypo)'!L4,'NotEffectivelyVax (hypo)'!O4,'NotEffectivelyVax (hypo)'!R4,'NotEffectivelyVax (hypo)'!U4,'NotEffectivelyVax (hypo)'!X4,'NotEffectivelyVax (hypo)'!AA4,'NotEffectivelyVax (hypo)'!AD4,'NotEffectivelyVax (hypo)'!AG4,'NotEffectivelyVax (hypo)'!AJ4,'NotEffectivelyVax (hypo)'!AM4,'NotEffectivelyVax (hypo)'!AP4,'NotEffectivelyVax (hypo)'!AS4,'NotEffectivelyVax (hypo)'!AV4,'NotEffectivelyVax (hypo)'!AY4,'NotEffectivelyVax (hypo)'!BB4,'NotEffectivelyVax (hypo)'!BE4,'NotEffectivelyVax (hypo)'!BH4,'NotEffectivelyVax (hypo)'!BK4,'NotEffectivelyVax (hypo)'!BN4,'NotEffectivelyVax (hypo)'!BQ4,'NotEffectivelyVax (hypo)'!BT4,'NotEffectivelyVax (hypo)'!BW4,'NotEffectivelyVax (hypo)'!BZ4,'NotEffectivelyVax (hypo)'!CC4,'NotEffectivelyVax (hypo)'!CF4,'NotEffectivelyVax (hypo)'!CI4,'NotEffectivelyVax (hypo)'!CL4,'NotEffectivelyVax (hypo)'!CO4,'NotEffectivelyVax (hypo)'!CR4,'NotEffectivelyVax (hypo)'!CU4,'NotEffectivelyVax (hypo)'!CX4,'NotEffectivelyVax (hypo)'!DA4,'NotEffectivelyVax (hypo)'!DD4,'NotEffectivelyVax (hypo)'!DG4,'NotEffectivelyVax (hypo)'!DJ4,'NotEffectivelyVax (hypo)'!DM4,'NotEffectivelyVax (hypo)'!DQ4,'NotEffectivelyVax (hypo)'!DP4,'NotEffectivelyVax (hypo)'!DS4,'NotEffectivelyVax (hypo)'!DV4,'NotEffectivelyVax (hypo)'!DY4,'NotEffectivelyVax (hypo)'!EB4,'NotEffectivelyVax (hypo)'!EE4,'NotEffectivelyVax (hypo)'!EH4,'NotEffectivelyVax (hypo)'!EK4,'NotEffectivelyVax (hypo)'!EN4,'NotEffectivelyVax (hypo)'!EQ4,'NotEffectivelyVax (hypo)'!ET4,'NotEffectivelyVax (hypo)'!EW4,'NotEffectivelyVax (hypo)'!EZ4,'NotEffectivelyVax (hypo)'!FC4,'NotEffectivelyVax (hypo)'!FF4,'NotEffectivelyVax (hypo)'!FI4,'NotEffectivelyVax (hypo)'!FL4,'NotEffectivelyVax (hypo)'!FO4,'NotEffectivelyVax (hypo)'!FR4,'NotEffectivelyVax (hypo)'!FU4,'NotEffectivelyVax (hypo)'!FX4,'NotEffectivelyVax (hypo)'!GA4)</f>
        <v>0</v>
      </c>
      <c r="W4" s="141">
        <f>SUM('NotEffectivelyVax (hypo)'!D4,'NotEffectivelyVax (hypo)'!G4,'NotEffectivelyVax (hypo)'!J4,'NotEffectivelyVax (hypo)'!M4,'NotEffectivelyVax (hypo)'!P4,'NotEffectivelyVax (hypo)'!S4,'NotEffectivelyVax (hypo)'!V4,'NotEffectivelyVax (hypo)'!Y4,'NotEffectivelyVax (hypo)'!AB4,'NotEffectivelyVax (hypo)'!AE4,'NotEffectivelyVax (hypo)'!AH4,'NotEffectivelyVax (hypo)'!AK4,'NotEffectivelyVax (hypo)'!AN4,'NotEffectivelyVax (hypo)'!AQ4,'NotEffectivelyVax (hypo)'!AT4,'NotEffectivelyVax (hypo)'!AW4,'NotEffectivelyVax (hypo)'!AZ4,'NotEffectivelyVax (hypo)'!BC4,'NotEffectivelyVax (hypo)'!BF4,'NotEffectivelyVax (hypo)'!BI4,'NotEffectivelyVax (hypo)'!BL4,'NotEffectivelyVax (hypo)'!BO4,'NotEffectivelyVax (hypo)'!BR4,'NotEffectivelyVax (hypo)'!BU4,'NotEffectivelyVax (hypo)'!BX4,'NotEffectivelyVax (hypo)'!CA4,'NotEffectivelyVax (hypo)'!CD4,'NotEffectivelyVax (hypo)'!CG4,'NotEffectivelyVax (hypo)'!CJ4,'NotEffectivelyVax (hypo)'!CM4,'NotEffectivelyVax (hypo)'!CP4,'NotEffectivelyVax (hypo)'!CS4,'NotEffectivelyVax (hypo)'!CV4,'NotEffectivelyVax (hypo)'!CY4,'NotEffectivelyVax (hypo)'!DB4,'NotEffectivelyVax (hypo)'!DE4,'NotEffectivelyVax (hypo)'!DH4,'NotEffectivelyVax (hypo)'!DK4,'NotEffectivelyVax (hypo)'!DN4,'NotEffectivelyVax (hypo)'!DQ4,'NotEffectivelyVax (hypo)'!DT4,'NotEffectivelyVax (hypo)'!DW4,'NotEffectivelyVax (hypo)'!DZ4,'NotEffectivelyVax (hypo)'!EC4,'NotEffectivelyVax (hypo)'!EF4,'NotEffectivelyVax (hypo)'!EI4,'NotEffectivelyVax (hypo)'!EL4,'NotEffectivelyVax (hypo)'!EO4,'NotEffectivelyVax (hypo)'!ER4,'NotEffectivelyVax (hypo)'!EU4,'NotEffectivelyVax (hypo)'!EX4,'NotEffectivelyVax (hypo)'!FA4,'NotEffectivelyVax (hypo)'!FD4,'NotEffectivelyVax (hypo)'!FG4,'NotEffectivelyVax (hypo)'!FJ4,'NotEffectivelyVax (hypo)'!FM4,'NotEffectivelyVax (hypo)'!FP4,'NotEffectivelyVax (hypo)'!FS4,'NotEffectivelyVax (hypo)'!FV4,'NotEffectivelyVax (hypo)'!FY4)</f>
        <v>0</v>
      </c>
      <c r="X4" s="141">
        <f>SUM('NotEffectivelyVax (hypo)'!E4,'NotEffectivelyVax (hypo)'!H4,'NotEffectivelyVax (hypo)'!K4,'NotEffectivelyVax (hypo)'!N4,'NotEffectivelyVax (hypo)'!Q4,'NotEffectivelyVax (hypo)'!T4,'NotEffectivelyVax (hypo)'!Z4,'NotEffectivelyVax (hypo)'!W4,'NotEffectivelyVax (hypo)'!AC4,'NotEffectivelyVax (hypo)'!AF4,'NotEffectivelyVax (hypo)'!AI4,'NotEffectivelyVax (hypo)'!AL4,'NotEffectivelyVax (hypo)'!AO4,'NotEffectivelyVax (hypo)'!AR4,'NotEffectivelyVax (hypo)'!AU4,'NotEffectivelyVax (hypo)'!AX4,'NotEffectivelyVax (hypo)'!BA4,'NotEffectivelyVax (hypo)'!BD4,'NotEffectivelyVax (hypo)'!BG4,'NotEffectivelyVax (hypo)'!BJ4,'NotEffectivelyVax (hypo)'!BM4,'NotEffectivelyVax (hypo)'!BP4,'NotEffectivelyVax (hypo)'!BS4,'NotEffectivelyVax (hypo)'!BV4,'NotEffectivelyVax (hypo)'!BY4,'NotEffectivelyVax (hypo)'!CB4,'NotEffectivelyVax (hypo)'!CE4,'NotEffectivelyVax (hypo)'!CH4,'NotEffectivelyVax (hypo)'!CK4,'NotEffectivelyVax (hypo)'!CN4,'NotEffectivelyVax (hypo)'!CQ4,'NotEffectivelyVax (hypo)'!CT4,'NotEffectivelyVax (hypo)'!CW4,'NotEffectivelyVax (hypo)'!CZ4,'NotEffectivelyVax (hypo)'!DC4,'NotEffectivelyVax (hypo)'!DF4,'NotEffectivelyVax (hypo)'!DI4,'NotEffectivelyVax (hypo)'!DL4,'NotEffectivelyVax (hypo)'!DO4,'NotEffectivelyVax (hypo)'!DR4,'NotEffectivelyVax (hypo)'!DU4,'NotEffectivelyVax (hypo)'!DX4,'NotEffectivelyVax (hypo)'!EA4,'NotEffectivelyVax (hypo)'!ED4,'NotEffectivelyVax (hypo)'!EG4,'NotEffectivelyVax (hypo)'!EJ4,'NotEffectivelyVax (hypo)'!EM4,'NotEffectivelyVax (hypo)'!EP4,'NotEffectivelyVax (hypo)'!ES4,'NotEffectivelyVax (hypo)'!EV4,'NotEffectivelyVax (hypo)'!EY4,'NotEffectivelyVax (hypo)'!FB4,'NotEffectivelyVax (hypo)'!FE4,'NotEffectivelyVax (hypo)'!FH4,'NotEffectivelyVax (hypo)'!FK4,'NotEffectivelyVax (hypo)'!FN4,'NotEffectivelyVax (hypo)'!FQ4,'NotEffectivelyVax (hypo)'!FT4,'NotEffectivelyVax (hypo)'!FW4,'NotEffectivelyVax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row>
    <row r="5" spans="1:43" x14ac:dyDescent="0.35">
      <c r="A5" s="130">
        <f>EffectivelyVax!B4</f>
        <v>0</v>
      </c>
      <c r="B5" s="131">
        <f>EffectivelyVax!C4</f>
        <v>0</v>
      </c>
      <c r="C5" s="132">
        <f>Export!N3</f>
        <v>0</v>
      </c>
      <c r="D5" s="133">
        <f>Export!C3</f>
        <v>0</v>
      </c>
      <c r="E5" s="133" t="e">
        <f>Export!C3*Export!L3</f>
        <v>#VALUE!</v>
      </c>
      <c r="F5" s="133" t="e">
        <f t="shared" ref="F5:F15" si="0">D5+E5</f>
        <v>#VALUE!</v>
      </c>
      <c r="G5" s="133" t="e">
        <f>IF(Export!M3&lt;&gt;"",D5*Export!K3*(1/Export!M3),D5*Export!K3)</f>
        <v>#VALUE!</v>
      </c>
      <c r="H5" s="133" t="e">
        <f>F5*Export!J3</f>
        <v>#VALUE!</v>
      </c>
      <c r="I5" s="133" t="e">
        <f>I4-F5</f>
        <v>#VALUE!</v>
      </c>
      <c r="J5" s="134" t="e">
        <f>D5/I4</f>
        <v>#VALUE!</v>
      </c>
      <c r="K5" s="135" t="e">
        <f>E5/I4</f>
        <v>#VALUE!</v>
      </c>
      <c r="L5" s="117">
        <f>Export!B3</f>
        <v>0</v>
      </c>
      <c r="M5" s="115">
        <f>C5*L5*HelperFunctions!G$3</f>
        <v>0</v>
      </c>
      <c r="N5" s="116">
        <f>C5*L5*(1-HelperFunctions!G$3)</f>
        <v>0</v>
      </c>
      <c r="O5" s="136" t="e">
        <f>O4-S5-M5-N5+P5</f>
        <v>#DIV/0!</v>
      </c>
      <c r="P5" s="137">
        <f>SUM(EffectivelyVax!D4:BK4)</f>
        <v>0</v>
      </c>
      <c r="Q5" s="138" t="e">
        <f>O4*J5</f>
        <v>#DIV/0!</v>
      </c>
      <c r="R5" s="138" t="e">
        <f>O4*K5</f>
        <v>#DIV/0!</v>
      </c>
      <c r="S5" s="137" t="e">
        <f t="shared" ref="S5:S63" si="1">Q5+R5</f>
        <v>#DIV/0!</v>
      </c>
      <c r="T5" s="138" t="e">
        <f>IF(Export!M3&lt;&gt;"",Q5*Export!K3*(1/Export!M3),Q5*Export!K3)</f>
        <v>#DIV/0!</v>
      </c>
      <c r="U5" s="139" t="e">
        <f>S5*Export!J3</f>
        <v>#DIV/0!</v>
      </c>
      <c r="V5" s="140" t="e">
        <f>SUM('NotEffectivelyVax (hypo)'!F5,'NotEffectivelyVax (hypo)'!I5,'NotEffectivelyVax (hypo)'!L5,'NotEffectivelyVax (hypo)'!O5,'NotEffectivelyVax (hypo)'!R5,'NotEffectivelyVax (hypo)'!U5,'NotEffectivelyVax (hypo)'!X5,'NotEffectivelyVax (hypo)'!AA5,'NotEffectivelyVax (hypo)'!AD5,'NotEffectivelyVax (hypo)'!AG5,'NotEffectivelyVax (hypo)'!AJ5,'NotEffectivelyVax (hypo)'!AM5,'NotEffectivelyVax (hypo)'!AP5,'NotEffectivelyVax (hypo)'!AS5,'NotEffectivelyVax (hypo)'!AV5,'NotEffectivelyVax (hypo)'!AY5,'NotEffectivelyVax (hypo)'!BB5,'NotEffectivelyVax (hypo)'!BE5,'NotEffectivelyVax (hypo)'!BH5,'NotEffectivelyVax (hypo)'!BK5,'NotEffectivelyVax (hypo)'!BN5,'NotEffectivelyVax (hypo)'!BQ5,'NotEffectivelyVax (hypo)'!BT5,'NotEffectivelyVax (hypo)'!BW5,'NotEffectivelyVax (hypo)'!BZ5,'NotEffectivelyVax (hypo)'!CC5,'NotEffectivelyVax (hypo)'!CF5,'NotEffectivelyVax (hypo)'!CI5,'NotEffectivelyVax (hypo)'!CL5,'NotEffectivelyVax (hypo)'!CO5,'NotEffectivelyVax (hypo)'!CR5,'NotEffectivelyVax (hypo)'!CU5,'NotEffectivelyVax (hypo)'!CX5,'NotEffectivelyVax (hypo)'!DA5,'NotEffectivelyVax (hypo)'!DD5,'NotEffectivelyVax (hypo)'!DG5,'NotEffectivelyVax (hypo)'!DJ5,'NotEffectivelyVax (hypo)'!DM5,'NotEffectivelyVax (hypo)'!DQ5,'NotEffectivelyVax (hypo)'!DP5,'NotEffectivelyVax (hypo)'!DS5,'NotEffectivelyVax (hypo)'!DV5,'NotEffectivelyVax (hypo)'!DY5,'NotEffectivelyVax (hypo)'!EB5,'NotEffectivelyVax (hypo)'!EE5,'NotEffectivelyVax (hypo)'!EH5,'NotEffectivelyVax (hypo)'!EK5,'NotEffectivelyVax (hypo)'!EN5,'NotEffectivelyVax (hypo)'!EQ5,'NotEffectivelyVax (hypo)'!ET5,'NotEffectivelyVax (hypo)'!EW5,'NotEffectivelyVax (hypo)'!EZ5,'NotEffectivelyVax (hypo)'!FC5,'NotEffectivelyVax (hypo)'!FF5,'NotEffectivelyVax (hypo)'!FI5,'NotEffectivelyVax (hypo)'!FL5,'NotEffectivelyVax (hypo)'!FO5,'NotEffectivelyVax (hypo)'!FR5,'NotEffectivelyVax (hypo)'!FU5,'NotEffectivelyVax (hypo)'!FX5,'NotEffectivelyVax (hypo)'!GA5)</f>
        <v>#VALUE!</v>
      </c>
      <c r="W5" s="141" t="e">
        <f>SUM('NotEffectivelyVax (hypo)'!D5,'NotEffectivelyVax (hypo)'!G5,'NotEffectivelyVax (hypo)'!J5,'NotEffectivelyVax (hypo)'!M5,'NotEffectivelyVax (hypo)'!P5,'NotEffectivelyVax (hypo)'!S5,'NotEffectivelyVax (hypo)'!V5,'NotEffectivelyVax (hypo)'!Y5,'NotEffectivelyVax (hypo)'!AB5,'NotEffectivelyVax (hypo)'!AE5,'NotEffectivelyVax (hypo)'!AH5,'NotEffectivelyVax (hypo)'!AK5,'NotEffectivelyVax (hypo)'!AN5,'NotEffectivelyVax (hypo)'!AQ5,'NotEffectivelyVax (hypo)'!AT5,'NotEffectivelyVax (hypo)'!AW5,'NotEffectivelyVax (hypo)'!AZ5,'NotEffectivelyVax (hypo)'!BC5,'NotEffectivelyVax (hypo)'!BF5,'NotEffectivelyVax (hypo)'!BI5,'NotEffectivelyVax (hypo)'!BL5,'NotEffectivelyVax (hypo)'!BO5,'NotEffectivelyVax (hypo)'!BR5,'NotEffectivelyVax (hypo)'!BU5,'NotEffectivelyVax (hypo)'!BX5,'NotEffectivelyVax (hypo)'!CA5,'NotEffectivelyVax (hypo)'!CD5,'NotEffectivelyVax (hypo)'!CG5,'NotEffectivelyVax (hypo)'!CJ5,'NotEffectivelyVax (hypo)'!CM5,'NotEffectivelyVax (hypo)'!CP5,'NotEffectivelyVax (hypo)'!CS5,'NotEffectivelyVax (hypo)'!CV5,'NotEffectivelyVax (hypo)'!CY5,'NotEffectivelyVax (hypo)'!DB5,'NotEffectivelyVax (hypo)'!DE5,'NotEffectivelyVax (hypo)'!DH5,'NotEffectivelyVax (hypo)'!DK5,'NotEffectivelyVax (hypo)'!DN5,'NotEffectivelyVax (hypo)'!DQ5,'NotEffectivelyVax (hypo)'!DT5,'NotEffectivelyVax (hypo)'!DW5,'NotEffectivelyVax (hypo)'!DZ5,'NotEffectivelyVax (hypo)'!EC5,'NotEffectivelyVax (hypo)'!EF5,'NotEffectivelyVax (hypo)'!EI5,'NotEffectivelyVax (hypo)'!EL5,'NotEffectivelyVax (hypo)'!EO5,'NotEffectivelyVax (hypo)'!ER5,'NotEffectivelyVax (hypo)'!EU5,'NotEffectivelyVax (hypo)'!EX5,'NotEffectivelyVax (hypo)'!FA5,'NotEffectivelyVax (hypo)'!FD5,'NotEffectivelyVax (hypo)'!FG5,'NotEffectivelyVax (hypo)'!FJ5,'NotEffectivelyVax (hypo)'!FM5,'NotEffectivelyVax (hypo)'!FP5,'NotEffectivelyVax (hypo)'!FS5,'NotEffectivelyVax (hypo)'!FV5,'NotEffectivelyVax (hypo)'!FY5)</f>
        <v>#VALUE!</v>
      </c>
      <c r="X5" s="141" t="e">
        <f>SUM('NotEffectivelyVax (hypo)'!E5,'NotEffectivelyVax (hypo)'!H5,'NotEffectivelyVax (hypo)'!K5,'NotEffectivelyVax (hypo)'!N5,'NotEffectivelyVax (hypo)'!Q5,'NotEffectivelyVax (hypo)'!T5,'NotEffectivelyVax (hypo)'!Z5,'NotEffectivelyVax (hypo)'!W5,'NotEffectivelyVax (hypo)'!AC5,'NotEffectivelyVax (hypo)'!AF5,'NotEffectivelyVax (hypo)'!AI5,'NotEffectivelyVax (hypo)'!AL5,'NotEffectivelyVax (hypo)'!AO5,'NotEffectivelyVax (hypo)'!AR5,'NotEffectivelyVax (hypo)'!AU5,'NotEffectivelyVax (hypo)'!AX5,'NotEffectivelyVax (hypo)'!BA5,'NotEffectivelyVax (hypo)'!BD5,'NotEffectivelyVax (hypo)'!BG5,'NotEffectivelyVax (hypo)'!BJ5,'NotEffectivelyVax (hypo)'!BM5,'NotEffectivelyVax (hypo)'!BP5,'NotEffectivelyVax (hypo)'!BS5,'NotEffectivelyVax (hypo)'!BV5,'NotEffectivelyVax (hypo)'!BY5,'NotEffectivelyVax (hypo)'!CB5,'NotEffectivelyVax (hypo)'!CE5,'NotEffectivelyVax (hypo)'!CH5,'NotEffectivelyVax (hypo)'!CK5,'NotEffectivelyVax (hypo)'!CN5,'NotEffectivelyVax (hypo)'!CQ5,'NotEffectivelyVax (hypo)'!CT5,'NotEffectivelyVax (hypo)'!CW5,'NotEffectivelyVax (hypo)'!CZ5,'NotEffectivelyVax (hypo)'!DC5,'NotEffectivelyVax (hypo)'!DF5,'NotEffectivelyVax (hypo)'!DI5,'NotEffectivelyVax (hypo)'!DL5,'NotEffectivelyVax (hypo)'!DO5,'NotEffectivelyVax (hypo)'!DR5,'NotEffectivelyVax (hypo)'!DU5,'NotEffectivelyVax (hypo)'!DX5,'NotEffectivelyVax (hypo)'!EA5,'NotEffectivelyVax (hypo)'!ED5,'NotEffectivelyVax (hypo)'!EG5,'NotEffectivelyVax (hypo)'!EJ5,'NotEffectivelyVax (hypo)'!EM5,'NotEffectivelyVax (hypo)'!EP5,'NotEffectivelyVax (hypo)'!ES5,'NotEffectivelyVax (hypo)'!EV5,'NotEffectivelyVax (hypo)'!EY5,'NotEffectivelyVax (hypo)'!FB5,'NotEffectivelyVax (hypo)'!FE5,'NotEffectivelyVax (hypo)'!FH5,'NotEffectivelyVax (hypo)'!FK5,'NotEffectivelyVax (hypo)'!FN5,'NotEffectivelyVax (hypo)'!FQ5,'NotEffectivelyVax (hypo)'!FT5,'NotEffectivelyVax (hypo)'!FW5,'NotEffectivelyVax (hypo)'!FZ5)</f>
        <v>#VALUE!</v>
      </c>
      <c r="Y5" s="142" t="e">
        <f t="shared" ref="Y5:Y63" si="2">W5+X5</f>
        <v>#VALUE!</v>
      </c>
      <c r="Z5" s="142" t="e">
        <f>IF(Export!M3&lt;&gt;"",W5*Export!K3*(1/Export!M3),W5*Export!K3)</f>
        <v>#VALUE!</v>
      </c>
      <c r="AA5" s="139" t="e">
        <f>Y5*Export!J3</f>
        <v>#VALUE!</v>
      </c>
      <c r="AC5" s="143" t="e">
        <f t="shared" ref="AC5:AC63" si="3">$D5-($Q5+$W5)</f>
        <v>#DIV/0!</v>
      </c>
      <c r="AD5" s="144" t="e">
        <f>$E5-($R5+$X5)</f>
        <v>#VALUE!</v>
      </c>
      <c r="AE5" s="144" t="e">
        <f t="shared" ref="AE5:AE63" si="4">$G5-($T5+$Z5)</f>
        <v>#VALUE!</v>
      </c>
      <c r="AF5" s="144" t="e">
        <f t="shared" ref="AF5:AF63" si="5">$H5-($U5+$AA5)</f>
        <v>#VALUE!</v>
      </c>
      <c r="AG5" s="144" t="e">
        <f t="shared" ref="AG5:AG63" si="6">$AC5+$AD5</f>
        <v>#DIV/0!</v>
      </c>
      <c r="AH5" s="145"/>
      <c r="AI5" s="145"/>
      <c r="AJ5" s="145"/>
      <c r="AK5" s="145"/>
      <c r="AL5" s="146"/>
      <c r="AM5" s="145"/>
      <c r="AN5" s="145"/>
      <c r="AO5" s="145"/>
      <c r="AP5" s="145"/>
      <c r="AQ5" s="146"/>
    </row>
    <row r="6" spans="1:43" x14ac:dyDescent="0.35">
      <c r="A6" s="130">
        <f>EffectivelyVax!B5</f>
        <v>0</v>
      </c>
      <c r="B6" s="131">
        <f>EffectivelyVax!C5</f>
        <v>0</v>
      </c>
      <c r="C6" s="132">
        <f>Export!N4</f>
        <v>0</v>
      </c>
      <c r="D6" s="133">
        <f>Export!C4</f>
        <v>0</v>
      </c>
      <c r="E6" s="133" t="e">
        <f>Export!C4*Export!L4</f>
        <v>#VALUE!</v>
      </c>
      <c r="F6" s="133" t="e">
        <f t="shared" si="0"/>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Export!B4</f>
        <v>0</v>
      </c>
      <c r="M6" s="115">
        <f>C6*L6*HelperFunctions!G$3</f>
        <v>0</v>
      </c>
      <c r="N6" s="116">
        <f>C6*L6*(1-HelperFunctions!G$3)</f>
        <v>0</v>
      </c>
      <c r="O6" s="136" t="e">
        <f t="shared" ref="O6:O11" si="10">O5-S6-M6-N6+P6</f>
        <v>#DIV/0!</v>
      </c>
      <c r="P6" s="137">
        <f>SUM(EffectivelyVax!D5:BK5)</f>
        <v>0</v>
      </c>
      <c r="Q6" s="138" t="e">
        <f t="shared" ref="Q6:Q63" si="11">O5*J6</f>
        <v>#DIV/0!</v>
      </c>
      <c r="R6" s="138" t="e">
        <f t="shared" ref="R6:R63" si="12">O5*K6</f>
        <v>#DIV/0!</v>
      </c>
      <c r="S6" s="137" t="e">
        <f t="shared" si="1"/>
        <v>#DIV/0!</v>
      </c>
      <c r="T6" s="138" t="e">
        <f>IF(Export!M4&lt;&gt;"",Q6*Export!K4*(1/Export!M4),Q6*Export!K4)</f>
        <v>#DIV/0!</v>
      </c>
      <c r="U6" s="139" t="e">
        <f>S6*Export!J4</f>
        <v>#DIV/0!</v>
      </c>
      <c r="V6" s="140" t="e">
        <f>SUM('NotEffectivelyVax (hypo)'!F6,'NotEffectivelyVax (hypo)'!I6,'NotEffectivelyVax (hypo)'!L6,'NotEffectivelyVax (hypo)'!O6,'NotEffectivelyVax (hypo)'!R6,'NotEffectivelyVax (hypo)'!U6,'NotEffectivelyVax (hypo)'!X6,'NotEffectivelyVax (hypo)'!AA6,'NotEffectivelyVax (hypo)'!AD6,'NotEffectivelyVax (hypo)'!AG6,'NotEffectivelyVax (hypo)'!AJ6,'NotEffectivelyVax (hypo)'!AM6,'NotEffectivelyVax (hypo)'!AP6,'NotEffectivelyVax (hypo)'!AS6,'NotEffectivelyVax (hypo)'!AV6,'NotEffectivelyVax (hypo)'!AY6,'NotEffectivelyVax (hypo)'!BB6,'NotEffectivelyVax (hypo)'!BE6,'NotEffectivelyVax (hypo)'!BH6,'NotEffectivelyVax (hypo)'!BK6,'NotEffectivelyVax (hypo)'!BN6,'NotEffectivelyVax (hypo)'!BQ6,'NotEffectivelyVax (hypo)'!BT6,'NotEffectivelyVax (hypo)'!BW6,'NotEffectivelyVax (hypo)'!BZ6,'NotEffectivelyVax (hypo)'!CC6,'NotEffectivelyVax (hypo)'!CF6,'NotEffectivelyVax (hypo)'!CI6,'NotEffectivelyVax (hypo)'!CL6,'NotEffectivelyVax (hypo)'!CO6,'NotEffectivelyVax (hypo)'!CR6,'NotEffectivelyVax (hypo)'!CU6,'NotEffectivelyVax (hypo)'!CX6,'NotEffectivelyVax (hypo)'!DA6,'NotEffectivelyVax (hypo)'!DD6,'NotEffectivelyVax (hypo)'!DG6,'NotEffectivelyVax (hypo)'!DJ6,'NotEffectivelyVax (hypo)'!DM6,'NotEffectivelyVax (hypo)'!DQ6,'NotEffectivelyVax (hypo)'!DP6,'NotEffectivelyVax (hypo)'!DS6,'NotEffectivelyVax (hypo)'!DV6,'NotEffectivelyVax (hypo)'!DY6,'NotEffectivelyVax (hypo)'!EB6,'NotEffectivelyVax (hypo)'!EE6,'NotEffectivelyVax (hypo)'!EH6,'NotEffectivelyVax (hypo)'!EK6,'NotEffectivelyVax (hypo)'!EN6,'NotEffectivelyVax (hypo)'!EQ6,'NotEffectivelyVax (hypo)'!ET6,'NotEffectivelyVax (hypo)'!EW6,'NotEffectivelyVax (hypo)'!EZ6,'NotEffectivelyVax (hypo)'!FC6,'NotEffectivelyVax (hypo)'!FF6,'NotEffectivelyVax (hypo)'!FI6,'NotEffectivelyVax (hypo)'!FL6,'NotEffectivelyVax (hypo)'!FO6,'NotEffectivelyVax (hypo)'!FR6,'NotEffectivelyVax (hypo)'!FU6,'NotEffectivelyVax (hypo)'!FX6,'NotEffectivelyVax (hypo)'!GA6)</f>
        <v>#VALUE!</v>
      </c>
      <c r="W6" s="141" t="e">
        <f>SUM('NotEffectivelyVax (hypo)'!D6,'NotEffectivelyVax (hypo)'!G6,'NotEffectivelyVax (hypo)'!J6,'NotEffectivelyVax (hypo)'!M6,'NotEffectivelyVax (hypo)'!P6,'NotEffectivelyVax (hypo)'!S6,'NotEffectivelyVax (hypo)'!V6,'NotEffectivelyVax (hypo)'!Y6,'NotEffectivelyVax (hypo)'!AB6,'NotEffectivelyVax (hypo)'!AE6,'NotEffectivelyVax (hypo)'!AH6,'NotEffectivelyVax (hypo)'!AK6,'NotEffectivelyVax (hypo)'!AN6,'NotEffectivelyVax (hypo)'!AQ6,'NotEffectivelyVax (hypo)'!AT6,'NotEffectivelyVax (hypo)'!AW6,'NotEffectivelyVax (hypo)'!AZ6,'NotEffectivelyVax (hypo)'!BC6,'NotEffectivelyVax (hypo)'!BF6,'NotEffectivelyVax (hypo)'!BI6,'NotEffectivelyVax (hypo)'!BL6,'NotEffectivelyVax (hypo)'!BO6,'NotEffectivelyVax (hypo)'!BR6,'NotEffectivelyVax (hypo)'!BU6,'NotEffectivelyVax (hypo)'!BX6,'NotEffectivelyVax (hypo)'!CA6,'NotEffectivelyVax (hypo)'!CD6,'NotEffectivelyVax (hypo)'!CG6,'NotEffectivelyVax (hypo)'!CJ6,'NotEffectivelyVax (hypo)'!CM6,'NotEffectivelyVax (hypo)'!CP6,'NotEffectivelyVax (hypo)'!CS6,'NotEffectivelyVax (hypo)'!CV6,'NotEffectivelyVax (hypo)'!CY6,'NotEffectivelyVax (hypo)'!DB6,'NotEffectivelyVax (hypo)'!DE6,'NotEffectivelyVax (hypo)'!DH6,'NotEffectivelyVax (hypo)'!DK6,'NotEffectivelyVax (hypo)'!DN6,'NotEffectivelyVax (hypo)'!DQ6,'NotEffectivelyVax (hypo)'!DT6,'NotEffectivelyVax (hypo)'!DW6,'NotEffectivelyVax (hypo)'!DZ6,'NotEffectivelyVax (hypo)'!EC6,'NotEffectivelyVax (hypo)'!EF6,'NotEffectivelyVax (hypo)'!EI6,'NotEffectivelyVax (hypo)'!EL6,'NotEffectivelyVax (hypo)'!EO6,'NotEffectivelyVax (hypo)'!ER6,'NotEffectivelyVax (hypo)'!EU6,'NotEffectivelyVax (hypo)'!EX6,'NotEffectivelyVax (hypo)'!FA6,'NotEffectivelyVax (hypo)'!FD6,'NotEffectivelyVax (hypo)'!FG6,'NotEffectivelyVax (hypo)'!FJ6,'NotEffectivelyVax (hypo)'!FM6,'NotEffectivelyVax (hypo)'!FP6,'NotEffectivelyVax (hypo)'!FS6,'NotEffectivelyVax (hypo)'!FV6,'NotEffectivelyVax (hypo)'!FY6)</f>
        <v>#VALUE!</v>
      </c>
      <c r="X6" s="141" t="e">
        <f>SUM('NotEffectivelyVax (hypo)'!E6,'NotEffectivelyVax (hypo)'!H6,'NotEffectivelyVax (hypo)'!K6,'NotEffectivelyVax (hypo)'!N6,'NotEffectivelyVax (hypo)'!Q6,'NotEffectivelyVax (hypo)'!T6,'NotEffectivelyVax (hypo)'!Z6,'NotEffectivelyVax (hypo)'!W6,'NotEffectivelyVax (hypo)'!AC6,'NotEffectivelyVax (hypo)'!AF6,'NotEffectivelyVax (hypo)'!AI6,'NotEffectivelyVax (hypo)'!AL6,'NotEffectivelyVax (hypo)'!AO6,'NotEffectivelyVax (hypo)'!AR6,'NotEffectivelyVax (hypo)'!AU6,'NotEffectivelyVax (hypo)'!AX6,'NotEffectivelyVax (hypo)'!BA6,'NotEffectivelyVax (hypo)'!BD6,'NotEffectivelyVax (hypo)'!BG6,'NotEffectivelyVax (hypo)'!BJ6,'NotEffectivelyVax (hypo)'!BM6,'NotEffectivelyVax (hypo)'!BP6,'NotEffectivelyVax (hypo)'!BS6,'NotEffectivelyVax (hypo)'!BV6,'NotEffectivelyVax (hypo)'!BY6,'NotEffectivelyVax (hypo)'!CB6,'NotEffectivelyVax (hypo)'!CE6,'NotEffectivelyVax (hypo)'!CH6,'NotEffectivelyVax (hypo)'!CK6,'NotEffectivelyVax (hypo)'!CN6,'NotEffectivelyVax (hypo)'!CQ6,'NotEffectivelyVax (hypo)'!CT6,'NotEffectivelyVax (hypo)'!CW6,'NotEffectivelyVax (hypo)'!CZ6,'NotEffectivelyVax (hypo)'!DC6,'NotEffectivelyVax (hypo)'!DF6,'NotEffectivelyVax (hypo)'!DI6,'NotEffectivelyVax (hypo)'!DL6,'NotEffectivelyVax (hypo)'!DO6,'NotEffectivelyVax (hypo)'!DR6,'NotEffectivelyVax (hypo)'!DU6,'NotEffectivelyVax (hypo)'!DX6,'NotEffectivelyVax (hypo)'!EA6,'NotEffectivelyVax (hypo)'!ED6,'NotEffectivelyVax (hypo)'!EG6,'NotEffectivelyVax (hypo)'!EJ6,'NotEffectivelyVax (hypo)'!EM6,'NotEffectivelyVax (hypo)'!EP6,'NotEffectivelyVax (hypo)'!ES6,'NotEffectivelyVax (hypo)'!EV6,'NotEffectivelyVax (hypo)'!EY6,'NotEffectivelyVax (hypo)'!FB6,'NotEffectivelyVax (hypo)'!FE6,'NotEffectivelyVax (hypo)'!FH6,'NotEffectivelyVax (hypo)'!FK6,'NotEffectivelyVax (hypo)'!FN6,'NotEffectivelyVax (hypo)'!FQ6,'NotEffectivelyVax (hypo)'!FT6,'NotEffectivelyVax (hypo)'!FW6,'NotEffectivelyVax (hypo)'!FZ6)</f>
        <v>#VALUE!</v>
      </c>
      <c r="Y6" s="142" t="e">
        <f t="shared" si="2"/>
        <v>#VALUE!</v>
      </c>
      <c r="Z6" s="142" t="e">
        <f>IF(Export!M4&lt;&gt;"",W6*Export!K4*(1/Export!M4),W6*Export!K4)</f>
        <v>#VALUE!</v>
      </c>
      <c r="AA6" s="139" t="e">
        <f>Y6*Export!J4</f>
        <v>#VALUE!</v>
      </c>
      <c r="AC6" s="143" t="e">
        <f t="shared" si="3"/>
        <v>#DIV/0!</v>
      </c>
      <c r="AD6" s="144" t="e">
        <f t="shared" ref="AD6:AD25" si="13">$E6-($R6+$X6)</f>
        <v>#VALUE!</v>
      </c>
      <c r="AE6" s="144" t="e">
        <f t="shared" si="4"/>
        <v>#VALUE!</v>
      </c>
      <c r="AF6" s="144" t="e">
        <f t="shared" si="5"/>
        <v>#VALUE!</v>
      </c>
      <c r="AG6" s="144" t="e">
        <f t="shared" si="6"/>
        <v>#DIV/0!</v>
      </c>
      <c r="AH6" s="145"/>
      <c r="AI6" s="145"/>
      <c r="AJ6" s="145"/>
      <c r="AK6" s="145"/>
      <c r="AL6" s="146"/>
      <c r="AM6" s="145"/>
      <c r="AN6" s="145"/>
      <c r="AO6" s="145"/>
      <c r="AP6" s="145"/>
      <c r="AQ6" s="146"/>
    </row>
    <row r="7" spans="1:43" x14ac:dyDescent="0.35">
      <c r="A7" s="130">
        <f>EffectivelyVax!B6</f>
        <v>0</v>
      </c>
      <c r="B7" s="131">
        <f>EffectivelyVax!C6</f>
        <v>0</v>
      </c>
      <c r="C7" s="132">
        <f>Export!N5</f>
        <v>0</v>
      </c>
      <c r="D7" s="133">
        <f>Export!C5</f>
        <v>0</v>
      </c>
      <c r="E7" s="133" t="e">
        <f>Export!C5*Export!L5</f>
        <v>#VALUE!</v>
      </c>
      <c r="F7" s="133" t="e">
        <f t="shared" si="0"/>
        <v>#VALUE!</v>
      </c>
      <c r="G7" s="133" t="e">
        <f>IF(Export!M5&lt;&gt;"",D7*Export!K5*(1/Export!M5),D7*Export!K5)</f>
        <v>#VALUE!</v>
      </c>
      <c r="H7" s="133" t="e">
        <f>F7*Export!J5</f>
        <v>#VALUE!</v>
      </c>
      <c r="I7" s="133" t="e">
        <f t="shared" si="7"/>
        <v>#VALUE!</v>
      </c>
      <c r="J7" s="134" t="e">
        <f t="shared" si="8"/>
        <v>#VALUE!</v>
      </c>
      <c r="K7" s="135" t="e">
        <f t="shared" si="9"/>
        <v>#VALUE!</v>
      </c>
      <c r="L7" s="117">
        <f>Export!B5</f>
        <v>0</v>
      </c>
      <c r="M7" s="115">
        <f>C7*L7*HelperFunctions!G$3</f>
        <v>0</v>
      </c>
      <c r="N7" s="116">
        <f>C7*L7*(1-HelperFunctions!G$3)</f>
        <v>0</v>
      </c>
      <c r="O7" s="136" t="e">
        <f t="shared" si="10"/>
        <v>#DIV/0!</v>
      </c>
      <c r="P7" s="137">
        <f>SUM(EffectivelyVax!D6:BK6)</f>
        <v>0</v>
      </c>
      <c r="Q7" s="138" t="e">
        <f t="shared" si="11"/>
        <v>#DIV/0!</v>
      </c>
      <c r="R7" s="138" t="e">
        <f t="shared" si="12"/>
        <v>#DIV/0!</v>
      </c>
      <c r="S7" s="137" t="e">
        <f t="shared" si="1"/>
        <v>#DIV/0!</v>
      </c>
      <c r="T7" s="138" t="e">
        <f>IF(Export!M5&lt;&gt;"",Q7*Export!K5*(1/Export!M5),Q7*Export!K5)</f>
        <v>#DIV/0!</v>
      </c>
      <c r="U7" s="139" t="e">
        <f>S7*Export!J5</f>
        <v>#DIV/0!</v>
      </c>
      <c r="V7" s="140" t="e">
        <f>SUM('NotEffectivelyVax (hypo)'!F7,'NotEffectivelyVax (hypo)'!I7,'NotEffectivelyVax (hypo)'!L7,'NotEffectivelyVax (hypo)'!O7,'NotEffectivelyVax (hypo)'!R7,'NotEffectivelyVax (hypo)'!U7,'NotEffectivelyVax (hypo)'!X7,'NotEffectivelyVax (hypo)'!AA7,'NotEffectivelyVax (hypo)'!AD7,'NotEffectivelyVax (hypo)'!AG7,'NotEffectivelyVax (hypo)'!AJ7,'NotEffectivelyVax (hypo)'!AM7,'NotEffectivelyVax (hypo)'!AP7,'NotEffectivelyVax (hypo)'!AS7,'NotEffectivelyVax (hypo)'!AV7,'NotEffectivelyVax (hypo)'!AY7,'NotEffectivelyVax (hypo)'!BB7,'NotEffectivelyVax (hypo)'!BE7,'NotEffectivelyVax (hypo)'!BH7,'NotEffectivelyVax (hypo)'!BK7,'NotEffectivelyVax (hypo)'!BN7,'NotEffectivelyVax (hypo)'!BQ7,'NotEffectivelyVax (hypo)'!BT7,'NotEffectivelyVax (hypo)'!BW7,'NotEffectivelyVax (hypo)'!BZ7,'NotEffectivelyVax (hypo)'!CC7,'NotEffectivelyVax (hypo)'!CF7,'NotEffectivelyVax (hypo)'!CI7,'NotEffectivelyVax (hypo)'!CL7,'NotEffectivelyVax (hypo)'!CO7,'NotEffectivelyVax (hypo)'!CR7,'NotEffectivelyVax (hypo)'!CU7,'NotEffectivelyVax (hypo)'!CX7,'NotEffectivelyVax (hypo)'!DA7,'NotEffectivelyVax (hypo)'!DD7,'NotEffectivelyVax (hypo)'!DG7,'NotEffectivelyVax (hypo)'!DJ7,'NotEffectivelyVax (hypo)'!DM7,'NotEffectivelyVax (hypo)'!DQ7,'NotEffectivelyVax (hypo)'!DP7,'NotEffectivelyVax (hypo)'!DS7,'NotEffectivelyVax (hypo)'!DV7,'NotEffectivelyVax (hypo)'!DY7,'NotEffectivelyVax (hypo)'!EB7,'NotEffectivelyVax (hypo)'!EE7,'NotEffectivelyVax (hypo)'!EH7,'NotEffectivelyVax (hypo)'!EK7,'NotEffectivelyVax (hypo)'!EN7,'NotEffectivelyVax (hypo)'!EQ7,'NotEffectivelyVax (hypo)'!ET7,'NotEffectivelyVax (hypo)'!EW7,'NotEffectivelyVax (hypo)'!EZ7,'NotEffectivelyVax (hypo)'!FC7,'NotEffectivelyVax (hypo)'!FF7,'NotEffectivelyVax (hypo)'!FI7,'NotEffectivelyVax (hypo)'!FL7,'NotEffectivelyVax (hypo)'!FO7,'NotEffectivelyVax (hypo)'!FR7,'NotEffectivelyVax (hypo)'!FU7,'NotEffectivelyVax (hypo)'!FX7,'NotEffectivelyVax (hypo)'!GA7)</f>
        <v>#VALUE!</v>
      </c>
      <c r="W7" s="141" t="e">
        <f>SUM('NotEffectivelyVax (hypo)'!D7,'NotEffectivelyVax (hypo)'!G7,'NotEffectivelyVax (hypo)'!J7,'NotEffectivelyVax (hypo)'!M7,'NotEffectivelyVax (hypo)'!P7,'NotEffectivelyVax (hypo)'!S7,'NotEffectivelyVax (hypo)'!V7,'NotEffectivelyVax (hypo)'!Y7,'NotEffectivelyVax (hypo)'!AB7,'NotEffectivelyVax (hypo)'!AE7,'NotEffectivelyVax (hypo)'!AH7,'NotEffectivelyVax (hypo)'!AK7,'NotEffectivelyVax (hypo)'!AN7,'NotEffectivelyVax (hypo)'!AQ7,'NotEffectivelyVax (hypo)'!AT7,'NotEffectivelyVax (hypo)'!AW7,'NotEffectivelyVax (hypo)'!AZ7,'NotEffectivelyVax (hypo)'!BC7,'NotEffectivelyVax (hypo)'!BF7,'NotEffectivelyVax (hypo)'!BI7,'NotEffectivelyVax (hypo)'!BL7,'NotEffectivelyVax (hypo)'!BO7,'NotEffectivelyVax (hypo)'!BR7,'NotEffectivelyVax (hypo)'!BU7,'NotEffectivelyVax (hypo)'!BX7,'NotEffectivelyVax (hypo)'!CA7,'NotEffectivelyVax (hypo)'!CD7,'NotEffectivelyVax (hypo)'!CG7,'NotEffectivelyVax (hypo)'!CJ7,'NotEffectivelyVax (hypo)'!CM7,'NotEffectivelyVax (hypo)'!CP7,'NotEffectivelyVax (hypo)'!CS7,'NotEffectivelyVax (hypo)'!CV7,'NotEffectivelyVax (hypo)'!CY7,'NotEffectivelyVax (hypo)'!DB7,'NotEffectivelyVax (hypo)'!DE7,'NotEffectivelyVax (hypo)'!DH7,'NotEffectivelyVax (hypo)'!DK7,'NotEffectivelyVax (hypo)'!DN7,'NotEffectivelyVax (hypo)'!DQ7,'NotEffectivelyVax (hypo)'!DT7,'NotEffectivelyVax (hypo)'!DW7,'NotEffectivelyVax (hypo)'!DZ7,'NotEffectivelyVax (hypo)'!EC7,'NotEffectivelyVax (hypo)'!EF7,'NotEffectivelyVax (hypo)'!EI7,'NotEffectivelyVax (hypo)'!EL7,'NotEffectivelyVax (hypo)'!EO7,'NotEffectivelyVax (hypo)'!ER7,'NotEffectivelyVax (hypo)'!EU7,'NotEffectivelyVax (hypo)'!EX7,'NotEffectivelyVax (hypo)'!FA7,'NotEffectivelyVax (hypo)'!FD7,'NotEffectivelyVax (hypo)'!FG7,'NotEffectivelyVax (hypo)'!FJ7,'NotEffectivelyVax (hypo)'!FM7,'NotEffectivelyVax (hypo)'!FP7,'NotEffectivelyVax (hypo)'!FS7,'NotEffectivelyVax (hypo)'!FV7,'NotEffectivelyVax (hypo)'!FY7)</f>
        <v>#VALUE!</v>
      </c>
      <c r="X7" s="141" t="e">
        <f>SUM('NotEffectivelyVax (hypo)'!E7,'NotEffectivelyVax (hypo)'!H7,'NotEffectivelyVax (hypo)'!K7,'NotEffectivelyVax (hypo)'!N7,'NotEffectivelyVax (hypo)'!Q7,'NotEffectivelyVax (hypo)'!T7,'NotEffectivelyVax (hypo)'!Z7,'NotEffectivelyVax (hypo)'!W7,'NotEffectivelyVax (hypo)'!AC7,'NotEffectivelyVax (hypo)'!AF7,'NotEffectivelyVax (hypo)'!AI7,'NotEffectivelyVax (hypo)'!AL7,'NotEffectivelyVax (hypo)'!AO7,'NotEffectivelyVax (hypo)'!AR7,'NotEffectivelyVax (hypo)'!AU7,'NotEffectivelyVax (hypo)'!AX7,'NotEffectivelyVax (hypo)'!BA7,'NotEffectivelyVax (hypo)'!BD7,'NotEffectivelyVax (hypo)'!BG7,'NotEffectivelyVax (hypo)'!BJ7,'NotEffectivelyVax (hypo)'!BM7,'NotEffectivelyVax (hypo)'!BP7,'NotEffectivelyVax (hypo)'!BS7,'NotEffectivelyVax (hypo)'!BV7,'NotEffectivelyVax (hypo)'!BY7,'NotEffectivelyVax (hypo)'!CB7,'NotEffectivelyVax (hypo)'!CE7,'NotEffectivelyVax (hypo)'!CH7,'NotEffectivelyVax (hypo)'!CK7,'NotEffectivelyVax (hypo)'!CN7,'NotEffectivelyVax (hypo)'!CQ7,'NotEffectivelyVax (hypo)'!CT7,'NotEffectivelyVax (hypo)'!CW7,'NotEffectivelyVax (hypo)'!CZ7,'NotEffectivelyVax (hypo)'!DC7,'NotEffectivelyVax (hypo)'!DF7,'NotEffectivelyVax (hypo)'!DI7,'NotEffectivelyVax (hypo)'!DL7,'NotEffectivelyVax (hypo)'!DO7,'NotEffectivelyVax (hypo)'!DR7,'NotEffectivelyVax (hypo)'!DU7,'NotEffectivelyVax (hypo)'!DX7,'NotEffectivelyVax (hypo)'!EA7,'NotEffectivelyVax (hypo)'!ED7,'NotEffectivelyVax (hypo)'!EG7,'NotEffectivelyVax (hypo)'!EJ7,'NotEffectivelyVax (hypo)'!EM7,'NotEffectivelyVax (hypo)'!EP7,'NotEffectivelyVax (hypo)'!ES7,'NotEffectivelyVax (hypo)'!EV7,'NotEffectivelyVax (hypo)'!EY7,'NotEffectivelyVax (hypo)'!FB7,'NotEffectivelyVax (hypo)'!FE7,'NotEffectivelyVax (hypo)'!FH7,'NotEffectivelyVax (hypo)'!FK7,'NotEffectivelyVax (hypo)'!FN7,'NotEffectivelyVax (hypo)'!FQ7,'NotEffectivelyVax (hypo)'!FT7,'NotEffectivelyVax (hypo)'!FW7,'NotEffectivelyVax (hypo)'!FZ7)</f>
        <v>#VALUE!</v>
      </c>
      <c r="Y7" s="142" t="e">
        <f t="shared" si="2"/>
        <v>#VALUE!</v>
      </c>
      <c r="Z7" s="142" t="e">
        <f>IF(Export!M5&lt;&gt;"",W7*Export!K5*(1/Export!M5),W7*Export!K5)</f>
        <v>#VALUE!</v>
      </c>
      <c r="AA7" s="139" t="e">
        <f>Y7*Export!J5</f>
        <v>#VALUE!</v>
      </c>
      <c r="AC7" s="143" t="e">
        <f t="shared" si="3"/>
        <v>#DIV/0!</v>
      </c>
      <c r="AD7" s="144" t="e">
        <f t="shared" si="13"/>
        <v>#VALUE!</v>
      </c>
      <c r="AE7" s="144" t="e">
        <f t="shared" si="4"/>
        <v>#VALUE!</v>
      </c>
      <c r="AF7" s="144" t="e">
        <f t="shared" si="5"/>
        <v>#VALUE!</v>
      </c>
      <c r="AG7" s="144" t="e">
        <f t="shared" si="6"/>
        <v>#DIV/0!</v>
      </c>
      <c r="AH7" s="145"/>
      <c r="AI7" s="145"/>
      <c r="AJ7" s="145"/>
      <c r="AK7" s="145"/>
      <c r="AL7" s="146"/>
      <c r="AM7" s="145"/>
      <c r="AN7" s="145"/>
      <c r="AO7" s="145"/>
      <c r="AP7" s="145"/>
      <c r="AQ7" s="146"/>
    </row>
    <row r="8" spans="1:43" x14ac:dyDescent="0.35">
      <c r="A8" s="130">
        <f>EffectivelyVax!B7</f>
        <v>0</v>
      </c>
      <c r="B8" s="131">
        <f>EffectivelyVax!C7</f>
        <v>0</v>
      </c>
      <c r="C8" s="132">
        <f>Export!N6</f>
        <v>0</v>
      </c>
      <c r="D8" s="133">
        <f>Export!C6</f>
        <v>0</v>
      </c>
      <c r="E8" s="133" t="e">
        <f>Export!C6*Export!L6</f>
        <v>#VALUE!</v>
      </c>
      <c r="F8" s="133" t="e">
        <f t="shared" si="0"/>
        <v>#VALUE!</v>
      </c>
      <c r="G8" s="133" t="e">
        <f>IF(Export!M6&lt;&gt;"",D8*Export!K6*(1/Export!M6),D8*Export!K6)</f>
        <v>#VALUE!</v>
      </c>
      <c r="H8" s="133" t="e">
        <f>F8*Export!J6</f>
        <v>#VALUE!</v>
      </c>
      <c r="I8" s="133" t="e">
        <f t="shared" si="7"/>
        <v>#VALUE!</v>
      </c>
      <c r="J8" s="134" t="e">
        <f t="shared" si="8"/>
        <v>#VALUE!</v>
      </c>
      <c r="K8" s="135" t="e">
        <f t="shared" si="9"/>
        <v>#VALUE!</v>
      </c>
      <c r="L8" s="117">
        <f>Export!B6</f>
        <v>0</v>
      </c>
      <c r="M8" s="115">
        <f>C8*L8*HelperFunctions!G$3</f>
        <v>0</v>
      </c>
      <c r="N8" s="116">
        <f>C8*L8*(1-HelperFunctions!G$3)</f>
        <v>0</v>
      </c>
      <c r="O8" s="136" t="e">
        <f t="shared" si="10"/>
        <v>#DIV/0!</v>
      </c>
      <c r="P8" s="137">
        <f>SUM(EffectivelyVax!D7:BK7)</f>
        <v>0</v>
      </c>
      <c r="Q8" s="138" t="e">
        <f t="shared" si="11"/>
        <v>#DIV/0!</v>
      </c>
      <c r="R8" s="138" t="e">
        <f t="shared" si="12"/>
        <v>#DIV/0!</v>
      </c>
      <c r="S8" s="137" t="e">
        <f t="shared" si="1"/>
        <v>#DIV/0!</v>
      </c>
      <c r="T8" s="138" t="e">
        <f>IF(Export!M6&lt;&gt;"",Q8*Export!K6*(1/Export!M6),Q8*Export!K6)</f>
        <v>#DIV/0!</v>
      </c>
      <c r="U8" s="139" t="e">
        <f>S8*Export!J6</f>
        <v>#DIV/0!</v>
      </c>
      <c r="V8" s="140" t="e">
        <f>SUM('NotEffectivelyVax (hypo)'!F8,'NotEffectivelyVax (hypo)'!I8,'NotEffectivelyVax (hypo)'!L8,'NotEffectivelyVax (hypo)'!O8,'NotEffectivelyVax (hypo)'!R8,'NotEffectivelyVax (hypo)'!U8,'NotEffectivelyVax (hypo)'!X8,'NotEffectivelyVax (hypo)'!AA8,'NotEffectivelyVax (hypo)'!AD8,'NotEffectivelyVax (hypo)'!AG8,'NotEffectivelyVax (hypo)'!AJ8,'NotEffectivelyVax (hypo)'!AM8,'NotEffectivelyVax (hypo)'!AP8,'NotEffectivelyVax (hypo)'!AS8,'NotEffectivelyVax (hypo)'!AV8,'NotEffectivelyVax (hypo)'!AY8,'NotEffectivelyVax (hypo)'!BB8,'NotEffectivelyVax (hypo)'!BE8,'NotEffectivelyVax (hypo)'!BH8,'NotEffectivelyVax (hypo)'!BK8,'NotEffectivelyVax (hypo)'!BN8,'NotEffectivelyVax (hypo)'!BQ8,'NotEffectivelyVax (hypo)'!BT8,'NotEffectivelyVax (hypo)'!BW8,'NotEffectivelyVax (hypo)'!BZ8,'NotEffectivelyVax (hypo)'!CC8,'NotEffectivelyVax (hypo)'!CF8,'NotEffectivelyVax (hypo)'!CI8,'NotEffectivelyVax (hypo)'!CL8,'NotEffectivelyVax (hypo)'!CO8,'NotEffectivelyVax (hypo)'!CR8,'NotEffectivelyVax (hypo)'!CU8,'NotEffectivelyVax (hypo)'!CX8,'NotEffectivelyVax (hypo)'!DA8,'NotEffectivelyVax (hypo)'!DD8,'NotEffectivelyVax (hypo)'!DG8,'NotEffectivelyVax (hypo)'!DJ8,'NotEffectivelyVax (hypo)'!DM8,'NotEffectivelyVax (hypo)'!DQ8,'NotEffectivelyVax (hypo)'!DP8,'NotEffectivelyVax (hypo)'!DS8,'NotEffectivelyVax (hypo)'!DV8,'NotEffectivelyVax (hypo)'!DY8,'NotEffectivelyVax (hypo)'!EB8,'NotEffectivelyVax (hypo)'!EE8,'NotEffectivelyVax (hypo)'!EH8,'NotEffectivelyVax (hypo)'!EK8,'NotEffectivelyVax (hypo)'!EN8,'NotEffectivelyVax (hypo)'!EQ8,'NotEffectivelyVax (hypo)'!ET8,'NotEffectivelyVax (hypo)'!EW8,'NotEffectivelyVax (hypo)'!EZ8,'NotEffectivelyVax (hypo)'!FC8,'NotEffectivelyVax (hypo)'!FF8,'NotEffectivelyVax (hypo)'!FI8,'NotEffectivelyVax (hypo)'!FL8,'NotEffectivelyVax (hypo)'!FO8,'NotEffectivelyVax (hypo)'!FR8,'NotEffectivelyVax (hypo)'!FU8,'NotEffectivelyVax (hypo)'!FX8,'NotEffectivelyVax (hypo)'!GA8)</f>
        <v>#VALUE!</v>
      </c>
      <c r="W8" s="141" t="e">
        <f>SUM('NotEffectivelyVax (hypo)'!D8,'NotEffectivelyVax (hypo)'!G8,'NotEffectivelyVax (hypo)'!J8,'NotEffectivelyVax (hypo)'!M8,'NotEffectivelyVax (hypo)'!P8,'NotEffectivelyVax (hypo)'!S8,'NotEffectivelyVax (hypo)'!V8,'NotEffectivelyVax (hypo)'!Y8,'NotEffectivelyVax (hypo)'!AB8,'NotEffectivelyVax (hypo)'!AE8,'NotEffectivelyVax (hypo)'!AH8,'NotEffectivelyVax (hypo)'!AK8,'NotEffectivelyVax (hypo)'!AN8,'NotEffectivelyVax (hypo)'!AQ8,'NotEffectivelyVax (hypo)'!AT8,'NotEffectivelyVax (hypo)'!AW8,'NotEffectivelyVax (hypo)'!AZ8,'NotEffectivelyVax (hypo)'!BC8,'NotEffectivelyVax (hypo)'!BF8,'NotEffectivelyVax (hypo)'!BI8,'NotEffectivelyVax (hypo)'!BL8,'NotEffectivelyVax (hypo)'!BO8,'NotEffectivelyVax (hypo)'!BR8,'NotEffectivelyVax (hypo)'!BU8,'NotEffectivelyVax (hypo)'!BX8,'NotEffectivelyVax (hypo)'!CA8,'NotEffectivelyVax (hypo)'!CD8,'NotEffectivelyVax (hypo)'!CG8,'NotEffectivelyVax (hypo)'!CJ8,'NotEffectivelyVax (hypo)'!CM8,'NotEffectivelyVax (hypo)'!CP8,'NotEffectivelyVax (hypo)'!CS8,'NotEffectivelyVax (hypo)'!CV8,'NotEffectivelyVax (hypo)'!CY8,'NotEffectivelyVax (hypo)'!DB8,'NotEffectivelyVax (hypo)'!DE8,'NotEffectivelyVax (hypo)'!DH8,'NotEffectivelyVax (hypo)'!DK8,'NotEffectivelyVax (hypo)'!DN8,'NotEffectivelyVax (hypo)'!DQ8,'NotEffectivelyVax (hypo)'!DT8,'NotEffectivelyVax (hypo)'!DW8,'NotEffectivelyVax (hypo)'!DZ8,'NotEffectivelyVax (hypo)'!EC8,'NotEffectivelyVax (hypo)'!EF8,'NotEffectivelyVax (hypo)'!EI8,'NotEffectivelyVax (hypo)'!EL8,'NotEffectivelyVax (hypo)'!EO8,'NotEffectivelyVax (hypo)'!ER8,'NotEffectivelyVax (hypo)'!EU8,'NotEffectivelyVax (hypo)'!EX8,'NotEffectivelyVax (hypo)'!FA8,'NotEffectivelyVax (hypo)'!FD8,'NotEffectivelyVax (hypo)'!FG8,'NotEffectivelyVax (hypo)'!FJ8,'NotEffectivelyVax (hypo)'!FM8,'NotEffectivelyVax (hypo)'!FP8,'NotEffectivelyVax (hypo)'!FS8,'NotEffectivelyVax (hypo)'!FV8,'NotEffectivelyVax (hypo)'!FY8)</f>
        <v>#VALUE!</v>
      </c>
      <c r="X8" s="141" t="e">
        <f>SUM('NotEffectivelyVax (hypo)'!E8,'NotEffectivelyVax (hypo)'!H8,'NotEffectivelyVax (hypo)'!K8,'NotEffectivelyVax (hypo)'!N8,'NotEffectivelyVax (hypo)'!Q8,'NotEffectivelyVax (hypo)'!T8,'NotEffectivelyVax (hypo)'!Z8,'NotEffectivelyVax (hypo)'!W8,'NotEffectivelyVax (hypo)'!AC8,'NotEffectivelyVax (hypo)'!AF8,'NotEffectivelyVax (hypo)'!AI8,'NotEffectivelyVax (hypo)'!AL8,'NotEffectivelyVax (hypo)'!AO8,'NotEffectivelyVax (hypo)'!AR8,'NotEffectivelyVax (hypo)'!AU8,'NotEffectivelyVax (hypo)'!AX8,'NotEffectivelyVax (hypo)'!BA8,'NotEffectivelyVax (hypo)'!BD8,'NotEffectivelyVax (hypo)'!BG8,'NotEffectivelyVax (hypo)'!BJ8,'NotEffectivelyVax (hypo)'!BM8,'NotEffectivelyVax (hypo)'!BP8,'NotEffectivelyVax (hypo)'!BS8,'NotEffectivelyVax (hypo)'!BV8,'NotEffectivelyVax (hypo)'!BY8,'NotEffectivelyVax (hypo)'!CB8,'NotEffectivelyVax (hypo)'!CE8,'NotEffectivelyVax (hypo)'!CH8,'NotEffectivelyVax (hypo)'!CK8,'NotEffectivelyVax (hypo)'!CN8,'NotEffectivelyVax (hypo)'!CQ8,'NotEffectivelyVax (hypo)'!CT8,'NotEffectivelyVax (hypo)'!CW8,'NotEffectivelyVax (hypo)'!CZ8,'NotEffectivelyVax (hypo)'!DC8,'NotEffectivelyVax (hypo)'!DF8,'NotEffectivelyVax (hypo)'!DI8,'NotEffectivelyVax (hypo)'!DL8,'NotEffectivelyVax (hypo)'!DO8,'NotEffectivelyVax (hypo)'!DR8,'NotEffectivelyVax (hypo)'!DU8,'NotEffectivelyVax (hypo)'!DX8,'NotEffectivelyVax (hypo)'!EA8,'NotEffectivelyVax (hypo)'!ED8,'NotEffectivelyVax (hypo)'!EG8,'NotEffectivelyVax (hypo)'!EJ8,'NotEffectivelyVax (hypo)'!EM8,'NotEffectivelyVax (hypo)'!EP8,'NotEffectivelyVax (hypo)'!ES8,'NotEffectivelyVax (hypo)'!EV8,'NotEffectivelyVax (hypo)'!EY8,'NotEffectivelyVax (hypo)'!FB8,'NotEffectivelyVax (hypo)'!FE8,'NotEffectivelyVax (hypo)'!FH8,'NotEffectivelyVax (hypo)'!FK8,'NotEffectivelyVax (hypo)'!FN8,'NotEffectivelyVax (hypo)'!FQ8,'NotEffectivelyVax (hypo)'!FT8,'NotEffectivelyVax (hypo)'!FW8,'NotEffectivelyVax (hypo)'!FZ8)</f>
        <v>#VALUE!</v>
      </c>
      <c r="Y8" s="142" t="e">
        <f t="shared" si="2"/>
        <v>#VALUE!</v>
      </c>
      <c r="Z8" s="142" t="e">
        <f>IF(Export!M6&lt;&gt;"",W8*Export!K6*(1/Export!M6),W8*Export!K6)</f>
        <v>#VALUE!</v>
      </c>
      <c r="AA8" s="139" t="e">
        <f>Y8*Export!J6</f>
        <v>#VALUE!</v>
      </c>
      <c r="AC8" s="143" t="e">
        <f t="shared" si="3"/>
        <v>#DIV/0!</v>
      </c>
      <c r="AD8" s="144" t="e">
        <f t="shared" si="13"/>
        <v>#VALUE!</v>
      </c>
      <c r="AE8" s="144" t="e">
        <f t="shared" si="4"/>
        <v>#VALUE!</v>
      </c>
      <c r="AF8" s="144" t="e">
        <f t="shared" si="5"/>
        <v>#VALUE!</v>
      </c>
      <c r="AG8" s="144" t="e">
        <f t="shared" si="6"/>
        <v>#DIV/0!</v>
      </c>
      <c r="AH8" s="145"/>
      <c r="AI8" s="145"/>
      <c r="AJ8" s="145"/>
      <c r="AK8" s="145"/>
      <c r="AL8" s="146"/>
      <c r="AM8" s="145"/>
      <c r="AN8" s="145"/>
      <c r="AO8" s="145"/>
      <c r="AP8" s="145"/>
      <c r="AQ8" s="146"/>
    </row>
    <row r="9" spans="1:43" x14ac:dyDescent="0.35">
      <c r="A9" s="130">
        <f>EffectivelyVax!B8</f>
        <v>0</v>
      </c>
      <c r="B9" s="131">
        <f>EffectivelyVax!C8</f>
        <v>0</v>
      </c>
      <c r="C9" s="132">
        <f>Export!N7</f>
        <v>0</v>
      </c>
      <c r="D9" s="133">
        <f>Export!C7</f>
        <v>0</v>
      </c>
      <c r="E9" s="133" t="e">
        <f>Export!C7*Export!L7</f>
        <v>#VALUE!</v>
      </c>
      <c r="F9" s="133" t="e">
        <f t="shared" si="0"/>
        <v>#VALUE!</v>
      </c>
      <c r="G9" s="133" t="e">
        <f>IF(Export!M7&lt;&gt;"",D9*Export!K7*(1/Export!M7),D9*Export!K7)</f>
        <v>#VALUE!</v>
      </c>
      <c r="H9" s="133" t="e">
        <f>F9*Export!J7</f>
        <v>#VALUE!</v>
      </c>
      <c r="I9" s="133" t="e">
        <f t="shared" si="7"/>
        <v>#VALUE!</v>
      </c>
      <c r="J9" s="134" t="e">
        <f t="shared" si="8"/>
        <v>#VALUE!</v>
      </c>
      <c r="K9" s="135" t="e">
        <f t="shared" si="9"/>
        <v>#VALUE!</v>
      </c>
      <c r="L9" s="117">
        <f>Export!B7</f>
        <v>0</v>
      </c>
      <c r="M9" s="115">
        <f>C9*L9*HelperFunctions!G$3</f>
        <v>0</v>
      </c>
      <c r="N9" s="116">
        <f>C9*L9*(1-HelperFunctions!G$3)</f>
        <v>0</v>
      </c>
      <c r="O9" s="136" t="e">
        <f t="shared" si="10"/>
        <v>#DIV/0!</v>
      </c>
      <c r="P9" s="137">
        <f>SUM(EffectivelyVax!D8:BK8)</f>
        <v>0</v>
      </c>
      <c r="Q9" s="138" t="e">
        <f t="shared" si="11"/>
        <v>#DIV/0!</v>
      </c>
      <c r="R9" s="138" t="e">
        <f t="shared" si="12"/>
        <v>#DIV/0!</v>
      </c>
      <c r="S9" s="137" t="e">
        <f t="shared" si="1"/>
        <v>#DIV/0!</v>
      </c>
      <c r="T9" s="138" t="e">
        <f>IF(Export!M7&lt;&gt;"",Q9*Export!K7*(1/Export!M7),Q9*Export!K7)</f>
        <v>#DIV/0!</v>
      </c>
      <c r="U9" s="139" t="e">
        <f>S9*Export!J7</f>
        <v>#DIV/0!</v>
      </c>
      <c r="V9" s="140" t="e">
        <f>SUM('NotEffectivelyVax (hypo)'!F9,'NotEffectivelyVax (hypo)'!I9,'NotEffectivelyVax (hypo)'!L9,'NotEffectivelyVax (hypo)'!O9,'NotEffectivelyVax (hypo)'!R9,'NotEffectivelyVax (hypo)'!U9,'NotEffectivelyVax (hypo)'!X9,'NotEffectivelyVax (hypo)'!AA9,'NotEffectivelyVax (hypo)'!AD9,'NotEffectivelyVax (hypo)'!AG9,'NotEffectivelyVax (hypo)'!AJ9,'NotEffectivelyVax (hypo)'!AM9,'NotEffectivelyVax (hypo)'!AP9,'NotEffectivelyVax (hypo)'!AS9,'NotEffectivelyVax (hypo)'!AV9,'NotEffectivelyVax (hypo)'!AY9,'NotEffectivelyVax (hypo)'!BB9,'NotEffectivelyVax (hypo)'!BE9,'NotEffectivelyVax (hypo)'!BH9,'NotEffectivelyVax (hypo)'!BK9,'NotEffectivelyVax (hypo)'!BN9,'NotEffectivelyVax (hypo)'!BQ9,'NotEffectivelyVax (hypo)'!BT9,'NotEffectivelyVax (hypo)'!BW9,'NotEffectivelyVax (hypo)'!BZ9,'NotEffectivelyVax (hypo)'!CC9,'NotEffectivelyVax (hypo)'!CF9,'NotEffectivelyVax (hypo)'!CI9,'NotEffectivelyVax (hypo)'!CL9,'NotEffectivelyVax (hypo)'!CO9,'NotEffectivelyVax (hypo)'!CR9,'NotEffectivelyVax (hypo)'!CU9,'NotEffectivelyVax (hypo)'!CX9,'NotEffectivelyVax (hypo)'!DA9,'NotEffectivelyVax (hypo)'!DD9,'NotEffectivelyVax (hypo)'!DG9,'NotEffectivelyVax (hypo)'!DJ9,'NotEffectivelyVax (hypo)'!DM9,'NotEffectivelyVax (hypo)'!DQ9,'NotEffectivelyVax (hypo)'!DP9,'NotEffectivelyVax (hypo)'!DS9,'NotEffectivelyVax (hypo)'!DV9,'NotEffectivelyVax (hypo)'!DY9,'NotEffectivelyVax (hypo)'!EB9,'NotEffectivelyVax (hypo)'!EE9,'NotEffectivelyVax (hypo)'!EH9,'NotEffectivelyVax (hypo)'!EK9,'NotEffectivelyVax (hypo)'!EN9,'NotEffectivelyVax (hypo)'!EQ9,'NotEffectivelyVax (hypo)'!ET9,'NotEffectivelyVax (hypo)'!EW9,'NotEffectivelyVax (hypo)'!EZ9,'NotEffectivelyVax (hypo)'!FC9,'NotEffectivelyVax (hypo)'!FF9,'NotEffectivelyVax (hypo)'!FI9,'NotEffectivelyVax (hypo)'!FL9,'NotEffectivelyVax (hypo)'!FO9,'NotEffectivelyVax (hypo)'!FR9,'NotEffectivelyVax (hypo)'!FU9,'NotEffectivelyVax (hypo)'!FX9,'NotEffectivelyVax (hypo)'!GA9)</f>
        <v>#VALUE!</v>
      </c>
      <c r="W9" s="141" t="e">
        <f>SUM('NotEffectivelyVax (hypo)'!D9,'NotEffectivelyVax (hypo)'!G9,'NotEffectivelyVax (hypo)'!J9,'NotEffectivelyVax (hypo)'!M9,'NotEffectivelyVax (hypo)'!P9,'NotEffectivelyVax (hypo)'!S9,'NotEffectivelyVax (hypo)'!V9,'NotEffectivelyVax (hypo)'!Y9,'NotEffectivelyVax (hypo)'!AB9,'NotEffectivelyVax (hypo)'!AE9,'NotEffectivelyVax (hypo)'!AH9,'NotEffectivelyVax (hypo)'!AK9,'NotEffectivelyVax (hypo)'!AN9,'NotEffectivelyVax (hypo)'!AQ9,'NotEffectivelyVax (hypo)'!AT9,'NotEffectivelyVax (hypo)'!AW9,'NotEffectivelyVax (hypo)'!AZ9,'NotEffectivelyVax (hypo)'!BC9,'NotEffectivelyVax (hypo)'!BF9,'NotEffectivelyVax (hypo)'!BI9,'NotEffectivelyVax (hypo)'!BL9,'NotEffectivelyVax (hypo)'!BO9,'NotEffectivelyVax (hypo)'!BR9,'NotEffectivelyVax (hypo)'!BU9,'NotEffectivelyVax (hypo)'!BX9,'NotEffectivelyVax (hypo)'!CA9,'NotEffectivelyVax (hypo)'!CD9,'NotEffectivelyVax (hypo)'!CG9,'NotEffectivelyVax (hypo)'!CJ9,'NotEffectivelyVax (hypo)'!CM9,'NotEffectivelyVax (hypo)'!CP9,'NotEffectivelyVax (hypo)'!CS9,'NotEffectivelyVax (hypo)'!CV9,'NotEffectivelyVax (hypo)'!CY9,'NotEffectivelyVax (hypo)'!DB9,'NotEffectivelyVax (hypo)'!DE9,'NotEffectivelyVax (hypo)'!DH9,'NotEffectivelyVax (hypo)'!DK9,'NotEffectivelyVax (hypo)'!DN9,'NotEffectivelyVax (hypo)'!DQ9,'NotEffectivelyVax (hypo)'!DT9,'NotEffectivelyVax (hypo)'!DW9,'NotEffectivelyVax (hypo)'!DZ9,'NotEffectivelyVax (hypo)'!EC9,'NotEffectivelyVax (hypo)'!EF9,'NotEffectivelyVax (hypo)'!EI9,'NotEffectivelyVax (hypo)'!EL9,'NotEffectivelyVax (hypo)'!EO9,'NotEffectivelyVax (hypo)'!ER9,'NotEffectivelyVax (hypo)'!EU9,'NotEffectivelyVax (hypo)'!EX9,'NotEffectivelyVax (hypo)'!FA9,'NotEffectivelyVax (hypo)'!FD9,'NotEffectivelyVax (hypo)'!FG9,'NotEffectivelyVax (hypo)'!FJ9,'NotEffectivelyVax (hypo)'!FM9,'NotEffectivelyVax (hypo)'!FP9,'NotEffectivelyVax (hypo)'!FS9,'NotEffectivelyVax (hypo)'!FV9,'NotEffectivelyVax (hypo)'!FY9)</f>
        <v>#VALUE!</v>
      </c>
      <c r="X9" s="141" t="e">
        <f>SUM('NotEffectivelyVax (hypo)'!E9,'NotEffectivelyVax (hypo)'!H9,'NotEffectivelyVax (hypo)'!K9,'NotEffectivelyVax (hypo)'!N9,'NotEffectivelyVax (hypo)'!Q9,'NotEffectivelyVax (hypo)'!T9,'NotEffectivelyVax (hypo)'!Z9,'NotEffectivelyVax (hypo)'!W9,'NotEffectivelyVax (hypo)'!AC9,'NotEffectivelyVax (hypo)'!AF9,'NotEffectivelyVax (hypo)'!AI9,'NotEffectivelyVax (hypo)'!AL9,'NotEffectivelyVax (hypo)'!AO9,'NotEffectivelyVax (hypo)'!AR9,'NotEffectivelyVax (hypo)'!AU9,'NotEffectivelyVax (hypo)'!AX9,'NotEffectivelyVax (hypo)'!BA9,'NotEffectivelyVax (hypo)'!BD9,'NotEffectivelyVax (hypo)'!BG9,'NotEffectivelyVax (hypo)'!BJ9,'NotEffectivelyVax (hypo)'!BM9,'NotEffectivelyVax (hypo)'!BP9,'NotEffectivelyVax (hypo)'!BS9,'NotEffectivelyVax (hypo)'!BV9,'NotEffectivelyVax (hypo)'!BY9,'NotEffectivelyVax (hypo)'!CB9,'NotEffectivelyVax (hypo)'!CE9,'NotEffectivelyVax (hypo)'!CH9,'NotEffectivelyVax (hypo)'!CK9,'NotEffectivelyVax (hypo)'!CN9,'NotEffectivelyVax (hypo)'!CQ9,'NotEffectivelyVax (hypo)'!CT9,'NotEffectivelyVax (hypo)'!CW9,'NotEffectivelyVax (hypo)'!CZ9,'NotEffectivelyVax (hypo)'!DC9,'NotEffectivelyVax (hypo)'!DF9,'NotEffectivelyVax (hypo)'!DI9,'NotEffectivelyVax (hypo)'!DL9,'NotEffectivelyVax (hypo)'!DO9,'NotEffectivelyVax (hypo)'!DR9,'NotEffectivelyVax (hypo)'!DU9,'NotEffectivelyVax (hypo)'!DX9,'NotEffectivelyVax (hypo)'!EA9,'NotEffectivelyVax (hypo)'!ED9,'NotEffectivelyVax (hypo)'!EG9,'NotEffectivelyVax (hypo)'!EJ9,'NotEffectivelyVax (hypo)'!EM9,'NotEffectivelyVax (hypo)'!EP9,'NotEffectivelyVax (hypo)'!ES9,'NotEffectivelyVax (hypo)'!EV9,'NotEffectivelyVax (hypo)'!EY9,'NotEffectivelyVax (hypo)'!FB9,'NotEffectivelyVax (hypo)'!FE9,'NotEffectivelyVax (hypo)'!FH9,'NotEffectivelyVax (hypo)'!FK9,'NotEffectivelyVax (hypo)'!FN9,'NotEffectivelyVax (hypo)'!FQ9,'NotEffectivelyVax (hypo)'!FT9,'NotEffectivelyVax (hypo)'!FW9,'NotEffectivelyVax (hypo)'!FZ9)</f>
        <v>#VALUE!</v>
      </c>
      <c r="Y9" s="142" t="e">
        <f t="shared" si="2"/>
        <v>#VALUE!</v>
      </c>
      <c r="Z9" s="142" t="e">
        <f>IF(Export!M7&lt;&gt;"",W9*Export!K7*(1/Export!M7),W9*Export!K7)</f>
        <v>#VALUE!</v>
      </c>
      <c r="AA9" s="139" t="e">
        <f>Y9*Export!J7</f>
        <v>#VALUE!</v>
      </c>
      <c r="AC9" s="143" t="e">
        <f t="shared" si="3"/>
        <v>#DIV/0!</v>
      </c>
      <c r="AD9" s="144" t="e">
        <f t="shared" si="13"/>
        <v>#VALUE!</v>
      </c>
      <c r="AE9" s="144" t="e">
        <f t="shared" si="4"/>
        <v>#VALUE!</v>
      </c>
      <c r="AF9" s="144" t="e">
        <f t="shared" si="5"/>
        <v>#VALUE!</v>
      </c>
      <c r="AG9" s="144" t="e">
        <f t="shared" si="6"/>
        <v>#DIV/0!</v>
      </c>
      <c r="AH9" s="145"/>
      <c r="AI9" s="145"/>
      <c r="AJ9" s="145"/>
      <c r="AK9" s="145"/>
      <c r="AL9" s="146"/>
      <c r="AM9" s="145"/>
      <c r="AN9" s="145"/>
      <c r="AO9" s="145"/>
      <c r="AP9" s="145"/>
      <c r="AQ9" s="146"/>
    </row>
    <row r="10" spans="1:43" x14ac:dyDescent="0.35">
      <c r="A10" s="130">
        <f>EffectivelyVax!B9</f>
        <v>0</v>
      </c>
      <c r="B10" s="131">
        <f>EffectivelyVax!C9</f>
        <v>0</v>
      </c>
      <c r="C10" s="132">
        <f>Export!N8</f>
        <v>0</v>
      </c>
      <c r="D10" s="133">
        <f>Export!C8</f>
        <v>0</v>
      </c>
      <c r="E10" s="133" t="e">
        <f>Export!C8*Export!L8</f>
        <v>#VALUE!</v>
      </c>
      <c r="F10" s="133" t="e">
        <f t="shared" si="0"/>
        <v>#VALUE!</v>
      </c>
      <c r="G10" s="133" t="e">
        <f>IF(Export!M8&lt;&gt;"",D10*Export!K8*(1/Export!M8),D10*Export!K8)</f>
        <v>#VALUE!</v>
      </c>
      <c r="H10" s="133" t="e">
        <f>F10*Export!J8</f>
        <v>#VALUE!</v>
      </c>
      <c r="I10" s="133" t="e">
        <f t="shared" si="7"/>
        <v>#VALUE!</v>
      </c>
      <c r="J10" s="134" t="e">
        <f t="shared" si="8"/>
        <v>#VALUE!</v>
      </c>
      <c r="K10" s="135" t="e">
        <f t="shared" si="9"/>
        <v>#VALUE!</v>
      </c>
      <c r="L10" s="117">
        <f>Export!B8</f>
        <v>0</v>
      </c>
      <c r="M10" s="115">
        <f>C10*L10*HelperFunctions!G$3</f>
        <v>0</v>
      </c>
      <c r="N10" s="116">
        <f>C10*L10*(1-HelperFunctions!G$3)</f>
        <v>0</v>
      </c>
      <c r="O10" s="136" t="e">
        <f t="shared" si="10"/>
        <v>#DIV/0!</v>
      </c>
      <c r="P10" s="137">
        <f>SUM(EffectivelyVax!D9:BK9)</f>
        <v>0</v>
      </c>
      <c r="Q10" s="138" t="e">
        <f t="shared" si="11"/>
        <v>#DIV/0!</v>
      </c>
      <c r="R10" s="138" t="e">
        <f t="shared" si="12"/>
        <v>#DIV/0!</v>
      </c>
      <c r="S10" s="137" t="e">
        <f t="shared" si="1"/>
        <v>#DIV/0!</v>
      </c>
      <c r="T10" s="138" t="e">
        <f>IF(Export!M8&lt;&gt;"",Q10*Export!K8*(1/Export!M8),Q10*Export!K8)</f>
        <v>#DIV/0!</v>
      </c>
      <c r="U10" s="139" t="e">
        <f>S10*Export!J8</f>
        <v>#DIV/0!</v>
      </c>
      <c r="V10" s="140" t="e">
        <f>SUM('NotEffectivelyVax (hypo)'!F10,'NotEffectivelyVax (hypo)'!I10,'NotEffectivelyVax (hypo)'!L10,'NotEffectivelyVax (hypo)'!O10,'NotEffectivelyVax (hypo)'!R10,'NotEffectivelyVax (hypo)'!U10,'NotEffectivelyVax (hypo)'!X10,'NotEffectivelyVax (hypo)'!AA10,'NotEffectivelyVax (hypo)'!AD10,'NotEffectivelyVax (hypo)'!AG10,'NotEffectivelyVax (hypo)'!AJ10,'NotEffectivelyVax (hypo)'!AM10,'NotEffectivelyVax (hypo)'!AP10,'NotEffectivelyVax (hypo)'!AS10,'NotEffectivelyVax (hypo)'!AV10,'NotEffectivelyVax (hypo)'!AY10,'NotEffectivelyVax (hypo)'!BB10,'NotEffectivelyVax (hypo)'!BE10,'NotEffectivelyVax (hypo)'!BH10,'NotEffectivelyVax (hypo)'!BK10,'NotEffectivelyVax (hypo)'!BN10,'NotEffectivelyVax (hypo)'!BQ10,'NotEffectivelyVax (hypo)'!BT10,'NotEffectivelyVax (hypo)'!BW10,'NotEffectivelyVax (hypo)'!BZ10,'NotEffectivelyVax (hypo)'!CC10,'NotEffectivelyVax (hypo)'!CF10,'NotEffectivelyVax (hypo)'!CI10,'NotEffectivelyVax (hypo)'!CL10,'NotEffectivelyVax (hypo)'!CO10,'NotEffectivelyVax (hypo)'!CR10,'NotEffectivelyVax (hypo)'!CU10,'NotEffectivelyVax (hypo)'!CX10,'NotEffectivelyVax (hypo)'!DA10,'NotEffectivelyVax (hypo)'!DD10,'NotEffectivelyVax (hypo)'!DG10,'NotEffectivelyVax (hypo)'!DJ10,'NotEffectivelyVax (hypo)'!DM10,'NotEffectivelyVax (hypo)'!DQ10,'NotEffectivelyVax (hypo)'!DP10,'NotEffectivelyVax (hypo)'!DS10,'NotEffectivelyVax (hypo)'!DV10,'NotEffectivelyVax (hypo)'!DY10,'NotEffectivelyVax (hypo)'!EB10,'NotEffectivelyVax (hypo)'!EE10,'NotEffectivelyVax (hypo)'!EH10,'NotEffectivelyVax (hypo)'!EK10,'NotEffectivelyVax (hypo)'!EN10,'NotEffectivelyVax (hypo)'!EQ10,'NotEffectivelyVax (hypo)'!ET10,'NotEffectivelyVax (hypo)'!EW10,'NotEffectivelyVax (hypo)'!EZ10,'NotEffectivelyVax (hypo)'!FC10,'NotEffectivelyVax (hypo)'!FF10,'NotEffectivelyVax (hypo)'!FI10,'NotEffectivelyVax (hypo)'!FL10,'NotEffectivelyVax (hypo)'!FO10,'NotEffectivelyVax (hypo)'!FR10,'NotEffectivelyVax (hypo)'!FU10,'NotEffectivelyVax (hypo)'!FX10,'NotEffectivelyVax (hypo)'!GA10)</f>
        <v>#VALUE!</v>
      </c>
      <c r="W10" s="141" t="e">
        <f>SUM('NotEffectivelyVax (hypo)'!D10,'NotEffectivelyVax (hypo)'!G10,'NotEffectivelyVax (hypo)'!J10,'NotEffectivelyVax (hypo)'!M10,'NotEffectivelyVax (hypo)'!P10,'NotEffectivelyVax (hypo)'!S10,'NotEffectivelyVax (hypo)'!V10,'NotEffectivelyVax (hypo)'!Y10,'NotEffectivelyVax (hypo)'!AB10,'NotEffectivelyVax (hypo)'!AE10,'NotEffectivelyVax (hypo)'!AH10,'NotEffectivelyVax (hypo)'!AK10,'NotEffectivelyVax (hypo)'!AN10,'NotEffectivelyVax (hypo)'!AQ10,'NotEffectivelyVax (hypo)'!AT10,'NotEffectivelyVax (hypo)'!AW10,'NotEffectivelyVax (hypo)'!AZ10,'NotEffectivelyVax (hypo)'!BC10,'NotEffectivelyVax (hypo)'!BF10,'NotEffectivelyVax (hypo)'!BI10,'NotEffectivelyVax (hypo)'!BL10,'NotEffectivelyVax (hypo)'!BO10,'NotEffectivelyVax (hypo)'!BR10,'NotEffectivelyVax (hypo)'!BU10,'NotEffectivelyVax (hypo)'!BX10,'NotEffectivelyVax (hypo)'!CA10,'NotEffectivelyVax (hypo)'!CD10,'NotEffectivelyVax (hypo)'!CG10,'NotEffectivelyVax (hypo)'!CJ10,'NotEffectivelyVax (hypo)'!CM10,'NotEffectivelyVax (hypo)'!CP10,'NotEffectivelyVax (hypo)'!CS10,'NotEffectivelyVax (hypo)'!CV10,'NotEffectivelyVax (hypo)'!CY10,'NotEffectivelyVax (hypo)'!DB10,'NotEffectivelyVax (hypo)'!DE10,'NotEffectivelyVax (hypo)'!DH10,'NotEffectivelyVax (hypo)'!DK10,'NotEffectivelyVax (hypo)'!DN10,'NotEffectivelyVax (hypo)'!DQ10,'NotEffectivelyVax (hypo)'!DT10,'NotEffectivelyVax (hypo)'!DW10,'NotEffectivelyVax (hypo)'!DZ10,'NotEffectivelyVax (hypo)'!EC10,'NotEffectivelyVax (hypo)'!EF10,'NotEffectivelyVax (hypo)'!EI10,'NotEffectivelyVax (hypo)'!EL10,'NotEffectivelyVax (hypo)'!EO10,'NotEffectivelyVax (hypo)'!ER10,'NotEffectivelyVax (hypo)'!EU10,'NotEffectivelyVax (hypo)'!EX10,'NotEffectivelyVax (hypo)'!FA10,'NotEffectivelyVax (hypo)'!FD10,'NotEffectivelyVax (hypo)'!FG10,'NotEffectivelyVax (hypo)'!FJ10,'NotEffectivelyVax (hypo)'!FM10,'NotEffectivelyVax (hypo)'!FP10,'NotEffectivelyVax (hypo)'!FS10,'NotEffectivelyVax (hypo)'!FV10,'NotEffectivelyVax (hypo)'!FY10)</f>
        <v>#VALUE!</v>
      </c>
      <c r="X10" s="141" t="e">
        <f>SUM('NotEffectivelyVax (hypo)'!E10,'NotEffectivelyVax (hypo)'!H10,'NotEffectivelyVax (hypo)'!K10,'NotEffectivelyVax (hypo)'!N10,'NotEffectivelyVax (hypo)'!Q10,'NotEffectivelyVax (hypo)'!T10,'NotEffectivelyVax (hypo)'!Z10,'NotEffectivelyVax (hypo)'!W10,'NotEffectivelyVax (hypo)'!AC10,'NotEffectivelyVax (hypo)'!AF10,'NotEffectivelyVax (hypo)'!AI10,'NotEffectivelyVax (hypo)'!AL10,'NotEffectivelyVax (hypo)'!AO10,'NotEffectivelyVax (hypo)'!AR10,'NotEffectivelyVax (hypo)'!AU10,'NotEffectivelyVax (hypo)'!AX10,'NotEffectivelyVax (hypo)'!BA10,'NotEffectivelyVax (hypo)'!BD10,'NotEffectivelyVax (hypo)'!BG10,'NotEffectivelyVax (hypo)'!BJ10,'NotEffectivelyVax (hypo)'!BM10,'NotEffectivelyVax (hypo)'!BP10,'NotEffectivelyVax (hypo)'!BS10,'NotEffectivelyVax (hypo)'!BV10,'NotEffectivelyVax (hypo)'!BY10,'NotEffectivelyVax (hypo)'!CB10,'NotEffectivelyVax (hypo)'!CE10,'NotEffectivelyVax (hypo)'!CH10,'NotEffectivelyVax (hypo)'!CK10,'NotEffectivelyVax (hypo)'!CN10,'NotEffectivelyVax (hypo)'!CQ10,'NotEffectivelyVax (hypo)'!CT10,'NotEffectivelyVax (hypo)'!CW10,'NotEffectivelyVax (hypo)'!CZ10,'NotEffectivelyVax (hypo)'!DC10,'NotEffectivelyVax (hypo)'!DF10,'NotEffectivelyVax (hypo)'!DI10,'NotEffectivelyVax (hypo)'!DL10,'NotEffectivelyVax (hypo)'!DO10,'NotEffectivelyVax (hypo)'!DR10,'NotEffectivelyVax (hypo)'!DU10,'NotEffectivelyVax (hypo)'!DX10,'NotEffectivelyVax (hypo)'!EA10,'NotEffectivelyVax (hypo)'!ED10,'NotEffectivelyVax (hypo)'!EG10,'NotEffectivelyVax (hypo)'!EJ10,'NotEffectivelyVax (hypo)'!EM10,'NotEffectivelyVax (hypo)'!EP10,'NotEffectivelyVax (hypo)'!ES10,'NotEffectivelyVax (hypo)'!EV10,'NotEffectivelyVax (hypo)'!EY10,'NotEffectivelyVax (hypo)'!FB10,'NotEffectivelyVax (hypo)'!FE10,'NotEffectivelyVax (hypo)'!FH10,'NotEffectivelyVax (hypo)'!FK10,'NotEffectivelyVax (hypo)'!FN10,'NotEffectivelyVax (hypo)'!FQ10,'NotEffectivelyVax (hypo)'!FT10,'NotEffectivelyVax (hypo)'!FW10,'NotEffectivelyVax (hypo)'!FZ10)</f>
        <v>#VALUE!</v>
      </c>
      <c r="Y10" s="142" t="e">
        <f t="shared" si="2"/>
        <v>#VALUE!</v>
      </c>
      <c r="Z10" s="142" t="e">
        <f>IF(Export!M8&lt;&gt;"",W10*Export!K8*(1/Export!M8),W10*Export!K8)</f>
        <v>#VALUE!</v>
      </c>
      <c r="AA10" s="139" t="e">
        <f>Y10*Export!J8</f>
        <v>#VALUE!</v>
      </c>
      <c r="AC10" s="143" t="e">
        <f t="shared" si="3"/>
        <v>#DIV/0!</v>
      </c>
      <c r="AD10" s="144" t="e">
        <f t="shared" si="13"/>
        <v>#VALUE!</v>
      </c>
      <c r="AE10" s="144" t="e">
        <f t="shared" si="4"/>
        <v>#VALUE!</v>
      </c>
      <c r="AF10" s="144" t="e">
        <f t="shared" si="5"/>
        <v>#VALUE!</v>
      </c>
      <c r="AG10" s="144" t="e">
        <f t="shared" si="6"/>
        <v>#DIV/0!</v>
      </c>
      <c r="AH10" s="145"/>
      <c r="AI10" s="145"/>
      <c r="AJ10" s="145"/>
      <c r="AK10" s="145"/>
      <c r="AL10" s="146"/>
      <c r="AM10" s="145"/>
      <c r="AN10" s="145"/>
      <c r="AO10" s="145"/>
      <c r="AP10" s="145"/>
      <c r="AQ10" s="146"/>
    </row>
    <row r="11" spans="1:43" x14ac:dyDescent="0.35">
      <c r="A11" s="130">
        <f>EffectivelyVax!B10</f>
        <v>0</v>
      </c>
      <c r="B11" s="131">
        <f>EffectivelyVax!C10</f>
        <v>0</v>
      </c>
      <c r="C11" s="132">
        <f>Export!N9</f>
        <v>0</v>
      </c>
      <c r="D11" s="133">
        <f>Export!C9</f>
        <v>0</v>
      </c>
      <c r="E11" s="133" t="e">
        <f>Export!C9*Export!L9</f>
        <v>#VALUE!</v>
      </c>
      <c r="F11" s="133" t="e">
        <f t="shared" si="0"/>
        <v>#VALUE!</v>
      </c>
      <c r="G11" s="133" t="e">
        <f>IF(Export!M9&lt;&gt;"",D11*Export!K9*(1/Export!M9),D11*Export!K9)</f>
        <v>#VALUE!</v>
      </c>
      <c r="H11" s="133" t="e">
        <f>F11*Export!J9</f>
        <v>#VALUE!</v>
      </c>
      <c r="I11" s="133" t="e">
        <f t="shared" si="7"/>
        <v>#VALUE!</v>
      </c>
      <c r="J11" s="134" t="e">
        <f t="shared" si="8"/>
        <v>#VALUE!</v>
      </c>
      <c r="K11" s="135" t="e">
        <f t="shared" si="9"/>
        <v>#VALUE!</v>
      </c>
      <c r="L11" s="117">
        <f>Export!B9</f>
        <v>0</v>
      </c>
      <c r="M11" s="115">
        <f>C11*L11*HelperFunctions!G$3</f>
        <v>0</v>
      </c>
      <c r="N11" s="116">
        <f>C11*L11*(1-HelperFunctions!G$3)</f>
        <v>0</v>
      </c>
      <c r="O11" s="136" t="e">
        <f t="shared" si="10"/>
        <v>#DIV/0!</v>
      </c>
      <c r="P11" s="137">
        <f>SUM(EffectivelyVax!D10:BK10)</f>
        <v>0</v>
      </c>
      <c r="Q11" s="138" t="e">
        <f t="shared" si="11"/>
        <v>#DIV/0!</v>
      </c>
      <c r="R11" s="138" t="e">
        <f t="shared" si="12"/>
        <v>#DIV/0!</v>
      </c>
      <c r="S11" s="137" t="e">
        <f t="shared" si="1"/>
        <v>#DIV/0!</v>
      </c>
      <c r="T11" s="138" t="e">
        <f>IF(Export!M9&lt;&gt;"",Q11*Export!K9*(1/Export!M9),Q11*Export!K9)</f>
        <v>#DIV/0!</v>
      </c>
      <c r="U11" s="139" t="e">
        <f>S11*Export!J9</f>
        <v>#DIV/0!</v>
      </c>
      <c r="V11" s="140" t="e">
        <f>SUM('NotEffectivelyVax (hypo)'!F11,'NotEffectivelyVax (hypo)'!I11,'NotEffectivelyVax (hypo)'!L11,'NotEffectivelyVax (hypo)'!O11,'NotEffectivelyVax (hypo)'!R11,'NotEffectivelyVax (hypo)'!U11,'NotEffectivelyVax (hypo)'!X11,'NotEffectivelyVax (hypo)'!AA11,'NotEffectivelyVax (hypo)'!AD11,'NotEffectivelyVax (hypo)'!AG11,'NotEffectivelyVax (hypo)'!AJ11,'NotEffectivelyVax (hypo)'!AM11,'NotEffectivelyVax (hypo)'!AP11,'NotEffectivelyVax (hypo)'!AS11,'NotEffectivelyVax (hypo)'!AV11,'NotEffectivelyVax (hypo)'!AY11,'NotEffectivelyVax (hypo)'!BB11,'NotEffectivelyVax (hypo)'!BE11,'NotEffectivelyVax (hypo)'!BH11,'NotEffectivelyVax (hypo)'!BK11,'NotEffectivelyVax (hypo)'!BN11,'NotEffectivelyVax (hypo)'!BQ11,'NotEffectivelyVax (hypo)'!BT11,'NotEffectivelyVax (hypo)'!BW11,'NotEffectivelyVax (hypo)'!BZ11,'NotEffectivelyVax (hypo)'!CC11,'NotEffectivelyVax (hypo)'!CF11,'NotEffectivelyVax (hypo)'!CI11,'NotEffectivelyVax (hypo)'!CL11,'NotEffectivelyVax (hypo)'!CO11,'NotEffectivelyVax (hypo)'!CR11,'NotEffectivelyVax (hypo)'!CU11,'NotEffectivelyVax (hypo)'!CX11,'NotEffectivelyVax (hypo)'!DA11,'NotEffectivelyVax (hypo)'!DD11,'NotEffectivelyVax (hypo)'!DG11,'NotEffectivelyVax (hypo)'!DJ11,'NotEffectivelyVax (hypo)'!DM11,'NotEffectivelyVax (hypo)'!DQ11,'NotEffectivelyVax (hypo)'!DP11,'NotEffectivelyVax (hypo)'!DS11,'NotEffectivelyVax (hypo)'!DV11,'NotEffectivelyVax (hypo)'!DY11,'NotEffectivelyVax (hypo)'!EB11,'NotEffectivelyVax (hypo)'!EE11,'NotEffectivelyVax (hypo)'!EH11,'NotEffectivelyVax (hypo)'!EK11,'NotEffectivelyVax (hypo)'!EN11,'NotEffectivelyVax (hypo)'!EQ11,'NotEffectivelyVax (hypo)'!ET11,'NotEffectivelyVax (hypo)'!EW11,'NotEffectivelyVax (hypo)'!EZ11,'NotEffectivelyVax (hypo)'!FC11,'NotEffectivelyVax (hypo)'!FF11,'NotEffectivelyVax (hypo)'!FI11,'NotEffectivelyVax (hypo)'!FL11,'NotEffectivelyVax (hypo)'!FO11,'NotEffectivelyVax (hypo)'!FR11,'NotEffectivelyVax (hypo)'!FU11,'NotEffectivelyVax (hypo)'!FX11,'NotEffectivelyVax (hypo)'!GA11)</f>
        <v>#VALUE!</v>
      </c>
      <c r="W11" s="141" t="e">
        <f>SUM('NotEffectivelyVax (hypo)'!D11,'NotEffectivelyVax (hypo)'!G11,'NotEffectivelyVax (hypo)'!J11,'NotEffectivelyVax (hypo)'!M11,'NotEffectivelyVax (hypo)'!P11,'NotEffectivelyVax (hypo)'!S11,'NotEffectivelyVax (hypo)'!V11,'NotEffectivelyVax (hypo)'!Y11,'NotEffectivelyVax (hypo)'!AB11,'NotEffectivelyVax (hypo)'!AE11,'NotEffectivelyVax (hypo)'!AH11,'NotEffectivelyVax (hypo)'!AK11,'NotEffectivelyVax (hypo)'!AN11,'NotEffectivelyVax (hypo)'!AQ11,'NotEffectivelyVax (hypo)'!AT11,'NotEffectivelyVax (hypo)'!AW11,'NotEffectivelyVax (hypo)'!AZ11,'NotEffectivelyVax (hypo)'!BC11,'NotEffectivelyVax (hypo)'!BF11,'NotEffectivelyVax (hypo)'!BI11,'NotEffectivelyVax (hypo)'!BL11,'NotEffectivelyVax (hypo)'!BO11,'NotEffectivelyVax (hypo)'!BR11,'NotEffectivelyVax (hypo)'!BU11,'NotEffectivelyVax (hypo)'!BX11,'NotEffectivelyVax (hypo)'!CA11,'NotEffectivelyVax (hypo)'!CD11,'NotEffectivelyVax (hypo)'!CG11,'NotEffectivelyVax (hypo)'!CJ11,'NotEffectivelyVax (hypo)'!CM11,'NotEffectivelyVax (hypo)'!CP11,'NotEffectivelyVax (hypo)'!CS11,'NotEffectivelyVax (hypo)'!CV11,'NotEffectivelyVax (hypo)'!CY11,'NotEffectivelyVax (hypo)'!DB11,'NotEffectivelyVax (hypo)'!DE11,'NotEffectivelyVax (hypo)'!DH11,'NotEffectivelyVax (hypo)'!DK11,'NotEffectivelyVax (hypo)'!DN11,'NotEffectivelyVax (hypo)'!DQ11,'NotEffectivelyVax (hypo)'!DT11,'NotEffectivelyVax (hypo)'!DW11,'NotEffectivelyVax (hypo)'!DZ11,'NotEffectivelyVax (hypo)'!EC11,'NotEffectivelyVax (hypo)'!EF11,'NotEffectivelyVax (hypo)'!EI11,'NotEffectivelyVax (hypo)'!EL11,'NotEffectivelyVax (hypo)'!EO11,'NotEffectivelyVax (hypo)'!ER11,'NotEffectivelyVax (hypo)'!EU11,'NotEffectivelyVax (hypo)'!EX11,'NotEffectivelyVax (hypo)'!FA11,'NotEffectivelyVax (hypo)'!FD11,'NotEffectivelyVax (hypo)'!FG11,'NotEffectivelyVax (hypo)'!FJ11,'NotEffectivelyVax (hypo)'!FM11,'NotEffectivelyVax (hypo)'!FP11,'NotEffectivelyVax (hypo)'!FS11,'NotEffectivelyVax (hypo)'!FV11,'NotEffectivelyVax (hypo)'!FY11)</f>
        <v>#VALUE!</v>
      </c>
      <c r="X11" s="141" t="e">
        <f>SUM('NotEffectivelyVax (hypo)'!E11,'NotEffectivelyVax (hypo)'!H11,'NotEffectivelyVax (hypo)'!K11,'NotEffectivelyVax (hypo)'!N11,'NotEffectivelyVax (hypo)'!Q11,'NotEffectivelyVax (hypo)'!T11,'NotEffectivelyVax (hypo)'!Z11,'NotEffectivelyVax (hypo)'!W11,'NotEffectivelyVax (hypo)'!AC11,'NotEffectivelyVax (hypo)'!AF11,'NotEffectivelyVax (hypo)'!AI11,'NotEffectivelyVax (hypo)'!AL11,'NotEffectivelyVax (hypo)'!AO11,'NotEffectivelyVax (hypo)'!AR11,'NotEffectivelyVax (hypo)'!AU11,'NotEffectivelyVax (hypo)'!AX11,'NotEffectivelyVax (hypo)'!BA11,'NotEffectivelyVax (hypo)'!BD11,'NotEffectivelyVax (hypo)'!BG11,'NotEffectivelyVax (hypo)'!BJ11,'NotEffectivelyVax (hypo)'!BM11,'NotEffectivelyVax (hypo)'!BP11,'NotEffectivelyVax (hypo)'!BS11,'NotEffectivelyVax (hypo)'!BV11,'NotEffectivelyVax (hypo)'!BY11,'NotEffectivelyVax (hypo)'!CB11,'NotEffectivelyVax (hypo)'!CE11,'NotEffectivelyVax (hypo)'!CH11,'NotEffectivelyVax (hypo)'!CK11,'NotEffectivelyVax (hypo)'!CN11,'NotEffectivelyVax (hypo)'!CQ11,'NotEffectivelyVax (hypo)'!CT11,'NotEffectivelyVax (hypo)'!CW11,'NotEffectivelyVax (hypo)'!CZ11,'NotEffectivelyVax (hypo)'!DC11,'NotEffectivelyVax (hypo)'!DF11,'NotEffectivelyVax (hypo)'!DI11,'NotEffectivelyVax (hypo)'!DL11,'NotEffectivelyVax (hypo)'!DO11,'NotEffectivelyVax (hypo)'!DR11,'NotEffectivelyVax (hypo)'!DU11,'NotEffectivelyVax (hypo)'!DX11,'NotEffectivelyVax (hypo)'!EA11,'NotEffectivelyVax (hypo)'!ED11,'NotEffectivelyVax (hypo)'!EG11,'NotEffectivelyVax (hypo)'!EJ11,'NotEffectivelyVax (hypo)'!EM11,'NotEffectivelyVax (hypo)'!EP11,'NotEffectivelyVax (hypo)'!ES11,'NotEffectivelyVax (hypo)'!EV11,'NotEffectivelyVax (hypo)'!EY11,'NotEffectivelyVax (hypo)'!FB11,'NotEffectivelyVax (hypo)'!FE11,'NotEffectivelyVax (hypo)'!FH11,'NotEffectivelyVax (hypo)'!FK11,'NotEffectivelyVax (hypo)'!FN11,'NotEffectivelyVax (hypo)'!FQ11,'NotEffectivelyVax (hypo)'!FT11,'NotEffectivelyVax (hypo)'!FW11,'NotEffectivelyVax (hypo)'!FZ11)</f>
        <v>#VALUE!</v>
      </c>
      <c r="Y11" s="142" t="e">
        <f t="shared" si="2"/>
        <v>#VALUE!</v>
      </c>
      <c r="Z11" s="142" t="e">
        <f>IF(Export!M9&lt;&gt;"",W11*Export!K9*(1/Export!M9),W11*Export!K9)</f>
        <v>#VALUE!</v>
      </c>
      <c r="AA11" s="139" t="e">
        <f>Y11*Export!J9</f>
        <v>#VALUE!</v>
      </c>
      <c r="AC11" s="143" t="e">
        <f t="shared" si="3"/>
        <v>#DIV/0!</v>
      </c>
      <c r="AD11" s="144" t="e">
        <f t="shared" si="13"/>
        <v>#VALUE!</v>
      </c>
      <c r="AE11" s="144" t="e">
        <f t="shared" si="4"/>
        <v>#VALUE!</v>
      </c>
      <c r="AF11" s="144" t="e">
        <f t="shared" si="5"/>
        <v>#VALUE!</v>
      </c>
      <c r="AG11" s="144" t="e">
        <f t="shared" si="6"/>
        <v>#DIV/0!</v>
      </c>
      <c r="AH11" s="145"/>
      <c r="AI11" s="145"/>
      <c r="AJ11" s="145"/>
      <c r="AK11" s="145"/>
      <c r="AL11" s="146"/>
      <c r="AM11" s="145"/>
      <c r="AN11" s="145"/>
      <c r="AO11" s="145"/>
      <c r="AP11" s="145"/>
      <c r="AQ11" s="146"/>
    </row>
    <row r="12" spans="1:43" x14ac:dyDescent="0.35">
      <c r="A12" s="130">
        <f>EffectivelyVax!B11</f>
        <v>0</v>
      </c>
      <c r="B12" s="131">
        <f>EffectivelyVax!C11</f>
        <v>0</v>
      </c>
      <c r="C12" s="132">
        <f>Export!N10</f>
        <v>0</v>
      </c>
      <c r="D12" s="133">
        <f>Export!C10</f>
        <v>0</v>
      </c>
      <c r="E12" s="133" t="e">
        <f>Export!C10*Export!L10</f>
        <v>#VALUE!</v>
      </c>
      <c r="F12" s="133" t="e">
        <f t="shared" si="0"/>
        <v>#VALUE!</v>
      </c>
      <c r="G12" s="133" t="e">
        <f>IF(Export!M10&lt;&gt;"",D12*Export!K10*(1/Export!M10),D12*Export!K10)</f>
        <v>#VALUE!</v>
      </c>
      <c r="H12" s="133" t="e">
        <f>F12*Export!J10</f>
        <v>#VALUE!</v>
      </c>
      <c r="I12" s="133" t="e">
        <f>I11-F12+(F4)</f>
        <v>#VALUE!</v>
      </c>
      <c r="J12" s="134" t="e">
        <f t="shared" si="8"/>
        <v>#VALUE!</v>
      </c>
      <c r="K12" s="135" t="e">
        <f t="shared" si="9"/>
        <v>#VALUE!</v>
      </c>
      <c r="L12" s="117">
        <f>Export!B10</f>
        <v>0</v>
      </c>
      <c r="M12" s="115">
        <f>C12*L12*HelperFunctions!G$3</f>
        <v>0</v>
      </c>
      <c r="N12" s="116">
        <f>C12*L12*(1-HelperFunctions!G$3)</f>
        <v>0</v>
      </c>
      <c r="O12" s="136" t="e">
        <f>O11-S12-M12-N12+P12+(S4)+(Y4)</f>
        <v>#DIV/0!</v>
      </c>
      <c r="P12" s="137">
        <f>SUM(EffectivelyVax!D11:BK11)</f>
        <v>0</v>
      </c>
      <c r="Q12" s="138" t="e">
        <f t="shared" si="11"/>
        <v>#DIV/0!</v>
      </c>
      <c r="R12" s="138" t="e">
        <f t="shared" si="12"/>
        <v>#DIV/0!</v>
      </c>
      <c r="S12" s="137" t="e">
        <f t="shared" si="1"/>
        <v>#DIV/0!</v>
      </c>
      <c r="T12" s="138" t="e">
        <f>IF(Export!M10&lt;&gt;"",Q12*Export!K10*(1/Export!M10),Q12*Export!K10)</f>
        <v>#DIV/0!</v>
      </c>
      <c r="U12" s="139" t="e">
        <f>S12*Export!J10</f>
        <v>#DIV/0!</v>
      </c>
      <c r="V12" s="140" t="e">
        <f>SUM('NotEffectivelyVax (hypo)'!F12,'NotEffectivelyVax (hypo)'!I12,'NotEffectivelyVax (hypo)'!L12,'NotEffectivelyVax (hypo)'!O12,'NotEffectivelyVax (hypo)'!R12,'NotEffectivelyVax (hypo)'!U12,'NotEffectivelyVax (hypo)'!X12,'NotEffectivelyVax (hypo)'!AA12,'NotEffectivelyVax (hypo)'!AD12,'NotEffectivelyVax (hypo)'!AG12,'NotEffectivelyVax (hypo)'!AJ12,'NotEffectivelyVax (hypo)'!AM12,'NotEffectivelyVax (hypo)'!AP12,'NotEffectivelyVax (hypo)'!AS12,'NotEffectivelyVax (hypo)'!AV12,'NotEffectivelyVax (hypo)'!AY12,'NotEffectivelyVax (hypo)'!BB12,'NotEffectivelyVax (hypo)'!BE12,'NotEffectivelyVax (hypo)'!BH12,'NotEffectivelyVax (hypo)'!BK12,'NotEffectivelyVax (hypo)'!BN12,'NotEffectivelyVax (hypo)'!BQ12,'NotEffectivelyVax (hypo)'!BT12,'NotEffectivelyVax (hypo)'!BW12,'NotEffectivelyVax (hypo)'!BZ12,'NotEffectivelyVax (hypo)'!CC12,'NotEffectivelyVax (hypo)'!CF12,'NotEffectivelyVax (hypo)'!CI12,'NotEffectivelyVax (hypo)'!CL12,'NotEffectivelyVax (hypo)'!CO12,'NotEffectivelyVax (hypo)'!CR12,'NotEffectivelyVax (hypo)'!CU12,'NotEffectivelyVax (hypo)'!CX12,'NotEffectivelyVax (hypo)'!DA12,'NotEffectivelyVax (hypo)'!DD12,'NotEffectivelyVax (hypo)'!DG12,'NotEffectivelyVax (hypo)'!DJ12,'NotEffectivelyVax (hypo)'!DM12,'NotEffectivelyVax (hypo)'!DQ12,'NotEffectivelyVax (hypo)'!DP12,'NotEffectivelyVax (hypo)'!DS12,'NotEffectivelyVax (hypo)'!DV12,'NotEffectivelyVax (hypo)'!DY12,'NotEffectivelyVax (hypo)'!EB12,'NotEffectivelyVax (hypo)'!EE12,'NotEffectivelyVax (hypo)'!EH12,'NotEffectivelyVax (hypo)'!EK12,'NotEffectivelyVax (hypo)'!EN12,'NotEffectivelyVax (hypo)'!EQ12,'NotEffectivelyVax (hypo)'!ET12,'NotEffectivelyVax (hypo)'!EW12,'NotEffectivelyVax (hypo)'!EZ12,'NotEffectivelyVax (hypo)'!FC12,'NotEffectivelyVax (hypo)'!FF12,'NotEffectivelyVax (hypo)'!FI12,'NotEffectivelyVax (hypo)'!FL12,'NotEffectivelyVax (hypo)'!FO12,'NotEffectivelyVax (hypo)'!FR12,'NotEffectivelyVax (hypo)'!FU12,'NotEffectivelyVax (hypo)'!FX12,'NotEffectivelyVax (hypo)'!GA12)</f>
        <v>#VALUE!</v>
      </c>
      <c r="W12" s="141" t="e">
        <f>SUM('NotEffectivelyVax (hypo)'!D12,'NotEffectivelyVax (hypo)'!G12,'NotEffectivelyVax (hypo)'!J12,'NotEffectivelyVax (hypo)'!M12,'NotEffectivelyVax (hypo)'!P12,'NotEffectivelyVax (hypo)'!S12,'NotEffectivelyVax (hypo)'!V12,'NotEffectivelyVax (hypo)'!Y12,'NotEffectivelyVax (hypo)'!AB12,'NotEffectivelyVax (hypo)'!AE12,'NotEffectivelyVax (hypo)'!AH12,'NotEffectivelyVax (hypo)'!AK12,'NotEffectivelyVax (hypo)'!AN12,'NotEffectivelyVax (hypo)'!AQ12,'NotEffectivelyVax (hypo)'!AT12,'NotEffectivelyVax (hypo)'!AW12,'NotEffectivelyVax (hypo)'!AZ12,'NotEffectivelyVax (hypo)'!BC12,'NotEffectivelyVax (hypo)'!BF12,'NotEffectivelyVax (hypo)'!BI12,'NotEffectivelyVax (hypo)'!BL12,'NotEffectivelyVax (hypo)'!BO12,'NotEffectivelyVax (hypo)'!BR12,'NotEffectivelyVax (hypo)'!BU12,'NotEffectivelyVax (hypo)'!BX12,'NotEffectivelyVax (hypo)'!CA12,'NotEffectivelyVax (hypo)'!CD12,'NotEffectivelyVax (hypo)'!CG12,'NotEffectivelyVax (hypo)'!CJ12,'NotEffectivelyVax (hypo)'!CM12,'NotEffectivelyVax (hypo)'!CP12,'NotEffectivelyVax (hypo)'!CS12,'NotEffectivelyVax (hypo)'!CV12,'NotEffectivelyVax (hypo)'!CY12,'NotEffectivelyVax (hypo)'!DB12,'NotEffectivelyVax (hypo)'!DE12,'NotEffectivelyVax (hypo)'!DH12,'NotEffectivelyVax (hypo)'!DK12,'NotEffectivelyVax (hypo)'!DN12,'NotEffectivelyVax (hypo)'!DQ12,'NotEffectivelyVax (hypo)'!DT12,'NotEffectivelyVax (hypo)'!DW12,'NotEffectivelyVax (hypo)'!DZ12,'NotEffectivelyVax (hypo)'!EC12,'NotEffectivelyVax (hypo)'!EF12,'NotEffectivelyVax (hypo)'!EI12,'NotEffectivelyVax (hypo)'!EL12,'NotEffectivelyVax (hypo)'!EO12,'NotEffectivelyVax (hypo)'!ER12,'NotEffectivelyVax (hypo)'!EU12,'NotEffectivelyVax (hypo)'!EX12,'NotEffectivelyVax (hypo)'!FA12,'NotEffectivelyVax (hypo)'!FD12,'NotEffectivelyVax (hypo)'!FG12,'NotEffectivelyVax (hypo)'!FJ12,'NotEffectivelyVax (hypo)'!FM12,'NotEffectivelyVax (hypo)'!FP12,'NotEffectivelyVax (hypo)'!FS12,'NotEffectivelyVax (hypo)'!FV12,'NotEffectivelyVax (hypo)'!FY12)</f>
        <v>#VALUE!</v>
      </c>
      <c r="X12" s="141" t="e">
        <f>SUM('NotEffectivelyVax (hypo)'!E12,'NotEffectivelyVax (hypo)'!H12,'NotEffectivelyVax (hypo)'!K12,'NotEffectivelyVax (hypo)'!N12,'NotEffectivelyVax (hypo)'!Q12,'NotEffectivelyVax (hypo)'!T12,'NotEffectivelyVax (hypo)'!Z12,'NotEffectivelyVax (hypo)'!W12,'NotEffectivelyVax (hypo)'!AC12,'NotEffectivelyVax (hypo)'!AF12,'NotEffectivelyVax (hypo)'!AI12,'NotEffectivelyVax (hypo)'!AL12,'NotEffectivelyVax (hypo)'!AO12,'NotEffectivelyVax (hypo)'!AR12,'NotEffectivelyVax (hypo)'!AU12,'NotEffectivelyVax (hypo)'!AX12,'NotEffectivelyVax (hypo)'!BA12,'NotEffectivelyVax (hypo)'!BD12,'NotEffectivelyVax (hypo)'!BG12,'NotEffectivelyVax (hypo)'!BJ12,'NotEffectivelyVax (hypo)'!BM12,'NotEffectivelyVax (hypo)'!BP12,'NotEffectivelyVax (hypo)'!BS12,'NotEffectivelyVax (hypo)'!BV12,'NotEffectivelyVax (hypo)'!BY12,'NotEffectivelyVax (hypo)'!CB12,'NotEffectivelyVax (hypo)'!CE12,'NotEffectivelyVax (hypo)'!CH12,'NotEffectivelyVax (hypo)'!CK12,'NotEffectivelyVax (hypo)'!CN12,'NotEffectivelyVax (hypo)'!CQ12,'NotEffectivelyVax (hypo)'!CT12,'NotEffectivelyVax (hypo)'!CW12,'NotEffectivelyVax (hypo)'!CZ12,'NotEffectivelyVax (hypo)'!DC12,'NotEffectivelyVax (hypo)'!DF12,'NotEffectivelyVax (hypo)'!DI12,'NotEffectivelyVax (hypo)'!DL12,'NotEffectivelyVax (hypo)'!DO12,'NotEffectivelyVax (hypo)'!DR12,'NotEffectivelyVax (hypo)'!DU12,'NotEffectivelyVax (hypo)'!DX12,'NotEffectivelyVax (hypo)'!EA12,'NotEffectivelyVax (hypo)'!ED12,'NotEffectivelyVax (hypo)'!EG12,'NotEffectivelyVax (hypo)'!EJ12,'NotEffectivelyVax (hypo)'!EM12,'NotEffectivelyVax (hypo)'!EP12,'NotEffectivelyVax (hypo)'!ES12,'NotEffectivelyVax (hypo)'!EV12,'NotEffectivelyVax (hypo)'!EY12,'NotEffectivelyVax (hypo)'!FB12,'NotEffectivelyVax (hypo)'!FE12,'NotEffectivelyVax (hypo)'!FH12,'NotEffectivelyVax (hypo)'!FK12,'NotEffectivelyVax (hypo)'!FN12,'NotEffectivelyVax (hypo)'!FQ12,'NotEffectivelyVax (hypo)'!FT12,'NotEffectivelyVax (hypo)'!FW12,'NotEffectivelyVax (hypo)'!FZ12)</f>
        <v>#VALUE!</v>
      </c>
      <c r="Y12" s="142" t="e">
        <f t="shared" si="2"/>
        <v>#VALUE!</v>
      </c>
      <c r="Z12" s="142" t="e">
        <f>IF(Export!M10&lt;&gt;"",W12*Export!K10*(1/Export!M10),W12*Export!K10)</f>
        <v>#VALUE!</v>
      </c>
      <c r="AA12" s="139" t="e">
        <f>Y12*Export!J10</f>
        <v>#VALUE!</v>
      </c>
      <c r="AC12" s="143" t="e">
        <f t="shared" si="3"/>
        <v>#DIV/0!</v>
      </c>
      <c r="AD12" s="144" t="e">
        <f t="shared" si="13"/>
        <v>#VALUE!</v>
      </c>
      <c r="AE12" s="144" t="e">
        <f t="shared" si="4"/>
        <v>#VALUE!</v>
      </c>
      <c r="AF12" s="144" t="e">
        <f t="shared" si="5"/>
        <v>#VALUE!</v>
      </c>
      <c r="AG12" s="144" t="e">
        <f t="shared" si="6"/>
        <v>#DIV/0!</v>
      </c>
      <c r="AH12" s="145"/>
      <c r="AI12" s="145"/>
      <c r="AJ12" s="145"/>
      <c r="AK12" s="145"/>
      <c r="AL12" s="146"/>
      <c r="AM12" s="145"/>
      <c r="AN12" s="145"/>
      <c r="AO12" s="145"/>
      <c r="AP12" s="145"/>
      <c r="AQ12" s="146"/>
    </row>
    <row r="13" spans="1:43" x14ac:dyDescent="0.35">
      <c r="A13" s="130">
        <f>EffectivelyVax!B12</f>
        <v>0</v>
      </c>
      <c r="B13" s="131">
        <f>EffectivelyVax!C12</f>
        <v>0</v>
      </c>
      <c r="C13" s="132">
        <f>Export!N11</f>
        <v>0</v>
      </c>
      <c r="D13" s="133">
        <f>Export!C11</f>
        <v>0</v>
      </c>
      <c r="E13" s="133" t="e">
        <f>Export!C11*Export!L11</f>
        <v>#VALUE!</v>
      </c>
      <c r="F13" s="133" t="e">
        <f t="shared" si="0"/>
        <v>#VALUE!</v>
      </c>
      <c r="G13" s="133" t="e">
        <f>IF(Export!M11&lt;&gt;"",D13*Export!K11*(1/Export!M11),D13*Export!K11)</f>
        <v>#VALUE!</v>
      </c>
      <c r="H13" s="133" t="e">
        <f>F13*Export!J11</f>
        <v>#VALUE!</v>
      </c>
      <c r="I13" s="133" t="e">
        <f>I12-F13+(F5)</f>
        <v>#VALUE!</v>
      </c>
      <c r="J13" s="134" t="e">
        <f t="shared" si="8"/>
        <v>#VALUE!</v>
      </c>
      <c r="K13" s="135" t="e">
        <f t="shared" si="9"/>
        <v>#VALUE!</v>
      </c>
      <c r="L13" s="117">
        <f>Export!B11</f>
        <v>0</v>
      </c>
      <c r="M13" s="115">
        <f>C13*L13*HelperFunctions!G$3</f>
        <v>0</v>
      </c>
      <c r="N13" s="116">
        <f>C13*L13*(1-HelperFunctions!G$3)</f>
        <v>0</v>
      </c>
      <c r="O13" s="136" t="e">
        <f t="shared" ref="O13:O63" si="14">O12-S13-M13-N13+P13+(S5)+(Y5)</f>
        <v>#DIV/0!</v>
      </c>
      <c r="P13" s="137">
        <f>SUM(EffectivelyVax!D12:BK12)</f>
        <v>0</v>
      </c>
      <c r="Q13" s="138" t="e">
        <f t="shared" si="11"/>
        <v>#DIV/0!</v>
      </c>
      <c r="R13" s="138" t="e">
        <f t="shared" si="12"/>
        <v>#DIV/0!</v>
      </c>
      <c r="S13" s="137" t="e">
        <f t="shared" si="1"/>
        <v>#DIV/0!</v>
      </c>
      <c r="T13" s="138" t="e">
        <f>IF(Export!M11&lt;&gt;"",Q13*Export!K11*(1/Export!M11),Q13*Export!K11)</f>
        <v>#DIV/0!</v>
      </c>
      <c r="U13" s="139" t="e">
        <f>S13*Export!J11</f>
        <v>#DIV/0!</v>
      </c>
      <c r="V13" s="140" t="e">
        <f>SUM('NotEffectivelyVax (hypo)'!F13,'NotEffectivelyVax (hypo)'!I13,'NotEffectivelyVax (hypo)'!L13,'NotEffectivelyVax (hypo)'!O13,'NotEffectivelyVax (hypo)'!R13,'NotEffectivelyVax (hypo)'!U13,'NotEffectivelyVax (hypo)'!X13,'NotEffectivelyVax (hypo)'!AA13,'NotEffectivelyVax (hypo)'!AD13,'NotEffectivelyVax (hypo)'!AG13,'NotEffectivelyVax (hypo)'!AJ13,'NotEffectivelyVax (hypo)'!AM13,'NotEffectivelyVax (hypo)'!AP13,'NotEffectivelyVax (hypo)'!AS13,'NotEffectivelyVax (hypo)'!AV13,'NotEffectivelyVax (hypo)'!AY13,'NotEffectivelyVax (hypo)'!BB13,'NotEffectivelyVax (hypo)'!BE13,'NotEffectivelyVax (hypo)'!BH13,'NotEffectivelyVax (hypo)'!BK13,'NotEffectivelyVax (hypo)'!BN13,'NotEffectivelyVax (hypo)'!BQ13,'NotEffectivelyVax (hypo)'!BT13,'NotEffectivelyVax (hypo)'!BW13,'NotEffectivelyVax (hypo)'!BZ13,'NotEffectivelyVax (hypo)'!CC13,'NotEffectivelyVax (hypo)'!CF13,'NotEffectivelyVax (hypo)'!CI13,'NotEffectivelyVax (hypo)'!CL13,'NotEffectivelyVax (hypo)'!CO13,'NotEffectivelyVax (hypo)'!CR13,'NotEffectivelyVax (hypo)'!CU13,'NotEffectivelyVax (hypo)'!CX13,'NotEffectivelyVax (hypo)'!DA13,'NotEffectivelyVax (hypo)'!DD13,'NotEffectivelyVax (hypo)'!DG13,'NotEffectivelyVax (hypo)'!DJ13,'NotEffectivelyVax (hypo)'!DM13,'NotEffectivelyVax (hypo)'!DQ13,'NotEffectivelyVax (hypo)'!DP13,'NotEffectivelyVax (hypo)'!DS13,'NotEffectivelyVax (hypo)'!DV13,'NotEffectivelyVax (hypo)'!DY13,'NotEffectivelyVax (hypo)'!EB13,'NotEffectivelyVax (hypo)'!EE13,'NotEffectivelyVax (hypo)'!EH13,'NotEffectivelyVax (hypo)'!EK13,'NotEffectivelyVax (hypo)'!EN13,'NotEffectivelyVax (hypo)'!EQ13,'NotEffectivelyVax (hypo)'!ET13,'NotEffectivelyVax (hypo)'!EW13,'NotEffectivelyVax (hypo)'!EZ13,'NotEffectivelyVax (hypo)'!FC13,'NotEffectivelyVax (hypo)'!FF13,'NotEffectivelyVax (hypo)'!FI13,'NotEffectivelyVax (hypo)'!FL13,'NotEffectivelyVax (hypo)'!FO13,'NotEffectivelyVax (hypo)'!FR13,'NotEffectivelyVax (hypo)'!FU13,'NotEffectivelyVax (hypo)'!FX13,'NotEffectivelyVax (hypo)'!GA13)</f>
        <v>#VALUE!</v>
      </c>
      <c r="W13" s="141" t="e">
        <f>SUM('NotEffectivelyVax (hypo)'!D13,'NotEffectivelyVax (hypo)'!G13,'NotEffectivelyVax (hypo)'!J13,'NotEffectivelyVax (hypo)'!M13,'NotEffectivelyVax (hypo)'!P13,'NotEffectivelyVax (hypo)'!S13,'NotEffectivelyVax (hypo)'!V13,'NotEffectivelyVax (hypo)'!Y13,'NotEffectivelyVax (hypo)'!AB13,'NotEffectivelyVax (hypo)'!AE13,'NotEffectivelyVax (hypo)'!AH13,'NotEffectivelyVax (hypo)'!AK13,'NotEffectivelyVax (hypo)'!AN13,'NotEffectivelyVax (hypo)'!AQ13,'NotEffectivelyVax (hypo)'!AT13,'NotEffectivelyVax (hypo)'!AW13,'NotEffectivelyVax (hypo)'!AZ13,'NotEffectivelyVax (hypo)'!BC13,'NotEffectivelyVax (hypo)'!BF13,'NotEffectivelyVax (hypo)'!BI13,'NotEffectivelyVax (hypo)'!BL13,'NotEffectivelyVax (hypo)'!BO13,'NotEffectivelyVax (hypo)'!BR13,'NotEffectivelyVax (hypo)'!BU13,'NotEffectivelyVax (hypo)'!BX13,'NotEffectivelyVax (hypo)'!CA13,'NotEffectivelyVax (hypo)'!CD13,'NotEffectivelyVax (hypo)'!CG13,'NotEffectivelyVax (hypo)'!CJ13,'NotEffectivelyVax (hypo)'!CM13,'NotEffectivelyVax (hypo)'!CP13,'NotEffectivelyVax (hypo)'!CS13,'NotEffectivelyVax (hypo)'!CV13,'NotEffectivelyVax (hypo)'!CY13,'NotEffectivelyVax (hypo)'!DB13,'NotEffectivelyVax (hypo)'!DE13,'NotEffectivelyVax (hypo)'!DH13,'NotEffectivelyVax (hypo)'!DK13,'NotEffectivelyVax (hypo)'!DN13,'NotEffectivelyVax (hypo)'!DQ13,'NotEffectivelyVax (hypo)'!DT13,'NotEffectivelyVax (hypo)'!DW13,'NotEffectivelyVax (hypo)'!DZ13,'NotEffectivelyVax (hypo)'!EC13,'NotEffectivelyVax (hypo)'!EF13,'NotEffectivelyVax (hypo)'!EI13,'NotEffectivelyVax (hypo)'!EL13,'NotEffectivelyVax (hypo)'!EO13,'NotEffectivelyVax (hypo)'!ER13,'NotEffectivelyVax (hypo)'!EU13,'NotEffectivelyVax (hypo)'!EX13,'NotEffectivelyVax (hypo)'!FA13,'NotEffectivelyVax (hypo)'!FD13,'NotEffectivelyVax (hypo)'!FG13,'NotEffectivelyVax (hypo)'!FJ13,'NotEffectivelyVax (hypo)'!FM13,'NotEffectivelyVax (hypo)'!FP13,'NotEffectivelyVax (hypo)'!FS13,'NotEffectivelyVax (hypo)'!FV13,'NotEffectivelyVax (hypo)'!FY13)</f>
        <v>#VALUE!</v>
      </c>
      <c r="X13" s="141" t="e">
        <f>SUM('NotEffectivelyVax (hypo)'!E13,'NotEffectivelyVax (hypo)'!H13,'NotEffectivelyVax (hypo)'!K13,'NotEffectivelyVax (hypo)'!N13,'NotEffectivelyVax (hypo)'!Q13,'NotEffectivelyVax (hypo)'!T13,'NotEffectivelyVax (hypo)'!Z13,'NotEffectivelyVax (hypo)'!W13,'NotEffectivelyVax (hypo)'!AC13,'NotEffectivelyVax (hypo)'!AF13,'NotEffectivelyVax (hypo)'!AI13,'NotEffectivelyVax (hypo)'!AL13,'NotEffectivelyVax (hypo)'!AO13,'NotEffectivelyVax (hypo)'!AR13,'NotEffectivelyVax (hypo)'!AU13,'NotEffectivelyVax (hypo)'!AX13,'NotEffectivelyVax (hypo)'!BA13,'NotEffectivelyVax (hypo)'!BD13,'NotEffectivelyVax (hypo)'!BG13,'NotEffectivelyVax (hypo)'!BJ13,'NotEffectivelyVax (hypo)'!BM13,'NotEffectivelyVax (hypo)'!BP13,'NotEffectivelyVax (hypo)'!BS13,'NotEffectivelyVax (hypo)'!BV13,'NotEffectivelyVax (hypo)'!BY13,'NotEffectivelyVax (hypo)'!CB13,'NotEffectivelyVax (hypo)'!CE13,'NotEffectivelyVax (hypo)'!CH13,'NotEffectivelyVax (hypo)'!CK13,'NotEffectivelyVax (hypo)'!CN13,'NotEffectivelyVax (hypo)'!CQ13,'NotEffectivelyVax (hypo)'!CT13,'NotEffectivelyVax (hypo)'!CW13,'NotEffectivelyVax (hypo)'!CZ13,'NotEffectivelyVax (hypo)'!DC13,'NotEffectivelyVax (hypo)'!DF13,'NotEffectivelyVax (hypo)'!DI13,'NotEffectivelyVax (hypo)'!DL13,'NotEffectivelyVax (hypo)'!DO13,'NotEffectivelyVax (hypo)'!DR13,'NotEffectivelyVax (hypo)'!DU13,'NotEffectivelyVax (hypo)'!DX13,'NotEffectivelyVax (hypo)'!EA13,'NotEffectivelyVax (hypo)'!ED13,'NotEffectivelyVax (hypo)'!EG13,'NotEffectivelyVax (hypo)'!EJ13,'NotEffectivelyVax (hypo)'!EM13,'NotEffectivelyVax (hypo)'!EP13,'NotEffectivelyVax (hypo)'!ES13,'NotEffectivelyVax (hypo)'!EV13,'NotEffectivelyVax (hypo)'!EY13,'NotEffectivelyVax (hypo)'!FB13,'NotEffectivelyVax (hypo)'!FE13,'NotEffectivelyVax (hypo)'!FH13,'NotEffectivelyVax (hypo)'!FK13,'NotEffectivelyVax (hypo)'!FN13,'NotEffectivelyVax (hypo)'!FQ13,'NotEffectivelyVax (hypo)'!FT13,'NotEffectivelyVax (hypo)'!FW13,'NotEffectivelyVax (hypo)'!FZ13)</f>
        <v>#VALUE!</v>
      </c>
      <c r="Y13" s="142" t="e">
        <f t="shared" si="2"/>
        <v>#VALUE!</v>
      </c>
      <c r="Z13" s="142" t="e">
        <f>IF(Export!M11&lt;&gt;"",W13*Export!K11*(1/Export!M11),W13*Export!K11)</f>
        <v>#VALUE!</v>
      </c>
      <c r="AA13" s="139" t="e">
        <f>Y13*Export!J11</f>
        <v>#VALUE!</v>
      </c>
      <c r="AC13" s="143" t="e">
        <f t="shared" si="3"/>
        <v>#DIV/0!</v>
      </c>
      <c r="AD13" s="144" t="e">
        <f t="shared" si="13"/>
        <v>#VALUE!</v>
      </c>
      <c r="AE13" s="144" t="e">
        <f t="shared" si="4"/>
        <v>#VALUE!</v>
      </c>
      <c r="AF13" s="144" t="e">
        <f t="shared" si="5"/>
        <v>#VALUE!</v>
      </c>
      <c r="AG13" s="144" t="e">
        <f t="shared" si="6"/>
        <v>#DIV/0!</v>
      </c>
      <c r="AH13" s="145"/>
      <c r="AI13" s="145"/>
      <c r="AJ13" s="145"/>
      <c r="AK13" s="145"/>
      <c r="AL13" s="146"/>
      <c r="AM13" s="145"/>
      <c r="AN13" s="145"/>
      <c r="AO13" s="145"/>
      <c r="AP13" s="145"/>
      <c r="AQ13" s="146"/>
    </row>
    <row r="14" spans="1:43" x14ac:dyDescent="0.35">
      <c r="A14" s="130">
        <f>EffectivelyVax!B13</f>
        <v>0</v>
      </c>
      <c r="B14" s="131">
        <f>EffectivelyVax!C13</f>
        <v>0</v>
      </c>
      <c r="C14" s="132">
        <f>Export!N12</f>
        <v>0</v>
      </c>
      <c r="D14" s="133">
        <f>Export!C12</f>
        <v>0</v>
      </c>
      <c r="E14" s="133" t="e">
        <f>Export!C12*Export!L12</f>
        <v>#VALUE!</v>
      </c>
      <c r="F14" s="133" t="e">
        <f t="shared" si="0"/>
        <v>#VALUE!</v>
      </c>
      <c r="G14" s="133" t="e">
        <f>IF(Export!M12&lt;&gt;"",D14*Export!K12*(1/Export!M12),D14*Export!K12)</f>
        <v>#VALUE!</v>
      </c>
      <c r="H14" s="133" t="e">
        <f>F14*Export!J12</f>
        <v>#VALUE!</v>
      </c>
      <c r="I14" s="133" t="e">
        <f>I13-F14+(F6)</f>
        <v>#VALUE!</v>
      </c>
      <c r="J14" s="134" t="e">
        <f t="shared" si="8"/>
        <v>#VALUE!</v>
      </c>
      <c r="K14" s="135" t="e">
        <f t="shared" si="9"/>
        <v>#VALUE!</v>
      </c>
      <c r="L14" s="117">
        <f>Export!B12</f>
        <v>0</v>
      </c>
      <c r="M14" s="115">
        <f>C14*L14*HelperFunctions!G$3</f>
        <v>0</v>
      </c>
      <c r="N14" s="116">
        <f>C14*L14*(1-HelperFunctions!G$3)</f>
        <v>0</v>
      </c>
      <c r="O14" s="136" t="e">
        <f t="shared" si="14"/>
        <v>#DIV/0!</v>
      </c>
      <c r="P14" s="137">
        <f>SUM(EffectivelyVax!D13:BK13)</f>
        <v>0</v>
      </c>
      <c r="Q14" s="138" t="e">
        <f t="shared" si="11"/>
        <v>#DIV/0!</v>
      </c>
      <c r="R14" s="138" t="e">
        <f t="shared" si="12"/>
        <v>#DIV/0!</v>
      </c>
      <c r="S14" s="137" t="e">
        <f t="shared" si="1"/>
        <v>#DIV/0!</v>
      </c>
      <c r="T14" s="138" t="e">
        <f>IF(Export!M12&lt;&gt;"",Q14*Export!K12*(1/Export!M12),Q14*Export!K12)</f>
        <v>#DIV/0!</v>
      </c>
      <c r="U14" s="139" t="e">
        <f>S14*Export!J12</f>
        <v>#DIV/0!</v>
      </c>
      <c r="V14" s="140" t="e">
        <f>SUM('NotEffectivelyVax (hypo)'!F14,'NotEffectivelyVax (hypo)'!I14,'NotEffectivelyVax (hypo)'!L14,'NotEffectivelyVax (hypo)'!O14,'NotEffectivelyVax (hypo)'!R14,'NotEffectivelyVax (hypo)'!U14,'NotEffectivelyVax (hypo)'!X14,'NotEffectivelyVax (hypo)'!AA14,'NotEffectivelyVax (hypo)'!AD14,'NotEffectivelyVax (hypo)'!AG14,'NotEffectivelyVax (hypo)'!AJ14,'NotEffectivelyVax (hypo)'!AM14,'NotEffectivelyVax (hypo)'!AP14,'NotEffectivelyVax (hypo)'!AS14,'NotEffectivelyVax (hypo)'!AV14,'NotEffectivelyVax (hypo)'!AY14,'NotEffectivelyVax (hypo)'!BB14,'NotEffectivelyVax (hypo)'!BE14,'NotEffectivelyVax (hypo)'!BH14,'NotEffectivelyVax (hypo)'!BK14,'NotEffectivelyVax (hypo)'!BN14,'NotEffectivelyVax (hypo)'!BQ14,'NotEffectivelyVax (hypo)'!BT14,'NotEffectivelyVax (hypo)'!BW14,'NotEffectivelyVax (hypo)'!BZ14,'NotEffectivelyVax (hypo)'!CC14,'NotEffectivelyVax (hypo)'!CF14,'NotEffectivelyVax (hypo)'!CI14,'NotEffectivelyVax (hypo)'!CL14,'NotEffectivelyVax (hypo)'!CO14,'NotEffectivelyVax (hypo)'!CR14,'NotEffectivelyVax (hypo)'!CU14,'NotEffectivelyVax (hypo)'!CX14,'NotEffectivelyVax (hypo)'!DA14,'NotEffectivelyVax (hypo)'!DD14,'NotEffectivelyVax (hypo)'!DG14,'NotEffectivelyVax (hypo)'!DJ14,'NotEffectivelyVax (hypo)'!DM14,'NotEffectivelyVax (hypo)'!DQ14,'NotEffectivelyVax (hypo)'!DP14,'NotEffectivelyVax (hypo)'!DS14,'NotEffectivelyVax (hypo)'!DV14,'NotEffectivelyVax (hypo)'!DY14,'NotEffectivelyVax (hypo)'!EB14,'NotEffectivelyVax (hypo)'!EE14,'NotEffectivelyVax (hypo)'!EH14,'NotEffectivelyVax (hypo)'!EK14,'NotEffectivelyVax (hypo)'!EN14,'NotEffectivelyVax (hypo)'!EQ14,'NotEffectivelyVax (hypo)'!ET14,'NotEffectivelyVax (hypo)'!EW14,'NotEffectivelyVax (hypo)'!EZ14,'NotEffectivelyVax (hypo)'!FC14,'NotEffectivelyVax (hypo)'!FF14,'NotEffectivelyVax (hypo)'!FI14,'NotEffectivelyVax (hypo)'!FL14,'NotEffectivelyVax (hypo)'!FO14,'NotEffectivelyVax (hypo)'!FR14,'NotEffectivelyVax (hypo)'!FU14,'NotEffectivelyVax (hypo)'!FX14,'NotEffectivelyVax (hypo)'!GA14)</f>
        <v>#VALUE!</v>
      </c>
      <c r="W14" s="141" t="e">
        <f>SUM('NotEffectivelyVax (hypo)'!D14,'NotEffectivelyVax (hypo)'!G14,'NotEffectivelyVax (hypo)'!J14,'NotEffectivelyVax (hypo)'!M14,'NotEffectivelyVax (hypo)'!P14,'NotEffectivelyVax (hypo)'!S14,'NotEffectivelyVax (hypo)'!V14,'NotEffectivelyVax (hypo)'!Y14,'NotEffectivelyVax (hypo)'!AB14,'NotEffectivelyVax (hypo)'!AE14,'NotEffectivelyVax (hypo)'!AH14,'NotEffectivelyVax (hypo)'!AK14,'NotEffectivelyVax (hypo)'!AN14,'NotEffectivelyVax (hypo)'!AQ14,'NotEffectivelyVax (hypo)'!AT14,'NotEffectivelyVax (hypo)'!AW14,'NotEffectivelyVax (hypo)'!AZ14,'NotEffectivelyVax (hypo)'!BC14,'NotEffectivelyVax (hypo)'!BF14,'NotEffectivelyVax (hypo)'!BI14,'NotEffectivelyVax (hypo)'!BL14,'NotEffectivelyVax (hypo)'!BO14,'NotEffectivelyVax (hypo)'!BR14,'NotEffectivelyVax (hypo)'!BU14,'NotEffectivelyVax (hypo)'!BX14,'NotEffectivelyVax (hypo)'!CA14,'NotEffectivelyVax (hypo)'!CD14,'NotEffectivelyVax (hypo)'!CG14,'NotEffectivelyVax (hypo)'!CJ14,'NotEffectivelyVax (hypo)'!CM14,'NotEffectivelyVax (hypo)'!CP14,'NotEffectivelyVax (hypo)'!CS14,'NotEffectivelyVax (hypo)'!CV14,'NotEffectivelyVax (hypo)'!CY14,'NotEffectivelyVax (hypo)'!DB14,'NotEffectivelyVax (hypo)'!DE14,'NotEffectivelyVax (hypo)'!DH14,'NotEffectivelyVax (hypo)'!DK14,'NotEffectivelyVax (hypo)'!DN14,'NotEffectivelyVax (hypo)'!DQ14,'NotEffectivelyVax (hypo)'!DT14,'NotEffectivelyVax (hypo)'!DW14,'NotEffectivelyVax (hypo)'!DZ14,'NotEffectivelyVax (hypo)'!EC14,'NotEffectivelyVax (hypo)'!EF14,'NotEffectivelyVax (hypo)'!EI14,'NotEffectivelyVax (hypo)'!EL14,'NotEffectivelyVax (hypo)'!EO14,'NotEffectivelyVax (hypo)'!ER14,'NotEffectivelyVax (hypo)'!EU14,'NotEffectivelyVax (hypo)'!EX14,'NotEffectivelyVax (hypo)'!FA14,'NotEffectivelyVax (hypo)'!FD14,'NotEffectivelyVax (hypo)'!FG14,'NotEffectivelyVax (hypo)'!FJ14,'NotEffectivelyVax (hypo)'!FM14,'NotEffectivelyVax (hypo)'!FP14,'NotEffectivelyVax (hypo)'!FS14,'NotEffectivelyVax (hypo)'!FV14,'NotEffectivelyVax (hypo)'!FY14)</f>
        <v>#VALUE!</v>
      </c>
      <c r="X14" s="141" t="e">
        <f>SUM('NotEffectivelyVax (hypo)'!E14,'NotEffectivelyVax (hypo)'!H14,'NotEffectivelyVax (hypo)'!K14,'NotEffectivelyVax (hypo)'!N14,'NotEffectivelyVax (hypo)'!Q14,'NotEffectivelyVax (hypo)'!T14,'NotEffectivelyVax (hypo)'!Z14,'NotEffectivelyVax (hypo)'!W14,'NotEffectivelyVax (hypo)'!AC14,'NotEffectivelyVax (hypo)'!AF14,'NotEffectivelyVax (hypo)'!AI14,'NotEffectivelyVax (hypo)'!AL14,'NotEffectivelyVax (hypo)'!AO14,'NotEffectivelyVax (hypo)'!AR14,'NotEffectivelyVax (hypo)'!AU14,'NotEffectivelyVax (hypo)'!AX14,'NotEffectivelyVax (hypo)'!BA14,'NotEffectivelyVax (hypo)'!BD14,'NotEffectivelyVax (hypo)'!BG14,'NotEffectivelyVax (hypo)'!BJ14,'NotEffectivelyVax (hypo)'!BM14,'NotEffectivelyVax (hypo)'!BP14,'NotEffectivelyVax (hypo)'!BS14,'NotEffectivelyVax (hypo)'!BV14,'NotEffectivelyVax (hypo)'!BY14,'NotEffectivelyVax (hypo)'!CB14,'NotEffectivelyVax (hypo)'!CE14,'NotEffectivelyVax (hypo)'!CH14,'NotEffectivelyVax (hypo)'!CK14,'NotEffectivelyVax (hypo)'!CN14,'NotEffectivelyVax (hypo)'!CQ14,'NotEffectivelyVax (hypo)'!CT14,'NotEffectivelyVax (hypo)'!CW14,'NotEffectivelyVax (hypo)'!CZ14,'NotEffectivelyVax (hypo)'!DC14,'NotEffectivelyVax (hypo)'!DF14,'NotEffectivelyVax (hypo)'!DI14,'NotEffectivelyVax (hypo)'!DL14,'NotEffectivelyVax (hypo)'!DO14,'NotEffectivelyVax (hypo)'!DR14,'NotEffectivelyVax (hypo)'!DU14,'NotEffectivelyVax (hypo)'!DX14,'NotEffectivelyVax (hypo)'!EA14,'NotEffectivelyVax (hypo)'!ED14,'NotEffectivelyVax (hypo)'!EG14,'NotEffectivelyVax (hypo)'!EJ14,'NotEffectivelyVax (hypo)'!EM14,'NotEffectivelyVax (hypo)'!EP14,'NotEffectivelyVax (hypo)'!ES14,'NotEffectivelyVax (hypo)'!EV14,'NotEffectivelyVax (hypo)'!EY14,'NotEffectivelyVax (hypo)'!FB14,'NotEffectivelyVax (hypo)'!FE14,'NotEffectivelyVax (hypo)'!FH14,'NotEffectivelyVax (hypo)'!FK14,'NotEffectivelyVax (hypo)'!FN14,'NotEffectivelyVax (hypo)'!FQ14,'NotEffectivelyVax (hypo)'!FT14,'NotEffectivelyVax (hypo)'!FW14,'NotEffectivelyVax (hypo)'!FZ14)</f>
        <v>#VALUE!</v>
      </c>
      <c r="Y14" s="142" t="e">
        <f t="shared" si="2"/>
        <v>#VALUE!</v>
      </c>
      <c r="Z14" s="142" t="e">
        <f>IF(Export!M12&lt;&gt;"",W14*Export!K12*(1/Export!M12),W14*Export!K12)</f>
        <v>#VALUE!</v>
      </c>
      <c r="AA14" s="139" t="e">
        <f>Y14*Export!J12</f>
        <v>#VALUE!</v>
      </c>
      <c r="AC14" s="143" t="e">
        <f t="shared" si="3"/>
        <v>#DIV/0!</v>
      </c>
      <c r="AD14" s="144" t="e">
        <f t="shared" si="13"/>
        <v>#VALUE!</v>
      </c>
      <c r="AE14" s="144" t="e">
        <f t="shared" si="4"/>
        <v>#VALUE!</v>
      </c>
      <c r="AF14" s="144" t="e">
        <f t="shared" si="5"/>
        <v>#VALUE!</v>
      </c>
      <c r="AG14" s="144" t="e">
        <f t="shared" si="6"/>
        <v>#DIV/0!</v>
      </c>
      <c r="AH14" s="145"/>
      <c r="AI14" s="145"/>
      <c r="AJ14" s="145"/>
      <c r="AK14" s="145"/>
      <c r="AL14" s="146"/>
      <c r="AM14" s="145"/>
      <c r="AN14" s="145"/>
      <c r="AO14" s="145"/>
      <c r="AP14" s="145"/>
      <c r="AQ14" s="146"/>
    </row>
    <row r="15" spans="1:43" ht="15.75" customHeight="1" x14ac:dyDescent="0.35">
      <c r="A15" s="95">
        <f>EffectivelyVax!B14</f>
        <v>0</v>
      </c>
      <c r="B15" s="96">
        <f>EffectivelyVax!C14</f>
        <v>0</v>
      </c>
      <c r="C15" s="97">
        <f>Export!N13</f>
        <v>0</v>
      </c>
      <c r="D15" s="98">
        <f>Export!C13</f>
        <v>0</v>
      </c>
      <c r="E15" s="98" t="e">
        <f>Export!C13*Export!L13</f>
        <v>#VALUE!</v>
      </c>
      <c r="F15" s="98" t="e">
        <f t="shared" si="0"/>
        <v>#VALUE!</v>
      </c>
      <c r="G15" s="98" t="e">
        <f>IF(Export!M13&lt;&gt;"",D15*Export!K13*(1/Export!M13),D15*Export!K13)</f>
        <v>#VALUE!</v>
      </c>
      <c r="H15" s="98" t="e">
        <f>F15*Export!J13</f>
        <v>#VALUE!</v>
      </c>
      <c r="I15" s="98" t="e">
        <f>I14-F15+(F7)</f>
        <v>#VALUE!</v>
      </c>
      <c r="J15" s="99" t="e">
        <f t="shared" si="8"/>
        <v>#VALUE!</v>
      </c>
      <c r="K15" s="100" t="e">
        <f t="shared" si="9"/>
        <v>#VALUE!</v>
      </c>
      <c r="L15" s="101">
        <f>Export!B13</f>
        <v>0</v>
      </c>
      <c r="M15" s="102">
        <f>C15*L15*HelperFunctions!G$3</f>
        <v>0</v>
      </c>
      <c r="N15" s="103">
        <f>C15*L15*(1-HelperFunctions!G$3)</f>
        <v>0</v>
      </c>
      <c r="O15" s="104" t="e">
        <f t="shared" si="14"/>
        <v>#DIV/0!</v>
      </c>
      <c r="P15" s="105">
        <f>SUM(EffectivelyVax!D14:BK14)</f>
        <v>0</v>
      </c>
      <c r="Q15" s="106" t="e">
        <f t="shared" si="11"/>
        <v>#DIV/0!</v>
      </c>
      <c r="R15" s="106" t="e">
        <f t="shared" si="12"/>
        <v>#DIV/0!</v>
      </c>
      <c r="S15" s="105" t="e">
        <f t="shared" si="1"/>
        <v>#DIV/0!</v>
      </c>
      <c r="T15" s="106" t="e">
        <f>IF(Export!M13&lt;&gt;"",Q15*Export!K13*(1/Export!M13),Q15*Export!K13)</f>
        <v>#DIV/0!</v>
      </c>
      <c r="U15" s="107" t="e">
        <f>S15*Export!J13</f>
        <v>#DIV/0!</v>
      </c>
      <c r="V15" s="108" t="e">
        <f>SUM('NotEffectivelyVax (hypo)'!F15,'NotEffectivelyVax (hypo)'!I15,'NotEffectivelyVax (hypo)'!L15,'NotEffectivelyVax (hypo)'!O15,'NotEffectivelyVax (hypo)'!R15,'NotEffectivelyVax (hypo)'!U15,'NotEffectivelyVax (hypo)'!X15,'NotEffectivelyVax (hypo)'!AA15,'NotEffectivelyVax (hypo)'!AD15,'NotEffectivelyVax (hypo)'!AG15,'NotEffectivelyVax (hypo)'!AJ15,'NotEffectivelyVax (hypo)'!AM15,'NotEffectivelyVax (hypo)'!AP15,'NotEffectivelyVax (hypo)'!AS15,'NotEffectivelyVax (hypo)'!AV15,'NotEffectivelyVax (hypo)'!AY15,'NotEffectivelyVax (hypo)'!BB15,'NotEffectivelyVax (hypo)'!BE15,'NotEffectivelyVax (hypo)'!BH15,'NotEffectivelyVax (hypo)'!BK15,'NotEffectivelyVax (hypo)'!BN15,'NotEffectivelyVax (hypo)'!BQ15,'NotEffectivelyVax (hypo)'!BT15,'NotEffectivelyVax (hypo)'!BW15,'NotEffectivelyVax (hypo)'!BZ15,'NotEffectivelyVax (hypo)'!CC15,'NotEffectivelyVax (hypo)'!CF15,'NotEffectivelyVax (hypo)'!CI15,'NotEffectivelyVax (hypo)'!CL15,'NotEffectivelyVax (hypo)'!CO15,'NotEffectivelyVax (hypo)'!CR15,'NotEffectivelyVax (hypo)'!CU15,'NotEffectivelyVax (hypo)'!CX15,'NotEffectivelyVax (hypo)'!DA15,'NotEffectivelyVax (hypo)'!DD15,'NotEffectivelyVax (hypo)'!DG15,'NotEffectivelyVax (hypo)'!DJ15,'NotEffectivelyVax (hypo)'!DM15,'NotEffectivelyVax (hypo)'!DQ15,'NotEffectivelyVax (hypo)'!DP15,'NotEffectivelyVax (hypo)'!DS15,'NotEffectivelyVax (hypo)'!DV15,'NotEffectivelyVax (hypo)'!DY15,'NotEffectivelyVax (hypo)'!EB15,'NotEffectivelyVax (hypo)'!EE15,'NotEffectivelyVax (hypo)'!EH15,'NotEffectivelyVax (hypo)'!EK15,'NotEffectivelyVax (hypo)'!EN15,'NotEffectivelyVax (hypo)'!EQ15,'NotEffectivelyVax (hypo)'!ET15,'NotEffectivelyVax (hypo)'!EW15,'NotEffectivelyVax (hypo)'!EZ15,'NotEffectivelyVax (hypo)'!FC15,'NotEffectivelyVax (hypo)'!FF15,'NotEffectivelyVax (hypo)'!FI15,'NotEffectivelyVax (hypo)'!FL15,'NotEffectivelyVax (hypo)'!FO15,'NotEffectivelyVax (hypo)'!FR15,'NotEffectivelyVax (hypo)'!FU15,'NotEffectivelyVax (hypo)'!FX15,'NotEffectivelyVax (hypo)'!GA15)</f>
        <v>#VALUE!</v>
      </c>
      <c r="W15" s="109" t="e">
        <f>SUM('NotEffectivelyVax (hypo)'!D15,'NotEffectivelyVax (hypo)'!G15,'NotEffectivelyVax (hypo)'!J15,'NotEffectivelyVax (hypo)'!M15,'NotEffectivelyVax (hypo)'!P15,'NotEffectivelyVax (hypo)'!S15,'NotEffectivelyVax (hypo)'!V15,'NotEffectivelyVax (hypo)'!Y15,'NotEffectivelyVax (hypo)'!AB15,'NotEffectivelyVax (hypo)'!AE15,'NotEffectivelyVax (hypo)'!AH15,'NotEffectivelyVax (hypo)'!AK15,'NotEffectivelyVax (hypo)'!AN15,'NotEffectivelyVax (hypo)'!AQ15,'NotEffectivelyVax (hypo)'!AT15,'NotEffectivelyVax (hypo)'!AW15,'NotEffectivelyVax (hypo)'!AZ15,'NotEffectivelyVax (hypo)'!BC15,'NotEffectivelyVax (hypo)'!BF15,'NotEffectivelyVax (hypo)'!BI15,'NotEffectivelyVax (hypo)'!BL15,'NotEffectivelyVax (hypo)'!BO15,'NotEffectivelyVax (hypo)'!BR15,'NotEffectivelyVax (hypo)'!BU15,'NotEffectivelyVax (hypo)'!BX15,'NotEffectivelyVax (hypo)'!CA15,'NotEffectivelyVax (hypo)'!CD15,'NotEffectivelyVax (hypo)'!CG15,'NotEffectivelyVax (hypo)'!CJ15,'NotEffectivelyVax (hypo)'!CM15,'NotEffectivelyVax (hypo)'!CP15,'NotEffectivelyVax (hypo)'!CS15,'NotEffectivelyVax (hypo)'!CV15,'NotEffectivelyVax (hypo)'!CY15,'NotEffectivelyVax (hypo)'!DB15,'NotEffectivelyVax (hypo)'!DE15,'NotEffectivelyVax (hypo)'!DH15,'NotEffectivelyVax (hypo)'!DK15,'NotEffectivelyVax (hypo)'!DN15,'NotEffectivelyVax (hypo)'!DQ15,'NotEffectivelyVax (hypo)'!DT15,'NotEffectivelyVax (hypo)'!DW15,'NotEffectivelyVax (hypo)'!DZ15,'NotEffectivelyVax (hypo)'!EC15,'NotEffectivelyVax (hypo)'!EF15,'NotEffectivelyVax (hypo)'!EI15,'NotEffectivelyVax (hypo)'!EL15,'NotEffectivelyVax (hypo)'!EO15,'NotEffectivelyVax (hypo)'!ER15,'NotEffectivelyVax (hypo)'!EU15,'NotEffectivelyVax (hypo)'!EX15,'NotEffectivelyVax (hypo)'!FA15,'NotEffectivelyVax (hypo)'!FD15,'NotEffectivelyVax (hypo)'!FG15,'NotEffectivelyVax (hypo)'!FJ15,'NotEffectivelyVax (hypo)'!FM15,'NotEffectivelyVax (hypo)'!FP15,'NotEffectivelyVax (hypo)'!FS15,'NotEffectivelyVax (hypo)'!FV15,'NotEffectivelyVax (hypo)'!FY15)</f>
        <v>#VALUE!</v>
      </c>
      <c r="X15" s="109" t="e">
        <f>SUM('NotEffectivelyVax (hypo)'!E15,'NotEffectivelyVax (hypo)'!H15,'NotEffectivelyVax (hypo)'!K15,'NotEffectivelyVax (hypo)'!N15,'NotEffectivelyVax (hypo)'!Q15,'NotEffectivelyVax (hypo)'!T15,'NotEffectivelyVax (hypo)'!Z15,'NotEffectivelyVax (hypo)'!W15,'NotEffectivelyVax (hypo)'!AC15,'NotEffectivelyVax (hypo)'!AF15,'NotEffectivelyVax (hypo)'!AI15,'NotEffectivelyVax (hypo)'!AL15,'NotEffectivelyVax (hypo)'!AO15,'NotEffectivelyVax (hypo)'!AR15,'NotEffectivelyVax (hypo)'!AU15,'NotEffectivelyVax (hypo)'!AX15,'NotEffectivelyVax (hypo)'!BA15,'NotEffectivelyVax (hypo)'!BD15,'NotEffectivelyVax (hypo)'!BG15,'NotEffectivelyVax (hypo)'!BJ15,'NotEffectivelyVax (hypo)'!BM15,'NotEffectivelyVax (hypo)'!BP15,'NotEffectivelyVax (hypo)'!BS15,'NotEffectivelyVax (hypo)'!BV15,'NotEffectivelyVax (hypo)'!BY15,'NotEffectivelyVax (hypo)'!CB15,'NotEffectivelyVax (hypo)'!CE15,'NotEffectivelyVax (hypo)'!CH15,'NotEffectivelyVax (hypo)'!CK15,'NotEffectivelyVax (hypo)'!CN15,'NotEffectivelyVax (hypo)'!CQ15,'NotEffectivelyVax (hypo)'!CT15,'NotEffectivelyVax (hypo)'!CW15,'NotEffectivelyVax (hypo)'!CZ15,'NotEffectivelyVax (hypo)'!DC15,'NotEffectivelyVax (hypo)'!DF15,'NotEffectivelyVax (hypo)'!DI15,'NotEffectivelyVax (hypo)'!DL15,'NotEffectivelyVax (hypo)'!DO15,'NotEffectivelyVax (hypo)'!DR15,'NotEffectivelyVax (hypo)'!DU15,'NotEffectivelyVax (hypo)'!DX15,'NotEffectivelyVax (hypo)'!EA15,'NotEffectivelyVax (hypo)'!ED15,'NotEffectivelyVax (hypo)'!EG15,'NotEffectivelyVax (hypo)'!EJ15,'NotEffectivelyVax (hypo)'!EM15,'NotEffectivelyVax (hypo)'!EP15,'NotEffectivelyVax (hypo)'!ES15,'NotEffectivelyVax (hypo)'!EV15,'NotEffectivelyVax (hypo)'!EY15,'NotEffectivelyVax (hypo)'!FB15,'NotEffectivelyVax (hypo)'!FE15,'NotEffectivelyVax (hypo)'!FH15,'NotEffectivelyVax (hypo)'!FK15,'NotEffectivelyVax (hypo)'!FN15,'NotEffectivelyVax (hypo)'!FQ15,'NotEffectivelyVax (hypo)'!FT15,'NotEffectivelyVax (hypo)'!FW15,'NotEffectivelyVax (hypo)'!FZ15)</f>
        <v>#VALUE!</v>
      </c>
      <c r="Y15" s="110" t="e">
        <f t="shared" si="2"/>
        <v>#VALUE!</v>
      </c>
      <c r="Z15" s="110" t="e">
        <f>IF(Export!M13&lt;&gt;"",W15*Export!K13*(1/Export!M13),W15*Export!K13)</f>
        <v>#VALUE!</v>
      </c>
      <c r="AA15" s="107" t="e">
        <f>Y15*Export!J13</f>
        <v>#VALUE!</v>
      </c>
      <c r="AC15" s="156" t="e">
        <f t="shared" si="3"/>
        <v>#DIV/0!</v>
      </c>
      <c r="AD15" s="157" t="e">
        <f t="shared" si="13"/>
        <v>#VALUE!</v>
      </c>
      <c r="AE15" s="157" t="e">
        <f t="shared" si="4"/>
        <v>#VALUE!</v>
      </c>
      <c r="AF15" s="157" t="e">
        <f t="shared" si="5"/>
        <v>#VALUE!</v>
      </c>
      <c r="AG15" s="157" t="e">
        <f t="shared" si="6"/>
        <v>#DIV/0!</v>
      </c>
      <c r="AH15" s="147" t="e">
        <f>SUM(AC4:AC15)/SUM(D4:D15)</f>
        <v>#DIV/0!</v>
      </c>
      <c r="AI15" s="147" t="e">
        <f>SUM(AD4:AD15)/SUM(E4:E15)</f>
        <v>#VALUE!</v>
      </c>
      <c r="AJ15" s="112" t="e">
        <f>SUM(AE4:AE15)/SUM(G4:G15)</f>
        <v>#VALUE!</v>
      </c>
      <c r="AK15" s="112" t="e">
        <f>SUM(AF4:AF15)/SUM(H4:H15)</f>
        <v>#VALUE!</v>
      </c>
      <c r="AL15" s="111" t="e">
        <f>SUM(AG4:AG15)/SUM(F4:F15)</f>
        <v>#DIV/0!</v>
      </c>
      <c r="AM15" s="148" t="e">
        <f>SUM($M4:$N15)/SUM(AC4:AC15)</f>
        <v>#DIV/0!</v>
      </c>
      <c r="AN15" s="148" t="e">
        <f t="shared" ref="AN15:AP15" si="15">SUM($M4:$N15)/SUM(AD4:AD15)</f>
        <v>#VALUE!</v>
      </c>
      <c r="AO15" s="148" t="e">
        <f t="shared" si="15"/>
        <v>#VALUE!</v>
      </c>
      <c r="AP15" s="148" t="e">
        <f t="shared" si="15"/>
        <v>#VALUE!</v>
      </c>
      <c r="AQ15" s="149" t="e">
        <f>SUM($M4:$N15)/SUM(AC4:AD15)</f>
        <v>#DIV/0!</v>
      </c>
    </row>
    <row r="16" spans="1:43" x14ac:dyDescent="0.35">
      <c r="A16" s="158">
        <f>EffectivelyVax!B15</f>
        <v>1</v>
      </c>
      <c r="B16" s="159">
        <f>EffectivelyVax!C15</f>
        <v>0</v>
      </c>
      <c r="C16" s="160">
        <f>Export!N14</f>
        <v>0</v>
      </c>
      <c r="D16" s="161" t="str">
        <f>Export!C14</f>
        <v/>
      </c>
      <c r="E16" s="161" t="e">
        <f>Export!C14*Export!L14</f>
        <v>#VALUE!</v>
      </c>
      <c r="F16" s="161" t="e">
        <f>D16+E16</f>
        <v>#VALUE!</v>
      </c>
      <c r="G16" s="161" t="e">
        <f>IF(Export!M14&lt;&gt;"",D16*Export!K14*(1/Export!M14),D16*Export!K14)</f>
        <v>#VALUE!</v>
      </c>
      <c r="H16" s="161" t="e">
        <f>F16*Export!J14</f>
        <v>#VALUE!</v>
      </c>
      <c r="I16" s="161" t="e">
        <f>I15-F16+(F8)</f>
        <v>#VALUE!</v>
      </c>
      <c r="J16" s="153" t="e">
        <f t="shared" si="8"/>
        <v>#VALUE!</v>
      </c>
      <c r="K16" s="162" t="e">
        <f t="shared" si="9"/>
        <v>#VALUE!</v>
      </c>
      <c r="L16" s="163" t="str">
        <f>Export!B14</f>
        <v/>
      </c>
      <c r="M16" s="164" t="e">
        <f>C16*L16*HelperFunctions!G$17</f>
        <v>#VALUE!</v>
      </c>
      <c r="N16" s="165" t="e">
        <f>C16*L16*(1-HelperFunctions!G$17)</f>
        <v>#VALUE!</v>
      </c>
      <c r="O16" s="166" t="e">
        <f t="shared" si="14"/>
        <v>#DIV/0!</v>
      </c>
      <c r="P16" s="167">
        <f>SUM(EffectivelyVax!D15:BK15)</f>
        <v>0</v>
      </c>
      <c r="Q16" s="155" t="e">
        <f t="shared" si="11"/>
        <v>#DIV/0!</v>
      </c>
      <c r="R16" s="155" t="e">
        <f t="shared" si="12"/>
        <v>#DIV/0!</v>
      </c>
      <c r="S16" s="167" t="e">
        <f t="shared" si="1"/>
        <v>#DIV/0!</v>
      </c>
      <c r="T16" s="155" t="e">
        <f>IF(Export!M14&lt;&gt;"",Q16*Export!K14*(1/Export!M14),Q16*Export!K14)</f>
        <v>#DIV/0!</v>
      </c>
      <c r="U16" s="154" t="e">
        <f>S16*Export!J14</f>
        <v>#DIV/0!</v>
      </c>
      <c r="V16" s="168" t="e">
        <f>SUM('NotEffectivelyVax (hypo)'!F16,'NotEffectivelyVax (hypo)'!I16,'NotEffectivelyVax (hypo)'!L16,'NotEffectivelyVax (hypo)'!O16,'NotEffectivelyVax (hypo)'!R16,'NotEffectivelyVax (hypo)'!U16,'NotEffectivelyVax (hypo)'!X16,'NotEffectivelyVax (hypo)'!AA16,'NotEffectivelyVax (hypo)'!AD16,'NotEffectivelyVax (hypo)'!AG16,'NotEffectivelyVax (hypo)'!AJ16,'NotEffectivelyVax (hypo)'!AM16,'NotEffectivelyVax (hypo)'!AP16,'NotEffectivelyVax (hypo)'!AS16,'NotEffectivelyVax (hypo)'!AV16,'NotEffectivelyVax (hypo)'!AY16,'NotEffectivelyVax (hypo)'!BB16,'NotEffectivelyVax (hypo)'!BE16,'NotEffectivelyVax (hypo)'!BH16,'NotEffectivelyVax (hypo)'!BK16,'NotEffectivelyVax (hypo)'!BN16,'NotEffectivelyVax (hypo)'!BQ16,'NotEffectivelyVax (hypo)'!BT16,'NotEffectivelyVax (hypo)'!BW16,'NotEffectivelyVax (hypo)'!BZ16,'NotEffectivelyVax (hypo)'!CC16,'NotEffectivelyVax (hypo)'!CF16,'NotEffectivelyVax (hypo)'!CI16,'NotEffectivelyVax (hypo)'!CL16,'NotEffectivelyVax (hypo)'!CO16,'NotEffectivelyVax (hypo)'!CR16,'NotEffectivelyVax (hypo)'!CU16,'NotEffectivelyVax (hypo)'!CX16,'NotEffectivelyVax (hypo)'!DA16,'NotEffectivelyVax (hypo)'!DD16,'NotEffectivelyVax (hypo)'!DG16,'NotEffectivelyVax (hypo)'!DJ16,'NotEffectivelyVax (hypo)'!DM16,'NotEffectivelyVax (hypo)'!DQ16,'NotEffectivelyVax (hypo)'!DP16,'NotEffectivelyVax (hypo)'!DS16,'NotEffectivelyVax (hypo)'!DV16,'NotEffectivelyVax (hypo)'!DY16,'NotEffectivelyVax (hypo)'!EB16,'NotEffectivelyVax (hypo)'!EE16,'NotEffectivelyVax (hypo)'!EH16,'NotEffectivelyVax (hypo)'!EK16,'NotEffectivelyVax (hypo)'!EN16,'NotEffectivelyVax (hypo)'!EQ16,'NotEffectivelyVax (hypo)'!ET16,'NotEffectivelyVax (hypo)'!EW16,'NotEffectivelyVax (hypo)'!EZ16,'NotEffectivelyVax (hypo)'!FC16,'NotEffectivelyVax (hypo)'!FF16,'NotEffectivelyVax (hypo)'!FI16,'NotEffectivelyVax (hypo)'!FL16,'NotEffectivelyVax (hypo)'!FO16,'NotEffectivelyVax (hypo)'!FR16,'NotEffectivelyVax (hypo)'!FU16,'NotEffectivelyVax (hypo)'!FX16,'NotEffectivelyVax (hypo)'!GA16)</f>
        <v>#VALUE!</v>
      </c>
      <c r="W16" s="169" t="e">
        <f>SUM('NotEffectivelyVax (hypo)'!D16,'NotEffectivelyVax (hypo)'!G16,'NotEffectivelyVax (hypo)'!J16,'NotEffectivelyVax (hypo)'!M16,'NotEffectivelyVax (hypo)'!P16,'NotEffectivelyVax (hypo)'!S16,'NotEffectivelyVax (hypo)'!V16,'NotEffectivelyVax (hypo)'!Y16,'NotEffectivelyVax (hypo)'!AB16,'NotEffectivelyVax (hypo)'!AE16,'NotEffectivelyVax (hypo)'!AH16,'NotEffectivelyVax (hypo)'!AK16,'NotEffectivelyVax (hypo)'!AN16,'NotEffectivelyVax (hypo)'!AQ16,'NotEffectivelyVax (hypo)'!AT16,'NotEffectivelyVax (hypo)'!AW16,'NotEffectivelyVax (hypo)'!AZ16,'NotEffectivelyVax (hypo)'!BC16,'NotEffectivelyVax (hypo)'!BF16,'NotEffectivelyVax (hypo)'!BI16,'NotEffectivelyVax (hypo)'!BL16,'NotEffectivelyVax (hypo)'!BO16,'NotEffectivelyVax (hypo)'!BR16,'NotEffectivelyVax (hypo)'!BU16,'NotEffectivelyVax (hypo)'!BX16,'NotEffectivelyVax (hypo)'!CA16,'NotEffectivelyVax (hypo)'!CD16,'NotEffectivelyVax (hypo)'!CG16,'NotEffectivelyVax (hypo)'!CJ16,'NotEffectivelyVax (hypo)'!CM16,'NotEffectivelyVax (hypo)'!CP16,'NotEffectivelyVax (hypo)'!CS16,'NotEffectivelyVax (hypo)'!CV16,'NotEffectivelyVax (hypo)'!CY16,'NotEffectivelyVax (hypo)'!DB16,'NotEffectivelyVax (hypo)'!DE16,'NotEffectivelyVax (hypo)'!DH16,'NotEffectivelyVax (hypo)'!DK16,'NotEffectivelyVax (hypo)'!DN16,'NotEffectivelyVax (hypo)'!DQ16,'NotEffectivelyVax (hypo)'!DT16,'NotEffectivelyVax (hypo)'!DW16,'NotEffectivelyVax (hypo)'!DZ16,'NotEffectivelyVax (hypo)'!EC16,'NotEffectivelyVax (hypo)'!EF16,'NotEffectivelyVax (hypo)'!EI16,'NotEffectivelyVax (hypo)'!EL16,'NotEffectivelyVax (hypo)'!EO16,'NotEffectivelyVax (hypo)'!ER16,'NotEffectivelyVax (hypo)'!EU16,'NotEffectivelyVax (hypo)'!EX16,'NotEffectivelyVax (hypo)'!FA16,'NotEffectivelyVax (hypo)'!FD16,'NotEffectivelyVax (hypo)'!FG16,'NotEffectivelyVax (hypo)'!FJ16,'NotEffectivelyVax (hypo)'!FM16,'NotEffectivelyVax (hypo)'!FP16,'NotEffectivelyVax (hypo)'!FS16,'NotEffectivelyVax (hypo)'!FV16,'NotEffectivelyVax (hypo)'!FY16)</f>
        <v>#VALUE!</v>
      </c>
      <c r="X16" s="169" t="e">
        <f>SUM('NotEffectivelyVax (hypo)'!E16,'NotEffectivelyVax (hypo)'!H16,'NotEffectivelyVax (hypo)'!K16,'NotEffectivelyVax (hypo)'!N16,'NotEffectivelyVax (hypo)'!Q16,'NotEffectivelyVax (hypo)'!T16,'NotEffectivelyVax (hypo)'!Z16,'NotEffectivelyVax (hypo)'!W16,'NotEffectivelyVax (hypo)'!AC16,'NotEffectivelyVax (hypo)'!AF16,'NotEffectivelyVax (hypo)'!AI16,'NotEffectivelyVax (hypo)'!AL16,'NotEffectivelyVax (hypo)'!AO16,'NotEffectivelyVax (hypo)'!AR16,'NotEffectivelyVax (hypo)'!AU16,'NotEffectivelyVax (hypo)'!AX16,'NotEffectivelyVax (hypo)'!BA16,'NotEffectivelyVax (hypo)'!BD16,'NotEffectivelyVax (hypo)'!BG16,'NotEffectivelyVax (hypo)'!BJ16,'NotEffectivelyVax (hypo)'!BM16,'NotEffectivelyVax (hypo)'!BP16,'NotEffectivelyVax (hypo)'!BS16,'NotEffectivelyVax (hypo)'!BV16,'NotEffectivelyVax (hypo)'!BY16,'NotEffectivelyVax (hypo)'!CB16,'NotEffectivelyVax (hypo)'!CE16,'NotEffectivelyVax (hypo)'!CH16,'NotEffectivelyVax (hypo)'!CK16,'NotEffectivelyVax (hypo)'!CN16,'NotEffectivelyVax (hypo)'!CQ16,'NotEffectivelyVax (hypo)'!CT16,'NotEffectivelyVax (hypo)'!CW16,'NotEffectivelyVax (hypo)'!CZ16,'NotEffectivelyVax (hypo)'!DC16,'NotEffectivelyVax (hypo)'!DF16,'NotEffectivelyVax (hypo)'!DI16,'NotEffectivelyVax (hypo)'!DL16,'NotEffectivelyVax (hypo)'!DO16,'NotEffectivelyVax (hypo)'!DR16,'NotEffectivelyVax (hypo)'!DU16,'NotEffectivelyVax (hypo)'!DX16,'NotEffectivelyVax (hypo)'!EA16,'NotEffectivelyVax (hypo)'!ED16,'NotEffectivelyVax (hypo)'!EG16,'NotEffectivelyVax (hypo)'!EJ16,'NotEffectivelyVax (hypo)'!EM16,'NotEffectivelyVax (hypo)'!EP16,'NotEffectivelyVax (hypo)'!ES16,'NotEffectivelyVax (hypo)'!EV16,'NotEffectivelyVax (hypo)'!EY16,'NotEffectivelyVax (hypo)'!FB16,'NotEffectivelyVax (hypo)'!FE16,'NotEffectivelyVax (hypo)'!FH16,'NotEffectivelyVax (hypo)'!FK16,'NotEffectivelyVax (hypo)'!FN16,'NotEffectivelyVax (hypo)'!FQ16,'NotEffectivelyVax (hypo)'!FT16,'NotEffectivelyVax (hypo)'!FW16,'NotEffectivelyVax (hypo)'!FZ16)</f>
        <v>#VALUE!</v>
      </c>
      <c r="Y16" s="170" t="e">
        <f t="shared" si="2"/>
        <v>#VALUE!</v>
      </c>
      <c r="Z16" s="170" t="e">
        <f>IF(Export!M14&lt;&gt;"",W16*Export!K14*(1/Export!M14),W16*Export!K14)</f>
        <v>#VALUE!</v>
      </c>
      <c r="AA16" s="154" t="e">
        <f>Y16*Export!J14</f>
        <v>#VALUE!</v>
      </c>
      <c r="AC16" s="143" t="e">
        <f t="shared" si="3"/>
        <v>#VALUE!</v>
      </c>
      <c r="AD16" s="144" t="e">
        <f t="shared" si="13"/>
        <v>#VALUE!</v>
      </c>
      <c r="AE16" s="144" t="e">
        <f t="shared" si="4"/>
        <v>#VALUE!</v>
      </c>
      <c r="AF16" s="144" t="e">
        <f t="shared" si="5"/>
        <v>#VALUE!</v>
      </c>
      <c r="AG16" s="144" t="e">
        <f t="shared" si="6"/>
        <v>#VALUE!</v>
      </c>
      <c r="AH16" s="145"/>
      <c r="AI16" s="145"/>
      <c r="AJ16" s="145"/>
      <c r="AK16" s="145"/>
      <c r="AL16" s="146"/>
      <c r="AM16" s="150"/>
      <c r="AN16" s="150"/>
      <c r="AO16" s="150"/>
      <c r="AP16" s="150"/>
      <c r="AQ16" s="151"/>
    </row>
    <row r="17" spans="1:45" x14ac:dyDescent="0.35">
      <c r="A17" s="130">
        <f>EffectivelyVax!B16</f>
        <v>1</v>
      </c>
      <c r="B17" s="131">
        <f>EffectivelyVax!C16</f>
        <v>0</v>
      </c>
      <c r="C17" s="132">
        <f>Export!N15</f>
        <v>0</v>
      </c>
      <c r="D17" s="133" t="str">
        <f>Export!C15</f>
        <v/>
      </c>
      <c r="E17" s="133" t="e">
        <f>Export!C15*Export!L15</f>
        <v>#VALUE!</v>
      </c>
      <c r="F17" s="133" t="e">
        <f>D17+E17</f>
        <v>#VALUE!</v>
      </c>
      <c r="G17" s="133" t="e">
        <f>IF(Export!M15&lt;&gt;"",D17*Export!K15*(1/Export!M15),D17*Export!K15)</f>
        <v>#VALUE!</v>
      </c>
      <c r="H17" s="133" t="e">
        <f>F17*Export!J15</f>
        <v>#VALUE!</v>
      </c>
      <c r="I17" s="161" t="e">
        <f t="shared" ref="I17:I63" si="16">I16-F17+(F9)</f>
        <v>#VALUE!</v>
      </c>
      <c r="J17" s="134" t="e">
        <f t="shared" si="8"/>
        <v>#VALUE!</v>
      </c>
      <c r="K17" s="135" t="e">
        <f t="shared" si="9"/>
        <v>#VALUE!</v>
      </c>
      <c r="L17" s="117" t="str">
        <f>Export!B15</f>
        <v/>
      </c>
      <c r="M17" s="115" t="e">
        <f>C17*L17*HelperFunctions!G$17</f>
        <v>#VALUE!</v>
      </c>
      <c r="N17" s="116" t="e">
        <f>C17*L17*(1-HelperFunctions!G$17)</f>
        <v>#VALUE!</v>
      </c>
      <c r="O17" s="136" t="e">
        <f t="shared" si="14"/>
        <v>#DIV/0!</v>
      </c>
      <c r="P17" s="137">
        <f>SUM(EffectivelyVax!D16:BK16)</f>
        <v>0</v>
      </c>
      <c r="Q17" s="138" t="e">
        <f t="shared" si="11"/>
        <v>#DIV/0!</v>
      </c>
      <c r="R17" s="138" t="e">
        <f t="shared" si="12"/>
        <v>#DIV/0!</v>
      </c>
      <c r="S17" s="137" t="e">
        <f t="shared" si="1"/>
        <v>#DIV/0!</v>
      </c>
      <c r="T17" s="138" t="e">
        <f>IF(Export!M15&lt;&gt;"",Q17*Export!K15*(1/Export!M15),Q17*Export!K15)</f>
        <v>#DIV/0!</v>
      </c>
      <c r="U17" s="139" t="e">
        <f>S17*Export!J15</f>
        <v>#DIV/0!</v>
      </c>
      <c r="V17" s="140" t="e">
        <f>SUM('NotEffectivelyVax (hypo)'!F17,'NotEffectivelyVax (hypo)'!I17,'NotEffectivelyVax (hypo)'!L17,'NotEffectivelyVax (hypo)'!O17,'NotEffectivelyVax (hypo)'!R17,'NotEffectivelyVax (hypo)'!U17,'NotEffectivelyVax (hypo)'!X17,'NotEffectivelyVax (hypo)'!AA17,'NotEffectivelyVax (hypo)'!AD17,'NotEffectivelyVax (hypo)'!AG17,'NotEffectivelyVax (hypo)'!AJ17,'NotEffectivelyVax (hypo)'!AM17,'NotEffectivelyVax (hypo)'!AP17,'NotEffectivelyVax (hypo)'!AS17,'NotEffectivelyVax (hypo)'!AV17,'NotEffectivelyVax (hypo)'!AY17,'NotEffectivelyVax (hypo)'!BB17,'NotEffectivelyVax (hypo)'!BE17,'NotEffectivelyVax (hypo)'!BH17,'NotEffectivelyVax (hypo)'!BK17,'NotEffectivelyVax (hypo)'!BN17,'NotEffectivelyVax (hypo)'!BQ17,'NotEffectivelyVax (hypo)'!BT17,'NotEffectivelyVax (hypo)'!BW17,'NotEffectivelyVax (hypo)'!BZ17,'NotEffectivelyVax (hypo)'!CC17,'NotEffectivelyVax (hypo)'!CF17,'NotEffectivelyVax (hypo)'!CI17,'NotEffectivelyVax (hypo)'!CL17,'NotEffectivelyVax (hypo)'!CO17,'NotEffectivelyVax (hypo)'!CR17,'NotEffectivelyVax (hypo)'!CU17,'NotEffectivelyVax (hypo)'!CX17,'NotEffectivelyVax (hypo)'!DA17,'NotEffectivelyVax (hypo)'!DD17,'NotEffectivelyVax (hypo)'!DG17,'NotEffectivelyVax (hypo)'!DJ17,'NotEffectivelyVax (hypo)'!DM17,'NotEffectivelyVax (hypo)'!DQ17,'NotEffectivelyVax (hypo)'!DP17,'NotEffectivelyVax (hypo)'!DS17,'NotEffectivelyVax (hypo)'!DV17,'NotEffectivelyVax (hypo)'!DY17,'NotEffectivelyVax (hypo)'!EB17,'NotEffectivelyVax (hypo)'!EE17,'NotEffectivelyVax (hypo)'!EH17,'NotEffectivelyVax (hypo)'!EK17,'NotEffectivelyVax (hypo)'!EN17,'NotEffectivelyVax (hypo)'!EQ17,'NotEffectivelyVax (hypo)'!ET17,'NotEffectivelyVax (hypo)'!EW17,'NotEffectivelyVax (hypo)'!EZ17,'NotEffectivelyVax (hypo)'!FC17,'NotEffectivelyVax (hypo)'!FF17,'NotEffectivelyVax (hypo)'!FI17,'NotEffectivelyVax (hypo)'!FL17,'NotEffectivelyVax (hypo)'!FO17,'NotEffectivelyVax (hypo)'!FR17,'NotEffectivelyVax (hypo)'!FU17,'NotEffectivelyVax (hypo)'!FX17,'NotEffectivelyVax (hypo)'!GA17)</f>
        <v>#VALUE!</v>
      </c>
      <c r="W17" s="141" t="e">
        <f>SUM('NotEffectivelyVax (hypo)'!D17,'NotEffectivelyVax (hypo)'!G17,'NotEffectivelyVax (hypo)'!J17,'NotEffectivelyVax (hypo)'!M17,'NotEffectivelyVax (hypo)'!P17,'NotEffectivelyVax (hypo)'!S17,'NotEffectivelyVax (hypo)'!V17,'NotEffectivelyVax (hypo)'!Y17,'NotEffectivelyVax (hypo)'!AB17,'NotEffectivelyVax (hypo)'!AE17,'NotEffectivelyVax (hypo)'!AH17,'NotEffectivelyVax (hypo)'!AK17,'NotEffectivelyVax (hypo)'!AN17,'NotEffectivelyVax (hypo)'!AQ17,'NotEffectivelyVax (hypo)'!AT17,'NotEffectivelyVax (hypo)'!AW17,'NotEffectivelyVax (hypo)'!AZ17,'NotEffectivelyVax (hypo)'!BC17,'NotEffectivelyVax (hypo)'!BF17,'NotEffectivelyVax (hypo)'!BI17,'NotEffectivelyVax (hypo)'!BL17,'NotEffectivelyVax (hypo)'!BO17,'NotEffectivelyVax (hypo)'!BR17,'NotEffectivelyVax (hypo)'!BU17,'NotEffectivelyVax (hypo)'!BX17,'NotEffectivelyVax (hypo)'!CA17,'NotEffectivelyVax (hypo)'!CD17,'NotEffectivelyVax (hypo)'!CG17,'NotEffectivelyVax (hypo)'!CJ17,'NotEffectivelyVax (hypo)'!CM17,'NotEffectivelyVax (hypo)'!CP17,'NotEffectivelyVax (hypo)'!CS17,'NotEffectivelyVax (hypo)'!CV17,'NotEffectivelyVax (hypo)'!CY17,'NotEffectivelyVax (hypo)'!DB17,'NotEffectivelyVax (hypo)'!DE17,'NotEffectivelyVax (hypo)'!DH17,'NotEffectivelyVax (hypo)'!DK17,'NotEffectivelyVax (hypo)'!DN17,'NotEffectivelyVax (hypo)'!DQ17,'NotEffectivelyVax (hypo)'!DT17,'NotEffectivelyVax (hypo)'!DW17,'NotEffectivelyVax (hypo)'!DZ17,'NotEffectivelyVax (hypo)'!EC17,'NotEffectivelyVax (hypo)'!EF17,'NotEffectivelyVax (hypo)'!EI17,'NotEffectivelyVax (hypo)'!EL17,'NotEffectivelyVax (hypo)'!EO17,'NotEffectivelyVax (hypo)'!ER17,'NotEffectivelyVax (hypo)'!EU17,'NotEffectivelyVax (hypo)'!EX17,'NotEffectivelyVax (hypo)'!FA17,'NotEffectivelyVax (hypo)'!FD17,'NotEffectivelyVax (hypo)'!FG17,'NotEffectivelyVax (hypo)'!FJ17,'NotEffectivelyVax (hypo)'!FM17,'NotEffectivelyVax (hypo)'!FP17,'NotEffectivelyVax (hypo)'!FS17,'NotEffectivelyVax (hypo)'!FV17,'NotEffectivelyVax (hypo)'!FY17)</f>
        <v>#VALUE!</v>
      </c>
      <c r="X17" s="141" t="e">
        <f>SUM('NotEffectivelyVax (hypo)'!E17,'NotEffectivelyVax (hypo)'!H17,'NotEffectivelyVax (hypo)'!K17,'NotEffectivelyVax (hypo)'!N17,'NotEffectivelyVax (hypo)'!Q17,'NotEffectivelyVax (hypo)'!T17,'NotEffectivelyVax (hypo)'!Z17,'NotEffectivelyVax (hypo)'!W17,'NotEffectivelyVax (hypo)'!AC17,'NotEffectivelyVax (hypo)'!AF17,'NotEffectivelyVax (hypo)'!AI17,'NotEffectivelyVax (hypo)'!AL17,'NotEffectivelyVax (hypo)'!AO17,'NotEffectivelyVax (hypo)'!AR17,'NotEffectivelyVax (hypo)'!AU17,'NotEffectivelyVax (hypo)'!AX17,'NotEffectivelyVax (hypo)'!BA17,'NotEffectivelyVax (hypo)'!BD17,'NotEffectivelyVax (hypo)'!BG17,'NotEffectivelyVax (hypo)'!BJ17,'NotEffectivelyVax (hypo)'!BM17,'NotEffectivelyVax (hypo)'!BP17,'NotEffectivelyVax (hypo)'!BS17,'NotEffectivelyVax (hypo)'!BV17,'NotEffectivelyVax (hypo)'!BY17,'NotEffectivelyVax (hypo)'!CB17,'NotEffectivelyVax (hypo)'!CE17,'NotEffectivelyVax (hypo)'!CH17,'NotEffectivelyVax (hypo)'!CK17,'NotEffectivelyVax (hypo)'!CN17,'NotEffectivelyVax (hypo)'!CQ17,'NotEffectivelyVax (hypo)'!CT17,'NotEffectivelyVax (hypo)'!CW17,'NotEffectivelyVax (hypo)'!CZ17,'NotEffectivelyVax (hypo)'!DC17,'NotEffectivelyVax (hypo)'!DF17,'NotEffectivelyVax (hypo)'!DI17,'NotEffectivelyVax (hypo)'!DL17,'NotEffectivelyVax (hypo)'!DO17,'NotEffectivelyVax (hypo)'!DR17,'NotEffectivelyVax (hypo)'!DU17,'NotEffectivelyVax (hypo)'!DX17,'NotEffectivelyVax (hypo)'!EA17,'NotEffectivelyVax (hypo)'!ED17,'NotEffectivelyVax (hypo)'!EG17,'NotEffectivelyVax (hypo)'!EJ17,'NotEffectivelyVax (hypo)'!EM17,'NotEffectivelyVax (hypo)'!EP17,'NotEffectivelyVax (hypo)'!ES17,'NotEffectivelyVax (hypo)'!EV17,'NotEffectivelyVax (hypo)'!EY17,'NotEffectivelyVax (hypo)'!FB17,'NotEffectivelyVax (hypo)'!FE17,'NotEffectivelyVax (hypo)'!FH17,'NotEffectivelyVax (hypo)'!FK17,'NotEffectivelyVax (hypo)'!FN17,'NotEffectivelyVax (hypo)'!FQ17,'NotEffectivelyVax (hypo)'!FT17,'NotEffectivelyVax (hypo)'!FW17,'NotEffectivelyVax (hypo)'!FZ17)</f>
        <v>#VALUE!</v>
      </c>
      <c r="Y17" s="142" t="e">
        <f t="shared" si="2"/>
        <v>#VALUE!</v>
      </c>
      <c r="Z17" s="142" t="e">
        <f>IF(Export!M15&lt;&gt;"",W17*Export!K15*(1/Export!M15),W17*Export!K15)</f>
        <v>#VALUE!</v>
      </c>
      <c r="AA17" s="139" t="e">
        <f>Y17*Export!J15</f>
        <v>#VALUE!</v>
      </c>
      <c r="AC17" s="143" t="e">
        <f t="shared" si="3"/>
        <v>#VALUE!</v>
      </c>
      <c r="AD17" s="144" t="e">
        <f t="shared" si="13"/>
        <v>#VALUE!</v>
      </c>
      <c r="AE17" s="144" t="e">
        <f t="shared" si="4"/>
        <v>#VALUE!</v>
      </c>
      <c r="AF17" s="144" t="e">
        <f t="shared" si="5"/>
        <v>#VALUE!</v>
      </c>
      <c r="AG17" s="144" t="e">
        <f t="shared" si="6"/>
        <v>#VALUE!</v>
      </c>
      <c r="AH17" s="145"/>
      <c r="AI17" s="145"/>
      <c r="AJ17" s="145"/>
      <c r="AK17" s="145"/>
      <c r="AL17" s="146"/>
      <c r="AM17" s="150"/>
      <c r="AN17" s="150"/>
      <c r="AO17" s="150"/>
      <c r="AP17" s="150"/>
      <c r="AQ17" s="151"/>
    </row>
    <row r="18" spans="1:45" x14ac:dyDescent="0.35">
      <c r="A18" s="130">
        <f>EffectivelyVax!B17</f>
        <v>1</v>
      </c>
      <c r="B18" s="131">
        <f>EffectivelyVax!C17</f>
        <v>0</v>
      </c>
      <c r="C18" s="132">
        <f>Export!N16</f>
        <v>0</v>
      </c>
      <c r="D18" s="133" t="str">
        <f>Export!C16</f>
        <v/>
      </c>
      <c r="E18" s="133" t="e">
        <f>Export!C16*Export!L16</f>
        <v>#VALUE!</v>
      </c>
      <c r="F18" s="133" t="e">
        <f t="shared" ref="F18:F63" si="17">D18+E18</f>
        <v>#VALUE!</v>
      </c>
      <c r="G18" s="133" t="e">
        <f>IF(Export!M16&lt;&gt;"",D18*Export!K16*(1/Export!M16),D18*Export!K16)</f>
        <v>#VALUE!</v>
      </c>
      <c r="H18" s="133" t="e">
        <f>F18*Export!J16</f>
        <v>#VALUE!</v>
      </c>
      <c r="I18" s="161" t="e">
        <f t="shared" si="16"/>
        <v>#VALUE!</v>
      </c>
      <c r="J18" s="134" t="e">
        <f t="shared" si="8"/>
        <v>#VALUE!</v>
      </c>
      <c r="K18" s="135" t="e">
        <f t="shared" si="9"/>
        <v>#VALUE!</v>
      </c>
      <c r="L18" s="117" t="str">
        <f>Export!B16</f>
        <v/>
      </c>
      <c r="M18" s="115" t="e">
        <f>C18*L18*HelperFunctions!G$17</f>
        <v>#VALUE!</v>
      </c>
      <c r="N18" s="116" t="e">
        <f>C18*L18*(1-HelperFunctions!G$17)</f>
        <v>#VALUE!</v>
      </c>
      <c r="O18" s="136" t="e">
        <f t="shared" si="14"/>
        <v>#DIV/0!</v>
      </c>
      <c r="P18" s="137">
        <f>SUM(EffectivelyVax!D17:BK17)</f>
        <v>0</v>
      </c>
      <c r="Q18" s="138" t="e">
        <f t="shared" si="11"/>
        <v>#DIV/0!</v>
      </c>
      <c r="R18" s="138" t="e">
        <f t="shared" si="12"/>
        <v>#DIV/0!</v>
      </c>
      <c r="S18" s="137" t="e">
        <f t="shared" si="1"/>
        <v>#DIV/0!</v>
      </c>
      <c r="T18" s="138" t="e">
        <f>IF(Export!M16&lt;&gt;"",Q18*Export!K16*(1/Export!M16),Q18*Export!K16)</f>
        <v>#DIV/0!</v>
      </c>
      <c r="U18" s="139" t="e">
        <f>S18*Export!J16</f>
        <v>#DIV/0!</v>
      </c>
      <c r="V18" s="140" t="e">
        <f>SUM('NotEffectivelyVax (hypo)'!F18,'NotEffectivelyVax (hypo)'!I18,'NotEffectivelyVax (hypo)'!L18,'NotEffectivelyVax (hypo)'!O18,'NotEffectivelyVax (hypo)'!R18,'NotEffectivelyVax (hypo)'!U18,'NotEffectivelyVax (hypo)'!X18,'NotEffectivelyVax (hypo)'!AA18,'NotEffectivelyVax (hypo)'!AD18,'NotEffectivelyVax (hypo)'!AG18,'NotEffectivelyVax (hypo)'!AJ18,'NotEffectivelyVax (hypo)'!AM18,'NotEffectivelyVax (hypo)'!AP18,'NotEffectivelyVax (hypo)'!AS18,'NotEffectivelyVax (hypo)'!AV18,'NotEffectivelyVax (hypo)'!AY18,'NotEffectivelyVax (hypo)'!BB18,'NotEffectivelyVax (hypo)'!BE18,'NotEffectivelyVax (hypo)'!BH18,'NotEffectivelyVax (hypo)'!BK18,'NotEffectivelyVax (hypo)'!BN18,'NotEffectivelyVax (hypo)'!BQ18,'NotEffectivelyVax (hypo)'!BT18,'NotEffectivelyVax (hypo)'!BW18,'NotEffectivelyVax (hypo)'!BZ18,'NotEffectivelyVax (hypo)'!CC18,'NotEffectivelyVax (hypo)'!CF18,'NotEffectivelyVax (hypo)'!CI18,'NotEffectivelyVax (hypo)'!CL18,'NotEffectivelyVax (hypo)'!CO18,'NotEffectivelyVax (hypo)'!CR18,'NotEffectivelyVax (hypo)'!CU18,'NotEffectivelyVax (hypo)'!CX18,'NotEffectivelyVax (hypo)'!DA18,'NotEffectivelyVax (hypo)'!DD18,'NotEffectivelyVax (hypo)'!DG18,'NotEffectivelyVax (hypo)'!DJ18,'NotEffectivelyVax (hypo)'!DM18,'NotEffectivelyVax (hypo)'!DQ18,'NotEffectivelyVax (hypo)'!DP18,'NotEffectivelyVax (hypo)'!DS18,'NotEffectivelyVax (hypo)'!DV18,'NotEffectivelyVax (hypo)'!DY18,'NotEffectivelyVax (hypo)'!EB18,'NotEffectivelyVax (hypo)'!EE18,'NotEffectivelyVax (hypo)'!EH18,'NotEffectivelyVax (hypo)'!EK18,'NotEffectivelyVax (hypo)'!EN18,'NotEffectivelyVax (hypo)'!EQ18,'NotEffectivelyVax (hypo)'!ET18,'NotEffectivelyVax (hypo)'!EW18,'NotEffectivelyVax (hypo)'!EZ18,'NotEffectivelyVax (hypo)'!FC18,'NotEffectivelyVax (hypo)'!FF18,'NotEffectivelyVax (hypo)'!FI18,'NotEffectivelyVax (hypo)'!FL18,'NotEffectivelyVax (hypo)'!FO18,'NotEffectivelyVax (hypo)'!FR18,'NotEffectivelyVax (hypo)'!FU18,'NotEffectivelyVax (hypo)'!FX18,'NotEffectivelyVax (hypo)'!GA18)</f>
        <v>#VALUE!</v>
      </c>
      <c r="W18" s="141" t="e">
        <f>SUM('NotEffectivelyVax (hypo)'!D18,'NotEffectivelyVax (hypo)'!G18,'NotEffectivelyVax (hypo)'!J18,'NotEffectivelyVax (hypo)'!M18,'NotEffectivelyVax (hypo)'!P18,'NotEffectivelyVax (hypo)'!S18,'NotEffectivelyVax (hypo)'!V18,'NotEffectivelyVax (hypo)'!Y18,'NotEffectivelyVax (hypo)'!AB18,'NotEffectivelyVax (hypo)'!AE18,'NotEffectivelyVax (hypo)'!AH18,'NotEffectivelyVax (hypo)'!AK18,'NotEffectivelyVax (hypo)'!AN18,'NotEffectivelyVax (hypo)'!AQ18,'NotEffectivelyVax (hypo)'!AT18,'NotEffectivelyVax (hypo)'!AW18,'NotEffectivelyVax (hypo)'!AZ18,'NotEffectivelyVax (hypo)'!BC18,'NotEffectivelyVax (hypo)'!BF18,'NotEffectivelyVax (hypo)'!BI18,'NotEffectivelyVax (hypo)'!BL18,'NotEffectivelyVax (hypo)'!BO18,'NotEffectivelyVax (hypo)'!BR18,'NotEffectivelyVax (hypo)'!BU18,'NotEffectivelyVax (hypo)'!BX18,'NotEffectivelyVax (hypo)'!CA18,'NotEffectivelyVax (hypo)'!CD18,'NotEffectivelyVax (hypo)'!CG18,'NotEffectivelyVax (hypo)'!CJ18,'NotEffectivelyVax (hypo)'!CM18,'NotEffectivelyVax (hypo)'!CP18,'NotEffectivelyVax (hypo)'!CS18,'NotEffectivelyVax (hypo)'!CV18,'NotEffectivelyVax (hypo)'!CY18,'NotEffectivelyVax (hypo)'!DB18,'NotEffectivelyVax (hypo)'!DE18,'NotEffectivelyVax (hypo)'!DH18,'NotEffectivelyVax (hypo)'!DK18,'NotEffectivelyVax (hypo)'!DN18,'NotEffectivelyVax (hypo)'!DQ18,'NotEffectivelyVax (hypo)'!DT18,'NotEffectivelyVax (hypo)'!DW18,'NotEffectivelyVax (hypo)'!DZ18,'NotEffectivelyVax (hypo)'!EC18,'NotEffectivelyVax (hypo)'!EF18,'NotEffectivelyVax (hypo)'!EI18,'NotEffectivelyVax (hypo)'!EL18,'NotEffectivelyVax (hypo)'!EO18,'NotEffectivelyVax (hypo)'!ER18,'NotEffectivelyVax (hypo)'!EU18,'NotEffectivelyVax (hypo)'!EX18,'NotEffectivelyVax (hypo)'!FA18,'NotEffectivelyVax (hypo)'!FD18,'NotEffectivelyVax (hypo)'!FG18,'NotEffectivelyVax (hypo)'!FJ18,'NotEffectivelyVax (hypo)'!FM18,'NotEffectivelyVax (hypo)'!FP18,'NotEffectivelyVax (hypo)'!FS18,'NotEffectivelyVax (hypo)'!FV18,'NotEffectivelyVax (hypo)'!FY18)</f>
        <v>#VALUE!</v>
      </c>
      <c r="X18" s="141" t="e">
        <f>SUM('NotEffectivelyVax (hypo)'!E18,'NotEffectivelyVax (hypo)'!H18,'NotEffectivelyVax (hypo)'!K18,'NotEffectivelyVax (hypo)'!N18,'NotEffectivelyVax (hypo)'!Q18,'NotEffectivelyVax (hypo)'!T18,'NotEffectivelyVax (hypo)'!Z18,'NotEffectivelyVax (hypo)'!W18,'NotEffectivelyVax (hypo)'!AC18,'NotEffectivelyVax (hypo)'!AF18,'NotEffectivelyVax (hypo)'!AI18,'NotEffectivelyVax (hypo)'!AL18,'NotEffectivelyVax (hypo)'!AO18,'NotEffectivelyVax (hypo)'!AR18,'NotEffectivelyVax (hypo)'!AU18,'NotEffectivelyVax (hypo)'!AX18,'NotEffectivelyVax (hypo)'!BA18,'NotEffectivelyVax (hypo)'!BD18,'NotEffectivelyVax (hypo)'!BG18,'NotEffectivelyVax (hypo)'!BJ18,'NotEffectivelyVax (hypo)'!BM18,'NotEffectivelyVax (hypo)'!BP18,'NotEffectivelyVax (hypo)'!BS18,'NotEffectivelyVax (hypo)'!BV18,'NotEffectivelyVax (hypo)'!BY18,'NotEffectivelyVax (hypo)'!CB18,'NotEffectivelyVax (hypo)'!CE18,'NotEffectivelyVax (hypo)'!CH18,'NotEffectivelyVax (hypo)'!CK18,'NotEffectivelyVax (hypo)'!CN18,'NotEffectivelyVax (hypo)'!CQ18,'NotEffectivelyVax (hypo)'!CT18,'NotEffectivelyVax (hypo)'!CW18,'NotEffectivelyVax (hypo)'!CZ18,'NotEffectivelyVax (hypo)'!DC18,'NotEffectivelyVax (hypo)'!DF18,'NotEffectivelyVax (hypo)'!DI18,'NotEffectivelyVax (hypo)'!DL18,'NotEffectivelyVax (hypo)'!DO18,'NotEffectivelyVax (hypo)'!DR18,'NotEffectivelyVax (hypo)'!DU18,'NotEffectivelyVax (hypo)'!DX18,'NotEffectivelyVax (hypo)'!EA18,'NotEffectivelyVax (hypo)'!ED18,'NotEffectivelyVax (hypo)'!EG18,'NotEffectivelyVax (hypo)'!EJ18,'NotEffectivelyVax (hypo)'!EM18,'NotEffectivelyVax (hypo)'!EP18,'NotEffectivelyVax (hypo)'!ES18,'NotEffectivelyVax (hypo)'!EV18,'NotEffectivelyVax (hypo)'!EY18,'NotEffectivelyVax (hypo)'!FB18,'NotEffectivelyVax (hypo)'!FE18,'NotEffectivelyVax (hypo)'!FH18,'NotEffectivelyVax (hypo)'!FK18,'NotEffectivelyVax (hypo)'!FN18,'NotEffectivelyVax (hypo)'!FQ18,'NotEffectivelyVax (hypo)'!FT18,'NotEffectivelyVax (hypo)'!FW18,'NotEffectivelyVax (hypo)'!FZ18)</f>
        <v>#VALUE!</v>
      </c>
      <c r="Y18" s="142" t="e">
        <f t="shared" si="2"/>
        <v>#VALUE!</v>
      </c>
      <c r="Z18" s="142" t="e">
        <f>IF(Export!M16&lt;&gt;"",W18*Export!K16*(1/Export!M16),W18*Export!K16)</f>
        <v>#VALUE!</v>
      </c>
      <c r="AA18" s="139" t="e">
        <f>Y18*Export!J16</f>
        <v>#VALUE!</v>
      </c>
      <c r="AC18" s="143" t="e">
        <f t="shared" si="3"/>
        <v>#VALUE!</v>
      </c>
      <c r="AD18" s="144" t="e">
        <f t="shared" si="13"/>
        <v>#VALUE!</v>
      </c>
      <c r="AE18" s="144" t="e">
        <f t="shared" si="4"/>
        <v>#VALUE!</v>
      </c>
      <c r="AF18" s="144" t="e">
        <f t="shared" si="5"/>
        <v>#VALUE!</v>
      </c>
      <c r="AG18" s="144" t="e">
        <f t="shared" si="6"/>
        <v>#VALUE!</v>
      </c>
      <c r="AH18" s="145"/>
      <c r="AI18" s="145"/>
      <c r="AJ18" s="145"/>
      <c r="AK18" s="145"/>
      <c r="AL18" s="146"/>
      <c r="AM18" s="150"/>
      <c r="AN18" s="150"/>
      <c r="AO18" s="150"/>
      <c r="AP18" s="150"/>
      <c r="AQ18" s="151"/>
    </row>
    <row r="19" spans="1:45" x14ac:dyDescent="0.35">
      <c r="A19" s="130">
        <f>EffectivelyVax!B18</f>
        <v>1</v>
      </c>
      <c r="B19" s="131">
        <f>EffectivelyVax!C18</f>
        <v>0</v>
      </c>
      <c r="C19" s="132">
        <f>Export!N17</f>
        <v>0</v>
      </c>
      <c r="D19" s="133" t="str">
        <f>Export!C17</f>
        <v/>
      </c>
      <c r="E19" s="133" t="e">
        <f>Export!C17*Export!L17</f>
        <v>#VALUE!</v>
      </c>
      <c r="F19" s="133" t="e">
        <f t="shared" si="17"/>
        <v>#VALUE!</v>
      </c>
      <c r="G19" s="133" t="e">
        <f>IF(Export!M17&lt;&gt;"",D19*Export!K17*(1/Export!M17),D19*Export!K17)</f>
        <v>#VALUE!</v>
      </c>
      <c r="H19" s="133" t="e">
        <f>F19*Export!J17</f>
        <v>#VALUE!</v>
      </c>
      <c r="I19" s="161" t="e">
        <f t="shared" si="16"/>
        <v>#VALUE!</v>
      </c>
      <c r="J19" s="134" t="e">
        <f t="shared" si="8"/>
        <v>#VALUE!</v>
      </c>
      <c r="K19" s="135" t="e">
        <f t="shared" si="9"/>
        <v>#VALUE!</v>
      </c>
      <c r="L19" s="117" t="str">
        <f>Export!B17</f>
        <v/>
      </c>
      <c r="M19" s="115" t="e">
        <f>C19*L19*HelperFunctions!G$17</f>
        <v>#VALUE!</v>
      </c>
      <c r="N19" s="116" t="e">
        <f>C19*L19*(1-HelperFunctions!G$17)</f>
        <v>#VALUE!</v>
      </c>
      <c r="O19" s="136" t="e">
        <f t="shared" si="14"/>
        <v>#DIV/0!</v>
      </c>
      <c r="P19" s="137">
        <f>SUM(EffectivelyVax!D18:BK18)</f>
        <v>0</v>
      </c>
      <c r="Q19" s="138" t="e">
        <f t="shared" si="11"/>
        <v>#DIV/0!</v>
      </c>
      <c r="R19" s="138" t="e">
        <f t="shared" si="12"/>
        <v>#DIV/0!</v>
      </c>
      <c r="S19" s="137" t="e">
        <f t="shared" si="1"/>
        <v>#DIV/0!</v>
      </c>
      <c r="T19" s="138" t="e">
        <f>IF(Export!M17&lt;&gt;"",Q19*Export!K17*(1/Export!M17),Q19*Export!K17)</f>
        <v>#DIV/0!</v>
      </c>
      <c r="U19" s="139" t="e">
        <f>S19*Export!J17</f>
        <v>#DIV/0!</v>
      </c>
      <c r="V19" s="140" t="e">
        <f>SUM('NotEffectivelyVax (hypo)'!F19,'NotEffectivelyVax (hypo)'!I19,'NotEffectivelyVax (hypo)'!L19,'NotEffectivelyVax (hypo)'!O19,'NotEffectivelyVax (hypo)'!R19,'NotEffectivelyVax (hypo)'!U19,'NotEffectivelyVax (hypo)'!X19,'NotEffectivelyVax (hypo)'!AA19,'NotEffectivelyVax (hypo)'!AD19,'NotEffectivelyVax (hypo)'!AG19,'NotEffectivelyVax (hypo)'!AJ19,'NotEffectivelyVax (hypo)'!AM19,'NotEffectivelyVax (hypo)'!AP19,'NotEffectivelyVax (hypo)'!AS19,'NotEffectivelyVax (hypo)'!AV19,'NotEffectivelyVax (hypo)'!AY19,'NotEffectivelyVax (hypo)'!BB19,'NotEffectivelyVax (hypo)'!BE19,'NotEffectivelyVax (hypo)'!BH19,'NotEffectivelyVax (hypo)'!BK19,'NotEffectivelyVax (hypo)'!BN19,'NotEffectivelyVax (hypo)'!BQ19,'NotEffectivelyVax (hypo)'!BT19,'NotEffectivelyVax (hypo)'!BW19,'NotEffectivelyVax (hypo)'!BZ19,'NotEffectivelyVax (hypo)'!CC19,'NotEffectivelyVax (hypo)'!CF19,'NotEffectivelyVax (hypo)'!CI19,'NotEffectivelyVax (hypo)'!CL19,'NotEffectivelyVax (hypo)'!CO19,'NotEffectivelyVax (hypo)'!CR19,'NotEffectivelyVax (hypo)'!CU19,'NotEffectivelyVax (hypo)'!CX19,'NotEffectivelyVax (hypo)'!DA19,'NotEffectivelyVax (hypo)'!DD19,'NotEffectivelyVax (hypo)'!DG19,'NotEffectivelyVax (hypo)'!DJ19,'NotEffectivelyVax (hypo)'!DM19,'NotEffectivelyVax (hypo)'!DQ19,'NotEffectivelyVax (hypo)'!DP19,'NotEffectivelyVax (hypo)'!DS19,'NotEffectivelyVax (hypo)'!DV19,'NotEffectivelyVax (hypo)'!DY19,'NotEffectivelyVax (hypo)'!EB19,'NotEffectivelyVax (hypo)'!EE19,'NotEffectivelyVax (hypo)'!EH19,'NotEffectivelyVax (hypo)'!EK19,'NotEffectivelyVax (hypo)'!EN19,'NotEffectivelyVax (hypo)'!EQ19,'NotEffectivelyVax (hypo)'!ET19,'NotEffectivelyVax (hypo)'!EW19,'NotEffectivelyVax (hypo)'!EZ19,'NotEffectivelyVax (hypo)'!FC19,'NotEffectivelyVax (hypo)'!FF19,'NotEffectivelyVax (hypo)'!FI19,'NotEffectivelyVax (hypo)'!FL19,'NotEffectivelyVax (hypo)'!FO19,'NotEffectivelyVax (hypo)'!FR19,'NotEffectivelyVax (hypo)'!FU19,'NotEffectivelyVax (hypo)'!FX19,'NotEffectivelyVax (hypo)'!GA19)</f>
        <v>#VALUE!</v>
      </c>
      <c r="W19" s="141" t="e">
        <f>SUM('NotEffectivelyVax (hypo)'!D19,'NotEffectivelyVax (hypo)'!G19,'NotEffectivelyVax (hypo)'!J19,'NotEffectivelyVax (hypo)'!M19,'NotEffectivelyVax (hypo)'!P19,'NotEffectivelyVax (hypo)'!S19,'NotEffectivelyVax (hypo)'!V19,'NotEffectivelyVax (hypo)'!Y19,'NotEffectivelyVax (hypo)'!AB19,'NotEffectivelyVax (hypo)'!AE19,'NotEffectivelyVax (hypo)'!AH19,'NotEffectivelyVax (hypo)'!AK19,'NotEffectivelyVax (hypo)'!AN19,'NotEffectivelyVax (hypo)'!AQ19,'NotEffectivelyVax (hypo)'!AT19,'NotEffectivelyVax (hypo)'!AW19,'NotEffectivelyVax (hypo)'!AZ19,'NotEffectivelyVax (hypo)'!BC19,'NotEffectivelyVax (hypo)'!BF19,'NotEffectivelyVax (hypo)'!BI19,'NotEffectivelyVax (hypo)'!BL19,'NotEffectivelyVax (hypo)'!BO19,'NotEffectivelyVax (hypo)'!BR19,'NotEffectivelyVax (hypo)'!BU19,'NotEffectivelyVax (hypo)'!BX19,'NotEffectivelyVax (hypo)'!CA19,'NotEffectivelyVax (hypo)'!CD19,'NotEffectivelyVax (hypo)'!CG19,'NotEffectivelyVax (hypo)'!CJ19,'NotEffectivelyVax (hypo)'!CM19,'NotEffectivelyVax (hypo)'!CP19,'NotEffectivelyVax (hypo)'!CS19,'NotEffectivelyVax (hypo)'!CV19,'NotEffectivelyVax (hypo)'!CY19,'NotEffectivelyVax (hypo)'!DB19,'NotEffectivelyVax (hypo)'!DE19,'NotEffectivelyVax (hypo)'!DH19,'NotEffectivelyVax (hypo)'!DK19,'NotEffectivelyVax (hypo)'!DN19,'NotEffectivelyVax (hypo)'!DQ19,'NotEffectivelyVax (hypo)'!DT19,'NotEffectivelyVax (hypo)'!DW19,'NotEffectivelyVax (hypo)'!DZ19,'NotEffectivelyVax (hypo)'!EC19,'NotEffectivelyVax (hypo)'!EF19,'NotEffectivelyVax (hypo)'!EI19,'NotEffectivelyVax (hypo)'!EL19,'NotEffectivelyVax (hypo)'!EO19,'NotEffectivelyVax (hypo)'!ER19,'NotEffectivelyVax (hypo)'!EU19,'NotEffectivelyVax (hypo)'!EX19,'NotEffectivelyVax (hypo)'!FA19,'NotEffectivelyVax (hypo)'!FD19,'NotEffectivelyVax (hypo)'!FG19,'NotEffectivelyVax (hypo)'!FJ19,'NotEffectivelyVax (hypo)'!FM19,'NotEffectivelyVax (hypo)'!FP19,'NotEffectivelyVax (hypo)'!FS19,'NotEffectivelyVax (hypo)'!FV19,'NotEffectivelyVax (hypo)'!FY19)</f>
        <v>#VALUE!</v>
      </c>
      <c r="X19" s="141" t="e">
        <f>SUM('NotEffectivelyVax (hypo)'!E19,'NotEffectivelyVax (hypo)'!H19,'NotEffectivelyVax (hypo)'!K19,'NotEffectivelyVax (hypo)'!N19,'NotEffectivelyVax (hypo)'!Q19,'NotEffectivelyVax (hypo)'!T19,'NotEffectivelyVax (hypo)'!Z19,'NotEffectivelyVax (hypo)'!W19,'NotEffectivelyVax (hypo)'!AC19,'NotEffectivelyVax (hypo)'!AF19,'NotEffectivelyVax (hypo)'!AI19,'NotEffectivelyVax (hypo)'!AL19,'NotEffectivelyVax (hypo)'!AO19,'NotEffectivelyVax (hypo)'!AR19,'NotEffectivelyVax (hypo)'!AU19,'NotEffectivelyVax (hypo)'!AX19,'NotEffectivelyVax (hypo)'!BA19,'NotEffectivelyVax (hypo)'!BD19,'NotEffectivelyVax (hypo)'!BG19,'NotEffectivelyVax (hypo)'!BJ19,'NotEffectivelyVax (hypo)'!BM19,'NotEffectivelyVax (hypo)'!BP19,'NotEffectivelyVax (hypo)'!BS19,'NotEffectivelyVax (hypo)'!BV19,'NotEffectivelyVax (hypo)'!BY19,'NotEffectivelyVax (hypo)'!CB19,'NotEffectivelyVax (hypo)'!CE19,'NotEffectivelyVax (hypo)'!CH19,'NotEffectivelyVax (hypo)'!CK19,'NotEffectivelyVax (hypo)'!CN19,'NotEffectivelyVax (hypo)'!CQ19,'NotEffectivelyVax (hypo)'!CT19,'NotEffectivelyVax (hypo)'!CW19,'NotEffectivelyVax (hypo)'!CZ19,'NotEffectivelyVax (hypo)'!DC19,'NotEffectivelyVax (hypo)'!DF19,'NotEffectivelyVax (hypo)'!DI19,'NotEffectivelyVax (hypo)'!DL19,'NotEffectivelyVax (hypo)'!DO19,'NotEffectivelyVax (hypo)'!DR19,'NotEffectivelyVax (hypo)'!DU19,'NotEffectivelyVax (hypo)'!DX19,'NotEffectivelyVax (hypo)'!EA19,'NotEffectivelyVax (hypo)'!ED19,'NotEffectivelyVax (hypo)'!EG19,'NotEffectivelyVax (hypo)'!EJ19,'NotEffectivelyVax (hypo)'!EM19,'NotEffectivelyVax (hypo)'!EP19,'NotEffectivelyVax (hypo)'!ES19,'NotEffectivelyVax (hypo)'!EV19,'NotEffectivelyVax (hypo)'!EY19,'NotEffectivelyVax (hypo)'!FB19,'NotEffectivelyVax (hypo)'!FE19,'NotEffectivelyVax (hypo)'!FH19,'NotEffectivelyVax (hypo)'!FK19,'NotEffectivelyVax (hypo)'!FN19,'NotEffectivelyVax (hypo)'!FQ19,'NotEffectivelyVax (hypo)'!FT19,'NotEffectivelyVax (hypo)'!FW19,'NotEffectivelyVax (hypo)'!FZ19)</f>
        <v>#VALUE!</v>
      </c>
      <c r="Y19" s="142" t="e">
        <f t="shared" si="2"/>
        <v>#VALUE!</v>
      </c>
      <c r="Z19" s="142" t="e">
        <f>IF(Export!M17&lt;&gt;"",W19*Export!K17*(1/Export!M17),W19*Export!K17)</f>
        <v>#VALUE!</v>
      </c>
      <c r="AA19" s="139" t="e">
        <f>Y19*Export!J17</f>
        <v>#VALUE!</v>
      </c>
      <c r="AC19" s="143" t="e">
        <f t="shared" si="3"/>
        <v>#VALUE!</v>
      </c>
      <c r="AD19" s="144" t="e">
        <f t="shared" si="13"/>
        <v>#VALUE!</v>
      </c>
      <c r="AE19" s="144" t="e">
        <f t="shared" si="4"/>
        <v>#VALUE!</v>
      </c>
      <c r="AF19" s="144" t="e">
        <f t="shared" si="5"/>
        <v>#VALUE!</v>
      </c>
      <c r="AG19" s="144" t="e">
        <f t="shared" si="6"/>
        <v>#VALUE!</v>
      </c>
      <c r="AH19" s="145"/>
      <c r="AI19" s="145"/>
      <c r="AJ19" s="145"/>
      <c r="AK19" s="145"/>
      <c r="AL19" s="146"/>
      <c r="AM19" s="150"/>
      <c r="AN19" s="150"/>
      <c r="AO19" s="150"/>
      <c r="AP19" s="150"/>
      <c r="AQ19" s="151"/>
    </row>
    <row r="20" spans="1:45" x14ac:dyDescent="0.35">
      <c r="A20" s="130">
        <f>EffectivelyVax!B19</f>
        <v>1</v>
      </c>
      <c r="B20" s="131">
        <f>EffectivelyVax!C19</f>
        <v>0</v>
      </c>
      <c r="C20" s="132">
        <f>Export!N18</f>
        <v>0</v>
      </c>
      <c r="D20" s="133" t="str">
        <f>Export!C18</f>
        <v/>
      </c>
      <c r="E20" s="133" t="e">
        <f>Export!C18*Export!L18</f>
        <v>#VALUE!</v>
      </c>
      <c r="F20" s="133" t="e">
        <f t="shared" si="17"/>
        <v>#VALUE!</v>
      </c>
      <c r="G20" s="133" t="e">
        <f>IF(Export!M18&lt;&gt;"",D20*Export!K18*(1/Export!M18),D20*Export!K18)</f>
        <v>#VALUE!</v>
      </c>
      <c r="H20" s="133" t="e">
        <f>F20*Export!J18</f>
        <v>#VALUE!</v>
      </c>
      <c r="I20" s="161" t="e">
        <f t="shared" si="16"/>
        <v>#VALUE!</v>
      </c>
      <c r="J20" s="134" t="e">
        <f t="shared" si="8"/>
        <v>#VALUE!</v>
      </c>
      <c r="K20" s="135" t="e">
        <f t="shared" si="9"/>
        <v>#VALUE!</v>
      </c>
      <c r="L20" s="117" t="str">
        <f>Export!B18</f>
        <v/>
      </c>
      <c r="M20" s="115" t="e">
        <f>C20*L20*HelperFunctions!G$17</f>
        <v>#VALUE!</v>
      </c>
      <c r="N20" s="116" t="e">
        <f>C20*L20*(1-HelperFunctions!G$17)</f>
        <v>#VALUE!</v>
      </c>
      <c r="O20" s="136" t="e">
        <f t="shared" si="14"/>
        <v>#DIV/0!</v>
      </c>
      <c r="P20" s="137">
        <f>SUM(EffectivelyVax!D19:BK19)</f>
        <v>0</v>
      </c>
      <c r="Q20" s="138" t="e">
        <f t="shared" si="11"/>
        <v>#DIV/0!</v>
      </c>
      <c r="R20" s="138" t="e">
        <f t="shared" si="12"/>
        <v>#DIV/0!</v>
      </c>
      <c r="S20" s="137" t="e">
        <f t="shared" si="1"/>
        <v>#DIV/0!</v>
      </c>
      <c r="T20" s="138" t="e">
        <f>IF(Export!M18&lt;&gt;"",Q20*Export!K18*(1/Export!M18),Q20*Export!K18)</f>
        <v>#DIV/0!</v>
      </c>
      <c r="U20" s="139" t="e">
        <f>S20*Export!J18</f>
        <v>#DIV/0!</v>
      </c>
      <c r="V20" s="140" t="e">
        <f>SUM('NotEffectivelyVax (hypo)'!F20,'NotEffectivelyVax (hypo)'!I20,'NotEffectivelyVax (hypo)'!L20,'NotEffectivelyVax (hypo)'!O20,'NotEffectivelyVax (hypo)'!R20,'NotEffectivelyVax (hypo)'!U20,'NotEffectivelyVax (hypo)'!X20,'NotEffectivelyVax (hypo)'!AA20,'NotEffectivelyVax (hypo)'!AD20,'NotEffectivelyVax (hypo)'!AG20,'NotEffectivelyVax (hypo)'!AJ20,'NotEffectivelyVax (hypo)'!AM20,'NotEffectivelyVax (hypo)'!AP20,'NotEffectivelyVax (hypo)'!AS20,'NotEffectivelyVax (hypo)'!AV20,'NotEffectivelyVax (hypo)'!AY20,'NotEffectivelyVax (hypo)'!BB20,'NotEffectivelyVax (hypo)'!BE20,'NotEffectivelyVax (hypo)'!BH20,'NotEffectivelyVax (hypo)'!BK20,'NotEffectivelyVax (hypo)'!BN20,'NotEffectivelyVax (hypo)'!BQ20,'NotEffectivelyVax (hypo)'!BT20,'NotEffectivelyVax (hypo)'!BW20,'NotEffectivelyVax (hypo)'!BZ20,'NotEffectivelyVax (hypo)'!CC20,'NotEffectivelyVax (hypo)'!CF20,'NotEffectivelyVax (hypo)'!CI20,'NotEffectivelyVax (hypo)'!CL20,'NotEffectivelyVax (hypo)'!CO20,'NotEffectivelyVax (hypo)'!CR20,'NotEffectivelyVax (hypo)'!CU20,'NotEffectivelyVax (hypo)'!CX20,'NotEffectivelyVax (hypo)'!DA20,'NotEffectivelyVax (hypo)'!DD20,'NotEffectivelyVax (hypo)'!DG20,'NotEffectivelyVax (hypo)'!DJ20,'NotEffectivelyVax (hypo)'!DM20,'NotEffectivelyVax (hypo)'!DQ20,'NotEffectivelyVax (hypo)'!DP20,'NotEffectivelyVax (hypo)'!DS20,'NotEffectivelyVax (hypo)'!DV20,'NotEffectivelyVax (hypo)'!DY20,'NotEffectivelyVax (hypo)'!EB20,'NotEffectivelyVax (hypo)'!EE20,'NotEffectivelyVax (hypo)'!EH20,'NotEffectivelyVax (hypo)'!EK20,'NotEffectivelyVax (hypo)'!EN20,'NotEffectivelyVax (hypo)'!EQ20,'NotEffectivelyVax (hypo)'!ET20,'NotEffectivelyVax (hypo)'!EW20,'NotEffectivelyVax (hypo)'!EZ20,'NotEffectivelyVax (hypo)'!FC20,'NotEffectivelyVax (hypo)'!FF20,'NotEffectivelyVax (hypo)'!FI20,'NotEffectivelyVax (hypo)'!FL20,'NotEffectivelyVax (hypo)'!FO20,'NotEffectivelyVax (hypo)'!FR20,'NotEffectivelyVax (hypo)'!FU20,'NotEffectivelyVax (hypo)'!FX20,'NotEffectivelyVax (hypo)'!GA20)</f>
        <v>#VALUE!</v>
      </c>
      <c r="W20" s="141" t="e">
        <f>SUM('NotEffectivelyVax (hypo)'!D20,'NotEffectivelyVax (hypo)'!G20,'NotEffectivelyVax (hypo)'!J20,'NotEffectivelyVax (hypo)'!M20,'NotEffectivelyVax (hypo)'!P20,'NotEffectivelyVax (hypo)'!S20,'NotEffectivelyVax (hypo)'!V20,'NotEffectivelyVax (hypo)'!Y20,'NotEffectivelyVax (hypo)'!AB20,'NotEffectivelyVax (hypo)'!AE20,'NotEffectivelyVax (hypo)'!AH20,'NotEffectivelyVax (hypo)'!AK20,'NotEffectivelyVax (hypo)'!AN20,'NotEffectivelyVax (hypo)'!AQ20,'NotEffectivelyVax (hypo)'!AT20,'NotEffectivelyVax (hypo)'!AW20,'NotEffectivelyVax (hypo)'!AZ20,'NotEffectivelyVax (hypo)'!BC20,'NotEffectivelyVax (hypo)'!BF20,'NotEffectivelyVax (hypo)'!BI20,'NotEffectivelyVax (hypo)'!BL20,'NotEffectivelyVax (hypo)'!BO20,'NotEffectivelyVax (hypo)'!BR20,'NotEffectivelyVax (hypo)'!BU20,'NotEffectivelyVax (hypo)'!BX20,'NotEffectivelyVax (hypo)'!CA20,'NotEffectivelyVax (hypo)'!CD20,'NotEffectivelyVax (hypo)'!CG20,'NotEffectivelyVax (hypo)'!CJ20,'NotEffectivelyVax (hypo)'!CM20,'NotEffectivelyVax (hypo)'!CP20,'NotEffectivelyVax (hypo)'!CS20,'NotEffectivelyVax (hypo)'!CV20,'NotEffectivelyVax (hypo)'!CY20,'NotEffectivelyVax (hypo)'!DB20,'NotEffectivelyVax (hypo)'!DE20,'NotEffectivelyVax (hypo)'!DH20,'NotEffectivelyVax (hypo)'!DK20,'NotEffectivelyVax (hypo)'!DN20,'NotEffectivelyVax (hypo)'!DQ20,'NotEffectivelyVax (hypo)'!DT20,'NotEffectivelyVax (hypo)'!DW20,'NotEffectivelyVax (hypo)'!DZ20,'NotEffectivelyVax (hypo)'!EC20,'NotEffectivelyVax (hypo)'!EF20,'NotEffectivelyVax (hypo)'!EI20,'NotEffectivelyVax (hypo)'!EL20,'NotEffectivelyVax (hypo)'!EO20,'NotEffectivelyVax (hypo)'!ER20,'NotEffectivelyVax (hypo)'!EU20,'NotEffectivelyVax (hypo)'!EX20,'NotEffectivelyVax (hypo)'!FA20,'NotEffectivelyVax (hypo)'!FD20,'NotEffectivelyVax (hypo)'!FG20,'NotEffectivelyVax (hypo)'!FJ20,'NotEffectivelyVax (hypo)'!FM20,'NotEffectivelyVax (hypo)'!FP20,'NotEffectivelyVax (hypo)'!FS20,'NotEffectivelyVax (hypo)'!FV20,'NotEffectivelyVax (hypo)'!FY20)</f>
        <v>#VALUE!</v>
      </c>
      <c r="X20" s="141" t="e">
        <f>SUM('NotEffectivelyVax (hypo)'!E20,'NotEffectivelyVax (hypo)'!H20,'NotEffectivelyVax (hypo)'!K20,'NotEffectivelyVax (hypo)'!N20,'NotEffectivelyVax (hypo)'!Q20,'NotEffectivelyVax (hypo)'!T20,'NotEffectivelyVax (hypo)'!Z20,'NotEffectivelyVax (hypo)'!W20,'NotEffectivelyVax (hypo)'!AC20,'NotEffectivelyVax (hypo)'!AF20,'NotEffectivelyVax (hypo)'!AI20,'NotEffectivelyVax (hypo)'!AL20,'NotEffectivelyVax (hypo)'!AO20,'NotEffectivelyVax (hypo)'!AR20,'NotEffectivelyVax (hypo)'!AU20,'NotEffectivelyVax (hypo)'!AX20,'NotEffectivelyVax (hypo)'!BA20,'NotEffectivelyVax (hypo)'!BD20,'NotEffectivelyVax (hypo)'!BG20,'NotEffectivelyVax (hypo)'!BJ20,'NotEffectivelyVax (hypo)'!BM20,'NotEffectivelyVax (hypo)'!BP20,'NotEffectivelyVax (hypo)'!BS20,'NotEffectivelyVax (hypo)'!BV20,'NotEffectivelyVax (hypo)'!BY20,'NotEffectivelyVax (hypo)'!CB20,'NotEffectivelyVax (hypo)'!CE20,'NotEffectivelyVax (hypo)'!CH20,'NotEffectivelyVax (hypo)'!CK20,'NotEffectivelyVax (hypo)'!CN20,'NotEffectivelyVax (hypo)'!CQ20,'NotEffectivelyVax (hypo)'!CT20,'NotEffectivelyVax (hypo)'!CW20,'NotEffectivelyVax (hypo)'!CZ20,'NotEffectivelyVax (hypo)'!DC20,'NotEffectivelyVax (hypo)'!DF20,'NotEffectivelyVax (hypo)'!DI20,'NotEffectivelyVax (hypo)'!DL20,'NotEffectivelyVax (hypo)'!DO20,'NotEffectivelyVax (hypo)'!DR20,'NotEffectivelyVax (hypo)'!DU20,'NotEffectivelyVax (hypo)'!DX20,'NotEffectivelyVax (hypo)'!EA20,'NotEffectivelyVax (hypo)'!ED20,'NotEffectivelyVax (hypo)'!EG20,'NotEffectivelyVax (hypo)'!EJ20,'NotEffectivelyVax (hypo)'!EM20,'NotEffectivelyVax (hypo)'!EP20,'NotEffectivelyVax (hypo)'!ES20,'NotEffectivelyVax (hypo)'!EV20,'NotEffectivelyVax (hypo)'!EY20,'NotEffectivelyVax (hypo)'!FB20,'NotEffectivelyVax (hypo)'!FE20,'NotEffectivelyVax (hypo)'!FH20,'NotEffectivelyVax (hypo)'!FK20,'NotEffectivelyVax (hypo)'!FN20,'NotEffectivelyVax (hypo)'!FQ20,'NotEffectivelyVax (hypo)'!FT20,'NotEffectivelyVax (hypo)'!FW20,'NotEffectivelyVax (hypo)'!FZ20)</f>
        <v>#VALUE!</v>
      </c>
      <c r="Y20" s="142" t="e">
        <f t="shared" si="2"/>
        <v>#VALUE!</v>
      </c>
      <c r="Z20" s="142" t="e">
        <f>IF(Export!M18&lt;&gt;"",W20*Export!K18*(1/Export!M18),W20*Export!K18)</f>
        <v>#VALUE!</v>
      </c>
      <c r="AA20" s="139" t="e">
        <f>Y20*Export!J18</f>
        <v>#VALUE!</v>
      </c>
      <c r="AC20" s="143" t="e">
        <f t="shared" si="3"/>
        <v>#VALUE!</v>
      </c>
      <c r="AD20" s="144" t="e">
        <f t="shared" si="13"/>
        <v>#VALUE!</v>
      </c>
      <c r="AE20" s="144" t="e">
        <f t="shared" si="4"/>
        <v>#VALUE!</v>
      </c>
      <c r="AF20" s="144" t="e">
        <f t="shared" si="5"/>
        <v>#VALUE!</v>
      </c>
      <c r="AG20" s="144" t="e">
        <f t="shared" si="6"/>
        <v>#VALUE!</v>
      </c>
      <c r="AH20" s="145"/>
      <c r="AI20" s="145"/>
      <c r="AJ20" s="145"/>
      <c r="AK20" s="145"/>
      <c r="AL20" s="146"/>
      <c r="AM20" s="150"/>
      <c r="AN20" s="150"/>
      <c r="AO20" s="150"/>
      <c r="AP20" s="150"/>
      <c r="AQ20" s="151"/>
    </row>
    <row r="21" spans="1:45" x14ac:dyDescent="0.35">
      <c r="A21" s="130">
        <f>EffectivelyVax!B20</f>
        <v>1</v>
      </c>
      <c r="B21" s="131">
        <f>EffectivelyVax!C20</f>
        <v>0</v>
      </c>
      <c r="C21" s="132">
        <f>Export!N19</f>
        <v>0</v>
      </c>
      <c r="D21" s="133" t="str">
        <f>Export!C19</f>
        <v/>
      </c>
      <c r="E21" s="133" t="e">
        <f>Export!C19*Export!L19</f>
        <v>#VALUE!</v>
      </c>
      <c r="F21" s="133" t="e">
        <f t="shared" si="17"/>
        <v>#VALUE!</v>
      </c>
      <c r="G21" s="133" t="e">
        <f>IF(Export!M19&lt;&gt;"",D21*Export!K19*(1/Export!M19),D21*Export!K19)</f>
        <v>#VALUE!</v>
      </c>
      <c r="H21" s="133" t="e">
        <f>F21*Export!J19</f>
        <v>#VALUE!</v>
      </c>
      <c r="I21" s="161" t="e">
        <f t="shared" si="16"/>
        <v>#VALUE!</v>
      </c>
      <c r="J21" s="134" t="e">
        <f t="shared" si="8"/>
        <v>#VALUE!</v>
      </c>
      <c r="K21" s="135" t="e">
        <f t="shared" si="9"/>
        <v>#VALUE!</v>
      </c>
      <c r="L21" s="117" t="str">
        <f>Export!B19</f>
        <v/>
      </c>
      <c r="M21" s="115" t="e">
        <f>C21*L21*HelperFunctions!G$17</f>
        <v>#VALUE!</v>
      </c>
      <c r="N21" s="116" t="e">
        <f>C21*L21*(1-HelperFunctions!G$17)</f>
        <v>#VALUE!</v>
      </c>
      <c r="O21" s="136" t="e">
        <f t="shared" si="14"/>
        <v>#DIV/0!</v>
      </c>
      <c r="P21" s="137">
        <f>SUM(EffectivelyVax!D20:BK20)</f>
        <v>0</v>
      </c>
      <c r="Q21" s="138" t="e">
        <f t="shared" si="11"/>
        <v>#DIV/0!</v>
      </c>
      <c r="R21" s="138" t="e">
        <f t="shared" si="12"/>
        <v>#DIV/0!</v>
      </c>
      <c r="S21" s="137" t="e">
        <f t="shared" si="1"/>
        <v>#DIV/0!</v>
      </c>
      <c r="T21" s="138" t="e">
        <f>IF(Export!M19&lt;&gt;"",Q21*Export!K19*(1/Export!M19),Q21*Export!K19)</f>
        <v>#DIV/0!</v>
      </c>
      <c r="U21" s="139" t="e">
        <f>S21*Export!J19</f>
        <v>#DIV/0!</v>
      </c>
      <c r="V21" s="140" t="e">
        <f>SUM('NotEffectivelyVax (hypo)'!F21,'NotEffectivelyVax (hypo)'!I21,'NotEffectivelyVax (hypo)'!L21,'NotEffectivelyVax (hypo)'!O21,'NotEffectivelyVax (hypo)'!R21,'NotEffectivelyVax (hypo)'!U21,'NotEffectivelyVax (hypo)'!X21,'NotEffectivelyVax (hypo)'!AA21,'NotEffectivelyVax (hypo)'!AD21,'NotEffectivelyVax (hypo)'!AG21,'NotEffectivelyVax (hypo)'!AJ21,'NotEffectivelyVax (hypo)'!AM21,'NotEffectivelyVax (hypo)'!AP21,'NotEffectivelyVax (hypo)'!AS21,'NotEffectivelyVax (hypo)'!AV21,'NotEffectivelyVax (hypo)'!AY21,'NotEffectivelyVax (hypo)'!BB21,'NotEffectivelyVax (hypo)'!BE21,'NotEffectivelyVax (hypo)'!BH21,'NotEffectivelyVax (hypo)'!BK21,'NotEffectivelyVax (hypo)'!BN21,'NotEffectivelyVax (hypo)'!BQ21,'NotEffectivelyVax (hypo)'!BT21,'NotEffectivelyVax (hypo)'!BW21,'NotEffectivelyVax (hypo)'!BZ21,'NotEffectivelyVax (hypo)'!CC21,'NotEffectivelyVax (hypo)'!CF21,'NotEffectivelyVax (hypo)'!CI21,'NotEffectivelyVax (hypo)'!CL21,'NotEffectivelyVax (hypo)'!CO21,'NotEffectivelyVax (hypo)'!CR21,'NotEffectivelyVax (hypo)'!CU21,'NotEffectivelyVax (hypo)'!CX21,'NotEffectivelyVax (hypo)'!DA21,'NotEffectivelyVax (hypo)'!DD21,'NotEffectivelyVax (hypo)'!DG21,'NotEffectivelyVax (hypo)'!DJ21,'NotEffectivelyVax (hypo)'!DM21,'NotEffectivelyVax (hypo)'!DQ21,'NotEffectivelyVax (hypo)'!DP21,'NotEffectivelyVax (hypo)'!DS21,'NotEffectivelyVax (hypo)'!DV21,'NotEffectivelyVax (hypo)'!DY21,'NotEffectivelyVax (hypo)'!EB21,'NotEffectivelyVax (hypo)'!EE21,'NotEffectivelyVax (hypo)'!EH21,'NotEffectivelyVax (hypo)'!EK21,'NotEffectivelyVax (hypo)'!EN21,'NotEffectivelyVax (hypo)'!EQ21,'NotEffectivelyVax (hypo)'!ET21,'NotEffectivelyVax (hypo)'!EW21,'NotEffectivelyVax (hypo)'!EZ21,'NotEffectivelyVax (hypo)'!FC21,'NotEffectivelyVax (hypo)'!FF21,'NotEffectivelyVax (hypo)'!FI21,'NotEffectivelyVax (hypo)'!FL21,'NotEffectivelyVax (hypo)'!FO21,'NotEffectivelyVax (hypo)'!FR21,'NotEffectivelyVax (hypo)'!FU21,'NotEffectivelyVax (hypo)'!FX21,'NotEffectivelyVax (hypo)'!GA21)</f>
        <v>#VALUE!</v>
      </c>
      <c r="W21" s="141" t="e">
        <f>SUM('NotEffectivelyVax (hypo)'!D21,'NotEffectivelyVax (hypo)'!G21,'NotEffectivelyVax (hypo)'!J21,'NotEffectivelyVax (hypo)'!M21,'NotEffectivelyVax (hypo)'!P21,'NotEffectivelyVax (hypo)'!S21,'NotEffectivelyVax (hypo)'!V21,'NotEffectivelyVax (hypo)'!Y21,'NotEffectivelyVax (hypo)'!AB21,'NotEffectivelyVax (hypo)'!AE21,'NotEffectivelyVax (hypo)'!AH21,'NotEffectivelyVax (hypo)'!AK21,'NotEffectivelyVax (hypo)'!AN21,'NotEffectivelyVax (hypo)'!AQ21,'NotEffectivelyVax (hypo)'!AT21,'NotEffectivelyVax (hypo)'!AW21,'NotEffectivelyVax (hypo)'!AZ21,'NotEffectivelyVax (hypo)'!BC21,'NotEffectivelyVax (hypo)'!BF21,'NotEffectivelyVax (hypo)'!BI21,'NotEffectivelyVax (hypo)'!BL21,'NotEffectivelyVax (hypo)'!BO21,'NotEffectivelyVax (hypo)'!BR21,'NotEffectivelyVax (hypo)'!BU21,'NotEffectivelyVax (hypo)'!BX21,'NotEffectivelyVax (hypo)'!CA21,'NotEffectivelyVax (hypo)'!CD21,'NotEffectivelyVax (hypo)'!CG21,'NotEffectivelyVax (hypo)'!CJ21,'NotEffectivelyVax (hypo)'!CM21,'NotEffectivelyVax (hypo)'!CP21,'NotEffectivelyVax (hypo)'!CS21,'NotEffectivelyVax (hypo)'!CV21,'NotEffectivelyVax (hypo)'!CY21,'NotEffectivelyVax (hypo)'!DB21,'NotEffectivelyVax (hypo)'!DE21,'NotEffectivelyVax (hypo)'!DH21,'NotEffectivelyVax (hypo)'!DK21,'NotEffectivelyVax (hypo)'!DN21,'NotEffectivelyVax (hypo)'!DQ21,'NotEffectivelyVax (hypo)'!DT21,'NotEffectivelyVax (hypo)'!DW21,'NotEffectivelyVax (hypo)'!DZ21,'NotEffectivelyVax (hypo)'!EC21,'NotEffectivelyVax (hypo)'!EF21,'NotEffectivelyVax (hypo)'!EI21,'NotEffectivelyVax (hypo)'!EL21,'NotEffectivelyVax (hypo)'!EO21,'NotEffectivelyVax (hypo)'!ER21,'NotEffectivelyVax (hypo)'!EU21,'NotEffectivelyVax (hypo)'!EX21,'NotEffectivelyVax (hypo)'!FA21,'NotEffectivelyVax (hypo)'!FD21,'NotEffectivelyVax (hypo)'!FG21,'NotEffectivelyVax (hypo)'!FJ21,'NotEffectivelyVax (hypo)'!FM21,'NotEffectivelyVax (hypo)'!FP21,'NotEffectivelyVax (hypo)'!FS21,'NotEffectivelyVax (hypo)'!FV21,'NotEffectivelyVax (hypo)'!FY21)</f>
        <v>#VALUE!</v>
      </c>
      <c r="X21" s="141" t="e">
        <f>SUM('NotEffectivelyVax (hypo)'!E21,'NotEffectivelyVax (hypo)'!H21,'NotEffectivelyVax (hypo)'!K21,'NotEffectivelyVax (hypo)'!N21,'NotEffectivelyVax (hypo)'!Q21,'NotEffectivelyVax (hypo)'!T21,'NotEffectivelyVax (hypo)'!Z21,'NotEffectivelyVax (hypo)'!W21,'NotEffectivelyVax (hypo)'!AC21,'NotEffectivelyVax (hypo)'!AF21,'NotEffectivelyVax (hypo)'!AI21,'NotEffectivelyVax (hypo)'!AL21,'NotEffectivelyVax (hypo)'!AO21,'NotEffectivelyVax (hypo)'!AR21,'NotEffectivelyVax (hypo)'!AU21,'NotEffectivelyVax (hypo)'!AX21,'NotEffectivelyVax (hypo)'!BA21,'NotEffectivelyVax (hypo)'!BD21,'NotEffectivelyVax (hypo)'!BG21,'NotEffectivelyVax (hypo)'!BJ21,'NotEffectivelyVax (hypo)'!BM21,'NotEffectivelyVax (hypo)'!BP21,'NotEffectivelyVax (hypo)'!BS21,'NotEffectivelyVax (hypo)'!BV21,'NotEffectivelyVax (hypo)'!BY21,'NotEffectivelyVax (hypo)'!CB21,'NotEffectivelyVax (hypo)'!CE21,'NotEffectivelyVax (hypo)'!CH21,'NotEffectivelyVax (hypo)'!CK21,'NotEffectivelyVax (hypo)'!CN21,'NotEffectivelyVax (hypo)'!CQ21,'NotEffectivelyVax (hypo)'!CT21,'NotEffectivelyVax (hypo)'!CW21,'NotEffectivelyVax (hypo)'!CZ21,'NotEffectivelyVax (hypo)'!DC21,'NotEffectivelyVax (hypo)'!DF21,'NotEffectivelyVax (hypo)'!DI21,'NotEffectivelyVax (hypo)'!DL21,'NotEffectivelyVax (hypo)'!DO21,'NotEffectivelyVax (hypo)'!DR21,'NotEffectivelyVax (hypo)'!DU21,'NotEffectivelyVax (hypo)'!DX21,'NotEffectivelyVax (hypo)'!EA21,'NotEffectivelyVax (hypo)'!ED21,'NotEffectivelyVax (hypo)'!EG21,'NotEffectivelyVax (hypo)'!EJ21,'NotEffectivelyVax (hypo)'!EM21,'NotEffectivelyVax (hypo)'!EP21,'NotEffectivelyVax (hypo)'!ES21,'NotEffectivelyVax (hypo)'!EV21,'NotEffectivelyVax (hypo)'!EY21,'NotEffectivelyVax (hypo)'!FB21,'NotEffectivelyVax (hypo)'!FE21,'NotEffectivelyVax (hypo)'!FH21,'NotEffectivelyVax (hypo)'!FK21,'NotEffectivelyVax (hypo)'!FN21,'NotEffectivelyVax (hypo)'!FQ21,'NotEffectivelyVax (hypo)'!FT21,'NotEffectivelyVax (hypo)'!FW21,'NotEffectivelyVax (hypo)'!FZ21)</f>
        <v>#VALUE!</v>
      </c>
      <c r="Y21" s="142" t="e">
        <f t="shared" si="2"/>
        <v>#VALUE!</v>
      </c>
      <c r="Z21" s="142" t="e">
        <f>IF(Export!M19&lt;&gt;"",W21*Export!K19*(1/Export!M19),W21*Export!K19)</f>
        <v>#VALUE!</v>
      </c>
      <c r="AA21" s="139" t="e">
        <f>Y21*Export!J19</f>
        <v>#VALUE!</v>
      </c>
      <c r="AC21" s="143" t="e">
        <f t="shared" si="3"/>
        <v>#VALUE!</v>
      </c>
      <c r="AD21" s="144" t="e">
        <f t="shared" si="13"/>
        <v>#VALUE!</v>
      </c>
      <c r="AE21" s="144" t="e">
        <f t="shared" si="4"/>
        <v>#VALUE!</v>
      </c>
      <c r="AF21" s="144" t="e">
        <f t="shared" si="5"/>
        <v>#VALUE!</v>
      </c>
      <c r="AG21" s="144" t="e">
        <f t="shared" si="6"/>
        <v>#VALUE!</v>
      </c>
      <c r="AH21" s="145"/>
      <c r="AI21" s="145"/>
      <c r="AJ21" s="145"/>
      <c r="AK21" s="145"/>
      <c r="AL21" s="146"/>
      <c r="AM21" s="150"/>
      <c r="AN21" s="150"/>
      <c r="AO21" s="150"/>
      <c r="AP21" s="150"/>
      <c r="AQ21" s="151"/>
    </row>
    <row r="22" spans="1:45" x14ac:dyDescent="0.35">
      <c r="A22" s="130">
        <f>EffectivelyVax!B21</f>
        <v>1</v>
      </c>
      <c r="B22" s="131">
        <f>EffectivelyVax!C21</f>
        <v>0</v>
      </c>
      <c r="C22" s="132">
        <f>Export!N20</f>
        <v>0</v>
      </c>
      <c r="D22" s="133" t="str">
        <f>Export!C20</f>
        <v/>
      </c>
      <c r="E22" s="133" t="e">
        <f>Export!C20*Export!L20</f>
        <v>#VALUE!</v>
      </c>
      <c r="F22" s="133" t="e">
        <f t="shared" si="17"/>
        <v>#VALUE!</v>
      </c>
      <c r="G22" s="133" t="e">
        <f>IF(Export!M20&lt;&gt;"",D22*Export!K20*(1/Export!M20),D22*Export!K20)</f>
        <v>#VALUE!</v>
      </c>
      <c r="H22" s="133" t="e">
        <f>F22*Export!J20</f>
        <v>#VALUE!</v>
      </c>
      <c r="I22" s="161" t="e">
        <f t="shared" si="16"/>
        <v>#VALUE!</v>
      </c>
      <c r="J22" s="134" t="e">
        <f t="shared" si="8"/>
        <v>#VALUE!</v>
      </c>
      <c r="K22" s="135" t="e">
        <f t="shared" si="9"/>
        <v>#VALUE!</v>
      </c>
      <c r="L22" s="117" t="str">
        <f>Export!B20</f>
        <v/>
      </c>
      <c r="M22" s="115" t="e">
        <f>C22*L22*HelperFunctions!G$17</f>
        <v>#VALUE!</v>
      </c>
      <c r="N22" s="116" t="e">
        <f>C22*L22*(1-HelperFunctions!G$17)</f>
        <v>#VALUE!</v>
      </c>
      <c r="O22" s="136" t="e">
        <f t="shared" si="14"/>
        <v>#DIV/0!</v>
      </c>
      <c r="P22" s="137">
        <f>SUM(EffectivelyVax!D21:BK21)</f>
        <v>0</v>
      </c>
      <c r="Q22" s="138" t="e">
        <f t="shared" si="11"/>
        <v>#DIV/0!</v>
      </c>
      <c r="R22" s="138" t="e">
        <f t="shared" si="12"/>
        <v>#DIV/0!</v>
      </c>
      <c r="S22" s="137" t="e">
        <f t="shared" si="1"/>
        <v>#DIV/0!</v>
      </c>
      <c r="T22" s="138" t="e">
        <f>IF(Export!M20&lt;&gt;"",Q22*Export!K20*(1/Export!M20),Q22*Export!K20)</f>
        <v>#DIV/0!</v>
      </c>
      <c r="U22" s="139" t="e">
        <f>S22*Export!J20</f>
        <v>#DIV/0!</v>
      </c>
      <c r="V22" s="140" t="e">
        <f>SUM('NotEffectivelyVax (hypo)'!F22,'NotEffectivelyVax (hypo)'!I22,'NotEffectivelyVax (hypo)'!L22,'NotEffectivelyVax (hypo)'!O22,'NotEffectivelyVax (hypo)'!R22,'NotEffectivelyVax (hypo)'!U22,'NotEffectivelyVax (hypo)'!X22,'NotEffectivelyVax (hypo)'!AA22,'NotEffectivelyVax (hypo)'!AD22,'NotEffectivelyVax (hypo)'!AG22,'NotEffectivelyVax (hypo)'!AJ22,'NotEffectivelyVax (hypo)'!AM22,'NotEffectivelyVax (hypo)'!AP22,'NotEffectivelyVax (hypo)'!AS22,'NotEffectivelyVax (hypo)'!AV22,'NotEffectivelyVax (hypo)'!AY22,'NotEffectivelyVax (hypo)'!BB22,'NotEffectivelyVax (hypo)'!BE22,'NotEffectivelyVax (hypo)'!BH22,'NotEffectivelyVax (hypo)'!BK22,'NotEffectivelyVax (hypo)'!BN22,'NotEffectivelyVax (hypo)'!BQ22,'NotEffectivelyVax (hypo)'!BT22,'NotEffectivelyVax (hypo)'!BW22,'NotEffectivelyVax (hypo)'!BZ22,'NotEffectivelyVax (hypo)'!CC22,'NotEffectivelyVax (hypo)'!CF22,'NotEffectivelyVax (hypo)'!CI22,'NotEffectivelyVax (hypo)'!CL22,'NotEffectivelyVax (hypo)'!CO22,'NotEffectivelyVax (hypo)'!CR22,'NotEffectivelyVax (hypo)'!CU22,'NotEffectivelyVax (hypo)'!CX22,'NotEffectivelyVax (hypo)'!DA22,'NotEffectivelyVax (hypo)'!DD22,'NotEffectivelyVax (hypo)'!DG22,'NotEffectivelyVax (hypo)'!DJ22,'NotEffectivelyVax (hypo)'!DM22,'NotEffectivelyVax (hypo)'!DQ22,'NotEffectivelyVax (hypo)'!DP22,'NotEffectivelyVax (hypo)'!DS22,'NotEffectivelyVax (hypo)'!DV22,'NotEffectivelyVax (hypo)'!DY22,'NotEffectivelyVax (hypo)'!EB22,'NotEffectivelyVax (hypo)'!EE22,'NotEffectivelyVax (hypo)'!EH22,'NotEffectivelyVax (hypo)'!EK22,'NotEffectivelyVax (hypo)'!EN22,'NotEffectivelyVax (hypo)'!EQ22,'NotEffectivelyVax (hypo)'!ET22,'NotEffectivelyVax (hypo)'!EW22,'NotEffectivelyVax (hypo)'!EZ22,'NotEffectivelyVax (hypo)'!FC22,'NotEffectivelyVax (hypo)'!FF22,'NotEffectivelyVax (hypo)'!FI22,'NotEffectivelyVax (hypo)'!FL22,'NotEffectivelyVax (hypo)'!FO22,'NotEffectivelyVax (hypo)'!FR22,'NotEffectivelyVax (hypo)'!FU22,'NotEffectivelyVax (hypo)'!FX22,'NotEffectivelyVax (hypo)'!GA22)</f>
        <v>#VALUE!</v>
      </c>
      <c r="W22" s="141" t="e">
        <f>SUM('NotEffectivelyVax (hypo)'!D22,'NotEffectivelyVax (hypo)'!G22,'NotEffectivelyVax (hypo)'!J22,'NotEffectivelyVax (hypo)'!M22,'NotEffectivelyVax (hypo)'!P22,'NotEffectivelyVax (hypo)'!S22,'NotEffectivelyVax (hypo)'!V22,'NotEffectivelyVax (hypo)'!Y22,'NotEffectivelyVax (hypo)'!AB22,'NotEffectivelyVax (hypo)'!AE22,'NotEffectivelyVax (hypo)'!AH22,'NotEffectivelyVax (hypo)'!AK22,'NotEffectivelyVax (hypo)'!AN22,'NotEffectivelyVax (hypo)'!AQ22,'NotEffectivelyVax (hypo)'!AT22,'NotEffectivelyVax (hypo)'!AW22,'NotEffectivelyVax (hypo)'!AZ22,'NotEffectivelyVax (hypo)'!BC22,'NotEffectivelyVax (hypo)'!BF22,'NotEffectivelyVax (hypo)'!BI22,'NotEffectivelyVax (hypo)'!BL22,'NotEffectivelyVax (hypo)'!BO22,'NotEffectivelyVax (hypo)'!BR22,'NotEffectivelyVax (hypo)'!BU22,'NotEffectivelyVax (hypo)'!BX22,'NotEffectivelyVax (hypo)'!CA22,'NotEffectivelyVax (hypo)'!CD22,'NotEffectivelyVax (hypo)'!CG22,'NotEffectivelyVax (hypo)'!CJ22,'NotEffectivelyVax (hypo)'!CM22,'NotEffectivelyVax (hypo)'!CP22,'NotEffectivelyVax (hypo)'!CS22,'NotEffectivelyVax (hypo)'!CV22,'NotEffectivelyVax (hypo)'!CY22,'NotEffectivelyVax (hypo)'!DB22,'NotEffectivelyVax (hypo)'!DE22,'NotEffectivelyVax (hypo)'!DH22,'NotEffectivelyVax (hypo)'!DK22,'NotEffectivelyVax (hypo)'!DN22,'NotEffectivelyVax (hypo)'!DQ22,'NotEffectivelyVax (hypo)'!DT22,'NotEffectivelyVax (hypo)'!DW22,'NotEffectivelyVax (hypo)'!DZ22,'NotEffectivelyVax (hypo)'!EC22,'NotEffectivelyVax (hypo)'!EF22,'NotEffectivelyVax (hypo)'!EI22,'NotEffectivelyVax (hypo)'!EL22,'NotEffectivelyVax (hypo)'!EO22,'NotEffectivelyVax (hypo)'!ER22,'NotEffectivelyVax (hypo)'!EU22,'NotEffectivelyVax (hypo)'!EX22,'NotEffectivelyVax (hypo)'!FA22,'NotEffectivelyVax (hypo)'!FD22,'NotEffectivelyVax (hypo)'!FG22,'NotEffectivelyVax (hypo)'!FJ22,'NotEffectivelyVax (hypo)'!FM22,'NotEffectivelyVax (hypo)'!FP22,'NotEffectivelyVax (hypo)'!FS22,'NotEffectivelyVax (hypo)'!FV22,'NotEffectivelyVax (hypo)'!FY22)</f>
        <v>#VALUE!</v>
      </c>
      <c r="X22" s="141" t="e">
        <f>SUM('NotEffectivelyVax (hypo)'!E22,'NotEffectivelyVax (hypo)'!H22,'NotEffectivelyVax (hypo)'!K22,'NotEffectivelyVax (hypo)'!N22,'NotEffectivelyVax (hypo)'!Q22,'NotEffectivelyVax (hypo)'!T22,'NotEffectivelyVax (hypo)'!Z22,'NotEffectivelyVax (hypo)'!W22,'NotEffectivelyVax (hypo)'!AC22,'NotEffectivelyVax (hypo)'!AF22,'NotEffectivelyVax (hypo)'!AI22,'NotEffectivelyVax (hypo)'!AL22,'NotEffectivelyVax (hypo)'!AO22,'NotEffectivelyVax (hypo)'!AR22,'NotEffectivelyVax (hypo)'!AU22,'NotEffectivelyVax (hypo)'!AX22,'NotEffectivelyVax (hypo)'!BA22,'NotEffectivelyVax (hypo)'!BD22,'NotEffectivelyVax (hypo)'!BG22,'NotEffectivelyVax (hypo)'!BJ22,'NotEffectivelyVax (hypo)'!BM22,'NotEffectivelyVax (hypo)'!BP22,'NotEffectivelyVax (hypo)'!BS22,'NotEffectivelyVax (hypo)'!BV22,'NotEffectivelyVax (hypo)'!BY22,'NotEffectivelyVax (hypo)'!CB22,'NotEffectivelyVax (hypo)'!CE22,'NotEffectivelyVax (hypo)'!CH22,'NotEffectivelyVax (hypo)'!CK22,'NotEffectivelyVax (hypo)'!CN22,'NotEffectivelyVax (hypo)'!CQ22,'NotEffectivelyVax (hypo)'!CT22,'NotEffectivelyVax (hypo)'!CW22,'NotEffectivelyVax (hypo)'!CZ22,'NotEffectivelyVax (hypo)'!DC22,'NotEffectivelyVax (hypo)'!DF22,'NotEffectivelyVax (hypo)'!DI22,'NotEffectivelyVax (hypo)'!DL22,'NotEffectivelyVax (hypo)'!DO22,'NotEffectivelyVax (hypo)'!DR22,'NotEffectivelyVax (hypo)'!DU22,'NotEffectivelyVax (hypo)'!DX22,'NotEffectivelyVax (hypo)'!EA22,'NotEffectivelyVax (hypo)'!ED22,'NotEffectivelyVax (hypo)'!EG22,'NotEffectivelyVax (hypo)'!EJ22,'NotEffectivelyVax (hypo)'!EM22,'NotEffectivelyVax (hypo)'!EP22,'NotEffectivelyVax (hypo)'!ES22,'NotEffectivelyVax (hypo)'!EV22,'NotEffectivelyVax (hypo)'!EY22,'NotEffectivelyVax (hypo)'!FB22,'NotEffectivelyVax (hypo)'!FE22,'NotEffectivelyVax (hypo)'!FH22,'NotEffectivelyVax (hypo)'!FK22,'NotEffectivelyVax (hypo)'!FN22,'NotEffectivelyVax (hypo)'!FQ22,'NotEffectivelyVax (hypo)'!FT22,'NotEffectivelyVax (hypo)'!FW22,'NotEffectivelyVax (hypo)'!FZ22)</f>
        <v>#VALUE!</v>
      </c>
      <c r="Y22" s="142" t="e">
        <f t="shared" si="2"/>
        <v>#VALUE!</v>
      </c>
      <c r="Z22" s="142" t="e">
        <f>IF(Export!M20&lt;&gt;"",W22*Export!K20*(1/Export!M20),W22*Export!K20)</f>
        <v>#VALUE!</v>
      </c>
      <c r="AA22" s="139" t="e">
        <f>Y22*Export!J20</f>
        <v>#VALUE!</v>
      </c>
      <c r="AC22" s="143" t="e">
        <f t="shared" si="3"/>
        <v>#VALUE!</v>
      </c>
      <c r="AD22" s="144" t="e">
        <f t="shared" si="13"/>
        <v>#VALUE!</v>
      </c>
      <c r="AE22" s="144" t="e">
        <f t="shared" si="4"/>
        <v>#VALUE!</v>
      </c>
      <c r="AF22" s="144" t="e">
        <f t="shared" si="5"/>
        <v>#VALUE!</v>
      </c>
      <c r="AG22" s="144" t="e">
        <f t="shared" si="6"/>
        <v>#VALUE!</v>
      </c>
      <c r="AH22" s="145"/>
      <c r="AI22" s="145"/>
      <c r="AJ22" s="145"/>
      <c r="AK22" s="145"/>
      <c r="AL22" s="146"/>
      <c r="AM22" s="150"/>
      <c r="AN22" s="150"/>
      <c r="AO22" s="150"/>
      <c r="AP22" s="150"/>
      <c r="AQ22" s="151"/>
    </row>
    <row r="23" spans="1:45" x14ac:dyDescent="0.35">
      <c r="A23" s="130">
        <f>EffectivelyVax!B22</f>
        <v>1</v>
      </c>
      <c r="B23" s="131">
        <f>EffectivelyVax!C22</f>
        <v>0</v>
      </c>
      <c r="C23" s="132">
        <f>Export!N21</f>
        <v>0</v>
      </c>
      <c r="D23" s="133" t="str">
        <f>Export!C21</f>
        <v/>
      </c>
      <c r="E23" s="133" t="e">
        <f>Export!C21*Export!L21</f>
        <v>#VALUE!</v>
      </c>
      <c r="F23" s="133" t="e">
        <f t="shared" si="17"/>
        <v>#VALUE!</v>
      </c>
      <c r="G23" s="133" t="e">
        <f>IF(Export!M21&lt;&gt;"",D23*Export!K21*(1/Export!M21),D23*Export!K21)</f>
        <v>#VALUE!</v>
      </c>
      <c r="H23" s="133" t="e">
        <f>F23*Export!J21</f>
        <v>#VALUE!</v>
      </c>
      <c r="I23" s="161" t="e">
        <f t="shared" si="16"/>
        <v>#VALUE!</v>
      </c>
      <c r="J23" s="134" t="e">
        <f t="shared" si="8"/>
        <v>#VALUE!</v>
      </c>
      <c r="K23" s="135" t="e">
        <f t="shared" si="9"/>
        <v>#VALUE!</v>
      </c>
      <c r="L23" s="117" t="str">
        <f>Export!B21</f>
        <v/>
      </c>
      <c r="M23" s="115" t="e">
        <f>C23*L23*HelperFunctions!G$17</f>
        <v>#VALUE!</v>
      </c>
      <c r="N23" s="116" t="e">
        <f>C23*L23*(1-HelperFunctions!G$17)</f>
        <v>#VALUE!</v>
      </c>
      <c r="O23" s="136" t="e">
        <f t="shared" si="14"/>
        <v>#DIV/0!</v>
      </c>
      <c r="P23" s="137">
        <f>SUM(EffectivelyVax!D22:BK22)</f>
        <v>0</v>
      </c>
      <c r="Q23" s="138" t="e">
        <f t="shared" si="11"/>
        <v>#DIV/0!</v>
      </c>
      <c r="R23" s="138" t="e">
        <f t="shared" si="12"/>
        <v>#DIV/0!</v>
      </c>
      <c r="S23" s="137" t="e">
        <f t="shared" si="1"/>
        <v>#DIV/0!</v>
      </c>
      <c r="T23" s="138" t="e">
        <f>IF(Export!M21&lt;&gt;"",Q23*Export!K21*(1/Export!M21),Q23*Export!K21)</f>
        <v>#DIV/0!</v>
      </c>
      <c r="U23" s="139" t="e">
        <f>S23*Export!J21</f>
        <v>#DIV/0!</v>
      </c>
      <c r="V23" s="140" t="e">
        <f>SUM('NotEffectivelyVax (hypo)'!F23,'NotEffectivelyVax (hypo)'!I23,'NotEffectivelyVax (hypo)'!L23,'NotEffectivelyVax (hypo)'!O23,'NotEffectivelyVax (hypo)'!R23,'NotEffectivelyVax (hypo)'!U23,'NotEffectivelyVax (hypo)'!X23,'NotEffectivelyVax (hypo)'!AA23,'NotEffectivelyVax (hypo)'!AD23,'NotEffectivelyVax (hypo)'!AG23,'NotEffectivelyVax (hypo)'!AJ23,'NotEffectivelyVax (hypo)'!AM23,'NotEffectivelyVax (hypo)'!AP23,'NotEffectivelyVax (hypo)'!AS23,'NotEffectivelyVax (hypo)'!AV23,'NotEffectivelyVax (hypo)'!AY23,'NotEffectivelyVax (hypo)'!BB23,'NotEffectivelyVax (hypo)'!BE23,'NotEffectivelyVax (hypo)'!BH23,'NotEffectivelyVax (hypo)'!BK23,'NotEffectivelyVax (hypo)'!BN23,'NotEffectivelyVax (hypo)'!BQ23,'NotEffectivelyVax (hypo)'!BT23,'NotEffectivelyVax (hypo)'!BW23,'NotEffectivelyVax (hypo)'!BZ23,'NotEffectivelyVax (hypo)'!CC23,'NotEffectivelyVax (hypo)'!CF23,'NotEffectivelyVax (hypo)'!CI23,'NotEffectivelyVax (hypo)'!CL23,'NotEffectivelyVax (hypo)'!CO23,'NotEffectivelyVax (hypo)'!CR23,'NotEffectivelyVax (hypo)'!CU23,'NotEffectivelyVax (hypo)'!CX23,'NotEffectivelyVax (hypo)'!DA23,'NotEffectivelyVax (hypo)'!DD23,'NotEffectivelyVax (hypo)'!DG23,'NotEffectivelyVax (hypo)'!DJ23,'NotEffectivelyVax (hypo)'!DM23,'NotEffectivelyVax (hypo)'!DQ23,'NotEffectivelyVax (hypo)'!DP23,'NotEffectivelyVax (hypo)'!DS23,'NotEffectivelyVax (hypo)'!DV23,'NotEffectivelyVax (hypo)'!DY23,'NotEffectivelyVax (hypo)'!EB23,'NotEffectivelyVax (hypo)'!EE23,'NotEffectivelyVax (hypo)'!EH23,'NotEffectivelyVax (hypo)'!EK23,'NotEffectivelyVax (hypo)'!EN23,'NotEffectivelyVax (hypo)'!EQ23,'NotEffectivelyVax (hypo)'!ET23,'NotEffectivelyVax (hypo)'!EW23,'NotEffectivelyVax (hypo)'!EZ23,'NotEffectivelyVax (hypo)'!FC23,'NotEffectivelyVax (hypo)'!FF23,'NotEffectivelyVax (hypo)'!FI23,'NotEffectivelyVax (hypo)'!FL23,'NotEffectivelyVax (hypo)'!FO23,'NotEffectivelyVax (hypo)'!FR23,'NotEffectivelyVax (hypo)'!FU23,'NotEffectivelyVax (hypo)'!FX23,'NotEffectivelyVax (hypo)'!GA23)</f>
        <v>#VALUE!</v>
      </c>
      <c r="W23" s="141" t="e">
        <f>SUM('NotEffectivelyVax (hypo)'!D23,'NotEffectivelyVax (hypo)'!G23,'NotEffectivelyVax (hypo)'!J23,'NotEffectivelyVax (hypo)'!M23,'NotEffectivelyVax (hypo)'!P23,'NotEffectivelyVax (hypo)'!S23,'NotEffectivelyVax (hypo)'!V23,'NotEffectivelyVax (hypo)'!Y23,'NotEffectivelyVax (hypo)'!AB23,'NotEffectivelyVax (hypo)'!AE23,'NotEffectivelyVax (hypo)'!AH23,'NotEffectivelyVax (hypo)'!AK23,'NotEffectivelyVax (hypo)'!AN23,'NotEffectivelyVax (hypo)'!AQ23,'NotEffectivelyVax (hypo)'!AT23,'NotEffectivelyVax (hypo)'!AW23,'NotEffectivelyVax (hypo)'!AZ23,'NotEffectivelyVax (hypo)'!BC23,'NotEffectivelyVax (hypo)'!BF23,'NotEffectivelyVax (hypo)'!BI23,'NotEffectivelyVax (hypo)'!BL23,'NotEffectivelyVax (hypo)'!BO23,'NotEffectivelyVax (hypo)'!BR23,'NotEffectivelyVax (hypo)'!BU23,'NotEffectivelyVax (hypo)'!BX23,'NotEffectivelyVax (hypo)'!CA23,'NotEffectivelyVax (hypo)'!CD23,'NotEffectivelyVax (hypo)'!CG23,'NotEffectivelyVax (hypo)'!CJ23,'NotEffectivelyVax (hypo)'!CM23,'NotEffectivelyVax (hypo)'!CP23,'NotEffectivelyVax (hypo)'!CS23,'NotEffectivelyVax (hypo)'!CV23,'NotEffectivelyVax (hypo)'!CY23,'NotEffectivelyVax (hypo)'!DB23,'NotEffectivelyVax (hypo)'!DE23,'NotEffectivelyVax (hypo)'!DH23,'NotEffectivelyVax (hypo)'!DK23,'NotEffectivelyVax (hypo)'!DN23,'NotEffectivelyVax (hypo)'!DQ23,'NotEffectivelyVax (hypo)'!DT23,'NotEffectivelyVax (hypo)'!DW23,'NotEffectivelyVax (hypo)'!DZ23,'NotEffectivelyVax (hypo)'!EC23,'NotEffectivelyVax (hypo)'!EF23,'NotEffectivelyVax (hypo)'!EI23,'NotEffectivelyVax (hypo)'!EL23,'NotEffectivelyVax (hypo)'!EO23,'NotEffectivelyVax (hypo)'!ER23,'NotEffectivelyVax (hypo)'!EU23,'NotEffectivelyVax (hypo)'!EX23,'NotEffectivelyVax (hypo)'!FA23,'NotEffectivelyVax (hypo)'!FD23,'NotEffectivelyVax (hypo)'!FG23,'NotEffectivelyVax (hypo)'!FJ23,'NotEffectivelyVax (hypo)'!FM23,'NotEffectivelyVax (hypo)'!FP23,'NotEffectivelyVax (hypo)'!FS23,'NotEffectivelyVax (hypo)'!FV23,'NotEffectivelyVax (hypo)'!FY23)</f>
        <v>#VALUE!</v>
      </c>
      <c r="X23" s="141" t="e">
        <f>SUM('NotEffectivelyVax (hypo)'!E23,'NotEffectivelyVax (hypo)'!H23,'NotEffectivelyVax (hypo)'!K23,'NotEffectivelyVax (hypo)'!N23,'NotEffectivelyVax (hypo)'!Q23,'NotEffectivelyVax (hypo)'!T23,'NotEffectivelyVax (hypo)'!Z23,'NotEffectivelyVax (hypo)'!W23,'NotEffectivelyVax (hypo)'!AC23,'NotEffectivelyVax (hypo)'!AF23,'NotEffectivelyVax (hypo)'!AI23,'NotEffectivelyVax (hypo)'!AL23,'NotEffectivelyVax (hypo)'!AO23,'NotEffectivelyVax (hypo)'!AR23,'NotEffectivelyVax (hypo)'!AU23,'NotEffectivelyVax (hypo)'!AX23,'NotEffectivelyVax (hypo)'!BA23,'NotEffectivelyVax (hypo)'!BD23,'NotEffectivelyVax (hypo)'!BG23,'NotEffectivelyVax (hypo)'!BJ23,'NotEffectivelyVax (hypo)'!BM23,'NotEffectivelyVax (hypo)'!BP23,'NotEffectivelyVax (hypo)'!BS23,'NotEffectivelyVax (hypo)'!BV23,'NotEffectivelyVax (hypo)'!BY23,'NotEffectivelyVax (hypo)'!CB23,'NotEffectivelyVax (hypo)'!CE23,'NotEffectivelyVax (hypo)'!CH23,'NotEffectivelyVax (hypo)'!CK23,'NotEffectivelyVax (hypo)'!CN23,'NotEffectivelyVax (hypo)'!CQ23,'NotEffectivelyVax (hypo)'!CT23,'NotEffectivelyVax (hypo)'!CW23,'NotEffectivelyVax (hypo)'!CZ23,'NotEffectivelyVax (hypo)'!DC23,'NotEffectivelyVax (hypo)'!DF23,'NotEffectivelyVax (hypo)'!DI23,'NotEffectivelyVax (hypo)'!DL23,'NotEffectivelyVax (hypo)'!DO23,'NotEffectivelyVax (hypo)'!DR23,'NotEffectivelyVax (hypo)'!DU23,'NotEffectivelyVax (hypo)'!DX23,'NotEffectivelyVax (hypo)'!EA23,'NotEffectivelyVax (hypo)'!ED23,'NotEffectivelyVax (hypo)'!EG23,'NotEffectivelyVax (hypo)'!EJ23,'NotEffectivelyVax (hypo)'!EM23,'NotEffectivelyVax (hypo)'!EP23,'NotEffectivelyVax (hypo)'!ES23,'NotEffectivelyVax (hypo)'!EV23,'NotEffectivelyVax (hypo)'!EY23,'NotEffectivelyVax (hypo)'!FB23,'NotEffectivelyVax (hypo)'!FE23,'NotEffectivelyVax (hypo)'!FH23,'NotEffectivelyVax (hypo)'!FK23,'NotEffectivelyVax (hypo)'!FN23,'NotEffectivelyVax (hypo)'!FQ23,'NotEffectivelyVax (hypo)'!FT23,'NotEffectivelyVax (hypo)'!FW23,'NotEffectivelyVax (hypo)'!FZ23)</f>
        <v>#VALUE!</v>
      </c>
      <c r="Y23" s="142" t="e">
        <f t="shared" si="2"/>
        <v>#VALUE!</v>
      </c>
      <c r="Z23" s="142" t="e">
        <f>IF(Export!M21&lt;&gt;"",W23*Export!K21*(1/Export!M21),W23*Export!K21)</f>
        <v>#VALUE!</v>
      </c>
      <c r="AA23" s="139" t="e">
        <f>Y23*Export!J21</f>
        <v>#VALUE!</v>
      </c>
      <c r="AC23" s="143" t="e">
        <f t="shared" si="3"/>
        <v>#VALUE!</v>
      </c>
      <c r="AD23" s="144" t="e">
        <f t="shared" si="13"/>
        <v>#VALUE!</v>
      </c>
      <c r="AE23" s="144" t="e">
        <f t="shared" si="4"/>
        <v>#VALUE!</v>
      </c>
      <c r="AF23" s="144" t="e">
        <f t="shared" si="5"/>
        <v>#VALUE!</v>
      </c>
      <c r="AG23" s="144" t="e">
        <f t="shared" si="6"/>
        <v>#VALUE!</v>
      </c>
      <c r="AH23" s="145"/>
      <c r="AI23" s="145"/>
      <c r="AJ23" s="145"/>
      <c r="AK23" s="145"/>
      <c r="AL23" s="146"/>
      <c r="AM23" s="150"/>
      <c r="AN23" s="150"/>
      <c r="AO23" s="150"/>
      <c r="AP23" s="150"/>
      <c r="AQ23" s="151"/>
    </row>
    <row r="24" spans="1:45" x14ac:dyDescent="0.35">
      <c r="A24" s="130">
        <f>EffectivelyVax!B23</f>
        <v>1</v>
      </c>
      <c r="B24" s="131">
        <f>EffectivelyVax!C23</f>
        <v>0</v>
      </c>
      <c r="C24" s="132">
        <f>Export!N22</f>
        <v>0</v>
      </c>
      <c r="D24" s="133" t="str">
        <f>Export!C22</f>
        <v/>
      </c>
      <c r="E24" s="133" t="e">
        <f>Export!C22*Export!L22</f>
        <v>#VALUE!</v>
      </c>
      <c r="F24" s="133" t="e">
        <f t="shared" si="17"/>
        <v>#VALUE!</v>
      </c>
      <c r="G24" s="133" t="e">
        <f>IF(Export!M22&lt;&gt;"",D24*Export!K22*(1/Export!M22),D24*Export!K22)</f>
        <v>#VALUE!</v>
      </c>
      <c r="H24" s="133" t="e">
        <f>F24*Export!J22</f>
        <v>#VALUE!</v>
      </c>
      <c r="I24" s="161" t="e">
        <f t="shared" si="16"/>
        <v>#VALUE!</v>
      </c>
      <c r="J24" s="134" t="e">
        <f t="shared" si="8"/>
        <v>#VALUE!</v>
      </c>
      <c r="K24" s="135" t="e">
        <f t="shared" si="9"/>
        <v>#VALUE!</v>
      </c>
      <c r="L24" s="117" t="str">
        <f>Export!B22</f>
        <v/>
      </c>
      <c r="M24" s="115" t="e">
        <f>C24*L24*HelperFunctions!G$17</f>
        <v>#VALUE!</v>
      </c>
      <c r="N24" s="116" t="e">
        <f>C24*L24*(1-HelperFunctions!G$17)</f>
        <v>#VALUE!</v>
      </c>
      <c r="O24" s="136" t="e">
        <f t="shared" si="14"/>
        <v>#DIV/0!</v>
      </c>
      <c r="P24" s="137">
        <f>SUM(EffectivelyVax!D23:BK23)</f>
        <v>0</v>
      </c>
      <c r="Q24" s="138" t="e">
        <f t="shared" si="11"/>
        <v>#DIV/0!</v>
      </c>
      <c r="R24" s="138" t="e">
        <f t="shared" si="12"/>
        <v>#DIV/0!</v>
      </c>
      <c r="S24" s="137" t="e">
        <f t="shared" si="1"/>
        <v>#DIV/0!</v>
      </c>
      <c r="T24" s="138" t="e">
        <f>IF(Export!M22&lt;&gt;"",Q24*Export!K22*(1/Export!M22),Q24*Export!K22)</f>
        <v>#DIV/0!</v>
      </c>
      <c r="U24" s="139" t="e">
        <f>S24*Export!J22</f>
        <v>#DIV/0!</v>
      </c>
      <c r="V24" s="140" t="e">
        <f>SUM('NotEffectivelyVax (hypo)'!F24,'NotEffectivelyVax (hypo)'!I24,'NotEffectivelyVax (hypo)'!L24,'NotEffectivelyVax (hypo)'!O24,'NotEffectivelyVax (hypo)'!R24,'NotEffectivelyVax (hypo)'!U24,'NotEffectivelyVax (hypo)'!X24,'NotEffectivelyVax (hypo)'!AA24,'NotEffectivelyVax (hypo)'!AD24,'NotEffectivelyVax (hypo)'!AG24,'NotEffectivelyVax (hypo)'!AJ24,'NotEffectivelyVax (hypo)'!AM24,'NotEffectivelyVax (hypo)'!AP24,'NotEffectivelyVax (hypo)'!AS24,'NotEffectivelyVax (hypo)'!AV24,'NotEffectivelyVax (hypo)'!AY24,'NotEffectivelyVax (hypo)'!BB24,'NotEffectivelyVax (hypo)'!BE24,'NotEffectivelyVax (hypo)'!BH24,'NotEffectivelyVax (hypo)'!BK24,'NotEffectivelyVax (hypo)'!BN24,'NotEffectivelyVax (hypo)'!BQ24,'NotEffectivelyVax (hypo)'!BT24,'NotEffectivelyVax (hypo)'!BW24,'NotEffectivelyVax (hypo)'!BZ24,'NotEffectivelyVax (hypo)'!CC24,'NotEffectivelyVax (hypo)'!CF24,'NotEffectivelyVax (hypo)'!CI24,'NotEffectivelyVax (hypo)'!CL24,'NotEffectivelyVax (hypo)'!CO24,'NotEffectivelyVax (hypo)'!CR24,'NotEffectivelyVax (hypo)'!CU24,'NotEffectivelyVax (hypo)'!CX24,'NotEffectivelyVax (hypo)'!DA24,'NotEffectivelyVax (hypo)'!DD24,'NotEffectivelyVax (hypo)'!DG24,'NotEffectivelyVax (hypo)'!DJ24,'NotEffectivelyVax (hypo)'!DM24,'NotEffectivelyVax (hypo)'!DQ24,'NotEffectivelyVax (hypo)'!DP24,'NotEffectivelyVax (hypo)'!DS24,'NotEffectivelyVax (hypo)'!DV24,'NotEffectivelyVax (hypo)'!DY24,'NotEffectivelyVax (hypo)'!EB24,'NotEffectivelyVax (hypo)'!EE24,'NotEffectivelyVax (hypo)'!EH24,'NotEffectivelyVax (hypo)'!EK24,'NotEffectivelyVax (hypo)'!EN24,'NotEffectivelyVax (hypo)'!EQ24,'NotEffectivelyVax (hypo)'!ET24,'NotEffectivelyVax (hypo)'!EW24,'NotEffectivelyVax (hypo)'!EZ24,'NotEffectivelyVax (hypo)'!FC24,'NotEffectivelyVax (hypo)'!FF24,'NotEffectivelyVax (hypo)'!FI24,'NotEffectivelyVax (hypo)'!FL24,'NotEffectivelyVax (hypo)'!FO24,'NotEffectivelyVax (hypo)'!FR24,'NotEffectivelyVax (hypo)'!FU24,'NotEffectivelyVax (hypo)'!FX24,'NotEffectivelyVax (hypo)'!GA24)</f>
        <v>#VALUE!</v>
      </c>
      <c r="W24" s="141" t="e">
        <f>SUM('NotEffectivelyVax (hypo)'!D24,'NotEffectivelyVax (hypo)'!G24,'NotEffectivelyVax (hypo)'!J24,'NotEffectivelyVax (hypo)'!M24,'NotEffectivelyVax (hypo)'!P24,'NotEffectivelyVax (hypo)'!S24,'NotEffectivelyVax (hypo)'!V24,'NotEffectivelyVax (hypo)'!Y24,'NotEffectivelyVax (hypo)'!AB24,'NotEffectivelyVax (hypo)'!AE24,'NotEffectivelyVax (hypo)'!AH24,'NotEffectivelyVax (hypo)'!AK24,'NotEffectivelyVax (hypo)'!AN24,'NotEffectivelyVax (hypo)'!AQ24,'NotEffectivelyVax (hypo)'!AT24,'NotEffectivelyVax (hypo)'!AW24,'NotEffectivelyVax (hypo)'!AZ24,'NotEffectivelyVax (hypo)'!BC24,'NotEffectivelyVax (hypo)'!BF24,'NotEffectivelyVax (hypo)'!BI24,'NotEffectivelyVax (hypo)'!BL24,'NotEffectivelyVax (hypo)'!BO24,'NotEffectivelyVax (hypo)'!BR24,'NotEffectivelyVax (hypo)'!BU24,'NotEffectivelyVax (hypo)'!BX24,'NotEffectivelyVax (hypo)'!CA24,'NotEffectivelyVax (hypo)'!CD24,'NotEffectivelyVax (hypo)'!CG24,'NotEffectivelyVax (hypo)'!CJ24,'NotEffectivelyVax (hypo)'!CM24,'NotEffectivelyVax (hypo)'!CP24,'NotEffectivelyVax (hypo)'!CS24,'NotEffectivelyVax (hypo)'!CV24,'NotEffectivelyVax (hypo)'!CY24,'NotEffectivelyVax (hypo)'!DB24,'NotEffectivelyVax (hypo)'!DE24,'NotEffectivelyVax (hypo)'!DH24,'NotEffectivelyVax (hypo)'!DK24,'NotEffectivelyVax (hypo)'!DN24,'NotEffectivelyVax (hypo)'!DQ24,'NotEffectivelyVax (hypo)'!DT24,'NotEffectivelyVax (hypo)'!DW24,'NotEffectivelyVax (hypo)'!DZ24,'NotEffectivelyVax (hypo)'!EC24,'NotEffectivelyVax (hypo)'!EF24,'NotEffectivelyVax (hypo)'!EI24,'NotEffectivelyVax (hypo)'!EL24,'NotEffectivelyVax (hypo)'!EO24,'NotEffectivelyVax (hypo)'!ER24,'NotEffectivelyVax (hypo)'!EU24,'NotEffectivelyVax (hypo)'!EX24,'NotEffectivelyVax (hypo)'!FA24,'NotEffectivelyVax (hypo)'!FD24,'NotEffectivelyVax (hypo)'!FG24,'NotEffectivelyVax (hypo)'!FJ24,'NotEffectivelyVax (hypo)'!FM24,'NotEffectivelyVax (hypo)'!FP24,'NotEffectivelyVax (hypo)'!FS24,'NotEffectivelyVax (hypo)'!FV24,'NotEffectivelyVax (hypo)'!FY24)</f>
        <v>#VALUE!</v>
      </c>
      <c r="X24" s="141" t="e">
        <f>SUM('NotEffectivelyVax (hypo)'!E24,'NotEffectivelyVax (hypo)'!H24,'NotEffectivelyVax (hypo)'!K24,'NotEffectivelyVax (hypo)'!N24,'NotEffectivelyVax (hypo)'!Q24,'NotEffectivelyVax (hypo)'!T24,'NotEffectivelyVax (hypo)'!Z24,'NotEffectivelyVax (hypo)'!W24,'NotEffectivelyVax (hypo)'!AC24,'NotEffectivelyVax (hypo)'!AF24,'NotEffectivelyVax (hypo)'!AI24,'NotEffectivelyVax (hypo)'!AL24,'NotEffectivelyVax (hypo)'!AO24,'NotEffectivelyVax (hypo)'!AR24,'NotEffectivelyVax (hypo)'!AU24,'NotEffectivelyVax (hypo)'!AX24,'NotEffectivelyVax (hypo)'!BA24,'NotEffectivelyVax (hypo)'!BD24,'NotEffectivelyVax (hypo)'!BG24,'NotEffectivelyVax (hypo)'!BJ24,'NotEffectivelyVax (hypo)'!BM24,'NotEffectivelyVax (hypo)'!BP24,'NotEffectivelyVax (hypo)'!BS24,'NotEffectivelyVax (hypo)'!BV24,'NotEffectivelyVax (hypo)'!BY24,'NotEffectivelyVax (hypo)'!CB24,'NotEffectivelyVax (hypo)'!CE24,'NotEffectivelyVax (hypo)'!CH24,'NotEffectivelyVax (hypo)'!CK24,'NotEffectivelyVax (hypo)'!CN24,'NotEffectivelyVax (hypo)'!CQ24,'NotEffectivelyVax (hypo)'!CT24,'NotEffectivelyVax (hypo)'!CW24,'NotEffectivelyVax (hypo)'!CZ24,'NotEffectivelyVax (hypo)'!DC24,'NotEffectivelyVax (hypo)'!DF24,'NotEffectivelyVax (hypo)'!DI24,'NotEffectivelyVax (hypo)'!DL24,'NotEffectivelyVax (hypo)'!DO24,'NotEffectivelyVax (hypo)'!DR24,'NotEffectivelyVax (hypo)'!DU24,'NotEffectivelyVax (hypo)'!DX24,'NotEffectivelyVax (hypo)'!EA24,'NotEffectivelyVax (hypo)'!ED24,'NotEffectivelyVax (hypo)'!EG24,'NotEffectivelyVax (hypo)'!EJ24,'NotEffectivelyVax (hypo)'!EM24,'NotEffectivelyVax (hypo)'!EP24,'NotEffectivelyVax (hypo)'!ES24,'NotEffectivelyVax (hypo)'!EV24,'NotEffectivelyVax (hypo)'!EY24,'NotEffectivelyVax (hypo)'!FB24,'NotEffectivelyVax (hypo)'!FE24,'NotEffectivelyVax (hypo)'!FH24,'NotEffectivelyVax (hypo)'!FK24,'NotEffectivelyVax (hypo)'!FN24,'NotEffectivelyVax (hypo)'!FQ24,'NotEffectivelyVax (hypo)'!FT24,'NotEffectivelyVax (hypo)'!FW24,'NotEffectivelyVax (hypo)'!FZ24)</f>
        <v>#VALUE!</v>
      </c>
      <c r="Y24" s="142" t="e">
        <f t="shared" si="2"/>
        <v>#VALUE!</v>
      </c>
      <c r="Z24" s="142" t="e">
        <f>IF(Export!M22&lt;&gt;"",W24*Export!K22*(1/Export!M22),W24*Export!K22)</f>
        <v>#VALUE!</v>
      </c>
      <c r="AA24" s="139" t="e">
        <f>Y24*Export!J22</f>
        <v>#VALUE!</v>
      </c>
      <c r="AC24" s="143" t="e">
        <f t="shared" si="3"/>
        <v>#VALUE!</v>
      </c>
      <c r="AD24" s="144" t="e">
        <f t="shared" si="13"/>
        <v>#VALUE!</v>
      </c>
      <c r="AE24" s="144" t="e">
        <f t="shared" si="4"/>
        <v>#VALUE!</v>
      </c>
      <c r="AF24" s="144" t="e">
        <f t="shared" si="5"/>
        <v>#VALUE!</v>
      </c>
      <c r="AG24" s="144" t="e">
        <f t="shared" si="6"/>
        <v>#VALUE!</v>
      </c>
      <c r="AH24" s="145"/>
      <c r="AI24" s="145"/>
      <c r="AJ24" s="145"/>
      <c r="AK24" s="145"/>
      <c r="AL24" s="146"/>
      <c r="AM24" s="150"/>
      <c r="AN24" s="150"/>
      <c r="AO24" s="150"/>
      <c r="AP24" s="150"/>
      <c r="AQ24" s="151"/>
    </row>
    <row r="25" spans="1:45" x14ac:dyDescent="0.35">
      <c r="A25" s="130">
        <f>EffectivelyVax!B24</f>
        <v>1</v>
      </c>
      <c r="B25" s="131">
        <f>EffectivelyVax!C24</f>
        <v>0</v>
      </c>
      <c r="C25" s="132">
        <f>Export!N23</f>
        <v>0</v>
      </c>
      <c r="D25" s="133" t="str">
        <f>Export!C23</f>
        <v/>
      </c>
      <c r="E25" s="133" t="e">
        <f>Export!C23*Export!L23</f>
        <v>#VALUE!</v>
      </c>
      <c r="F25" s="133" t="e">
        <f t="shared" si="17"/>
        <v>#VALUE!</v>
      </c>
      <c r="G25" s="133" t="e">
        <f>IF(Export!M23&lt;&gt;"",D25*Export!K23*(1/Export!M23),D25*Export!K23)</f>
        <v>#VALUE!</v>
      </c>
      <c r="H25" s="133" t="e">
        <f>F25*Export!J23</f>
        <v>#VALUE!</v>
      </c>
      <c r="I25" s="161" t="e">
        <f t="shared" si="16"/>
        <v>#VALUE!</v>
      </c>
      <c r="J25" s="134" t="e">
        <f t="shared" si="8"/>
        <v>#VALUE!</v>
      </c>
      <c r="K25" s="135" t="e">
        <f t="shared" si="9"/>
        <v>#VALUE!</v>
      </c>
      <c r="L25" s="117" t="str">
        <f>Export!B23</f>
        <v/>
      </c>
      <c r="M25" s="115" t="e">
        <f>C25*L25*HelperFunctions!G$17</f>
        <v>#VALUE!</v>
      </c>
      <c r="N25" s="116" t="e">
        <f>C25*L25*(1-HelperFunctions!G$17)</f>
        <v>#VALUE!</v>
      </c>
      <c r="O25" s="136" t="e">
        <f t="shared" si="14"/>
        <v>#DIV/0!</v>
      </c>
      <c r="P25" s="137">
        <f>SUM(EffectivelyVax!D24:BK24)</f>
        <v>0</v>
      </c>
      <c r="Q25" s="138" t="e">
        <f t="shared" si="11"/>
        <v>#DIV/0!</v>
      </c>
      <c r="R25" s="138" t="e">
        <f t="shared" si="12"/>
        <v>#DIV/0!</v>
      </c>
      <c r="S25" s="137" t="e">
        <f t="shared" si="1"/>
        <v>#DIV/0!</v>
      </c>
      <c r="T25" s="138" t="e">
        <f>IF(Export!M23&lt;&gt;"",Q25*Export!K23*(1/Export!M23),Q25*Export!K23)</f>
        <v>#DIV/0!</v>
      </c>
      <c r="U25" s="139" t="e">
        <f>S25*Export!J23</f>
        <v>#DIV/0!</v>
      </c>
      <c r="V25" s="140" t="e">
        <f>SUM('NotEffectivelyVax (hypo)'!F25,'NotEffectivelyVax (hypo)'!I25,'NotEffectivelyVax (hypo)'!L25,'NotEffectivelyVax (hypo)'!O25,'NotEffectivelyVax (hypo)'!R25,'NotEffectivelyVax (hypo)'!U25,'NotEffectivelyVax (hypo)'!X25,'NotEffectivelyVax (hypo)'!AA25,'NotEffectivelyVax (hypo)'!AD25,'NotEffectivelyVax (hypo)'!AG25,'NotEffectivelyVax (hypo)'!AJ25,'NotEffectivelyVax (hypo)'!AM25,'NotEffectivelyVax (hypo)'!AP25,'NotEffectivelyVax (hypo)'!AS25,'NotEffectivelyVax (hypo)'!AV25,'NotEffectivelyVax (hypo)'!AY25,'NotEffectivelyVax (hypo)'!BB25,'NotEffectivelyVax (hypo)'!BE25,'NotEffectivelyVax (hypo)'!BH25,'NotEffectivelyVax (hypo)'!BK25,'NotEffectivelyVax (hypo)'!BN25,'NotEffectivelyVax (hypo)'!BQ25,'NotEffectivelyVax (hypo)'!BT25,'NotEffectivelyVax (hypo)'!BW25,'NotEffectivelyVax (hypo)'!BZ25,'NotEffectivelyVax (hypo)'!CC25,'NotEffectivelyVax (hypo)'!CF25,'NotEffectivelyVax (hypo)'!CI25,'NotEffectivelyVax (hypo)'!CL25,'NotEffectivelyVax (hypo)'!CO25,'NotEffectivelyVax (hypo)'!CR25,'NotEffectivelyVax (hypo)'!CU25,'NotEffectivelyVax (hypo)'!CX25,'NotEffectivelyVax (hypo)'!DA25,'NotEffectivelyVax (hypo)'!DD25,'NotEffectivelyVax (hypo)'!DG25,'NotEffectivelyVax (hypo)'!DJ25,'NotEffectivelyVax (hypo)'!DM25,'NotEffectivelyVax (hypo)'!DQ25,'NotEffectivelyVax (hypo)'!DP25,'NotEffectivelyVax (hypo)'!DS25,'NotEffectivelyVax (hypo)'!DV25,'NotEffectivelyVax (hypo)'!DY25,'NotEffectivelyVax (hypo)'!EB25,'NotEffectivelyVax (hypo)'!EE25,'NotEffectivelyVax (hypo)'!EH25,'NotEffectivelyVax (hypo)'!EK25,'NotEffectivelyVax (hypo)'!EN25,'NotEffectivelyVax (hypo)'!EQ25,'NotEffectivelyVax (hypo)'!ET25,'NotEffectivelyVax (hypo)'!EW25,'NotEffectivelyVax (hypo)'!EZ25,'NotEffectivelyVax (hypo)'!FC25,'NotEffectivelyVax (hypo)'!FF25,'NotEffectivelyVax (hypo)'!FI25,'NotEffectivelyVax (hypo)'!FL25,'NotEffectivelyVax (hypo)'!FO25,'NotEffectivelyVax (hypo)'!FR25,'NotEffectivelyVax (hypo)'!FU25,'NotEffectivelyVax (hypo)'!FX25,'NotEffectivelyVax (hypo)'!GA25)</f>
        <v>#VALUE!</v>
      </c>
      <c r="W25" s="141" t="e">
        <f>SUM('NotEffectivelyVax (hypo)'!D25,'NotEffectivelyVax (hypo)'!G25,'NotEffectivelyVax (hypo)'!J25,'NotEffectivelyVax (hypo)'!M25,'NotEffectivelyVax (hypo)'!P25,'NotEffectivelyVax (hypo)'!S25,'NotEffectivelyVax (hypo)'!V25,'NotEffectivelyVax (hypo)'!Y25,'NotEffectivelyVax (hypo)'!AB25,'NotEffectivelyVax (hypo)'!AE25,'NotEffectivelyVax (hypo)'!AH25,'NotEffectivelyVax (hypo)'!AK25,'NotEffectivelyVax (hypo)'!AN25,'NotEffectivelyVax (hypo)'!AQ25,'NotEffectivelyVax (hypo)'!AT25,'NotEffectivelyVax (hypo)'!AW25,'NotEffectivelyVax (hypo)'!AZ25,'NotEffectivelyVax (hypo)'!BC25,'NotEffectivelyVax (hypo)'!BF25,'NotEffectivelyVax (hypo)'!BI25,'NotEffectivelyVax (hypo)'!BL25,'NotEffectivelyVax (hypo)'!BO25,'NotEffectivelyVax (hypo)'!BR25,'NotEffectivelyVax (hypo)'!BU25,'NotEffectivelyVax (hypo)'!BX25,'NotEffectivelyVax (hypo)'!CA25,'NotEffectivelyVax (hypo)'!CD25,'NotEffectivelyVax (hypo)'!CG25,'NotEffectivelyVax (hypo)'!CJ25,'NotEffectivelyVax (hypo)'!CM25,'NotEffectivelyVax (hypo)'!CP25,'NotEffectivelyVax (hypo)'!CS25,'NotEffectivelyVax (hypo)'!CV25,'NotEffectivelyVax (hypo)'!CY25,'NotEffectivelyVax (hypo)'!DB25,'NotEffectivelyVax (hypo)'!DE25,'NotEffectivelyVax (hypo)'!DH25,'NotEffectivelyVax (hypo)'!DK25,'NotEffectivelyVax (hypo)'!DN25,'NotEffectivelyVax (hypo)'!DQ25,'NotEffectivelyVax (hypo)'!DT25,'NotEffectivelyVax (hypo)'!DW25,'NotEffectivelyVax (hypo)'!DZ25,'NotEffectivelyVax (hypo)'!EC25,'NotEffectivelyVax (hypo)'!EF25,'NotEffectivelyVax (hypo)'!EI25,'NotEffectivelyVax (hypo)'!EL25,'NotEffectivelyVax (hypo)'!EO25,'NotEffectivelyVax (hypo)'!ER25,'NotEffectivelyVax (hypo)'!EU25,'NotEffectivelyVax (hypo)'!EX25,'NotEffectivelyVax (hypo)'!FA25,'NotEffectivelyVax (hypo)'!FD25,'NotEffectivelyVax (hypo)'!FG25,'NotEffectivelyVax (hypo)'!FJ25,'NotEffectivelyVax (hypo)'!FM25,'NotEffectivelyVax (hypo)'!FP25,'NotEffectivelyVax (hypo)'!FS25,'NotEffectivelyVax (hypo)'!FV25,'NotEffectivelyVax (hypo)'!FY25)</f>
        <v>#VALUE!</v>
      </c>
      <c r="X25" s="141" t="e">
        <f>SUM('NotEffectivelyVax (hypo)'!E25,'NotEffectivelyVax (hypo)'!H25,'NotEffectivelyVax (hypo)'!K25,'NotEffectivelyVax (hypo)'!N25,'NotEffectivelyVax (hypo)'!Q25,'NotEffectivelyVax (hypo)'!T25,'NotEffectivelyVax (hypo)'!Z25,'NotEffectivelyVax (hypo)'!W25,'NotEffectivelyVax (hypo)'!AC25,'NotEffectivelyVax (hypo)'!AF25,'NotEffectivelyVax (hypo)'!AI25,'NotEffectivelyVax (hypo)'!AL25,'NotEffectivelyVax (hypo)'!AO25,'NotEffectivelyVax (hypo)'!AR25,'NotEffectivelyVax (hypo)'!AU25,'NotEffectivelyVax (hypo)'!AX25,'NotEffectivelyVax (hypo)'!BA25,'NotEffectivelyVax (hypo)'!BD25,'NotEffectivelyVax (hypo)'!BG25,'NotEffectivelyVax (hypo)'!BJ25,'NotEffectivelyVax (hypo)'!BM25,'NotEffectivelyVax (hypo)'!BP25,'NotEffectivelyVax (hypo)'!BS25,'NotEffectivelyVax (hypo)'!BV25,'NotEffectivelyVax (hypo)'!BY25,'NotEffectivelyVax (hypo)'!CB25,'NotEffectivelyVax (hypo)'!CE25,'NotEffectivelyVax (hypo)'!CH25,'NotEffectivelyVax (hypo)'!CK25,'NotEffectivelyVax (hypo)'!CN25,'NotEffectivelyVax (hypo)'!CQ25,'NotEffectivelyVax (hypo)'!CT25,'NotEffectivelyVax (hypo)'!CW25,'NotEffectivelyVax (hypo)'!CZ25,'NotEffectivelyVax (hypo)'!DC25,'NotEffectivelyVax (hypo)'!DF25,'NotEffectivelyVax (hypo)'!DI25,'NotEffectivelyVax (hypo)'!DL25,'NotEffectivelyVax (hypo)'!DO25,'NotEffectivelyVax (hypo)'!DR25,'NotEffectivelyVax (hypo)'!DU25,'NotEffectivelyVax (hypo)'!DX25,'NotEffectivelyVax (hypo)'!EA25,'NotEffectivelyVax (hypo)'!ED25,'NotEffectivelyVax (hypo)'!EG25,'NotEffectivelyVax (hypo)'!EJ25,'NotEffectivelyVax (hypo)'!EM25,'NotEffectivelyVax (hypo)'!EP25,'NotEffectivelyVax (hypo)'!ES25,'NotEffectivelyVax (hypo)'!EV25,'NotEffectivelyVax (hypo)'!EY25,'NotEffectivelyVax (hypo)'!FB25,'NotEffectivelyVax (hypo)'!FE25,'NotEffectivelyVax (hypo)'!FH25,'NotEffectivelyVax (hypo)'!FK25,'NotEffectivelyVax (hypo)'!FN25,'NotEffectivelyVax (hypo)'!FQ25,'NotEffectivelyVax (hypo)'!FT25,'NotEffectivelyVax (hypo)'!FW25,'NotEffectivelyVax (hypo)'!FZ25)</f>
        <v>#VALUE!</v>
      </c>
      <c r="Y25" s="142" t="e">
        <f t="shared" si="2"/>
        <v>#VALUE!</v>
      </c>
      <c r="Z25" s="142" t="e">
        <f>IF(Export!M23&lt;&gt;"",W25*Export!K23*(1/Export!M23),W25*Export!K23)</f>
        <v>#VALUE!</v>
      </c>
      <c r="AA25" s="139" t="e">
        <f>Y25*Export!J23</f>
        <v>#VALUE!</v>
      </c>
      <c r="AC25" s="143" t="e">
        <f t="shared" si="3"/>
        <v>#VALUE!</v>
      </c>
      <c r="AD25" s="144" t="e">
        <f t="shared" si="13"/>
        <v>#VALUE!</v>
      </c>
      <c r="AE25" s="144" t="e">
        <f t="shared" si="4"/>
        <v>#VALUE!</v>
      </c>
      <c r="AF25" s="144" t="e">
        <f t="shared" si="5"/>
        <v>#VALUE!</v>
      </c>
      <c r="AG25" s="144" t="e">
        <f t="shared" si="6"/>
        <v>#VALUE!</v>
      </c>
      <c r="AH25" s="145"/>
      <c r="AI25" s="145"/>
      <c r="AJ25" s="145"/>
      <c r="AK25" s="145"/>
      <c r="AL25" s="146"/>
      <c r="AM25" s="150"/>
      <c r="AN25" s="150"/>
      <c r="AO25" s="150"/>
      <c r="AP25" s="150"/>
      <c r="AQ25" s="151"/>
    </row>
    <row r="26" spans="1:45" x14ac:dyDescent="0.35">
      <c r="A26" s="130">
        <f>EffectivelyVax!B25</f>
        <v>1</v>
      </c>
      <c r="B26" s="131">
        <f>EffectivelyVax!C25</f>
        <v>0</v>
      </c>
      <c r="C26" s="132">
        <f>Export!N24</f>
        <v>0</v>
      </c>
      <c r="D26" s="133" t="str">
        <f>Export!C24</f>
        <v/>
      </c>
      <c r="E26" s="133" t="e">
        <f>Export!C24*Export!L24</f>
        <v>#VALUE!</v>
      </c>
      <c r="F26" s="133" t="e">
        <f t="shared" si="17"/>
        <v>#VALUE!</v>
      </c>
      <c r="G26" s="133" t="e">
        <f>IF(Export!M24&lt;&gt;"",D26*Export!K24*(1/Export!M24),D26*Export!K24)</f>
        <v>#VALUE!</v>
      </c>
      <c r="H26" s="133" t="e">
        <f>F26*Export!J24</f>
        <v>#VALUE!</v>
      </c>
      <c r="I26" s="161" t="e">
        <f t="shared" si="16"/>
        <v>#VALUE!</v>
      </c>
      <c r="J26" s="134" t="e">
        <f t="shared" si="8"/>
        <v>#VALUE!</v>
      </c>
      <c r="K26" s="135" t="e">
        <f t="shared" si="9"/>
        <v>#VALUE!</v>
      </c>
      <c r="L26" s="117" t="str">
        <f>Export!B24</f>
        <v/>
      </c>
      <c r="M26" s="115" t="e">
        <f>C26*L26*HelperFunctions!G$17</f>
        <v>#VALUE!</v>
      </c>
      <c r="N26" s="116" t="e">
        <f>C26*L26*(1-HelperFunctions!G$17)</f>
        <v>#VALUE!</v>
      </c>
      <c r="O26" s="136" t="e">
        <f t="shared" si="14"/>
        <v>#DIV/0!</v>
      </c>
      <c r="P26" s="137">
        <f>SUM(EffectivelyVax!D25:BK25)</f>
        <v>0</v>
      </c>
      <c r="Q26" s="138" t="e">
        <f t="shared" si="11"/>
        <v>#DIV/0!</v>
      </c>
      <c r="R26" s="138" t="e">
        <f t="shared" si="12"/>
        <v>#DIV/0!</v>
      </c>
      <c r="S26" s="137" t="e">
        <f t="shared" si="1"/>
        <v>#DIV/0!</v>
      </c>
      <c r="T26" s="138" t="e">
        <f>IF(Export!M24&lt;&gt;"",Q26*Export!K24*(1/Export!M24),Q26*Export!K24)</f>
        <v>#DIV/0!</v>
      </c>
      <c r="U26" s="139" t="e">
        <f>S26*Export!J24</f>
        <v>#DIV/0!</v>
      </c>
      <c r="V26" s="140" t="e">
        <f>SUM('NotEffectivelyVax (hypo)'!F26,'NotEffectivelyVax (hypo)'!I26,'NotEffectivelyVax (hypo)'!L26,'NotEffectivelyVax (hypo)'!O26,'NotEffectivelyVax (hypo)'!R26,'NotEffectivelyVax (hypo)'!U26,'NotEffectivelyVax (hypo)'!X26,'NotEffectivelyVax (hypo)'!AA26,'NotEffectivelyVax (hypo)'!AD26,'NotEffectivelyVax (hypo)'!AG26,'NotEffectivelyVax (hypo)'!AJ26,'NotEffectivelyVax (hypo)'!AM26,'NotEffectivelyVax (hypo)'!AP26,'NotEffectivelyVax (hypo)'!AS26,'NotEffectivelyVax (hypo)'!AV26,'NotEffectivelyVax (hypo)'!AY26,'NotEffectivelyVax (hypo)'!BB26,'NotEffectivelyVax (hypo)'!BE26,'NotEffectivelyVax (hypo)'!BH26,'NotEffectivelyVax (hypo)'!BK26,'NotEffectivelyVax (hypo)'!BN26,'NotEffectivelyVax (hypo)'!BQ26,'NotEffectivelyVax (hypo)'!BT26,'NotEffectivelyVax (hypo)'!BW26,'NotEffectivelyVax (hypo)'!BZ26,'NotEffectivelyVax (hypo)'!CC26,'NotEffectivelyVax (hypo)'!CF26,'NotEffectivelyVax (hypo)'!CI26,'NotEffectivelyVax (hypo)'!CL26,'NotEffectivelyVax (hypo)'!CO26,'NotEffectivelyVax (hypo)'!CR26,'NotEffectivelyVax (hypo)'!CU26,'NotEffectivelyVax (hypo)'!CX26,'NotEffectivelyVax (hypo)'!DA26,'NotEffectivelyVax (hypo)'!DD26,'NotEffectivelyVax (hypo)'!DG26,'NotEffectivelyVax (hypo)'!DJ26,'NotEffectivelyVax (hypo)'!DM26,'NotEffectivelyVax (hypo)'!DQ26,'NotEffectivelyVax (hypo)'!DP26,'NotEffectivelyVax (hypo)'!DS26,'NotEffectivelyVax (hypo)'!DV26,'NotEffectivelyVax (hypo)'!DY26,'NotEffectivelyVax (hypo)'!EB26,'NotEffectivelyVax (hypo)'!EE26,'NotEffectivelyVax (hypo)'!EH26,'NotEffectivelyVax (hypo)'!EK26,'NotEffectivelyVax (hypo)'!EN26,'NotEffectivelyVax (hypo)'!EQ26,'NotEffectivelyVax (hypo)'!ET26,'NotEffectivelyVax (hypo)'!EW26,'NotEffectivelyVax (hypo)'!EZ26,'NotEffectivelyVax (hypo)'!FC26,'NotEffectivelyVax (hypo)'!FF26,'NotEffectivelyVax (hypo)'!FI26,'NotEffectivelyVax (hypo)'!FL26,'NotEffectivelyVax (hypo)'!FO26,'NotEffectivelyVax (hypo)'!FR26,'NotEffectivelyVax (hypo)'!FU26,'NotEffectivelyVax (hypo)'!FX26,'NotEffectivelyVax (hypo)'!GA26)</f>
        <v>#VALUE!</v>
      </c>
      <c r="W26" s="141" t="e">
        <f>SUM('NotEffectivelyVax (hypo)'!D26,'NotEffectivelyVax (hypo)'!G26,'NotEffectivelyVax (hypo)'!J26,'NotEffectivelyVax (hypo)'!M26,'NotEffectivelyVax (hypo)'!P26,'NotEffectivelyVax (hypo)'!S26,'NotEffectivelyVax (hypo)'!V26,'NotEffectivelyVax (hypo)'!Y26,'NotEffectivelyVax (hypo)'!AB26,'NotEffectivelyVax (hypo)'!AE26,'NotEffectivelyVax (hypo)'!AH26,'NotEffectivelyVax (hypo)'!AK26,'NotEffectivelyVax (hypo)'!AN26,'NotEffectivelyVax (hypo)'!AQ26,'NotEffectivelyVax (hypo)'!AT26,'NotEffectivelyVax (hypo)'!AW26,'NotEffectivelyVax (hypo)'!AZ26,'NotEffectivelyVax (hypo)'!BC26,'NotEffectivelyVax (hypo)'!BF26,'NotEffectivelyVax (hypo)'!BI26,'NotEffectivelyVax (hypo)'!BL26,'NotEffectivelyVax (hypo)'!BO26,'NotEffectivelyVax (hypo)'!BR26,'NotEffectivelyVax (hypo)'!BU26,'NotEffectivelyVax (hypo)'!BX26,'NotEffectivelyVax (hypo)'!CA26,'NotEffectivelyVax (hypo)'!CD26,'NotEffectivelyVax (hypo)'!CG26,'NotEffectivelyVax (hypo)'!CJ26,'NotEffectivelyVax (hypo)'!CM26,'NotEffectivelyVax (hypo)'!CP26,'NotEffectivelyVax (hypo)'!CS26,'NotEffectivelyVax (hypo)'!CV26,'NotEffectivelyVax (hypo)'!CY26,'NotEffectivelyVax (hypo)'!DB26,'NotEffectivelyVax (hypo)'!DE26,'NotEffectivelyVax (hypo)'!DH26,'NotEffectivelyVax (hypo)'!DK26,'NotEffectivelyVax (hypo)'!DN26,'NotEffectivelyVax (hypo)'!DQ26,'NotEffectivelyVax (hypo)'!DT26,'NotEffectivelyVax (hypo)'!DW26,'NotEffectivelyVax (hypo)'!DZ26,'NotEffectivelyVax (hypo)'!EC26,'NotEffectivelyVax (hypo)'!EF26,'NotEffectivelyVax (hypo)'!EI26,'NotEffectivelyVax (hypo)'!EL26,'NotEffectivelyVax (hypo)'!EO26,'NotEffectivelyVax (hypo)'!ER26,'NotEffectivelyVax (hypo)'!EU26,'NotEffectivelyVax (hypo)'!EX26,'NotEffectivelyVax (hypo)'!FA26,'NotEffectivelyVax (hypo)'!FD26,'NotEffectivelyVax (hypo)'!FG26,'NotEffectivelyVax (hypo)'!FJ26,'NotEffectivelyVax (hypo)'!FM26,'NotEffectivelyVax (hypo)'!FP26,'NotEffectivelyVax (hypo)'!FS26,'NotEffectivelyVax (hypo)'!FV26,'NotEffectivelyVax (hypo)'!FY26)</f>
        <v>#VALUE!</v>
      </c>
      <c r="X26" s="141" t="e">
        <f>SUM('NotEffectivelyVax (hypo)'!E26,'NotEffectivelyVax (hypo)'!H26,'NotEffectivelyVax (hypo)'!K26,'NotEffectivelyVax (hypo)'!N26,'NotEffectivelyVax (hypo)'!Q26,'NotEffectivelyVax (hypo)'!T26,'NotEffectivelyVax (hypo)'!Z26,'NotEffectivelyVax (hypo)'!W26,'NotEffectivelyVax (hypo)'!AC26,'NotEffectivelyVax (hypo)'!AF26,'NotEffectivelyVax (hypo)'!AI26,'NotEffectivelyVax (hypo)'!AL26,'NotEffectivelyVax (hypo)'!AO26,'NotEffectivelyVax (hypo)'!AR26,'NotEffectivelyVax (hypo)'!AU26,'NotEffectivelyVax (hypo)'!AX26,'NotEffectivelyVax (hypo)'!BA26,'NotEffectivelyVax (hypo)'!BD26,'NotEffectivelyVax (hypo)'!BG26,'NotEffectivelyVax (hypo)'!BJ26,'NotEffectivelyVax (hypo)'!BM26,'NotEffectivelyVax (hypo)'!BP26,'NotEffectivelyVax (hypo)'!BS26,'NotEffectivelyVax (hypo)'!BV26,'NotEffectivelyVax (hypo)'!BY26,'NotEffectivelyVax (hypo)'!CB26,'NotEffectivelyVax (hypo)'!CE26,'NotEffectivelyVax (hypo)'!CH26,'NotEffectivelyVax (hypo)'!CK26,'NotEffectivelyVax (hypo)'!CN26,'NotEffectivelyVax (hypo)'!CQ26,'NotEffectivelyVax (hypo)'!CT26,'NotEffectivelyVax (hypo)'!CW26,'NotEffectivelyVax (hypo)'!CZ26,'NotEffectivelyVax (hypo)'!DC26,'NotEffectivelyVax (hypo)'!DF26,'NotEffectivelyVax (hypo)'!DI26,'NotEffectivelyVax (hypo)'!DL26,'NotEffectivelyVax (hypo)'!DO26,'NotEffectivelyVax (hypo)'!DR26,'NotEffectivelyVax (hypo)'!DU26,'NotEffectivelyVax (hypo)'!DX26,'NotEffectivelyVax (hypo)'!EA26,'NotEffectivelyVax (hypo)'!ED26,'NotEffectivelyVax (hypo)'!EG26,'NotEffectivelyVax (hypo)'!EJ26,'NotEffectivelyVax (hypo)'!EM26,'NotEffectivelyVax (hypo)'!EP26,'NotEffectivelyVax (hypo)'!ES26,'NotEffectivelyVax (hypo)'!EV26,'NotEffectivelyVax (hypo)'!EY26,'NotEffectivelyVax (hypo)'!FB26,'NotEffectivelyVax (hypo)'!FE26,'NotEffectivelyVax (hypo)'!FH26,'NotEffectivelyVax (hypo)'!FK26,'NotEffectivelyVax (hypo)'!FN26,'NotEffectivelyVax (hypo)'!FQ26,'NotEffectivelyVax (hypo)'!FT26,'NotEffectivelyVax (hypo)'!FW26,'NotEffectivelyVax (hypo)'!FZ26)</f>
        <v>#VALUE!</v>
      </c>
      <c r="Y26" s="142" t="e">
        <f t="shared" si="2"/>
        <v>#VALUE!</v>
      </c>
      <c r="Z26" s="142" t="e">
        <f>IF(Export!M24&lt;&gt;"",W26*Export!K24*(1/Export!M24),W26*Export!K24)</f>
        <v>#VALUE!</v>
      </c>
      <c r="AA26" s="139" t="e">
        <f>Y26*Export!J24</f>
        <v>#VALUE!</v>
      </c>
      <c r="AC26" s="143" t="e">
        <f t="shared" si="3"/>
        <v>#VALUE!</v>
      </c>
      <c r="AD26" s="144" t="e">
        <f>$E26-($R26+$X26)</f>
        <v>#VALUE!</v>
      </c>
      <c r="AE26" s="144" t="e">
        <f t="shared" si="4"/>
        <v>#VALUE!</v>
      </c>
      <c r="AF26" s="144" t="e">
        <f t="shared" si="5"/>
        <v>#VALUE!</v>
      </c>
      <c r="AG26" s="144" t="e">
        <f t="shared" si="6"/>
        <v>#VALUE!</v>
      </c>
      <c r="AH26" s="145"/>
      <c r="AI26" s="145"/>
      <c r="AJ26" s="145"/>
      <c r="AK26" s="145"/>
      <c r="AL26" s="146"/>
      <c r="AM26" s="150"/>
      <c r="AN26" s="150"/>
      <c r="AO26" s="150"/>
      <c r="AP26" s="150"/>
      <c r="AQ26" s="151"/>
    </row>
    <row r="27" spans="1:45" ht="15.75" customHeight="1" x14ac:dyDescent="0.35">
      <c r="A27" s="95">
        <f>EffectivelyVax!B26</f>
        <v>1</v>
      </c>
      <c r="B27" s="96">
        <f>EffectivelyVax!C26</f>
        <v>0</v>
      </c>
      <c r="C27" s="97">
        <f>Export!N25</f>
        <v>0</v>
      </c>
      <c r="D27" s="98" t="str">
        <f>Export!C25</f>
        <v/>
      </c>
      <c r="E27" s="98" t="e">
        <f>Export!C25*Export!L25</f>
        <v>#VALUE!</v>
      </c>
      <c r="F27" s="98" t="e">
        <f t="shared" si="17"/>
        <v>#VALUE!</v>
      </c>
      <c r="G27" s="98" t="e">
        <f>IF(Export!M25&lt;&gt;"",D27*Export!K25*(1/Export!M25),D27*Export!K25)</f>
        <v>#VALUE!</v>
      </c>
      <c r="H27" s="98" t="e">
        <f>F27*Export!J25</f>
        <v>#VALUE!</v>
      </c>
      <c r="I27" s="98" t="e">
        <f t="shared" si="16"/>
        <v>#VALUE!</v>
      </c>
      <c r="J27" s="99" t="e">
        <f t="shared" si="8"/>
        <v>#VALUE!</v>
      </c>
      <c r="K27" s="100" t="e">
        <f t="shared" si="9"/>
        <v>#VALUE!</v>
      </c>
      <c r="L27" s="101" t="str">
        <f>Export!B25</f>
        <v/>
      </c>
      <c r="M27" s="102" t="e">
        <f>C27*L27*HelperFunctions!G$17</f>
        <v>#VALUE!</v>
      </c>
      <c r="N27" s="103" t="e">
        <f>C27*L27*(1-HelperFunctions!G$17)</f>
        <v>#VALUE!</v>
      </c>
      <c r="O27" s="104" t="e">
        <f t="shared" si="14"/>
        <v>#DIV/0!</v>
      </c>
      <c r="P27" s="105">
        <f>SUM(EffectivelyVax!D26:BK26)</f>
        <v>0</v>
      </c>
      <c r="Q27" s="106" t="e">
        <f t="shared" si="11"/>
        <v>#DIV/0!</v>
      </c>
      <c r="R27" s="106" t="e">
        <f t="shared" si="12"/>
        <v>#DIV/0!</v>
      </c>
      <c r="S27" s="105" t="e">
        <f t="shared" si="1"/>
        <v>#DIV/0!</v>
      </c>
      <c r="T27" s="106" t="e">
        <f>IF(Export!M25&lt;&gt;"",Q27*Export!K25*(1/Export!M25),Q27*Export!K25)</f>
        <v>#DIV/0!</v>
      </c>
      <c r="U27" s="107" t="e">
        <f>S27*Export!J25</f>
        <v>#DIV/0!</v>
      </c>
      <c r="V27" s="108" t="e">
        <f>SUM('NotEffectivelyVax (hypo)'!F27,'NotEffectivelyVax (hypo)'!I27,'NotEffectivelyVax (hypo)'!L27,'NotEffectivelyVax (hypo)'!O27,'NotEffectivelyVax (hypo)'!R27,'NotEffectivelyVax (hypo)'!U27,'NotEffectivelyVax (hypo)'!X27,'NotEffectivelyVax (hypo)'!AA27,'NotEffectivelyVax (hypo)'!AD27,'NotEffectivelyVax (hypo)'!AG27,'NotEffectivelyVax (hypo)'!AJ27,'NotEffectivelyVax (hypo)'!AM27,'NotEffectivelyVax (hypo)'!AP27,'NotEffectivelyVax (hypo)'!AS27,'NotEffectivelyVax (hypo)'!AV27,'NotEffectivelyVax (hypo)'!AY27,'NotEffectivelyVax (hypo)'!BB27,'NotEffectivelyVax (hypo)'!BE27,'NotEffectivelyVax (hypo)'!BH27,'NotEffectivelyVax (hypo)'!BK27,'NotEffectivelyVax (hypo)'!BN27,'NotEffectivelyVax (hypo)'!BQ27,'NotEffectivelyVax (hypo)'!BT27,'NotEffectivelyVax (hypo)'!BW27,'NotEffectivelyVax (hypo)'!BZ27,'NotEffectivelyVax (hypo)'!CC27,'NotEffectivelyVax (hypo)'!CF27,'NotEffectivelyVax (hypo)'!CI27,'NotEffectivelyVax (hypo)'!CL27,'NotEffectivelyVax (hypo)'!CO27,'NotEffectivelyVax (hypo)'!CR27,'NotEffectivelyVax (hypo)'!CU27,'NotEffectivelyVax (hypo)'!CX27,'NotEffectivelyVax (hypo)'!DA27,'NotEffectivelyVax (hypo)'!DD27,'NotEffectivelyVax (hypo)'!DG27,'NotEffectivelyVax (hypo)'!DJ27,'NotEffectivelyVax (hypo)'!DM27,'NotEffectivelyVax (hypo)'!DQ27,'NotEffectivelyVax (hypo)'!DP27,'NotEffectivelyVax (hypo)'!DS27,'NotEffectivelyVax (hypo)'!DV27,'NotEffectivelyVax (hypo)'!DY27,'NotEffectivelyVax (hypo)'!EB27,'NotEffectivelyVax (hypo)'!EE27,'NotEffectivelyVax (hypo)'!EH27,'NotEffectivelyVax (hypo)'!EK27,'NotEffectivelyVax (hypo)'!EN27,'NotEffectivelyVax (hypo)'!EQ27,'NotEffectivelyVax (hypo)'!ET27,'NotEffectivelyVax (hypo)'!EW27,'NotEffectivelyVax (hypo)'!EZ27,'NotEffectivelyVax (hypo)'!FC27,'NotEffectivelyVax (hypo)'!FF27,'NotEffectivelyVax (hypo)'!FI27,'NotEffectivelyVax (hypo)'!FL27,'NotEffectivelyVax (hypo)'!FO27,'NotEffectivelyVax (hypo)'!FR27,'NotEffectivelyVax (hypo)'!FU27,'NotEffectivelyVax (hypo)'!FX27,'NotEffectivelyVax (hypo)'!GA27)</f>
        <v>#VALUE!</v>
      </c>
      <c r="W27" s="109" t="e">
        <f>SUM('NotEffectivelyVax (hypo)'!D27,'NotEffectivelyVax (hypo)'!G27,'NotEffectivelyVax (hypo)'!J27,'NotEffectivelyVax (hypo)'!M27,'NotEffectivelyVax (hypo)'!P27,'NotEffectivelyVax (hypo)'!S27,'NotEffectivelyVax (hypo)'!V27,'NotEffectivelyVax (hypo)'!Y27,'NotEffectivelyVax (hypo)'!AB27,'NotEffectivelyVax (hypo)'!AE27,'NotEffectivelyVax (hypo)'!AH27,'NotEffectivelyVax (hypo)'!AK27,'NotEffectivelyVax (hypo)'!AN27,'NotEffectivelyVax (hypo)'!AQ27,'NotEffectivelyVax (hypo)'!AT27,'NotEffectivelyVax (hypo)'!AW27,'NotEffectivelyVax (hypo)'!AZ27,'NotEffectivelyVax (hypo)'!BC27,'NotEffectivelyVax (hypo)'!BF27,'NotEffectivelyVax (hypo)'!BI27,'NotEffectivelyVax (hypo)'!BL27,'NotEffectivelyVax (hypo)'!BO27,'NotEffectivelyVax (hypo)'!BR27,'NotEffectivelyVax (hypo)'!BU27,'NotEffectivelyVax (hypo)'!BX27,'NotEffectivelyVax (hypo)'!CA27,'NotEffectivelyVax (hypo)'!CD27,'NotEffectivelyVax (hypo)'!CG27,'NotEffectivelyVax (hypo)'!CJ27,'NotEffectivelyVax (hypo)'!CM27,'NotEffectivelyVax (hypo)'!CP27,'NotEffectivelyVax (hypo)'!CS27,'NotEffectivelyVax (hypo)'!CV27,'NotEffectivelyVax (hypo)'!CY27,'NotEffectivelyVax (hypo)'!DB27,'NotEffectivelyVax (hypo)'!DE27,'NotEffectivelyVax (hypo)'!DH27,'NotEffectivelyVax (hypo)'!DK27,'NotEffectivelyVax (hypo)'!DN27,'NotEffectivelyVax (hypo)'!DQ27,'NotEffectivelyVax (hypo)'!DT27,'NotEffectivelyVax (hypo)'!DW27,'NotEffectivelyVax (hypo)'!DZ27,'NotEffectivelyVax (hypo)'!EC27,'NotEffectivelyVax (hypo)'!EF27,'NotEffectivelyVax (hypo)'!EI27,'NotEffectivelyVax (hypo)'!EL27,'NotEffectivelyVax (hypo)'!EO27,'NotEffectivelyVax (hypo)'!ER27,'NotEffectivelyVax (hypo)'!EU27,'NotEffectivelyVax (hypo)'!EX27,'NotEffectivelyVax (hypo)'!FA27,'NotEffectivelyVax (hypo)'!FD27,'NotEffectivelyVax (hypo)'!FG27,'NotEffectivelyVax (hypo)'!FJ27,'NotEffectivelyVax (hypo)'!FM27,'NotEffectivelyVax (hypo)'!FP27,'NotEffectivelyVax (hypo)'!FS27,'NotEffectivelyVax (hypo)'!FV27,'NotEffectivelyVax (hypo)'!FY27)</f>
        <v>#VALUE!</v>
      </c>
      <c r="X27" s="109" t="e">
        <f>SUM('NotEffectivelyVax (hypo)'!E27,'NotEffectivelyVax (hypo)'!H27,'NotEffectivelyVax (hypo)'!K27,'NotEffectivelyVax (hypo)'!N27,'NotEffectivelyVax (hypo)'!Q27,'NotEffectivelyVax (hypo)'!T27,'NotEffectivelyVax (hypo)'!Z27,'NotEffectivelyVax (hypo)'!W27,'NotEffectivelyVax (hypo)'!AC27,'NotEffectivelyVax (hypo)'!AF27,'NotEffectivelyVax (hypo)'!AI27,'NotEffectivelyVax (hypo)'!AL27,'NotEffectivelyVax (hypo)'!AO27,'NotEffectivelyVax (hypo)'!AR27,'NotEffectivelyVax (hypo)'!AU27,'NotEffectivelyVax (hypo)'!AX27,'NotEffectivelyVax (hypo)'!BA27,'NotEffectivelyVax (hypo)'!BD27,'NotEffectivelyVax (hypo)'!BG27,'NotEffectivelyVax (hypo)'!BJ27,'NotEffectivelyVax (hypo)'!BM27,'NotEffectivelyVax (hypo)'!BP27,'NotEffectivelyVax (hypo)'!BS27,'NotEffectivelyVax (hypo)'!BV27,'NotEffectivelyVax (hypo)'!BY27,'NotEffectivelyVax (hypo)'!CB27,'NotEffectivelyVax (hypo)'!CE27,'NotEffectivelyVax (hypo)'!CH27,'NotEffectivelyVax (hypo)'!CK27,'NotEffectivelyVax (hypo)'!CN27,'NotEffectivelyVax (hypo)'!CQ27,'NotEffectivelyVax (hypo)'!CT27,'NotEffectivelyVax (hypo)'!CW27,'NotEffectivelyVax (hypo)'!CZ27,'NotEffectivelyVax (hypo)'!DC27,'NotEffectivelyVax (hypo)'!DF27,'NotEffectivelyVax (hypo)'!DI27,'NotEffectivelyVax (hypo)'!DL27,'NotEffectivelyVax (hypo)'!DO27,'NotEffectivelyVax (hypo)'!DR27,'NotEffectivelyVax (hypo)'!DU27,'NotEffectivelyVax (hypo)'!DX27,'NotEffectivelyVax (hypo)'!EA27,'NotEffectivelyVax (hypo)'!ED27,'NotEffectivelyVax (hypo)'!EG27,'NotEffectivelyVax (hypo)'!EJ27,'NotEffectivelyVax (hypo)'!EM27,'NotEffectivelyVax (hypo)'!EP27,'NotEffectivelyVax (hypo)'!ES27,'NotEffectivelyVax (hypo)'!EV27,'NotEffectivelyVax (hypo)'!EY27,'NotEffectivelyVax (hypo)'!FB27,'NotEffectivelyVax (hypo)'!FE27,'NotEffectivelyVax (hypo)'!FH27,'NotEffectivelyVax (hypo)'!FK27,'NotEffectivelyVax (hypo)'!FN27,'NotEffectivelyVax (hypo)'!FQ27,'NotEffectivelyVax (hypo)'!FT27,'NotEffectivelyVax (hypo)'!FW27,'NotEffectivelyVax (hypo)'!FZ27)</f>
        <v>#VALUE!</v>
      </c>
      <c r="Y27" s="110" t="e">
        <f t="shared" si="2"/>
        <v>#VALUE!</v>
      </c>
      <c r="Z27" s="110" t="e">
        <f>IF(Export!M25&lt;&gt;"",W27*Export!K25*(1/Export!M25),W27*Export!K25)</f>
        <v>#VALUE!</v>
      </c>
      <c r="AA27" s="107" t="e">
        <f>Y27*Export!J25</f>
        <v>#VALUE!</v>
      </c>
      <c r="AB27" s="144"/>
      <c r="AC27" s="156" t="e">
        <f t="shared" si="3"/>
        <v>#VALUE!</v>
      </c>
      <c r="AD27" s="157" t="e">
        <f t="shared" ref="AD27:AD63" si="18">$E27-($R27+$X27)</f>
        <v>#VALUE!</v>
      </c>
      <c r="AE27" s="157" t="e">
        <f t="shared" si="4"/>
        <v>#VALUE!</v>
      </c>
      <c r="AF27" s="157" t="e">
        <f t="shared" si="5"/>
        <v>#VALUE!</v>
      </c>
      <c r="AG27" s="157" t="e">
        <f t="shared" si="6"/>
        <v>#VALUE!</v>
      </c>
      <c r="AH27" s="147" t="e">
        <f>SUM(AC16:AC27)/SUM(D16:D27)</f>
        <v>#VALUE!</v>
      </c>
      <c r="AI27" s="147" t="e">
        <f>SUM(AD16:AD27)/SUM(E16:E27)</f>
        <v>#VALUE!</v>
      </c>
      <c r="AJ27" s="112" t="e">
        <f>SUM(AE16:AE27)/SUM(G16:G27)</f>
        <v>#VALUE!</v>
      </c>
      <c r="AK27" s="112" t="e">
        <f>SUM(AF16:AF27)/SUM(H16:H27)</f>
        <v>#VALUE!</v>
      </c>
      <c r="AL27" s="111" t="e">
        <f>SUM(AG16:AG27)/SUM(F16:F27)</f>
        <v>#VALUE!</v>
      </c>
      <c r="AM27" s="148" t="e">
        <f>SUM($M16:$N27)/SUM(AC16:AC27)</f>
        <v>#VALUE!</v>
      </c>
      <c r="AN27" s="148" t="e">
        <f t="shared" ref="AN27" si="19">SUM($M16:$N27)/SUM(AD16:AD27)</f>
        <v>#VALUE!</v>
      </c>
      <c r="AO27" s="148" t="e">
        <f t="shared" ref="AO27" si="20">SUM($M16:$N27)/SUM(AE16:AE27)</f>
        <v>#VALUE!</v>
      </c>
      <c r="AP27" s="148" t="e">
        <f t="shared" ref="AP27" si="21">SUM($M16:$N27)/SUM(AF16:AF27)</f>
        <v>#VALUE!</v>
      </c>
      <c r="AQ27" s="149" t="e">
        <f>SUM($M16:$N27)/SUM(AC16:AD27)</f>
        <v>#VALUE!</v>
      </c>
    </row>
    <row r="28" spans="1:45" x14ac:dyDescent="0.35">
      <c r="A28" s="158">
        <f>EffectivelyVax!B27</f>
        <v>2</v>
      </c>
      <c r="B28" s="159" t="str">
        <f>EffectivelyVax!C27</f>
        <v/>
      </c>
      <c r="C28" s="160" t="str">
        <f>Export!N26</f>
        <v/>
      </c>
      <c r="D28" s="161" t="str">
        <f>Export!C26</f>
        <v/>
      </c>
      <c r="E28" s="161" t="e">
        <f>Export!C26*Export!L26</f>
        <v>#VALUE!</v>
      </c>
      <c r="F28" s="161" t="e">
        <f t="shared" si="17"/>
        <v>#VALUE!</v>
      </c>
      <c r="G28" s="161" t="e">
        <f>IF(Export!M26&lt;&gt;"",D28*Export!K26*(1/Export!M26),D28*Export!K26)</f>
        <v>#VALUE!</v>
      </c>
      <c r="H28" s="161" t="e">
        <f>F28*Export!J26</f>
        <v>#VALUE!</v>
      </c>
      <c r="I28" s="161" t="e">
        <f t="shared" si="16"/>
        <v>#VALUE!</v>
      </c>
      <c r="J28" s="153" t="e">
        <f t="shared" si="8"/>
        <v>#VALUE!</v>
      </c>
      <c r="K28" s="162" t="e">
        <f t="shared" si="9"/>
        <v>#VALUE!</v>
      </c>
      <c r="L28" s="163" t="str">
        <f>Export!B26</f>
        <v/>
      </c>
      <c r="M28" s="164" t="e">
        <f>C28*L28*HelperFunctions!G$31</f>
        <v>#VALUE!</v>
      </c>
      <c r="N28" s="165" t="e">
        <f>C28*L28*(1-HelperFunctions!G$31)</f>
        <v>#VALUE!</v>
      </c>
      <c r="O28" s="166" t="e">
        <f t="shared" si="14"/>
        <v>#DIV/0!</v>
      </c>
      <c r="P28" s="167">
        <f>SUM(EffectivelyVax!D27:BK27)</f>
        <v>0</v>
      </c>
      <c r="Q28" s="155" t="e">
        <f t="shared" si="11"/>
        <v>#DIV/0!</v>
      </c>
      <c r="R28" s="155" t="e">
        <f t="shared" si="12"/>
        <v>#DIV/0!</v>
      </c>
      <c r="S28" s="167" t="e">
        <f t="shared" si="1"/>
        <v>#DIV/0!</v>
      </c>
      <c r="T28" s="155" t="e">
        <f>IF(Export!M26&lt;&gt;"",Q28*Export!K26*(1/Export!M26),Q28*Export!K26)</f>
        <v>#DIV/0!</v>
      </c>
      <c r="U28" s="154" t="e">
        <f>S28*Export!J26</f>
        <v>#DIV/0!</v>
      </c>
      <c r="V28" s="168" t="e">
        <f>SUM('NotEffectivelyVax (hypo)'!F28,'NotEffectivelyVax (hypo)'!I28,'NotEffectivelyVax (hypo)'!L28,'NotEffectivelyVax (hypo)'!O28,'NotEffectivelyVax (hypo)'!R28,'NotEffectivelyVax (hypo)'!U28,'NotEffectivelyVax (hypo)'!X28,'NotEffectivelyVax (hypo)'!AA28,'NotEffectivelyVax (hypo)'!AD28,'NotEffectivelyVax (hypo)'!AG28,'NotEffectivelyVax (hypo)'!AJ28,'NotEffectivelyVax (hypo)'!AM28,'NotEffectivelyVax (hypo)'!AP28,'NotEffectivelyVax (hypo)'!AS28,'NotEffectivelyVax (hypo)'!AV28,'NotEffectivelyVax (hypo)'!AY28,'NotEffectivelyVax (hypo)'!BB28,'NotEffectivelyVax (hypo)'!BE28,'NotEffectivelyVax (hypo)'!BH28,'NotEffectivelyVax (hypo)'!BK28,'NotEffectivelyVax (hypo)'!BN28,'NotEffectivelyVax (hypo)'!BQ28,'NotEffectivelyVax (hypo)'!BT28,'NotEffectivelyVax (hypo)'!BW28,'NotEffectivelyVax (hypo)'!BZ28,'NotEffectivelyVax (hypo)'!CC28,'NotEffectivelyVax (hypo)'!CF28,'NotEffectivelyVax (hypo)'!CI28,'NotEffectivelyVax (hypo)'!CL28,'NotEffectivelyVax (hypo)'!CO28,'NotEffectivelyVax (hypo)'!CR28,'NotEffectivelyVax (hypo)'!CU28,'NotEffectivelyVax (hypo)'!CX28,'NotEffectivelyVax (hypo)'!DA28,'NotEffectivelyVax (hypo)'!DD28,'NotEffectivelyVax (hypo)'!DG28,'NotEffectivelyVax (hypo)'!DJ28,'NotEffectivelyVax (hypo)'!DM28,'NotEffectivelyVax (hypo)'!DQ28,'NotEffectivelyVax (hypo)'!DP28,'NotEffectivelyVax (hypo)'!DS28,'NotEffectivelyVax (hypo)'!DV28,'NotEffectivelyVax (hypo)'!DY28,'NotEffectivelyVax (hypo)'!EB28,'NotEffectivelyVax (hypo)'!EE28,'NotEffectivelyVax (hypo)'!EH28,'NotEffectivelyVax (hypo)'!EK28,'NotEffectivelyVax (hypo)'!EN28,'NotEffectivelyVax (hypo)'!EQ28,'NotEffectivelyVax (hypo)'!ET28,'NotEffectivelyVax (hypo)'!EW28,'NotEffectivelyVax (hypo)'!EZ28,'NotEffectivelyVax (hypo)'!FC28,'NotEffectivelyVax (hypo)'!FF28,'NotEffectivelyVax (hypo)'!FI28,'NotEffectivelyVax (hypo)'!FL28,'NotEffectivelyVax (hypo)'!FO28,'NotEffectivelyVax (hypo)'!FR28,'NotEffectivelyVax (hypo)'!FU28,'NotEffectivelyVax (hypo)'!FX28,'NotEffectivelyVax (hypo)'!GA28)</f>
        <v>#VALUE!</v>
      </c>
      <c r="W28" s="169" t="e">
        <f>SUM('NotEffectivelyVax (hypo)'!D28,'NotEffectivelyVax (hypo)'!G28,'NotEffectivelyVax (hypo)'!J28,'NotEffectivelyVax (hypo)'!M28,'NotEffectivelyVax (hypo)'!P28,'NotEffectivelyVax (hypo)'!S28,'NotEffectivelyVax (hypo)'!V28,'NotEffectivelyVax (hypo)'!Y28,'NotEffectivelyVax (hypo)'!AB28,'NotEffectivelyVax (hypo)'!AE28,'NotEffectivelyVax (hypo)'!AH28,'NotEffectivelyVax (hypo)'!AK28,'NotEffectivelyVax (hypo)'!AN28,'NotEffectivelyVax (hypo)'!AQ28,'NotEffectivelyVax (hypo)'!AT28,'NotEffectivelyVax (hypo)'!AW28,'NotEffectivelyVax (hypo)'!AZ28,'NotEffectivelyVax (hypo)'!BC28,'NotEffectivelyVax (hypo)'!BF28,'NotEffectivelyVax (hypo)'!BI28,'NotEffectivelyVax (hypo)'!BL28,'NotEffectivelyVax (hypo)'!BO28,'NotEffectivelyVax (hypo)'!BR28,'NotEffectivelyVax (hypo)'!BU28,'NotEffectivelyVax (hypo)'!BX28,'NotEffectivelyVax (hypo)'!CA28,'NotEffectivelyVax (hypo)'!CD28,'NotEffectivelyVax (hypo)'!CG28,'NotEffectivelyVax (hypo)'!CJ28,'NotEffectivelyVax (hypo)'!CM28,'NotEffectivelyVax (hypo)'!CP28,'NotEffectivelyVax (hypo)'!CS28,'NotEffectivelyVax (hypo)'!CV28,'NotEffectivelyVax (hypo)'!CY28,'NotEffectivelyVax (hypo)'!DB28,'NotEffectivelyVax (hypo)'!DE28,'NotEffectivelyVax (hypo)'!DH28,'NotEffectivelyVax (hypo)'!DK28,'NotEffectivelyVax (hypo)'!DN28,'NotEffectivelyVax (hypo)'!DQ28,'NotEffectivelyVax (hypo)'!DT28,'NotEffectivelyVax (hypo)'!DW28,'NotEffectivelyVax (hypo)'!DZ28,'NotEffectivelyVax (hypo)'!EC28,'NotEffectivelyVax (hypo)'!EF28,'NotEffectivelyVax (hypo)'!EI28,'NotEffectivelyVax (hypo)'!EL28,'NotEffectivelyVax (hypo)'!EO28,'NotEffectivelyVax (hypo)'!ER28,'NotEffectivelyVax (hypo)'!EU28,'NotEffectivelyVax (hypo)'!EX28,'NotEffectivelyVax (hypo)'!FA28,'NotEffectivelyVax (hypo)'!FD28,'NotEffectivelyVax (hypo)'!FG28,'NotEffectivelyVax (hypo)'!FJ28,'NotEffectivelyVax (hypo)'!FM28,'NotEffectivelyVax (hypo)'!FP28,'NotEffectivelyVax (hypo)'!FS28,'NotEffectivelyVax (hypo)'!FV28,'NotEffectivelyVax (hypo)'!FY28)</f>
        <v>#VALUE!</v>
      </c>
      <c r="X28" s="169" t="e">
        <f>SUM('NotEffectivelyVax (hypo)'!E28,'NotEffectivelyVax (hypo)'!H28,'NotEffectivelyVax (hypo)'!K28,'NotEffectivelyVax (hypo)'!N28,'NotEffectivelyVax (hypo)'!Q28,'NotEffectivelyVax (hypo)'!T28,'NotEffectivelyVax (hypo)'!Z28,'NotEffectivelyVax (hypo)'!W28,'NotEffectivelyVax (hypo)'!AC28,'NotEffectivelyVax (hypo)'!AF28,'NotEffectivelyVax (hypo)'!AI28,'NotEffectivelyVax (hypo)'!AL28,'NotEffectivelyVax (hypo)'!AO28,'NotEffectivelyVax (hypo)'!AR28,'NotEffectivelyVax (hypo)'!AU28,'NotEffectivelyVax (hypo)'!AX28,'NotEffectivelyVax (hypo)'!BA28,'NotEffectivelyVax (hypo)'!BD28,'NotEffectivelyVax (hypo)'!BG28,'NotEffectivelyVax (hypo)'!BJ28,'NotEffectivelyVax (hypo)'!BM28,'NotEffectivelyVax (hypo)'!BP28,'NotEffectivelyVax (hypo)'!BS28,'NotEffectivelyVax (hypo)'!BV28,'NotEffectivelyVax (hypo)'!BY28,'NotEffectivelyVax (hypo)'!CB28,'NotEffectivelyVax (hypo)'!CE28,'NotEffectivelyVax (hypo)'!CH28,'NotEffectivelyVax (hypo)'!CK28,'NotEffectivelyVax (hypo)'!CN28,'NotEffectivelyVax (hypo)'!CQ28,'NotEffectivelyVax (hypo)'!CT28,'NotEffectivelyVax (hypo)'!CW28,'NotEffectivelyVax (hypo)'!CZ28,'NotEffectivelyVax (hypo)'!DC28,'NotEffectivelyVax (hypo)'!DF28,'NotEffectivelyVax (hypo)'!DI28,'NotEffectivelyVax (hypo)'!DL28,'NotEffectivelyVax (hypo)'!DO28,'NotEffectivelyVax (hypo)'!DR28,'NotEffectivelyVax (hypo)'!DU28,'NotEffectivelyVax (hypo)'!DX28,'NotEffectivelyVax (hypo)'!EA28,'NotEffectivelyVax (hypo)'!ED28,'NotEffectivelyVax (hypo)'!EG28,'NotEffectivelyVax (hypo)'!EJ28,'NotEffectivelyVax (hypo)'!EM28,'NotEffectivelyVax (hypo)'!EP28,'NotEffectivelyVax (hypo)'!ES28,'NotEffectivelyVax (hypo)'!EV28,'NotEffectivelyVax (hypo)'!EY28,'NotEffectivelyVax (hypo)'!FB28,'NotEffectivelyVax (hypo)'!FE28,'NotEffectivelyVax (hypo)'!FH28,'NotEffectivelyVax (hypo)'!FK28,'NotEffectivelyVax (hypo)'!FN28,'NotEffectivelyVax (hypo)'!FQ28,'NotEffectivelyVax (hypo)'!FT28,'NotEffectivelyVax (hypo)'!FW28,'NotEffectivelyVax (hypo)'!FZ28)</f>
        <v>#VALUE!</v>
      </c>
      <c r="Y28" s="170" t="e">
        <f t="shared" si="2"/>
        <v>#VALUE!</v>
      </c>
      <c r="Z28" s="170" t="e">
        <f>IF(Export!M26&lt;&gt;"",W28*Export!K26*(1/Export!M26),W28*Export!K26)</f>
        <v>#VALUE!</v>
      </c>
      <c r="AA28" s="154" t="e">
        <f>Y28*Export!J26</f>
        <v>#VALUE!</v>
      </c>
      <c r="AB28" s="144"/>
      <c r="AC28" s="143" t="e">
        <f t="shared" si="3"/>
        <v>#VALUE!</v>
      </c>
      <c r="AD28" s="144" t="e">
        <f t="shared" si="18"/>
        <v>#VALUE!</v>
      </c>
      <c r="AE28" s="144" t="e">
        <f t="shared" si="4"/>
        <v>#VALUE!</v>
      </c>
      <c r="AF28" s="144" t="e">
        <f t="shared" si="5"/>
        <v>#VALUE!</v>
      </c>
      <c r="AG28" s="144" t="e">
        <f t="shared" si="6"/>
        <v>#VALUE!</v>
      </c>
      <c r="AH28" s="145"/>
      <c r="AI28" s="145"/>
      <c r="AJ28" s="145"/>
      <c r="AK28" s="145"/>
      <c r="AL28" s="146"/>
      <c r="AM28" s="150"/>
      <c r="AN28" s="150"/>
      <c r="AO28" s="150"/>
      <c r="AP28" s="150"/>
      <c r="AQ28" s="151"/>
      <c r="AR28" s="144"/>
      <c r="AS28" s="144"/>
    </row>
    <row r="29" spans="1:45" x14ac:dyDescent="0.35">
      <c r="A29" s="130">
        <f>EffectivelyVax!B28</f>
        <v>2</v>
      </c>
      <c r="B29" s="131" t="str">
        <f>EffectivelyVax!C28</f>
        <v/>
      </c>
      <c r="C29" s="132" t="str">
        <f>Export!N27</f>
        <v/>
      </c>
      <c r="D29" s="133" t="str">
        <f>Export!C27</f>
        <v/>
      </c>
      <c r="E29" s="133" t="e">
        <f>Export!C27*Export!L27</f>
        <v>#VALUE!</v>
      </c>
      <c r="F29" s="133" t="e">
        <f t="shared" si="17"/>
        <v>#VALUE!</v>
      </c>
      <c r="G29" s="133" t="e">
        <f>IF(Export!M27&lt;&gt;"",D29*Export!K27*(1/Export!M27),D29*Export!K27)</f>
        <v>#VALUE!</v>
      </c>
      <c r="H29" s="133" t="e">
        <f>F29*Export!J27</f>
        <v>#VALUE!</v>
      </c>
      <c r="I29" s="161" t="e">
        <f t="shared" si="16"/>
        <v>#VALUE!</v>
      </c>
      <c r="J29" s="134" t="e">
        <f t="shared" si="8"/>
        <v>#VALUE!</v>
      </c>
      <c r="K29" s="135" t="e">
        <f t="shared" si="9"/>
        <v>#VALUE!</v>
      </c>
      <c r="L29" s="117" t="str">
        <f>Export!B27</f>
        <v/>
      </c>
      <c r="M29" s="115" t="e">
        <f>C29*L29*HelperFunctions!G$31</f>
        <v>#VALUE!</v>
      </c>
      <c r="N29" s="116" t="e">
        <f>C29*L29*(1-HelperFunctions!G$31)</f>
        <v>#VALUE!</v>
      </c>
      <c r="O29" s="136" t="e">
        <f t="shared" si="14"/>
        <v>#DIV/0!</v>
      </c>
      <c r="P29" s="137">
        <f>SUM(EffectivelyVax!D28:BK28)</f>
        <v>0</v>
      </c>
      <c r="Q29" s="138" t="e">
        <f t="shared" si="11"/>
        <v>#DIV/0!</v>
      </c>
      <c r="R29" s="138" t="e">
        <f t="shared" si="12"/>
        <v>#DIV/0!</v>
      </c>
      <c r="S29" s="137" t="e">
        <f t="shared" si="1"/>
        <v>#DIV/0!</v>
      </c>
      <c r="T29" s="138" t="e">
        <f>IF(Export!M27&lt;&gt;"",Q29*Export!K27*(1/Export!M27),Q29*Export!K27)</f>
        <v>#DIV/0!</v>
      </c>
      <c r="U29" s="139" t="e">
        <f>S29*Export!J27</f>
        <v>#DIV/0!</v>
      </c>
      <c r="V29" s="140" t="e">
        <f>SUM('NotEffectivelyVax (hypo)'!F29,'NotEffectivelyVax (hypo)'!I29,'NotEffectivelyVax (hypo)'!L29,'NotEffectivelyVax (hypo)'!O29,'NotEffectivelyVax (hypo)'!R29,'NotEffectivelyVax (hypo)'!U29,'NotEffectivelyVax (hypo)'!X29,'NotEffectivelyVax (hypo)'!AA29,'NotEffectivelyVax (hypo)'!AD29,'NotEffectivelyVax (hypo)'!AG29,'NotEffectivelyVax (hypo)'!AJ29,'NotEffectivelyVax (hypo)'!AM29,'NotEffectivelyVax (hypo)'!AP29,'NotEffectivelyVax (hypo)'!AS29,'NotEffectivelyVax (hypo)'!AV29,'NotEffectivelyVax (hypo)'!AY29,'NotEffectivelyVax (hypo)'!BB29,'NotEffectivelyVax (hypo)'!BE29,'NotEffectivelyVax (hypo)'!BH29,'NotEffectivelyVax (hypo)'!BK29,'NotEffectivelyVax (hypo)'!BN29,'NotEffectivelyVax (hypo)'!BQ29,'NotEffectivelyVax (hypo)'!BT29,'NotEffectivelyVax (hypo)'!BW29,'NotEffectivelyVax (hypo)'!BZ29,'NotEffectivelyVax (hypo)'!CC29,'NotEffectivelyVax (hypo)'!CF29,'NotEffectivelyVax (hypo)'!CI29,'NotEffectivelyVax (hypo)'!CL29,'NotEffectivelyVax (hypo)'!CO29,'NotEffectivelyVax (hypo)'!CR29,'NotEffectivelyVax (hypo)'!CU29,'NotEffectivelyVax (hypo)'!CX29,'NotEffectivelyVax (hypo)'!DA29,'NotEffectivelyVax (hypo)'!DD29,'NotEffectivelyVax (hypo)'!DG29,'NotEffectivelyVax (hypo)'!DJ29,'NotEffectivelyVax (hypo)'!DM29,'NotEffectivelyVax (hypo)'!DQ29,'NotEffectivelyVax (hypo)'!DP29,'NotEffectivelyVax (hypo)'!DS29,'NotEffectivelyVax (hypo)'!DV29,'NotEffectivelyVax (hypo)'!DY29,'NotEffectivelyVax (hypo)'!EB29,'NotEffectivelyVax (hypo)'!EE29,'NotEffectivelyVax (hypo)'!EH29,'NotEffectivelyVax (hypo)'!EK29,'NotEffectivelyVax (hypo)'!EN29,'NotEffectivelyVax (hypo)'!EQ29,'NotEffectivelyVax (hypo)'!ET29,'NotEffectivelyVax (hypo)'!EW29,'NotEffectivelyVax (hypo)'!EZ29,'NotEffectivelyVax (hypo)'!FC29,'NotEffectivelyVax (hypo)'!FF29,'NotEffectivelyVax (hypo)'!FI29,'NotEffectivelyVax (hypo)'!FL29,'NotEffectivelyVax (hypo)'!FO29,'NotEffectivelyVax (hypo)'!FR29,'NotEffectivelyVax (hypo)'!FU29,'NotEffectivelyVax (hypo)'!FX29,'NotEffectivelyVax (hypo)'!GA29)</f>
        <v>#VALUE!</v>
      </c>
      <c r="W29" s="141" t="e">
        <f>SUM('NotEffectivelyVax (hypo)'!D29,'NotEffectivelyVax (hypo)'!G29,'NotEffectivelyVax (hypo)'!J29,'NotEffectivelyVax (hypo)'!M29,'NotEffectivelyVax (hypo)'!P29,'NotEffectivelyVax (hypo)'!S29,'NotEffectivelyVax (hypo)'!V29,'NotEffectivelyVax (hypo)'!Y29,'NotEffectivelyVax (hypo)'!AB29,'NotEffectivelyVax (hypo)'!AE29,'NotEffectivelyVax (hypo)'!AH29,'NotEffectivelyVax (hypo)'!AK29,'NotEffectivelyVax (hypo)'!AN29,'NotEffectivelyVax (hypo)'!AQ29,'NotEffectivelyVax (hypo)'!AT29,'NotEffectivelyVax (hypo)'!AW29,'NotEffectivelyVax (hypo)'!AZ29,'NotEffectivelyVax (hypo)'!BC29,'NotEffectivelyVax (hypo)'!BF29,'NotEffectivelyVax (hypo)'!BI29,'NotEffectivelyVax (hypo)'!BL29,'NotEffectivelyVax (hypo)'!BO29,'NotEffectivelyVax (hypo)'!BR29,'NotEffectivelyVax (hypo)'!BU29,'NotEffectivelyVax (hypo)'!BX29,'NotEffectivelyVax (hypo)'!CA29,'NotEffectivelyVax (hypo)'!CD29,'NotEffectivelyVax (hypo)'!CG29,'NotEffectivelyVax (hypo)'!CJ29,'NotEffectivelyVax (hypo)'!CM29,'NotEffectivelyVax (hypo)'!CP29,'NotEffectivelyVax (hypo)'!CS29,'NotEffectivelyVax (hypo)'!CV29,'NotEffectivelyVax (hypo)'!CY29,'NotEffectivelyVax (hypo)'!DB29,'NotEffectivelyVax (hypo)'!DE29,'NotEffectivelyVax (hypo)'!DH29,'NotEffectivelyVax (hypo)'!DK29,'NotEffectivelyVax (hypo)'!DN29,'NotEffectivelyVax (hypo)'!DQ29,'NotEffectivelyVax (hypo)'!DT29,'NotEffectivelyVax (hypo)'!DW29,'NotEffectivelyVax (hypo)'!DZ29,'NotEffectivelyVax (hypo)'!EC29,'NotEffectivelyVax (hypo)'!EF29,'NotEffectivelyVax (hypo)'!EI29,'NotEffectivelyVax (hypo)'!EL29,'NotEffectivelyVax (hypo)'!EO29,'NotEffectivelyVax (hypo)'!ER29,'NotEffectivelyVax (hypo)'!EU29,'NotEffectivelyVax (hypo)'!EX29,'NotEffectivelyVax (hypo)'!FA29,'NotEffectivelyVax (hypo)'!FD29,'NotEffectivelyVax (hypo)'!FG29,'NotEffectivelyVax (hypo)'!FJ29,'NotEffectivelyVax (hypo)'!FM29,'NotEffectivelyVax (hypo)'!FP29,'NotEffectivelyVax (hypo)'!FS29,'NotEffectivelyVax (hypo)'!FV29,'NotEffectivelyVax (hypo)'!FY29)</f>
        <v>#VALUE!</v>
      </c>
      <c r="X29" s="141" t="e">
        <f>SUM('NotEffectivelyVax (hypo)'!E29,'NotEffectivelyVax (hypo)'!H29,'NotEffectivelyVax (hypo)'!K29,'NotEffectivelyVax (hypo)'!N29,'NotEffectivelyVax (hypo)'!Q29,'NotEffectivelyVax (hypo)'!T29,'NotEffectivelyVax (hypo)'!Z29,'NotEffectivelyVax (hypo)'!W29,'NotEffectivelyVax (hypo)'!AC29,'NotEffectivelyVax (hypo)'!AF29,'NotEffectivelyVax (hypo)'!AI29,'NotEffectivelyVax (hypo)'!AL29,'NotEffectivelyVax (hypo)'!AO29,'NotEffectivelyVax (hypo)'!AR29,'NotEffectivelyVax (hypo)'!AU29,'NotEffectivelyVax (hypo)'!AX29,'NotEffectivelyVax (hypo)'!BA29,'NotEffectivelyVax (hypo)'!BD29,'NotEffectivelyVax (hypo)'!BG29,'NotEffectivelyVax (hypo)'!BJ29,'NotEffectivelyVax (hypo)'!BM29,'NotEffectivelyVax (hypo)'!BP29,'NotEffectivelyVax (hypo)'!BS29,'NotEffectivelyVax (hypo)'!BV29,'NotEffectivelyVax (hypo)'!BY29,'NotEffectivelyVax (hypo)'!CB29,'NotEffectivelyVax (hypo)'!CE29,'NotEffectivelyVax (hypo)'!CH29,'NotEffectivelyVax (hypo)'!CK29,'NotEffectivelyVax (hypo)'!CN29,'NotEffectivelyVax (hypo)'!CQ29,'NotEffectivelyVax (hypo)'!CT29,'NotEffectivelyVax (hypo)'!CW29,'NotEffectivelyVax (hypo)'!CZ29,'NotEffectivelyVax (hypo)'!DC29,'NotEffectivelyVax (hypo)'!DF29,'NotEffectivelyVax (hypo)'!DI29,'NotEffectivelyVax (hypo)'!DL29,'NotEffectivelyVax (hypo)'!DO29,'NotEffectivelyVax (hypo)'!DR29,'NotEffectivelyVax (hypo)'!DU29,'NotEffectivelyVax (hypo)'!DX29,'NotEffectivelyVax (hypo)'!EA29,'NotEffectivelyVax (hypo)'!ED29,'NotEffectivelyVax (hypo)'!EG29,'NotEffectivelyVax (hypo)'!EJ29,'NotEffectivelyVax (hypo)'!EM29,'NotEffectivelyVax (hypo)'!EP29,'NotEffectivelyVax (hypo)'!ES29,'NotEffectivelyVax (hypo)'!EV29,'NotEffectivelyVax (hypo)'!EY29,'NotEffectivelyVax (hypo)'!FB29,'NotEffectivelyVax (hypo)'!FE29,'NotEffectivelyVax (hypo)'!FH29,'NotEffectivelyVax (hypo)'!FK29,'NotEffectivelyVax (hypo)'!FN29,'NotEffectivelyVax (hypo)'!FQ29,'NotEffectivelyVax (hypo)'!FT29,'NotEffectivelyVax (hypo)'!FW29,'NotEffectivelyVax (hypo)'!FZ29)</f>
        <v>#VALUE!</v>
      </c>
      <c r="Y29" s="142" t="e">
        <f t="shared" si="2"/>
        <v>#VALUE!</v>
      </c>
      <c r="Z29" s="142" t="e">
        <f>IF(Export!M27&lt;&gt;"",W29*Export!K27*(1/Export!M27),W29*Export!K27)</f>
        <v>#VALUE!</v>
      </c>
      <c r="AA29" s="139" t="e">
        <f>Y29*Export!J27</f>
        <v>#VALUE!</v>
      </c>
      <c r="AB29" s="144"/>
      <c r="AC29" s="143" t="e">
        <f t="shared" si="3"/>
        <v>#VALUE!</v>
      </c>
      <c r="AD29" s="144" t="e">
        <f t="shared" si="18"/>
        <v>#VALUE!</v>
      </c>
      <c r="AE29" s="144" t="e">
        <f t="shared" si="4"/>
        <v>#VALUE!</v>
      </c>
      <c r="AF29" s="144" t="e">
        <f t="shared" si="5"/>
        <v>#VALUE!</v>
      </c>
      <c r="AG29" s="144" t="e">
        <f t="shared" si="6"/>
        <v>#VALUE!</v>
      </c>
      <c r="AH29" s="145"/>
      <c r="AI29" s="145"/>
      <c r="AJ29" s="145"/>
      <c r="AK29" s="145"/>
      <c r="AL29" s="146"/>
      <c r="AM29" s="150"/>
      <c r="AN29" s="150"/>
      <c r="AO29" s="150"/>
      <c r="AP29" s="150"/>
      <c r="AQ29" s="151"/>
    </row>
    <row r="30" spans="1:45" x14ac:dyDescent="0.35">
      <c r="A30" s="130">
        <f>EffectivelyVax!B29</f>
        <v>2</v>
      </c>
      <c r="B30" s="131" t="str">
        <f>EffectivelyVax!C29</f>
        <v/>
      </c>
      <c r="C30" s="132" t="str">
        <f>Export!N28</f>
        <v/>
      </c>
      <c r="D30" s="133" t="str">
        <f>Export!C28</f>
        <v/>
      </c>
      <c r="E30" s="133" t="e">
        <f>Export!C28*Export!L28</f>
        <v>#VALUE!</v>
      </c>
      <c r="F30" s="133" t="e">
        <f t="shared" si="17"/>
        <v>#VALUE!</v>
      </c>
      <c r="G30" s="133" t="e">
        <f>IF(Export!M28&lt;&gt;"",D30*Export!K28*(1/Export!M28),D30*Export!K28)</f>
        <v>#VALUE!</v>
      </c>
      <c r="H30" s="133" t="e">
        <f>F30*Export!J28</f>
        <v>#VALUE!</v>
      </c>
      <c r="I30" s="161" t="e">
        <f t="shared" si="16"/>
        <v>#VALUE!</v>
      </c>
      <c r="J30" s="134" t="e">
        <f t="shared" si="8"/>
        <v>#VALUE!</v>
      </c>
      <c r="K30" s="135" t="e">
        <f t="shared" si="9"/>
        <v>#VALUE!</v>
      </c>
      <c r="L30" s="117" t="str">
        <f>Export!B28</f>
        <v/>
      </c>
      <c r="M30" s="115" t="e">
        <f>C30*L30*HelperFunctions!G$31</f>
        <v>#VALUE!</v>
      </c>
      <c r="N30" s="116" t="e">
        <f>C30*L30*(1-HelperFunctions!G$31)</f>
        <v>#VALUE!</v>
      </c>
      <c r="O30" s="136" t="e">
        <f t="shared" si="14"/>
        <v>#DIV/0!</v>
      </c>
      <c r="P30" s="137">
        <f>SUM(EffectivelyVax!D29:BK29)</f>
        <v>0</v>
      </c>
      <c r="Q30" s="138" t="e">
        <f t="shared" si="11"/>
        <v>#DIV/0!</v>
      </c>
      <c r="R30" s="138" t="e">
        <f t="shared" si="12"/>
        <v>#DIV/0!</v>
      </c>
      <c r="S30" s="137" t="e">
        <f t="shared" si="1"/>
        <v>#DIV/0!</v>
      </c>
      <c r="T30" s="138" t="e">
        <f>IF(Export!M28&lt;&gt;"",Q30*Export!K28*(1/Export!M28),Q30*Export!K28)</f>
        <v>#DIV/0!</v>
      </c>
      <c r="U30" s="139" t="e">
        <f>S30*Export!J28</f>
        <v>#DIV/0!</v>
      </c>
      <c r="V30" s="140" t="e">
        <f>SUM('NotEffectivelyVax (hypo)'!F30,'NotEffectivelyVax (hypo)'!I30,'NotEffectivelyVax (hypo)'!L30,'NotEffectivelyVax (hypo)'!O30,'NotEffectivelyVax (hypo)'!R30,'NotEffectivelyVax (hypo)'!U30,'NotEffectivelyVax (hypo)'!X30,'NotEffectivelyVax (hypo)'!AA30,'NotEffectivelyVax (hypo)'!AD30,'NotEffectivelyVax (hypo)'!AG30,'NotEffectivelyVax (hypo)'!AJ30,'NotEffectivelyVax (hypo)'!AM30,'NotEffectivelyVax (hypo)'!AP30,'NotEffectivelyVax (hypo)'!AS30,'NotEffectivelyVax (hypo)'!AV30,'NotEffectivelyVax (hypo)'!AY30,'NotEffectivelyVax (hypo)'!BB30,'NotEffectivelyVax (hypo)'!BE30,'NotEffectivelyVax (hypo)'!BH30,'NotEffectivelyVax (hypo)'!BK30,'NotEffectivelyVax (hypo)'!BN30,'NotEffectivelyVax (hypo)'!BQ30,'NotEffectivelyVax (hypo)'!BT30,'NotEffectivelyVax (hypo)'!BW30,'NotEffectivelyVax (hypo)'!BZ30,'NotEffectivelyVax (hypo)'!CC30,'NotEffectivelyVax (hypo)'!CF30,'NotEffectivelyVax (hypo)'!CI30,'NotEffectivelyVax (hypo)'!CL30,'NotEffectivelyVax (hypo)'!CO30,'NotEffectivelyVax (hypo)'!CR30,'NotEffectivelyVax (hypo)'!CU30,'NotEffectivelyVax (hypo)'!CX30,'NotEffectivelyVax (hypo)'!DA30,'NotEffectivelyVax (hypo)'!DD30,'NotEffectivelyVax (hypo)'!DG30,'NotEffectivelyVax (hypo)'!DJ30,'NotEffectivelyVax (hypo)'!DM30,'NotEffectivelyVax (hypo)'!DQ30,'NotEffectivelyVax (hypo)'!DP30,'NotEffectivelyVax (hypo)'!DS30,'NotEffectivelyVax (hypo)'!DV30,'NotEffectivelyVax (hypo)'!DY30,'NotEffectivelyVax (hypo)'!EB30,'NotEffectivelyVax (hypo)'!EE30,'NotEffectivelyVax (hypo)'!EH30,'NotEffectivelyVax (hypo)'!EK30,'NotEffectivelyVax (hypo)'!EN30,'NotEffectivelyVax (hypo)'!EQ30,'NotEffectivelyVax (hypo)'!ET30,'NotEffectivelyVax (hypo)'!EW30,'NotEffectivelyVax (hypo)'!EZ30,'NotEffectivelyVax (hypo)'!FC30,'NotEffectivelyVax (hypo)'!FF30,'NotEffectivelyVax (hypo)'!FI30,'NotEffectivelyVax (hypo)'!FL30,'NotEffectivelyVax (hypo)'!FO30,'NotEffectivelyVax (hypo)'!FR30,'NotEffectivelyVax (hypo)'!FU30,'NotEffectivelyVax (hypo)'!FX30,'NotEffectivelyVax (hypo)'!GA30)</f>
        <v>#VALUE!</v>
      </c>
      <c r="W30" s="141" t="e">
        <f>SUM('NotEffectivelyVax (hypo)'!D30,'NotEffectivelyVax (hypo)'!G30,'NotEffectivelyVax (hypo)'!J30,'NotEffectivelyVax (hypo)'!M30,'NotEffectivelyVax (hypo)'!P30,'NotEffectivelyVax (hypo)'!S30,'NotEffectivelyVax (hypo)'!V30,'NotEffectivelyVax (hypo)'!Y30,'NotEffectivelyVax (hypo)'!AB30,'NotEffectivelyVax (hypo)'!AE30,'NotEffectivelyVax (hypo)'!AH30,'NotEffectivelyVax (hypo)'!AK30,'NotEffectivelyVax (hypo)'!AN30,'NotEffectivelyVax (hypo)'!AQ30,'NotEffectivelyVax (hypo)'!AT30,'NotEffectivelyVax (hypo)'!AW30,'NotEffectivelyVax (hypo)'!AZ30,'NotEffectivelyVax (hypo)'!BC30,'NotEffectivelyVax (hypo)'!BF30,'NotEffectivelyVax (hypo)'!BI30,'NotEffectivelyVax (hypo)'!BL30,'NotEffectivelyVax (hypo)'!BO30,'NotEffectivelyVax (hypo)'!BR30,'NotEffectivelyVax (hypo)'!BU30,'NotEffectivelyVax (hypo)'!BX30,'NotEffectivelyVax (hypo)'!CA30,'NotEffectivelyVax (hypo)'!CD30,'NotEffectivelyVax (hypo)'!CG30,'NotEffectivelyVax (hypo)'!CJ30,'NotEffectivelyVax (hypo)'!CM30,'NotEffectivelyVax (hypo)'!CP30,'NotEffectivelyVax (hypo)'!CS30,'NotEffectivelyVax (hypo)'!CV30,'NotEffectivelyVax (hypo)'!CY30,'NotEffectivelyVax (hypo)'!DB30,'NotEffectivelyVax (hypo)'!DE30,'NotEffectivelyVax (hypo)'!DH30,'NotEffectivelyVax (hypo)'!DK30,'NotEffectivelyVax (hypo)'!DN30,'NotEffectivelyVax (hypo)'!DQ30,'NotEffectivelyVax (hypo)'!DT30,'NotEffectivelyVax (hypo)'!DW30,'NotEffectivelyVax (hypo)'!DZ30,'NotEffectivelyVax (hypo)'!EC30,'NotEffectivelyVax (hypo)'!EF30,'NotEffectivelyVax (hypo)'!EI30,'NotEffectivelyVax (hypo)'!EL30,'NotEffectivelyVax (hypo)'!EO30,'NotEffectivelyVax (hypo)'!ER30,'NotEffectivelyVax (hypo)'!EU30,'NotEffectivelyVax (hypo)'!EX30,'NotEffectivelyVax (hypo)'!FA30,'NotEffectivelyVax (hypo)'!FD30,'NotEffectivelyVax (hypo)'!FG30,'NotEffectivelyVax (hypo)'!FJ30,'NotEffectivelyVax (hypo)'!FM30,'NotEffectivelyVax (hypo)'!FP30,'NotEffectivelyVax (hypo)'!FS30,'NotEffectivelyVax (hypo)'!FV30,'NotEffectivelyVax (hypo)'!FY30)</f>
        <v>#VALUE!</v>
      </c>
      <c r="X30" s="141" t="e">
        <f>SUM('NotEffectivelyVax (hypo)'!E30,'NotEffectivelyVax (hypo)'!H30,'NotEffectivelyVax (hypo)'!K30,'NotEffectivelyVax (hypo)'!N30,'NotEffectivelyVax (hypo)'!Q30,'NotEffectivelyVax (hypo)'!T30,'NotEffectivelyVax (hypo)'!Z30,'NotEffectivelyVax (hypo)'!W30,'NotEffectivelyVax (hypo)'!AC30,'NotEffectivelyVax (hypo)'!AF30,'NotEffectivelyVax (hypo)'!AI30,'NotEffectivelyVax (hypo)'!AL30,'NotEffectivelyVax (hypo)'!AO30,'NotEffectivelyVax (hypo)'!AR30,'NotEffectivelyVax (hypo)'!AU30,'NotEffectivelyVax (hypo)'!AX30,'NotEffectivelyVax (hypo)'!BA30,'NotEffectivelyVax (hypo)'!BD30,'NotEffectivelyVax (hypo)'!BG30,'NotEffectivelyVax (hypo)'!BJ30,'NotEffectivelyVax (hypo)'!BM30,'NotEffectivelyVax (hypo)'!BP30,'NotEffectivelyVax (hypo)'!BS30,'NotEffectivelyVax (hypo)'!BV30,'NotEffectivelyVax (hypo)'!BY30,'NotEffectivelyVax (hypo)'!CB30,'NotEffectivelyVax (hypo)'!CE30,'NotEffectivelyVax (hypo)'!CH30,'NotEffectivelyVax (hypo)'!CK30,'NotEffectivelyVax (hypo)'!CN30,'NotEffectivelyVax (hypo)'!CQ30,'NotEffectivelyVax (hypo)'!CT30,'NotEffectivelyVax (hypo)'!CW30,'NotEffectivelyVax (hypo)'!CZ30,'NotEffectivelyVax (hypo)'!DC30,'NotEffectivelyVax (hypo)'!DF30,'NotEffectivelyVax (hypo)'!DI30,'NotEffectivelyVax (hypo)'!DL30,'NotEffectivelyVax (hypo)'!DO30,'NotEffectivelyVax (hypo)'!DR30,'NotEffectivelyVax (hypo)'!DU30,'NotEffectivelyVax (hypo)'!DX30,'NotEffectivelyVax (hypo)'!EA30,'NotEffectivelyVax (hypo)'!ED30,'NotEffectivelyVax (hypo)'!EG30,'NotEffectivelyVax (hypo)'!EJ30,'NotEffectivelyVax (hypo)'!EM30,'NotEffectivelyVax (hypo)'!EP30,'NotEffectivelyVax (hypo)'!ES30,'NotEffectivelyVax (hypo)'!EV30,'NotEffectivelyVax (hypo)'!EY30,'NotEffectivelyVax (hypo)'!FB30,'NotEffectivelyVax (hypo)'!FE30,'NotEffectivelyVax (hypo)'!FH30,'NotEffectivelyVax (hypo)'!FK30,'NotEffectivelyVax (hypo)'!FN30,'NotEffectivelyVax (hypo)'!FQ30,'NotEffectivelyVax (hypo)'!FT30,'NotEffectivelyVax (hypo)'!FW30,'NotEffectivelyVax (hypo)'!FZ30)</f>
        <v>#VALUE!</v>
      </c>
      <c r="Y30" s="142" t="e">
        <f t="shared" si="2"/>
        <v>#VALUE!</v>
      </c>
      <c r="Z30" s="142" t="e">
        <f>IF(Export!M28&lt;&gt;"",W30*Export!K28*(1/Export!M28),W30*Export!K28)</f>
        <v>#VALUE!</v>
      </c>
      <c r="AA30" s="139" t="e">
        <f>Y30*Export!J28</f>
        <v>#VALUE!</v>
      </c>
      <c r="AC30" s="143" t="e">
        <f t="shared" si="3"/>
        <v>#VALUE!</v>
      </c>
      <c r="AD30" s="144" t="e">
        <f t="shared" si="18"/>
        <v>#VALUE!</v>
      </c>
      <c r="AE30" s="144" t="e">
        <f t="shared" si="4"/>
        <v>#VALUE!</v>
      </c>
      <c r="AF30" s="144" t="e">
        <f t="shared" si="5"/>
        <v>#VALUE!</v>
      </c>
      <c r="AG30" s="144" t="e">
        <f t="shared" si="6"/>
        <v>#VALUE!</v>
      </c>
      <c r="AH30" s="145"/>
      <c r="AI30" s="145"/>
      <c r="AJ30" s="145"/>
      <c r="AK30" s="145"/>
      <c r="AL30" s="146"/>
      <c r="AM30" s="150"/>
      <c r="AN30" s="150"/>
      <c r="AO30" s="150"/>
      <c r="AP30" s="150"/>
      <c r="AQ30" s="151"/>
    </row>
    <row r="31" spans="1:45" x14ac:dyDescent="0.35">
      <c r="A31" s="130">
        <f>EffectivelyVax!B30</f>
        <v>2</v>
      </c>
      <c r="B31" s="131" t="str">
        <f>EffectivelyVax!C30</f>
        <v/>
      </c>
      <c r="C31" s="132" t="str">
        <f>Export!N29</f>
        <v/>
      </c>
      <c r="D31" s="133" t="str">
        <f>Export!C29</f>
        <v/>
      </c>
      <c r="E31" s="133" t="e">
        <f>Export!C29*Export!L29</f>
        <v>#VALUE!</v>
      </c>
      <c r="F31" s="133" t="e">
        <f t="shared" si="17"/>
        <v>#VALUE!</v>
      </c>
      <c r="G31" s="133" t="e">
        <f>IF(Export!M29&lt;&gt;"",D31*Export!K29*(1/Export!M29),D31*Export!K29)</f>
        <v>#VALUE!</v>
      </c>
      <c r="H31" s="133" t="e">
        <f>F31*Export!J29</f>
        <v>#VALUE!</v>
      </c>
      <c r="I31" s="161" t="e">
        <f t="shared" si="16"/>
        <v>#VALUE!</v>
      </c>
      <c r="J31" s="134" t="e">
        <f t="shared" si="8"/>
        <v>#VALUE!</v>
      </c>
      <c r="K31" s="135" t="e">
        <f t="shared" si="9"/>
        <v>#VALUE!</v>
      </c>
      <c r="L31" s="117" t="str">
        <f>Export!B29</f>
        <v/>
      </c>
      <c r="M31" s="115" t="e">
        <f>C31*L31*HelperFunctions!G$31</f>
        <v>#VALUE!</v>
      </c>
      <c r="N31" s="116" t="e">
        <f>C31*L31*(1-HelperFunctions!G$31)</f>
        <v>#VALUE!</v>
      </c>
      <c r="O31" s="136" t="e">
        <f t="shared" si="14"/>
        <v>#DIV/0!</v>
      </c>
      <c r="P31" s="137">
        <f>SUM(EffectivelyVax!D30:BK30)</f>
        <v>0</v>
      </c>
      <c r="Q31" s="138" t="e">
        <f t="shared" si="11"/>
        <v>#DIV/0!</v>
      </c>
      <c r="R31" s="138" t="e">
        <f t="shared" si="12"/>
        <v>#DIV/0!</v>
      </c>
      <c r="S31" s="137" t="e">
        <f t="shared" si="1"/>
        <v>#DIV/0!</v>
      </c>
      <c r="T31" s="138" t="e">
        <f>IF(Export!M29&lt;&gt;"",Q31*Export!K29*(1/Export!M29),Q31*Export!K29)</f>
        <v>#DIV/0!</v>
      </c>
      <c r="U31" s="139" t="e">
        <f>S31*Export!J29</f>
        <v>#DIV/0!</v>
      </c>
      <c r="V31" s="140" t="e">
        <f>SUM('NotEffectivelyVax (hypo)'!F31,'NotEffectivelyVax (hypo)'!I31,'NotEffectivelyVax (hypo)'!L31,'NotEffectivelyVax (hypo)'!O31,'NotEffectivelyVax (hypo)'!R31,'NotEffectivelyVax (hypo)'!U31,'NotEffectivelyVax (hypo)'!X31,'NotEffectivelyVax (hypo)'!AA31,'NotEffectivelyVax (hypo)'!AD31,'NotEffectivelyVax (hypo)'!AG31,'NotEffectivelyVax (hypo)'!AJ31,'NotEffectivelyVax (hypo)'!AM31,'NotEffectivelyVax (hypo)'!AP31,'NotEffectivelyVax (hypo)'!AS31,'NotEffectivelyVax (hypo)'!AV31,'NotEffectivelyVax (hypo)'!AY31,'NotEffectivelyVax (hypo)'!BB31,'NotEffectivelyVax (hypo)'!BE31,'NotEffectivelyVax (hypo)'!BH31,'NotEffectivelyVax (hypo)'!BK31,'NotEffectivelyVax (hypo)'!BN31,'NotEffectivelyVax (hypo)'!BQ31,'NotEffectivelyVax (hypo)'!BT31,'NotEffectivelyVax (hypo)'!BW31,'NotEffectivelyVax (hypo)'!BZ31,'NotEffectivelyVax (hypo)'!CC31,'NotEffectivelyVax (hypo)'!CF31,'NotEffectivelyVax (hypo)'!CI31,'NotEffectivelyVax (hypo)'!CL31,'NotEffectivelyVax (hypo)'!CO31,'NotEffectivelyVax (hypo)'!CR31,'NotEffectivelyVax (hypo)'!CU31,'NotEffectivelyVax (hypo)'!CX31,'NotEffectivelyVax (hypo)'!DA31,'NotEffectivelyVax (hypo)'!DD31,'NotEffectivelyVax (hypo)'!DG31,'NotEffectivelyVax (hypo)'!DJ31,'NotEffectivelyVax (hypo)'!DM31,'NotEffectivelyVax (hypo)'!DQ31,'NotEffectivelyVax (hypo)'!DP31,'NotEffectivelyVax (hypo)'!DS31,'NotEffectivelyVax (hypo)'!DV31,'NotEffectivelyVax (hypo)'!DY31,'NotEffectivelyVax (hypo)'!EB31,'NotEffectivelyVax (hypo)'!EE31,'NotEffectivelyVax (hypo)'!EH31,'NotEffectivelyVax (hypo)'!EK31,'NotEffectivelyVax (hypo)'!EN31,'NotEffectivelyVax (hypo)'!EQ31,'NotEffectivelyVax (hypo)'!ET31,'NotEffectivelyVax (hypo)'!EW31,'NotEffectivelyVax (hypo)'!EZ31,'NotEffectivelyVax (hypo)'!FC31,'NotEffectivelyVax (hypo)'!FF31,'NotEffectivelyVax (hypo)'!FI31,'NotEffectivelyVax (hypo)'!FL31,'NotEffectivelyVax (hypo)'!FO31,'NotEffectivelyVax (hypo)'!FR31,'NotEffectivelyVax (hypo)'!FU31,'NotEffectivelyVax (hypo)'!FX31,'NotEffectivelyVax (hypo)'!GA31)</f>
        <v>#VALUE!</v>
      </c>
      <c r="W31" s="141" t="e">
        <f>SUM('NotEffectivelyVax (hypo)'!D31,'NotEffectivelyVax (hypo)'!G31,'NotEffectivelyVax (hypo)'!J31,'NotEffectivelyVax (hypo)'!M31,'NotEffectivelyVax (hypo)'!P31,'NotEffectivelyVax (hypo)'!S31,'NotEffectivelyVax (hypo)'!V31,'NotEffectivelyVax (hypo)'!Y31,'NotEffectivelyVax (hypo)'!AB31,'NotEffectivelyVax (hypo)'!AE31,'NotEffectivelyVax (hypo)'!AH31,'NotEffectivelyVax (hypo)'!AK31,'NotEffectivelyVax (hypo)'!AN31,'NotEffectivelyVax (hypo)'!AQ31,'NotEffectivelyVax (hypo)'!AT31,'NotEffectivelyVax (hypo)'!AW31,'NotEffectivelyVax (hypo)'!AZ31,'NotEffectivelyVax (hypo)'!BC31,'NotEffectivelyVax (hypo)'!BF31,'NotEffectivelyVax (hypo)'!BI31,'NotEffectivelyVax (hypo)'!BL31,'NotEffectivelyVax (hypo)'!BO31,'NotEffectivelyVax (hypo)'!BR31,'NotEffectivelyVax (hypo)'!BU31,'NotEffectivelyVax (hypo)'!BX31,'NotEffectivelyVax (hypo)'!CA31,'NotEffectivelyVax (hypo)'!CD31,'NotEffectivelyVax (hypo)'!CG31,'NotEffectivelyVax (hypo)'!CJ31,'NotEffectivelyVax (hypo)'!CM31,'NotEffectivelyVax (hypo)'!CP31,'NotEffectivelyVax (hypo)'!CS31,'NotEffectivelyVax (hypo)'!CV31,'NotEffectivelyVax (hypo)'!CY31,'NotEffectivelyVax (hypo)'!DB31,'NotEffectivelyVax (hypo)'!DE31,'NotEffectivelyVax (hypo)'!DH31,'NotEffectivelyVax (hypo)'!DK31,'NotEffectivelyVax (hypo)'!DN31,'NotEffectivelyVax (hypo)'!DQ31,'NotEffectivelyVax (hypo)'!DT31,'NotEffectivelyVax (hypo)'!DW31,'NotEffectivelyVax (hypo)'!DZ31,'NotEffectivelyVax (hypo)'!EC31,'NotEffectivelyVax (hypo)'!EF31,'NotEffectivelyVax (hypo)'!EI31,'NotEffectivelyVax (hypo)'!EL31,'NotEffectivelyVax (hypo)'!EO31,'NotEffectivelyVax (hypo)'!ER31,'NotEffectivelyVax (hypo)'!EU31,'NotEffectivelyVax (hypo)'!EX31,'NotEffectivelyVax (hypo)'!FA31,'NotEffectivelyVax (hypo)'!FD31,'NotEffectivelyVax (hypo)'!FG31,'NotEffectivelyVax (hypo)'!FJ31,'NotEffectivelyVax (hypo)'!FM31,'NotEffectivelyVax (hypo)'!FP31,'NotEffectivelyVax (hypo)'!FS31,'NotEffectivelyVax (hypo)'!FV31,'NotEffectivelyVax (hypo)'!FY31)</f>
        <v>#VALUE!</v>
      </c>
      <c r="X31" s="141" t="e">
        <f>SUM('NotEffectivelyVax (hypo)'!E31,'NotEffectivelyVax (hypo)'!H31,'NotEffectivelyVax (hypo)'!K31,'NotEffectivelyVax (hypo)'!N31,'NotEffectivelyVax (hypo)'!Q31,'NotEffectivelyVax (hypo)'!T31,'NotEffectivelyVax (hypo)'!Z31,'NotEffectivelyVax (hypo)'!W31,'NotEffectivelyVax (hypo)'!AC31,'NotEffectivelyVax (hypo)'!AF31,'NotEffectivelyVax (hypo)'!AI31,'NotEffectivelyVax (hypo)'!AL31,'NotEffectivelyVax (hypo)'!AO31,'NotEffectivelyVax (hypo)'!AR31,'NotEffectivelyVax (hypo)'!AU31,'NotEffectivelyVax (hypo)'!AX31,'NotEffectivelyVax (hypo)'!BA31,'NotEffectivelyVax (hypo)'!BD31,'NotEffectivelyVax (hypo)'!BG31,'NotEffectivelyVax (hypo)'!BJ31,'NotEffectivelyVax (hypo)'!BM31,'NotEffectivelyVax (hypo)'!BP31,'NotEffectivelyVax (hypo)'!BS31,'NotEffectivelyVax (hypo)'!BV31,'NotEffectivelyVax (hypo)'!BY31,'NotEffectivelyVax (hypo)'!CB31,'NotEffectivelyVax (hypo)'!CE31,'NotEffectivelyVax (hypo)'!CH31,'NotEffectivelyVax (hypo)'!CK31,'NotEffectivelyVax (hypo)'!CN31,'NotEffectivelyVax (hypo)'!CQ31,'NotEffectivelyVax (hypo)'!CT31,'NotEffectivelyVax (hypo)'!CW31,'NotEffectivelyVax (hypo)'!CZ31,'NotEffectivelyVax (hypo)'!DC31,'NotEffectivelyVax (hypo)'!DF31,'NotEffectivelyVax (hypo)'!DI31,'NotEffectivelyVax (hypo)'!DL31,'NotEffectivelyVax (hypo)'!DO31,'NotEffectivelyVax (hypo)'!DR31,'NotEffectivelyVax (hypo)'!DU31,'NotEffectivelyVax (hypo)'!DX31,'NotEffectivelyVax (hypo)'!EA31,'NotEffectivelyVax (hypo)'!ED31,'NotEffectivelyVax (hypo)'!EG31,'NotEffectivelyVax (hypo)'!EJ31,'NotEffectivelyVax (hypo)'!EM31,'NotEffectivelyVax (hypo)'!EP31,'NotEffectivelyVax (hypo)'!ES31,'NotEffectivelyVax (hypo)'!EV31,'NotEffectivelyVax (hypo)'!EY31,'NotEffectivelyVax (hypo)'!FB31,'NotEffectivelyVax (hypo)'!FE31,'NotEffectivelyVax (hypo)'!FH31,'NotEffectivelyVax (hypo)'!FK31,'NotEffectivelyVax (hypo)'!FN31,'NotEffectivelyVax (hypo)'!FQ31,'NotEffectivelyVax (hypo)'!FT31,'NotEffectivelyVax (hypo)'!FW31,'NotEffectivelyVax (hypo)'!FZ31)</f>
        <v>#VALUE!</v>
      </c>
      <c r="Y31" s="142" t="e">
        <f t="shared" si="2"/>
        <v>#VALUE!</v>
      </c>
      <c r="Z31" s="142" t="e">
        <f>IF(Export!M29&lt;&gt;"",W31*Export!K29*(1/Export!M29),W31*Export!K29)</f>
        <v>#VALUE!</v>
      </c>
      <c r="AA31" s="139" t="e">
        <f>Y31*Export!J29</f>
        <v>#VALUE!</v>
      </c>
      <c r="AC31" s="143" t="e">
        <f t="shared" si="3"/>
        <v>#VALUE!</v>
      </c>
      <c r="AD31" s="144" t="e">
        <f t="shared" si="18"/>
        <v>#VALUE!</v>
      </c>
      <c r="AE31" s="144" t="e">
        <f t="shared" si="4"/>
        <v>#VALUE!</v>
      </c>
      <c r="AF31" s="144" t="e">
        <f t="shared" si="5"/>
        <v>#VALUE!</v>
      </c>
      <c r="AG31" s="144" t="e">
        <f t="shared" si="6"/>
        <v>#VALUE!</v>
      </c>
      <c r="AH31" s="145"/>
      <c r="AI31" s="145"/>
      <c r="AJ31" s="145"/>
      <c r="AK31" s="145"/>
      <c r="AL31" s="146"/>
      <c r="AM31" s="150"/>
      <c r="AN31" s="150"/>
      <c r="AO31" s="150"/>
      <c r="AP31" s="150"/>
      <c r="AQ31" s="151"/>
    </row>
    <row r="32" spans="1:45" x14ac:dyDescent="0.35">
      <c r="A32" s="130">
        <f>EffectivelyVax!B31</f>
        <v>2</v>
      </c>
      <c r="B32" s="131" t="str">
        <f>EffectivelyVax!C31</f>
        <v/>
      </c>
      <c r="C32" s="132" t="str">
        <f>Export!N30</f>
        <v/>
      </c>
      <c r="D32" s="133" t="str">
        <f>Export!C30</f>
        <v/>
      </c>
      <c r="E32" s="133" t="e">
        <f>Export!C30*Export!L30</f>
        <v>#VALUE!</v>
      </c>
      <c r="F32" s="133" t="e">
        <f t="shared" si="17"/>
        <v>#VALUE!</v>
      </c>
      <c r="G32" s="133" t="e">
        <f>IF(Export!M30&lt;&gt;"",D32*Export!K30*(1/Export!M30),D32*Export!K30)</f>
        <v>#VALUE!</v>
      </c>
      <c r="H32" s="133" t="e">
        <f>F32*Export!J30</f>
        <v>#VALUE!</v>
      </c>
      <c r="I32" s="161" t="e">
        <f t="shared" si="16"/>
        <v>#VALUE!</v>
      </c>
      <c r="J32" s="134" t="e">
        <f t="shared" si="8"/>
        <v>#VALUE!</v>
      </c>
      <c r="K32" s="135" t="e">
        <f t="shared" si="9"/>
        <v>#VALUE!</v>
      </c>
      <c r="L32" s="117" t="str">
        <f>Export!B30</f>
        <v/>
      </c>
      <c r="M32" s="115" t="e">
        <f>C32*L32*HelperFunctions!G$31</f>
        <v>#VALUE!</v>
      </c>
      <c r="N32" s="116" t="e">
        <f>C32*L32*(1-HelperFunctions!G$31)</f>
        <v>#VALUE!</v>
      </c>
      <c r="O32" s="136" t="e">
        <f t="shared" si="14"/>
        <v>#DIV/0!</v>
      </c>
      <c r="P32" s="137">
        <f>SUM(EffectivelyVax!D31:BK31)</f>
        <v>0</v>
      </c>
      <c r="Q32" s="138" t="e">
        <f t="shared" si="11"/>
        <v>#DIV/0!</v>
      </c>
      <c r="R32" s="138" t="e">
        <f t="shared" si="12"/>
        <v>#DIV/0!</v>
      </c>
      <c r="S32" s="137" t="e">
        <f t="shared" si="1"/>
        <v>#DIV/0!</v>
      </c>
      <c r="T32" s="138" t="e">
        <f>IF(Export!M30&lt;&gt;"",Q32*Export!K30*(1/Export!M30),Q32*Export!K30)</f>
        <v>#DIV/0!</v>
      </c>
      <c r="U32" s="139" t="e">
        <f>S32*Export!J30</f>
        <v>#DIV/0!</v>
      </c>
      <c r="V32" s="140" t="e">
        <f>SUM('NotEffectivelyVax (hypo)'!F32,'NotEffectivelyVax (hypo)'!I32,'NotEffectivelyVax (hypo)'!L32,'NotEffectivelyVax (hypo)'!O32,'NotEffectivelyVax (hypo)'!R32,'NotEffectivelyVax (hypo)'!U32,'NotEffectivelyVax (hypo)'!X32,'NotEffectivelyVax (hypo)'!AA32,'NotEffectivelyVax (hypo)'!AD32,'NotEffectivelyVax (hypo)'!AG32,'NotEffectivelyVax (hypo)'!AJ32,'NotEffectivelyVax (hypo)'!AM32,'NotEffectivelyVax (hypo)'!AP32,'NotEffectivelyVax (hypo)'!AS32,'NotEffectivelyVax (hypo)'!AV32,'NotEffectivelyVax (hypo)'!AY32,'NotEffectivelyVax (hypo)'!BB32,'NotEffectivelyVax (hypo)'!BE32,'NotEffectivelyVax (hypo)'!BH32,'NotEffectivelyVax (hypo)'!BK32,'NotEffectivelyVax (hypo)'!BN32,'NotEffectivelyVax (hypo)'!BQ32,'NotEffectivelyVax (hypo)'!BT32,'NotEffectivelyVax (hypo)'!BW32,'NotEffectivelyVax (hypo)'!BZ32,'NotEffectivelyVax (hypo)'!CC32,'NotEffectivelyVax (hypo)'!CF32,'NotEffectivelyVax (hypo)'!CI32,'NotEffectivelyVax (hypo)'!CL32,'NotEffectivelyVax (hypo)'!CO32,'NotEffectivelyVax (hypo)'!CR32,'NotEffectivelyVax (hypo)'!CU32,'NotEffectivelyVax (hypo)'!CX32,'NotEffectivelyVax (hypo)'!DA32,'NotEffectivelyVax (hypo)'!DD32,'NotEffectivelyVax (hypo)'!DG32,'NotEffectivelyVax (hypo)'!DJ32,'NotEffectivelyVax (hypo)'!DM32,'NotEffectivelyVax (hypo)'!DQ32,'NotEffectivelyVax (hypo)'!DP32,'NotEffectivelyVax (hypo)'!DS32,'NotEffectivelyVax (hypo)'!DV32,'NotEffectivelyVax (hypo)'!DY32,'NotEffectivelyVax (hypo)'!EB32,'NotEffectivelyVax (hypo)'!EE32,'NotEffectivelyVax (hypo)'!EH32,'NotEffectivelyVax (hypo)'!EK32,'NotEffectivelyVax (hypo)'!EN32,'NotEffectivelyVax (hypo)'!EQ32,'NotEffectivelyVax (hypo)'!ET32,'NotEffectivelyVax (hypo)'!EW32,'NotEffectivelyVax (hypo)'!EZ32,'NotEffectivelyVax (hypo)'!FC32,'NotEffectivelyVax (hypo)'!FF32,'NotEffectivelyVax (hypo)'!FI32,'NotEffectivelyVax (hypo)'!FL32,'NotEffectivelyVax (hypo)'!FO32,'NotEffectivelyVax (hypo)'!FR32,'NotEffectivelyVax (hypo)'!FU32,'NotEffectivelyVax (hypo)'!FX32,'NotEffectivelyVax (hypo)'!GA32)</f>
        <v>#VALUE!</v>
      </c>
      <c r="W32" s="141" t="e">
        <f>SUM('NotEffectivelyVax (hypo)'!D32,'NotEffectivelyVax (hypo)'!G32,'NotEffectivelyVax (hypo)'!J32,'NotEffectivelyVax (hypo)'!M32,'NotEffectivelyVax (hypo)'!P32,'NotEffectivelyVax (hypo)'!S32,'NotEffectivelyVax (hypo)'!V32,'NotEffectivelyVax (hypo)'!Y32,'NotEffectivelyVax (hypo)'!AB32,'NotEffectivelyVax (hypo)'!AE32,'NotEffectivelyVax (hypo)'!AH32,'NotEffectivelyVax (hypo)'!AK32,'NotEffectivelyVax (hypo)'!AN32,'NotEffectivelyVax (hypo)'!AQ32,'NotEffectivelyVax (hypo)'!AT32,'NotEffectivelyVax (hypo)'!AW32,'NotEffectivelyVax (hypo)'!AZ32,'NotEffectivelyVax (hypo)'!BC32,'NotEffectivelyVax (hypo)'!BF32,'NotEffectivelyVax (hypo)'!BI32,'NotEffectivelyVax (hypo)'!BL32,'NotEffectivelyVax (hypo)'!BO32,'NotEffectivelyVax (hypo)'!BR32,'NotEffectivelyVax (hypo)'!BU32,'NotEffectivelyVax (hypo)'!BX32,'NotEffectivelyVax (hypo)'!CA32,'NotEffectivelyVax (hypo)'!CD32,'NotEffectivelyVax (hypo)'!CG32,'NotEffectivelyVax (hypo)'!CJ32,'NotEffectivelyVax (hypo)'!CM32,'NotEffectivelyVax (hypo)'!CP32,'NotEffectivelyVax (hypo)'!CS32,'NotEffectivelyVax (hypo)'!CV32,'NotEffectivelyVax (hypo)'!CY32,'NotEffectivelyVax (hypo)'!DB32,'NotEffectivelyVax (hypo)'!DE32,'NotEffectivelyVax (hypo)'!DH32,'NotEffectivelyVax (hypo)'!DK32,'NotEffectivelyVax (hypo)'!DN32,'NotEffectivelyVax (hypo)'!DQ32,'NotEffectivelyVax (hypo)'!DT32,'NotEffectivelyVax (hypo)'!DW32,'NotEffectivelyVax (hypo)'!DZ32,'NotEffectivelyVax (hypo)'!EC32,'NotEffectivelyVax (hypo)'!EF32,'NotEffectivelyVax (hypo)'!EI32,'NotEffectivelyVax (hypo)'!EL32,'NotEffectivelyVax (hypo)'!EO32,'NotEffectivelyVax (hypo)'!ER32,'NotEffectivelyVax (hypo)'!EU32,'NotEffectivelyVax (hypo)'!EX32,'NotEffectivelyVax (hypo)'!FA32,'NotEffectivelyVax (hypo)'!FD32,'NotEffectivelyVax (hypo)'!FG32,'NotEffectivelyVax (hypo)'!FJ32,'NotEffectivelyVax (hypo)'!FM32,'NotEffectivelyVax (hypo)'!FP32,'NotEffectivelyVax (hypo)'!FS32,'NotEffectivelyVax (hypo)'!FV32,'NotEffectivelyVax (hypo)'!FY32)</f>
        <v>#VALUE!</v>
      </c>
      <c r="X32" s="141" t="e">
        <f>SUM('NotEffectivelyVax (hypo)'!E32,'NotEffectivelyVax (hypo)'!H32,'NotEffectivelyVax (hypo)'!K32,'NotEffectivelyVax (hypo)'!N32,'NotEffectivelyVax (hypo)'!Q32,'NotEffectivelyVax (hypo)'!T32,'NotEffectivelyVax (hypo)'!Z32,'NotEffectivelyVax (hypo)'!W32,'NotEffectivelyVax (hypo)'!AC32,'NotEffectivelyVax (hypo)'!AF32,'NotEffectivelyVax (hypo)'!AI32,'NotEffectivelyVax (hypo)'!AL32,'NotEffectivelyVax (hypo)'!AO32,'NotEffectivelyVax (hypo)'!AR32,'NotEffectivelyVax (hypo)'!AU32,'NotEffectivelyVax (hypo)'!AX32,'NotEffectivelyVax (hypo)'!BA32,'NotEffectivelyVax (hypo)'!BD32,'NotEffectivelyVax (hypo)'!BG32,'NotEffectivelyVax (hypo)'!BJ32,'NotEffectivelyVax (hypo)'!BM32,'NotEffectivelyVax (hypo)'!BP32,'NotEffectivelyVax (hypo)'!BS32,'NotEffectivelyVax (hypo)'!BV32,'NotEffectivelyVax (hypo)'!BY32,'NotEffectivelyVax (hypo)'!CB32,'NotEffectivelyVax (hypo)'!CE32,'NotEffectivelyVax (hypo)'!CH32,'NotEffectivelyVax (hypo)'!CK32,'NotEffectivelyVax (hypo)'!CN32,'NotEffectivelyVax (hypo)'!CQ32,'NotEffectivelyVax (hypo)'!CT32,'NotEffectivelyVax (hypo)'!CW32,'NotEffectivelyVax (hypo)'!CZ32,'NotEffectivelyVax (hypo)'!DC32,'NotEffectivelyVax (hypo)'!DF32,'NotEffectivelyVax (hypo)'!DI32,'NotEffectivelyVax (hypo)'!DL32,'NotEffectivelyVax (hypo)'!DO32,'NotEffectivelyVax (hypo)'!DR32,'NotEffectivelyVax (hypo)'!DU32,'NotEffectivelyVax (hypo)'!DX32,'NotEffectivelyVax (hypo)'!EA32,'NotEffectivelyVax (hypo)'!ED32,'NotEffectivelyVax (hypo)'!EG32,'NotEffectivelyVax (hypo)'!EJ32,'NotEffectivelyVax (hypo)'!EM32,'NotEffectivelyVax (hypo)'!EP32,'NotEffectivelyVax (hypo)'!ES32,'NotEffectivelyVax (hypo)'!EV32,'NotEffectivelyVax (hypo)'!EY32,'NotEffectivelyVax (hypo)'!FB32,'NotEffectivelyVax (hypo)'!FE32,'NotEffectivelyVax (hypo)'!FH32,'NotEffectivelyVax (hypo)'!FK32,'NotEffectivelyVax (hypo)'!FN32,'NotEffectivelyVax (hypo)'!FQ32,'NotEffectivelyVax (hypo)'!FT32,'NotEffectivelyVax (hypo)'!FW32,'NotEffectivelyVax (hypo)'!FZ32)</f>
        <v>#VALUE!</v>
      </c>
      <c r="Y32" s="142" t="e">
        <f t="shared" si="2"/>
        <v>#VALUE!</v>
      </c>
      <c r="Z32" s="142" t="e">
        <f>IF(Export!M30&lt;&gt;"",W32*Export!K30*(1/Export!M30),W32*Export!K30)</f>
        <v>#VALUE!</v>
      </c>
      <c r="AA32" s="139" t="e">
        <f>Y32*Export!J30</f>
        <v>#VALUE!</v>
      </c>
      <c r="AC32" s="143" t="e">
        <f t="shared" si="3"/>
        <v>#VALUE!</v>
      </c>
      <c r="AD32" s="144" t="e">
        <f t="shared" si="18"/>
        <v>#VALUE!</v>
      </c>
      <c r="AE32" s="144" t="e">
        <f t="shared" si="4"/>
        <v>#VALUE!</v>
      </c>
      <c r="AF32" s="144" t="e">
        <f t="shared" si="5"/>
        <v>#VALUE!</v>
      </c>
      <c r="AG32" s="144" t="e">
        <f t="shared" si="6"/>
        <v>#VALUE!</v>
      </c>
      <c r="AH32" s="145"/>
      <c r="AI32" s="145"/>
      <c r="AJ32" s="145"/>
      <c r="AK32" s="145"/>
      <c r="AL32" s="146"/>
      <c r="AM32" s="150"/>
      <c r="AN32" s="150"/>
      <c r="AO32" s="150"/>
      <c r="AP32" s="150"/>
      <c r="AQ32" s="151"/>
    </row>
    <row r="33" spans="1:43" x14ac:dyDescent="0.35">
      <c r="A33" s="130">
        <f>EffectivelyVax!B32</f>
        <v>2</v>
      </c>
      <c r="B33" s="131" t="str">
        <f>EffectivelyVax!C32</f>
        <v/>
      </c>
      <c r="C33" s="132" t="str">
        <f>Export!N31</f>
        <v/>
      </c>
      <c r="D33" s="133" t="str">
        <f>Export!C31</f>
        <v/>
      </c>
      <c r="E33" s="133" t="e">
        <f>Export!C31*Export!L31</f>
        <v>#VALUE!</v>
      </c>
      <c r="F33" s="133" t="e">
        <f t="shared" si="17"/>
        <v>#VALUE!</v>
      </c>
      <c r="G33" s="133" t="e">
        <f>IF(Export!M31&lt;&gt;"",D33*Export!K31*(1/Export!M31),D33*Export!K31)</f>
        <v>#VALUE!</v>
      </c>
      <c r="H33" s="133" t="e">
        <f>F33*Export!J31</f>
        <v>#VALUE!</v>
      </c>
      <c r="I33" s="161" t="e">
        <f t="shared" si="16"/>
        <v>#VALUE!</v>
      </c>
      <c r="J33" s="134" t="e">
        <f t="shared" si="8"/>
        <v>#VALUE!</v>
      </c>
      <c r="K33" s="135" t="e">
        <f t="shared" si="9"/>
        <v>#VALUE!</v>
      </c>
      <c r="L33" s="117" t="str">
        <f>Export!B31</f>
        <v/>
      </c>
      <c r="M33" s="115" t="e">
        <f>C33*L33*HelperFunctions!G$31</f>
        <v>#VALUE!</v>
      </c>
      <c r="N33" s="116" t="e">
        <f>C33*L33*(1-HelperFunctions!G$31)</f>
        <v>#VALUE!</v>
      </c>
      <c r="O33" s="136" t="e">
        <f t="shared" si="14"/>
        <v>#DIV/0!</v>
      </c>
      <c r="P33" s="137">
        <f>SUM(EffectivelyVax!D32:BK32)</f>
        <v>0</v>
      </c>
      <c r="Q33" s="138" t="e">
        <f t="shared" si="11"/>
        <v>#DIV/0!</v>
      </c>
      <c r="R33" s="138" t="e">
        <f t="shared" si="12"/>
        <v>#DIV/0!</v>
      </c>
      <c r="S33" s="137" t="e">
        <f t="shared" si="1"/>
        <v>#DIV/0!</v>
      </c>
      <c r="T33" s="138" t="e">
        <f>IF(Export!M31&lt;&gt;"",Q33*Export!K31*(1/Export!M31),Q33*Export!K31)</f>
        <v>#DIV/0!</v>
      </c>
      <c r="U33" s="139" t="e">
        <f>S33*Export!J31</f>
        <v>#DIV/0!</v>
      </c>
      <c r="V33" s="140" t="e">
        <f>SUM('NotEffectivelyVax (hypo)'!F33,'NotEffectivelyVax (hypo)'!I33,'NotEffectivelyVax (hypo)'!L33,'NotEffectivelyVax (hypo)'!O33,'NotEffectivelyVax (hypo)'!R33,'NotEffectivelyVax (hypo)'!U33,'NotEffectivelyVax (hypo)'!X33,'NotEffectivelyVax (hypo)'!AA33,'NotEffectivelyVax (hypo)'!AD33,'NotEffectivelyVax (hypo)'!AG33,'NotEffectivelyVax (hypo)'!AJ33,'NotEffectivelyVax (hypo)'!AM33,'NotEffectivelyVax (hypo)'!AP33,'NotEffectivelyVax (hypo)'!AS33,'NotEffectivelyVax (hypo)'!AV33,'NotEffectivelyVax (hypo)'!AY33,'NotEffectivelyVax (hypo)'!BB33,'NotEffectivelyVax (hypo)'!BE33,'NotEffectivelyVax (hypo)'!BH33,'NotEffectivelyVax (hypo)'!BK33,'NotEffectivelyVax (hypo)'!BN33,'NotEffectivelyVax (hypo)'!BQ33,'NotEffectivelyVax (hypo)'!BT33,'NotEffectivelyVax (hypo)'!BW33,'NotEffectivelyVax (hypo)'!BZ33,'NotEffectivelyVax (hypo)'!CC33,'NotEffectivelyVax (hypo)'!CF33,'NotEffectivelyVax (hypo)'!CI33,'NotEffectivelyVax (hypo)'!CL33,'NotEffectivelyVax (hypo)'!CO33,'NotEffectivelyVax (hypo)'!CR33,'NotEffectivelyVax (hypo)'!CU33,'NotEffectivelyVax (hypo)'!CX33,'NotEffectivelyVax (hypo)'!DA33,'NotEffectivelyVax (hypo)'!DD33,'NotEffectivelyVax (hypo)'!DG33,'NotEffectivelyVax (hypo)'!DJ33,'NotEffectivelyVax (hypo)'!DM33,'NotEffectivelyVax (hypo)'!DQ33,'NotEffectivelyVax (hypo)'!DP33,'NotEffectivelyVax (hypo)'!DS33,'NotEffectivelyVax (hypo)'!DV33,'NotEffectivelyVax (hypo)'!DY33,'NotEffectivelyVax (hypo)'!EB33,'NotEffectivelyVax (hypo)'!EE33,'NotEffectivelyVax (hypo)'!EH33,'NotEffectivelyVax (hypo)'!EK33,'NotEffectivelyVax (hypo)'!EN33,'NotEffectivelyVax (hypo)'!EQ33,'NotEffectivelyVax (hypo)'!ET33,'NotEffectivelyVax (hypo)'!EW33,'NotEffectivelyVax (hypo)'!EZ33,'NotEffectivelyVax (hypo)'!FC33,'NotEffectivelyVax (hypo)'!FF33,'NotEffectivelyVax (hypo)'!FI33,'NotEffectivelyVax (hypo)'!FL33,'NotEffectivelyVax (hypo)'!FO33,'NotEffectivelyVax (hypo)'!FR33,'NotEffectivelyVax (hypo)'!FU33,'NotEffectivelyVax (hypo)'!FX33,'NotEffectivelyVax (hypo)'!GA33)</f>
        <v>#VALUE!</v>
      </c>
      <c r="W33" s="141" t="e">
        <f>SUM('NotEffectivelyVax (hypo)'!D33,'NotEffectivelyVax (hypo)'!G33,'NotEffectivelyVax (hypo)'!J33,'NotEffectivelyVax (hypo)'!M33,'NotEffectivelyVax (hypo)'!P33,'NotEffectivelyVax (hypo)'!S33,'NotEffectivelyVax (hypo)'!V33,'NotEffectivelyVax (hypo)'!Y33,'NotEffectivelyVax (hypo)'!AB33,'NotEffectivelyVax (hypo)'!AE33,'NotEffectivelyVax (hypo)'!AH33,'NotEffectivelyVax (hypo)'!AK33,'NotEffectivelyVax (hypo)'!AN33,'NotEffectivelyVax (hypo)'!AQ33,'NotEffectivelyVax (hypo)'!AT33,'NotEffectivelyVax (hypo)'!AW33,'NotEffectivelyVax (hypo)'!AZ33,'NotEffectivelyVax (hypo)'!BC33,'NotEffectivelyVax (hypo)'!BF33,'NotEffectivelyVax (hypo)'!BI33,'NotEffectivelyVax (hypo)'!BL33,'NotEffectivelyVax (hypo)'!BO33,'NotEffectivelyVax (hypo)'!BR33,'NotEffectivelyVax (hypo)'!BU33,'NotEffectivelyVax (hypo)'!BX33,'NotEffectivelyVax (hypo)'!CA33,'NotEffectivelyVax (hypo)'!CD33,'NotEffectivelyVax (hypo)'!CG33,'NotEffectivelyVax (hypo)'!CJ33,'NotEffectivelyVax (hypo)'!CM33,'NotEffectivelyVax (hypo)'!CP33,'NotEffectivelyVax (hypo)'!CS33,'NotEffectivelyVax (hypo)'!CV33,'NotEffectivelyVax (hypo)'!CY33,'NotEffectivelyVax (hypo)'!DB33,'NotEffectivelyVax (hypo)'!DE33,'NotEffectivelyVax (hypo)'!DH33,'NotEffectivelyVax (hypo)'!DK33,'NotEffectivelyVax (hypo)'!DN33,'NotEffectivelyVax (hypo)'!DQ33,'NotEffectivelyVax (hypo)'!DT33,'NotEffectivelyVax (hypo)'!DW33,'NotEffectivelyVax (hypo)'!DZ33,'NotEffectivelyVax (hypo)'!EC33,'NotEffectivelyVax (hypo)'!EF33,'NotEffectivelyVax (hypo)'!EI33,'NotEffectivelyVax (hypo)'!EL33,'NotEffectivelyVax (hypo)'!EO33,'NotEffectivelyVax (hypo)'!ER33,'NotEffectivelyVax (hypo)'!EU33,'NotEffectivelyVax (hypo)'!EX33,'NotEffectivelyVax (hypo)'!FA33,'NotEffectivelyVax (hypo)'!FD33,'NotEffectivelyVax (hypo)'!FG33,'NotEffectivelyVax (hypo)'!FJ33,'NotEffectivelyVax (hypo)'!FM33,'NotEffectivelyVax (hypo)'!FP33,'NotEffectivelyVax (hypo)'!FS33,'NotEffectivelyVax (hypo)'!FV33,'NotEffectivelyVax (hypo)'!FY33)</f>
        <v>#VALUE!</v>
      </c>
      <c r="X33" s="141" t="e">
        <f>SUM('NotEffectivelyVax (hypo)'!E33,'NotEffectivelyVax (hypo)'!H33,'NotEffectivelyVax (hypo)'!K33,'NotEffectivelyVax (hypo)'!N33,'NotEffectivelyVax (hypo)'!Q33,'NotEffectivelyVax (hypo)'!T33,'NotEffectivelyVax (hypo)'!Z33,'NotEffectivelyVax (hypo)'!W33,'NotEffectivelyVax (hypo)'!AC33,'NotEffectivelyVax (hypo)'!AF33,'NotEffectivelyVax (hypo)'!AI33,'NotEffectivelyVax (hypo)'!AL33,'NotEffectivelyVax (hypo)'!AO33,'NotEffectivelyVax (hypo)'!AR33,'NotEffectivelyVax (hypo)'!AU33,'NotEffectivelyVax (hypo)'!AX33,'NotEffectivelyVax (hypo)'!BA33,'NotEffectivelyVax (hypo)'!BD33,'NotEffectivelyVax (hypo)'!BG33,'NotEffectivelyVax (hypo)'!BJ33,'NotEffectivelyVax (hypo)'!BM33,'NotEffectivelyVax (hypo)'!BP33,'NotEffectivelyVax (hypo)'!BS33,'NotEffectivelyVax (hypo)'!BV33,'NotEffectivelyVax (hypo)'!BY33,'NotEffectivelyVax (hypo)'!CB33,'NotEffectivelyVax (hypo)'!CE33,'NotEffectivelyVax (hypo)'!CH33,'NotEffectivelyVax (hypo)'!CK33,'NotEffectivelyVax (hypo)'!CN33,'NotEffectivelyVax (hypo)'!CQ33,'NotEffectivelyVax (hypo)'!CT33,'NotEffectivelyVax (hypo)'!CW33,'NotEffectivelyVax (hypo)'!CZ33,'NotEffectivelyVax (hypo)'!DC33,'NotEffectivelyVax (hypo)'!DF33,'NotEffectivelyVax (hypo)'!DI33,'NotEffectivelyVax (hypo)'!DL33,'NotEffectivelyVax (hypo)'!DO33,'NotEffectivelyVax (hypo)'!DR33,'NotEffectivelyVax (hypo)'!DU33,'NotEffectivelyVax (hypo)'!DX33,'NotEffectivelyVax (hypo)'!EA33,'NotEffectivelyVax (hypo)'!ED33,'NotEffectivelyVax (hypo)'!EG33,'NotEffectivelyVax (hypo)'!EJ33,'NotEffectivelyVax (hypo)'!EM33,'NotEffectivelyVax (hypo)'!EP33,'NotEffectivelyVax (hypo)'!ES33,'NotEffectivelyVax (hypo)'!EV33,'NotEffectivelyVax (hypo)'!EY33,'NotEffectivelyVax (hypo)'!FB33,'NotEffectivelyVax (hypo)'!FE33,'NotEffectivelyVax (hypo)'!FH33,'NotEffectivelyVax (hypo)'!FK33,'NotEffectivelyVax (hypo)'!FN33,'NotEffectivelyVax (hypo)'!FQ33,'NotEffectivelyVax (hypo)'!FT33,'NotEffectivelyVax (hypo)'!FW33,'NotEffectivelyVax (hypo)'!FZ33)</f>
        <v>#VALUE!</v>
      </c>
      <c r="Y33" s="142" t="e">
        <f t="shared" si="2"/>
        <v>#VALUE!</v>
      </c>
      <c r="Z33" s="142" t="e">
        <f>IF(Export!M31&lt;&gt;"",W33*Export!K31*(1/Export!M31),W33*Export!K31)</f>
        <v>#VALUE!</v>
      </c>
      <c r="AA33" s="139" t="e">
        <f>Y33*Export!J31</f>
        <v>#VALUE!</v>
      </c>
      <c r="AC33" s="143" t="e">
        <f t="shared" si="3"/>
        <v>#VALUE!</v>
      </c>
      <c r="AD33" s="144" t="e">
        <f t="shared" si="18"/>
        <v>#VALUE!</v>
      </c>
      <c r="AE33" s="144" t="e">
        <f t="shared" si="4"/>
        <v>#VALUE!</v>
      </c>
      <c r="AF33" s="144" t="e">
        <f t="shared" si="5"/>
        <v>#VALUE!</v>
      </c>
      <c r="AG33" s="144" t="e">
        <f t="shared" si="6"/>
        <v>#VALUE!</v>
      </c>
      <c r="AH33" s="145"/>
      <c r="AI33" s="145"/>
      <c r="AJ33" s="145"/>
      <c r="AK33" s="145"/>
      <c r="AL33" s="146"/>
      <c r="AM33" s="150"/>
      <c r="AN33" s="150"/>
      <c r="AO33" s="150"/>
      <c r="AP33" s="150"/>
      <c r="AQ33" s="151"/>
    </row>
    <row r="34" spans="1:43" x14ac:dyDescent="0.35">
      <c r="A34" s="130">
        <f>EffectivelyVax!B33</f>
        <v>2</v>
      </c>
      <c r="B34" s="131" t="str">
        <f>EffectivelyVax!C33</f>
        <v/>
      </c>
      <c r="C34" s="132" t="str">
        <f>Export!N32</f>
        <v/>
      </c>
      <c r="D34" s="133" t="str">
        <f>Export!C32</f>
        <v/>
      </c>
      <c r="E34" s="133" t="e">
        <f>Export!C32*Export!L32</f>
        <v>#VALUE!</v>
      </c>
      <c r="F34" s="133" t="e">
        <f t="shared" si="17"/>
        <v>#VALUE!</v>
      </c>
      <c r="G34" s="133" t="e">
        <f>IF(Export!M32&lt;&gt;"",D34*Export!K32*(1/Export!M32),D34*Export!K32)</f>
        <v>#VALUE!</v>
      </c>
      <c r="H34" s="133" t="e">
        <f>F34*Export!J32</f>
        <v>#VALUE!</v>
      </c>
      <c r="I34" s="161" t="e">
        <f t="shared" si="16"/>
        <v>#VALUE!</v>
      </c>
      <c r="J34" s="134" t="e">
        <f t="shared" si="8"/>
        <v>#VALUE!</v>
      </c>
      <c r="K34" s="135" t="e">
        <f t="shared" si="9"/>
        <v>#VALUE!</v>
      </c>
      <c r="L34" s="117" t="str">
        <f>Export!B32</f>
        <v/>
      </c>
      <c r="M34" s="115" t="e">
        <f>C34*L34*HelperFunctions!G$31</f>
        <v>#VALUE!</v>
      </c>
      <c r="N34" s="116" t="e">
        <f>C34*L34*(1-HelperFunctions!G$31)</f>
        <v>#VALUE!</v>
      </c>
      <c r="O34" s="136" t="e">
        <f t="shared" si="14"/>
        <v>#DIV/0!</v>
      </c>
      <c r="P34" s="137">
        <f>SUM(EffectivelyVax!D33:BK33)</f>
        <v>0</v>
      </c>
      <c r="Q34" s="138" t="e">
        <f t="shared" si="11"/>
        <v>#DIV/0!</v>
      </c>
      <c r="R34" s="138" t="e">
        <f t="shared" si="12"/>
        <v>#DIV/0!</v>
      </c>
      <c r="S34" s="137" t="e">
        <f t="shared" si="1"/>
        <v>#DIV/0!</v>
      </c>
      <c r="T34" s="138" t="e">
        <f>IF(Export!M32&lt;&gt;"",Q34*Export!K32*(1/Export!M32),Q34*Export!K32)</f>
        <v>#DIV/0!</v>
      </c>
      <c r="U34" s="139" t="e">
        <f>S34*Export!J32</f>
        <v>#DIV/0!</v>
      </c>
      <c r="V34" s="140" t="e">
        <f>SUM('NotEffectivelyVax (hypo)'!F34,'NotEffectivelyVax (hypo)'!I34,'NotEffectivelyVax (hypo)'!L34,'NotEffectivelyVax (hypo)'!O34,'NotEffectivelyVax (hypo)'!R34,'NotEffectivelyVax (hypo)'!U34,'NotEffectivelyVax (hypo)'!X34,'NotEffectivelyVax (hypo)'!AA34,'NotEffectivelyVax (hypo)'!AD34,'NotEffectivelyVax (hypo)'!AG34,'NotEffectivelyVax (hypo)'!AJ34,'NotEffectivelyVax (hypo)'!AM34,'NotEffectivelyVax (hypo)'!AP34,'NotEffectivelyVax (hypo)'!AS34,'NotEffectivelyVax (hypo)'!AV34,'NotEffectivelyVax (hypo)'!AY34,'NotEffectivelyVax (hypo)'!BB34,'NotEffectivelyVax (hypo)'!BE34,'NotEffectivelyVax (hypo)'!BH34,'NotEffectivelyVax (hypo)'!BK34,'NotEffectivelyVax (hypo)'!BN34,'NotEffectivelyVax (hypo)'!BQ34,'NotEffectivelyVax (hypo)'!BT34,'NotEffectivelyVax (hypo)'!BW34,'NotEffectivelyVax (hypo)'!BZ34,'NotEffectivelyVax (hypo)'!CC34,'NotEffectivelyVax (hypo)'!CF34,'NotEffectivelyVax (hypo)'!CI34,'NotEffectivelyVax (hypo)'!CL34,'NotEffectivelyVax (hypo)'!CO34,'NotEffectivelyVax (hypo)'!CR34,'NotEffectivelyVax (hypo)'!CU34,'NotEffectivelyVax (hypo)'!CX34,'NotEffectivelyVax (hypo)'!DA34,'NotEffectivelyVax (hypo)'!DD34,'NotEffectivelyVax (hypo)'!DG34,'NotEffectivelyVax (hypo)'!DJ34,'NotEffectivelyVax (hypo)'!DM34,'NotEffectivelyVax (hypo)'!DQ34,'NotEffectivelyVax (hypo)'!DP34,'NotEffectivelyVax (hypo)'!DS34,'NotEffectivelyVax (hypo)'!DV34,'NotEffectivelyVax (hypo)'!DY34,'NotEffectivelyVax (hypo)'!EB34,'NotEffectivelyVax (hypo)'!EE34,'NotEffectivelyVax (hypo)'!EH34,'NotEffectivelyVax (hypo)'!EK34,'NotEffectivelyVax (hypo)'!EN34,'NotEffectivelyVax (hypo)'!EQ34,'NotEffectivelyVax (hypo)'!ET34,'NotEffectivelyVax (hypo)'!EW34,'NotEffectivelyVax (hypo)'!EZ34,'NotEffectivelyVax (hypo)'!FC34,'NotEffectivelyVax (hypo)'!FF34,'NotEffectivelyVax (hypo)'!FI34,'NotEffectivelyVax (hypo)'!FL34,'NotEffectivelyVax (hypo)'!FO34,'NotEffectivelyVax (hypo)'!FR34,'NotEffectivelyVax (hypo)'!FU34,'NotEffectivelyVax (hypo)'!FX34,'NotEffectivelyVax (hypo)'!GA34)</f>
        <v>#VALUE!</v>
      </c>
      <c r="W34" s="141" t="e">
        <f>SUM('NotEffectivelyVax (hypo)'!D34,'NotEffectivelyVax (hypo)'!G34,'NotEffectivelyVax (hypo)'!J34,'NotEffectivelyVax (hypo)'!M34,'NotEffectivelyVax (hypo)'!P34,'NotEffectivelyVax (hypo)'!S34,'NotEffectivelyVax (hypo)'!V34,'NotEffectivelyVax (hypo)'!Y34,'NotEffectivelyVax (hypo)'!AB34,'NotEffectivelyVax (hypo)'!AE34,'NotEffectivelyVax (hypo)'!AH34,'NotEffectivelyVax (hypo)'!AK34,'NotEffectivelyVax (hypo)'!AN34,'NotEffectivelyVax (hypo)'!AQ34,'NotEffectivelyVax (hypo)'!AT34,'NotEffectivelyVax (hypo)'!AW34,'NotEffectivelyVax (hypo)'!AZ34,'NotEffectivelyVax (hypo)'!BC34,'NotEffectivelyVax (hypo)'!BF34,'NotEffectivelyVax (hypo)'!BI34,'NotEffectivelyVax (hypo)'!BL34,'NotEffectivelyVax (hypo)'!BO34,'NotEffectivelyVax (hypo)'!BR34,'NotEffectivelyVax (hypo)'!BU34,'NotEffectivelyVax (hypo)'!BX34,'NotEffectivelyVax (hypo)'!CA34,'NotEffectivelyVax (hypo)'!CD34,'NotEffectivelyVax (hypo)'!CG34,'NotEffectivelyVax (hypo)'!CJ34,'NotEffectivelyVax (hypo)'!CM34,'NotEffectivelyVax (hypo)'!CP34,'NotEffectivelyVax (hypo)'!CS34,'NotEffectivelyVax (hypo)'!CV34,'NotEffectivelyVax (hypo)'!CY34,'NotEffectivelyVax (hypo)'!DB34,'NotEffectivelyVax (hypo)'!DE34,'NotEffectivelyVax (hypo)'!DH34,'NotEffectivelyVax (hypo)'!DK34,'NotEffectivelyVax (hypo)'!DN34,'NotEffectivelyVax (hypo)'!DQ34,'NotEffectivelyVax (hypo)'!DT34,'NotEffectivelyVax (hypo)'!DW34,'NotEffectivelyVax (hypo)'!DZ34,'NotEffectivelyVax (hypo)'!EC34,'NotEffectivelyVax (hypo)'!EF34,'NotEffectivelyVax (hypo)'!EI34,'NotEffectivelyVax (hypo)'!EL34,'NotEffectivelyVax (hypo)'!EO34,'NotEffectivelyVax (hypo)'!ER34,'NotEffectivelyVax (hypo)'!EU34,'NotEffectivelyVax (hypo)'!EX34,'NotEffectivelyVax (hypo)'!FA34,'NotEffectivelyVax (hypo)'!FD34,'NotEffectivelyVax (hypo)'!FG34,'NotEffectivelyVax (hypo)'!FJ34,'NotEffectivelyVax (hypo)'!FM34,'NotEffectivelyVax (hypo)'!FP34,'NotEffectivelyVax (hypo)'!FS34,'NotEffectivelyVax (hypo)'!FV34,'NotEffectivelyVax (hypo)'!FY34)</f>
        <v>#VALUE!</v>
      </c>
      <c r="X34" s="141" t="e">
        <f>SUM('NotEffectivelyVax (hypo)'!E34,'NotEffectivelyVax (hypo)'!H34,'NotEffectivelyVax (hypo)'!K34,'NotEffectivelyVax (hypo)'!N34,'NotEffectivelyVax (hypo)'!Q34,'NotEffectivelyVax (hypo)'!T34,'NotEffectivelyVax (hypo)'!Z34,'NotEffectivelyVax (hypo)'!W34,'NotEffectivelyVax (hypo)'!AC34,'NotEffectivelyVax (hypo)'!AF34,'NotEffectivelyVax (hypo)'!AI34,'NotEffectivelyVax (hypo)'!AL34,'NotEffectivelyVax (hypo)'!AO34,'NotEffectivelyVax (hypo)'!AR34,'NotEffectivelyVax (hypo)'!AU34,'NotEffectivelyVax (hypo)'!AX34,'NotEffectivelyVax (hypo)'!BA34,'NotEffectivelyVax (hypo)'!BD34,'NotEffectivelyVax (hypo)'!BG34,'NotEffectivelyVax (hypo)'!BJ34,'NotEffectivelyVax (hypo)'!BM34,'NotEffectivelyVax (hypo)'!BP34,'NotEffectivelyVax (hypo)'!BS34,'NotEffectivelyVax (hypo)'!BV34,'NotEffectivelyVax (hypo)'!BY34,'NotEffectivelyVax (hypo)'!CB34,'NotEffectivelyVax (hypo)'!CE34,'NotEffectivelyVax (hypo)'!CH34,'NotEffectivelyVax (hypo)'!CK34,'NotEffectivelyVax (hypo)'!CN34,'NotEffectivelyVax (hypo)'!CQ34,'NotEffectivelyVax (hypo)'!CT34,'NotEffectivelyVax (hypo)'!CW34,'NotEffectivelyVax (hypo)'!CZ34,'NotEffectivelyVax (hypo)'!DC34,'NotEffectivelyVax (hypo)'!DF34,'NotEffectivelyVax (hypo)'!DI34,'NotEffectivelyVax (hypo)'!DL34,'NotEffectivelyVax (hypo)'!DO34,'NotEffectivelyVax (hypo)'!DR34,'NotEffectivelyVax (hypo)'!DU34,'NotEffectivelyVax (hypo)'!DX34,'NotEffectivelyVax (hypo)'!EA34,'NotEffectivelyVax (hypo)'!ED34,'NotEffectivelyVax (hypo)'!EG34,'NotEffectivelyVax (hypo)'!EJ34,'NotEffectivelyVax (hypo)'!EM34,'NotEffectivelyVax (hypo)'!EP34,'NotEffectivelyVax (hypo)'!ES34,'NotEffectivelyVax (hypo)'!EV34,'NotEffectivelyVax (hypo)'!EY34,'NotEffectivelyVax (hypo)'!FB34,'NotEffectivelyVax (hypo)'!FE34,'NotEffectivelyVax (hypo)'!FH34,'NotEffectivelyVax (hypo)'!FK34,'NotEffectivelyVax (hypo)'!FN34,'NotEffectivelyVax (hypo)'!FQ34,'NotEffectivelyVax (hypo)'!FT34,'NotEffectivelyVax (hypo)'!FW34,'NotEffectivelyVax (hypo)'!FZ34)</f>
        <v>#VALUE!</v>
      </c>
      <c r="Y34" s="142" t="e">
        <f t="shared" si="2"/>
        <v>#VALUE!</v>
      </c>
      <c r="Z34" s="142" t="e">
        <f>IF(Export!M32&lt;&gt;"",W34*Export!K32*(1/Export!M32),W34*Export!K32)</f>
        <v>#VALUE!</v>
      </c>
      <c r="AA34" s="139" t="e">
        <f>Y34*Export!J32</f>
        <v>#VALUE!</v>
      </c>
      <c r="AC34" s="143" t="e">
        <f t="shared" si="3"/>
        <v>#VALUE!</v>
      </c>
      <c r="AD34" s="144" t="e">
        <f t="shared" si="18"/>
        <v>#VALUE!</v>
      </c>
      <c r="AE34" s="144" t="e">
        <f t="shared" si="4"/>
        <v>#VALUE!</v>
      </c>
      <c r="AF34" s="144" t="e">
        <f t="shared" si="5"/>
        <v>#VALUE!</v>
      </c>
      <c r="AG34" s="144" t="e">
        <f t="shared" si="6"/>
        <v>#VALUE!</v>
      </c>
      <c r="AH34" s="145"/>
      <c r="AI34" s="145"/>
      <c r="AJ34" s="145"/>
      <c r="AK34" s="145"/>
      <c r="AL34" s="146"/>
      <c r="AM34" s="150"/>
      <c r="AN34" s="150"/>
      <c r="AO34" s="150"/>
      <c r="AP34" s="150"/>
      <c r="AQ34" s="151"/>
    </row>
    <row r="35" spans="1:43" x14ac:dyDescent="0.35">
      <c r="A35" s="130">
        <f>EffectivelyVax!B34</f>
        <v>2</v>
      </c>
      <c r="B35" s="131" t="str">
        <f>EffectivelyVax!C34</f>
        <v/>
      </c>
      <c r="C35" s="132" t="str">
        <f>Export!N33</f>
        <v/>
      </c>
      <c r="D35" s="133" t="str">
        <f>Export!C33</f>
        <v/>
      </c>
      <c r="E35" s="133" t="e">
        <f>Export!C33*Export!L33</f>
        <v>#VALUE!</v>
      </c>
      <c r="F35" s="133" t="e">
        <f t="shared" si="17"/>
        <v>#VALUE!</v>
      </c>
      <c r="G35" s="133" t="e">
        <f>IF(Export!M33&lt;&gt;"",D35*Export!K33*(1/Export!M33),D35*Export!K33)</f>
        <v>#VALUE!</v>
      </c>
      <c r="H35" s="133" t="e">
        <f>F35*Export!J33</f>
        <v>#VALUE!</v>
      </c>
      <c r="I35" s="161" t="e">
        <f t="shared" si="16"/>
        <v>#VALUE!</v>
      </c>
      <c r="J35" s="134" t="e">
        <f t="shared" si="8"/>
        <v>#VALUE!</v>
      </c>
      <c r="K35" s="135" t="e">
        <f t="shared" si="9"/>
        <v>#VALUE!</v>
      </c>
      <c r="L35" s="117" t="str">
        <f>Export!B33</f>
        <v/>
      </c>
      <c r="M35" s="115" t="e">
        <f>C35*L35*HelperFunctions!G$31</f>
        <v>#VALUE!</v>
      </c>
      <c r="N35" s="116" t="e">
        <f>C35*L35*(1-HelperFunctions!G$31)</f>
        <v>#VALUE!</v>
      </c>
      <c r="O35" s="136" t="e">
        <f t="shared" si="14"/>
        <v>#DIV/0!</v>
      </c>
      <c r="P35" s="137">
        <f>SUM(EffectivelyVax!D34:BK34)</f>
        <v>0</v>
      </c>
      <c r="Q35" s="138" t="e">
        <f t="shared" si="11"/>
        <v>#DIV/0!</v>
      </c>
      <c r="R35" s="138" t="e">
        <f t="shared" si="12"/>
        <v>#DIV/0!</v>
      </c>
      <c r="S35" s="137" t="e">
        <f t="shared" si="1"/>
        <v>#DIV/0!</v>
      </c>
      <c r="T35" s="138" t="e">
        <f>IF(Export!M33&lt;&gt;"",Q35*Export!K33*(1/Export!M33),Q35*Export!K33)</f>
        <v>#DIV/0!</v>
      </c>
      <c r="U35" s="139" t="e">
        <f>S35*Export!J33</f>
        <v>#DIV/0!</v>
      </c>
      <c r="V35" s="140" t="e">
        <f>SUM('NotEffectivelyVax (hypo)'!F35,'NotEffectivelyVax (hypo)'!I35,'NotEffectivelyVax (hypo)'!L35,'NotEffectivelyVax (hypo)'!O35,'NotEffectivelyVax (hypo)'!R35,'NotEffectivelyVax (hypo)'!U35,'NotEffectivelyVax (hypo)'!X35,'NotEffectivelyVax (hypo)'!AA35,'NotEffectivelyVax (hypo)'!AD35,'NotEffectivelyVax (hypo)'!AG35,'NotEffectivelyVax (hypo)'!AJ35,'NotEffectivelyVax (hypo)'!AM35,'NotEffectivelyVax (hypo)'!AP35,'NotEffectivelyVax (hypo)'!AS35,'NotEffectivelyVax (hypo)'!AV35,'NotEffectivelyVax (hypo)'!AY35,'NotEffectivelyVax (hypo)'!BB35,'NotEffectivelyVax (hypo)'!BE35,'NotEffectivelyVax (hypo)'!BH35,'NotEffectivelyVax (hypo)'!BK35,'NotEffectivelyVax (hypo)'!BN35,'NotEffectivelyVax (hypo)'!BQ35,'NotEffectivelyVax (hypo)'!BT35,'NotEffectivelyVax (hypo)'!BW35,'NotEffectivelyVax (hypo)'!BZ35,'NotEffectivelyVax (hypo)'!CC35,'NotEffectivelyVax (hypo)'!CF35,'NotEffectivelyVax (hypo)'!CI35,'NotEffectivelyVax (hypo)'!CL35,'NotEffectivelyVax (hypo)'!CO35,'NotEffectivelyVax (hypo)'!CR35,'NotEffectivelyVax (hypo)'!CU35,'NotEffectivelyVax (hypo)'!CX35,'NotEffectivelyVax (hypo)'!DA35,'NotEffectivelyVax (hypo)'!DD35,'NotEffectivelyVax (hypo)'!DG35,'NotEffectivelyVax (hypo)'!DJ35,'NotEffectivelyVax (hypo)'!DM35,'NotEffectivelyVax (hypo)'!DQ35,'NotEffectivelyVax (hypo)'!DP35,'NotEffectivelyVax (hypo)'!DS35,'NotEffectivelyVax (hypo)'!DV35,'NotEffectivelyVax (hypo)'!DY35,'NotEffectivelyVax (hypo)'!EB35,'NotEffectivelyVax (hypo)'!EE35,'NotEffectivelyVax (hypo)'!EH35,'NotEffectivelyVax (hypo)'!EK35,'NotEffectivelyVax (hypo)'!EN35,'NotEffectivelyVax (hypo)'!EQ35,'NotEffectivelyVax (hypo)'!ET35,'NotEffectivelyVax (hypo)'!EW35,'NotEffectivelyVax (hypo)'!EZ35,'NotEffectivelyVax (hypo)'!FC35,'NotEffectivelyVax (hypo)'!FF35,'NotEffectivelyVax (hypo)'!FI35,'NotEffectivelyVax (hypo)'!FL35,'NotEffectivelyVax (hypo)'!FO35,'NotEffectivelyVax (hypo)'!FR35,'NotEffectivelyVax (hypo)'!FU35,'NotEffectivelyVax (hypo)'!FX35,'NotEffectivelyVax (hypo)'!GA35)</f>
        <v>#VALUE!</v>
      </c>
      <c r="W35" s="141" t="e">
        <f>SUM('NotEffectivelyVax (hypo)'!D35,'NotEffectivelyVax (hypo)'!G35,'NotEffectivelyVax (hypo)'!J35,'NotEffectivelyVax (hypo)'!M35,'NotEffectivelyVax (hypo)'!P35,'NotEffectivelyVax (hypo)'!S35,'NotEffectivelyVax (hypo)'!V35,'NotEffectivelyVax (hypo)'!Y35,'NotEffectivelyVax (hypo)'!AB35,'NotEffectivelyVax (hypo)'!AE35,'NotEffectivelyVax (hypo)'!AH35,'NotEffectivelyVax (hypo)'!AK35,'NotEffectivelyVax (hypo)'!AN35,'NotEffectivelyVax (hypo)'!AQ35,'NotEffectivelyVax (hypo)'!AT35,'NotEffectivelyVax (hypo)'!AW35,'NotEffectivelyVax (hypo)'!AZ35,'NotEffectivelyVax (hypo)'!BC35,'NotEffectivelyVax (hypo)'!BF35,'NotEffectivelyVax (hypo)'!BI35,'NotEffectivelyVax (hypo)'!BL35,'NotEffectivelyVax (hypo)'!BO35,'NotEffectivelyVax (hypo)'!BR35,'NotEffectivelyVax (hypo)'!BU35,'NotEffectivelyVax (hypo)'!BX35,'NotEffectivelyVax (hypo)'!CA35,'NotEffectivelyVax (hypo)'!CD35,'NotEffectivelyVax (hypo)'!CG35,'NotEffectivelyVax (hypo)'!CJ35,'NotEffectivelyVax (hypo)'!CM35,'NotEffectivelyVax (hypo)'!CP35,'NotEffectivelyVax (hypo)'!CS35,'NotEffectivelyVax (hypo)'!CV35,'NotEffectivelyVax (hypo)'!CY35,'NotEffectivelyVax (hypo)'!DB35,'NotEffectivelyVax (hypo)'!DE35,'NotEffectivelyVax (hypo)'!DH35,'NotEffectivelyVax (hypo)'!DK35,'NotEffectivelyVax (hypo)'!DN35,'NotEffectivelyVax (hypo)'!DQ35,'NotEffectivelyVax (hypo)'!DT35,'NotEffectivelyVax (hypo)'!DW35,'NotEffectivelyVax (hypo)'!DZ35,'NotEffectivelyVax (hypo)'!EC35,'NotEffectivelyVax (hypo)'!EF35,'NotEffectivelyVax (hypo)'!EI35,'NotEffectivelyVax (hypo)'!EL35,'NotEffectivelyVax (hypo)'!EO35,'NotEffectivelyVax (hypo)'!ER35,'NotEffectivelyVax (hypo)'!EU35,'NotEffectivelyVax (hypo)'!EX35,'NotEffectivelyVax (hypo)'!FA35,'NotEffectivelyVax (hypo)'!FD35,'NotEffectivelyVax (hypo)'!FG35,'NotEffectivelyVax (hypo)'!FJ35,'NotEffectivelyVax (hypo)'!FM35,'NotEffectivelyVax (hypo)'!FP35,'NotEffectivelyVax (hypo)'!FS35,'NotEffectivelyVax (hypo)'!FV35,'NotEffectivelyVax (hypo)'!FY35)</f>
        <v>#VALUE!</v>
      </c>
      <c r="X35" s="141" t="e">
        <f>SUM('NotEffectivelyVax (hypo)'!E35,'NotEffectivelyVax (hypo)'!H35,'NotEffectivelyVax (hypo)'!K35,'NotEffectivelyVax (hypo)'!N35,'NotEffectivelyVax (hypo)'!Q35,'NotEffectivelyVax (hypo)'!T35,'NotEffectivelyVax (hypo)'!Z35,'NotEffectivelyVax (hypo)'!W35,'NotEffectivelyVax (hypo)'!AC35,'NotEffectivelyVax (hypo)'!AF35,'NotEffectivelyVax (hypo)'!AI35,'NotEffectivelyVax (hypo)'!AL35,'NotEffectivelyVax (hypo)'!AO35,'NotEffectivelyVax (hypo)'!AR35,'NotEffectivelyVax (hypo)'!AU35,'NotEffectivelyVax (hypo)'!AX35,'NotEffectivelyVax (hypo)'!BA35,'NotEffectivelyVax (hypo)'!BD35,'NotEffectivelyVax (hypo)'!BG35,'NotEffectivelyVax (hypo)'!BJ35,'NotEffectivelyVax (hypo)'!BM35,'NotEffectivelyVax (hypo)'!BP35,'NotEffectivelyVax (hypo)'!BS35,'NotEffectivelyVax (hypo)'!BV35,'NotEffectivelyVax (hypo)'!BY35,'NotEffectivelyVax (hypo)'!CB35,'NotEffectivelyVax (hypo)'!CE35,'NotEffectivelyVax (hypo)'!CH35,'NotEffectivelyVax (hypo)'!CK35,'NotEffectivelyVax (hypo)'!CN35,'NotEffectivelyVax (hypo)'!CQ35,'NotEffectivelyVax (hypo)'!CT35,'NotEffectivelyVax (hypo)'!CW35,'NotEffectivelyVax (hypo)'!CZ35,'NotEffectivelyVax (hypo)'!DC35,'NotEffectivelyVax (hypo)'!DF35,'NotEffectivelyVax (hypo)'!DI35,'NotEffectivelyVax (hypo)'!DL35,'NotEffectivelyVax (hypo)'!DO35,'NotEffectivelyVax (hypo)'!DR35,'NotEffectivelyVax (hypo)'!DU35,'NotEffectivelyVax (hypo)'!DX35,'NotEffectivelyVax (hypo)'!EA35,'NotEffectivelyVax (hypo)'!ED35,'NotEffectivelyVax (hypo)'!EG35,'NotEffectivelyVax (hypo)'!EJ35,'NotEffectivelyVax (hypo)'!EM35,'NotEffectivelyVax (hypo)'!EP35,'NotEffectivelyVax (hypo)'!ES35,'NotEffectivelyVax (hypo)'!EV35,'NotEffectivelyVax (hypo)'!EY35,'NotEffectivelyVax (hypo)'!FB35,'NotEffectivelyVax (hypo)'!FE35,'NotEffectivelyVax (hypo)'!FH35,'NotEffectivelyVax (hypo)'!FK35,'NotEffectivelyVax (hypo)'!FN35,'NotEffectivelyVax (hypo)'!FQ35,'NotEffectivelyVax (hypo)'!FT35,'NotEffectivelyVax (hypo)'!FW35,'NotEffectivelyVax (hypo)'!FZ35)</f>
        <v>#VALUE!</v>
      </c>
      <c r="Y35" s="142" t="e">
        <f t="shared" si="2"/>
        <v>#VALUE!</v>
      </c>
      <c r="Z35" s="142" t="e">
        <f>IF(Export!M33&lt;&gt;"",W35*Export!K33*(1/Export!M33),W35*Export!K33)</f>
        <v>#VALUE!</v>
      </c>
      <c r="AA35" s="139" t="e">
        <f>Y35*Export!J33</f>
        <v>#VALUE!</v>
      </c>
      <c r="AC35" s="143" t="e">
        <f t="shared" si="3"/>
        <v>#VALUE!</v>
      </c>
      <c r="AD35" s="144" t="e">
        <f t="shared" si="18"/>
        <v>#VALUE!</v>
      </c>
      <c r="AE35" s="144" t="e">
        <f t="shared" si="4"/>
        <v>#VALUE!</v>
      </c>
      <c r="AF35" s="144" t="e">
        <f t="shared" si="5"/>
        <v>#VALUE!</v>
      </c>
      <c r="AG35" s="144" t="e">
        <f t="shared" si="6"/>
        <v>#VALUE!</v>
      </c>
      <c r="AH35" s="145"/>
      <c r="AI35" s="145"/>
      <c r="AJ35" s="145"/>
      <c r="AK35" s="145"/>
      <c r="AL35" s="146"/>
      <c r="AM35" s="150"/>
      <c r="AN35" s="150"/>
      <c r="AO35" s="150"/>
      <c r="AP35" s="150"/>
      <c r="AQ35" s="151"/>
    </row>
    <row r="36" spans="1:43" x14ac:dyDescent="0.35">
      <c r="A36" s="130">
        <f>EffectivelyVax!B35</f>
        <v>2</v>
      </c>
      <c r="B36" s="131" t="str">
        <f>EffectivelyVax!C35</f>
        <v/>
      </c>
      <c r="C36" s="132" t="str">
        <f>Export!N34</f>
        <v/>
      </c>
      <c r="D36" s="133" t="str">
        <f>Export!C34</f>
        <v/>
      </c>
      <c r="E36" s="133" t="e">
        <f>Export!C34*Export!L34</f>
        <v>#VALUE!</v>
      </c>
      <c r="F36" s="133" t="e">
        <f t="shared" si="17"/>
        <v>#VALUE!</v>
      </c>
      <c r="G36" s="133" t="e">
        <f>IF(Export!M34&lt;&gt;"",D36*Export!K34*(1/Export!M34),D36*Export!K34)</f>
        <v>#VALUE!</v>
      </c>
      <c r="H36" s="133" t="e">
        <f>F36*Export!J34</f>
        <v>#VALUE!</v>
      </c>
      <c r="I36" s="161" t="e">
        <f t="shared" si="16"/>
        <v>#VALUE!</v>
      </c>
      <c r="J36" s="134" t="e">
        <f t="shared" si="8"/>
        <v>#VALUE!</v>
      </c>
      <c r="K36" s="135" t="e">
        <f t="shared" si="9"/>
        <v>#VALUE!</v>
      </c>
      <c r="L36" s="117" t="str">
        <f>Export!B34</f>
        <v/>
      </c>
      <c r="M36" s="115" t="e">
        <f>C36*L36*HelperFunctions!G$31</f>
        <v>#VALUE!</v>
      </c>
      <c r="N36" s="116" t="e">
        <f>C36*L36*(1-HelperFunctions!G$31)</f>
        <v>#VALUE!</v>
      </c>
      <c r="O36" s="136" t="e">
        <f t="shared" si="14"/>
        <v>#DIV/0!</v>
      </c>
      <c r="P36" s="137">
        <f>SUM(EffectivelyVax!D35:BK35)</f>
        <v>0</v>
      </c>
      <c r="Q36" s="138" t="e">
        <f t="shared" si="11"/>
        <v>#DIV/0!</v>
      </c>
      <c r="R36" s="138" t="e">
        <f t="shared" si="12"/>
        <v>#DIV/0!</v>
      </c>
      <c r="S36" s="137" t="e">
        <f t="shared" si="1"/>
        <v>#DIV/0!</v>
      </c>
      <c r="T36" s="138" t="e">
        <f>IF(Export!M34&lt;&gt;"",Q36*Export!K34*(1/Export!M34),Q36*Export!K34)</f>
        <v>#DIV/0!</v>
      </c>
      <c r="U36" s="139" t="e">
        <f>S36*Export!J34</f>
        <v>#DIV/0!</v>
      </c>
      <c r="V36" s="140" t="e">
        <f>SUM('NotEffectivelyVax (hypo)'!F36,'NotEffectivelyVax (hypo)'!I36,'NotEffectivelyVax (hypo)'!L36,'NotEffectivelyVax (hypo)'!O36,'NotEffectivelyVax (hypo)'!R36,'NotEffectivelyVax (hypo)'!U36,'NotEffectivelyVax (hypo)'!X36,'NotEffectivelyVax (hypo)'!AA36,'NotEffectivelyVax (hypo)'!AD36,'NotEffectivelyVax (hypo)'!AG36,'NotEffectivelyVax (hypo)'!AJ36,'NotEffectivelyVax (hypo)'!AM36,'NotEffectivelyVax (hypo)'!AP36,'NotEffectivelyVax (hypo)'!AS36,'NotEffectivelyVax (hypo)'!AV36,'NotEffectivelyVax (hypo)'!AY36,'NotEffectivelyVax (hypo)'!BB36,'NotEffectivelyVax (hypo)'!BE36,'NotEffectivelyVax (hypo)'!BH36,'NotEffectivelyVax (hypo)'!BK36,'NotEffectivelyVax (hypo)'!BN36,'NotEffectivelyVax (hypo)'!BQ36,'NotEffectivelyVax (hypo)'!BT36,'NotEffectivelyVax (hypo)'!BW36,'NotEffectivelyVax (hypo)'!BZ36,'NotEffectivelyVax (hypo)'!CC36,'NotEffectivelyVax (hypo)'!CF36,'NotEffectivelyVax (hypo)'!CI36,'NotEffectivelyVax (hypo)'!CL36,'NotEffectivelyVax (hypo)'!CO36,'NotEffectivelyVax (hypo)'!CR36,'NotEffectivelyVax (hypo)'!CU36,'NotEffectivelyVax (hypo)'!CX36,'NotEffectivelyVax (hypo)'!DA36,'NotEffectivelyVax (hypo)'!DD36,'NotEffectivelyVax (hypo)'!DG36,'NotEffectivelyVax (hypo)'!DJ36,'NotEffectivelyVax (hypo)'!DM36,'NotEffectivelyVax (hypo)'!DQ36,'NotEffectivelyVax (hypo)'!DP36,'NotEffectivelyVax (hypo)'!DS36,'NotEffectivelyVax (hypo)'!DV36,'NotEffectivelyVax (hypo)'!DY36,'NotEffectivelyVax (hypo)'!EB36,'NotEffectivelyVax (hypo)'!EE36,'NotEffectivelyVax (hypo)'!EH36,'NotEffectivelyVax (hypo)'!EK36,'NotEffectivelyVax (hypo)'!EN36,'NotEffectivelyVax (hypo)'!EQ36,'NotEffectivelyVax (hypo)'!ET36,'NotEffectivelyVax (hypo)'!EW36,'NotEffectivelyVax (hypo)'!EZ36,'NotEffectivelyVax (hypo)'!FC36,'NotEffectivelyVax (hypo)'!FF36,'NotEffectivelyVax (hypo)'!FI36,'NotEffectivelyVax (hypo)'!FL36,'NotEffectivelyVax (hypo)'!FO36,'NotEffectivelyVax (hypo)'!FR36,'NotEffectivelyVax (hypo)'!FU36,'NotEffectivelyVax (hypo)'!FX36,'NotEffectivelyVax (hypo)'!GA36)</f>
        <v>#VALUE!</v>
      </c>
      <c r="W36" s="141" t="e">
        <f>SUM('NotEffectivelyVax (hypo)'!D36,'NotEffectivelyVax (hypo)'!G36,'NotEffectivelyVax (hypo)'!J36,'NotEffectivelyVax (hypo)'!M36,'NotEffectivelyVax (hypo)'!P36,'NotEffectivelyVax (hypo)'!S36,'NotEffectivelyVax (hypo)'!V36,'NotEffectivelyVax (hypo)'!Y36,'NotEffectivelyVax (hypo)'!AB36,'NotEffectivelyVax (hypo)'!AE36,'NotEffectivelyVax (hypo)'!AH36,'NotEffectivelyVax (hypo)'!AK36,'NotEffectivelyVax (hypo)'!AN36,'NotEffectivelyVax (hypo)'!AQ36,'NotEffectivelyVax (hypo)'!AT36,'NotEffectivelyVax (hypo)'!AW36,'NotEffectivelyVax (hypo)'!AZ36,'NotEffectivelyVax (hypo)'!BC36,'NotEffectivelyVax (hypo)'!BF36,'NotEffectivelyVax (hypo)'!BI36,'NotEffectivelyVax (hypo)'!BL36,'NotEffectivelyVax (hypo)'!BO36,'NotEffectivelyVax (hypo)'!BR36,'NotEffectivelyVax (hypo)'!BU36,'NotEffectivelyVax (hypo)'!BX36,'NotEffectivelyVax (hypo)'!CA36,'NotEffectivelyVax (hypo)'!CD36,'NotEffectivelyVax (hypo)'!CG36,'NotEffectivelyVax (hypo)'!CJ36,'NotEffectivelyVax (hypo)'!CM36,'NotEffectivelyVax (hypo)'!CP36,'NotEffectivelyVax (hypo)'!CS36,'NotEffectivelyVax (hypo)'!CV36,'NotEffectivelyVax (hypo)'!CY36,'NotEffectivelyVax (hypo)'!DB36,'NotEffectivelyVax (hypo)'!DE36,'NotEffectivelyVax (hypo)'!DH36,'NotEffectivelyVax (hypo)'!DK36,'NotEffectivelyVax (hypo)'!DN36,'NotEffectivelyVax (hypo)'!DQ36,'NotEffectivelyVax (hypo)'!DT36,'NotEffectivelyVax (hypo)'!DW36,'NotEffectivelyVax (hypo)'!DZ36,'NotEffectivelyVax (hypo)'!EC36,'NotEffectivelyVax (hypo)'!EF36,'NotEffectivelyVax (hypo)'!EI36,'NotEffectivelyVax (hypo)'!EL36,'NotEffectivelyVax (hypo)'!EO36,'NotEffectivelyVax (hypo)'!ER36,'NotEffectivelyVax (hypo)'!EU36,'NotEffectivelyVax (hypo)'!EX36,'NotEffectivelyVax (hypo)'!FA36,'NotEffectivelyVax (hypo)'!FD36,'NotEffectivelyVax (hypo)'!FG36,'NotEffectivelyVax (hypo)'!FJ36,'NotEffectivelyVax (hypo)'!FM36,'NotEffectivelyVax (hypo)'!FP36,'NotEffectivelyVax (hypo)'!FS36,'NotEffectivelyVax (hypo)'!FV36,'NotEffectivelyVax (hypo)'!FY36)</f>
        <v>#VALUE!</v>
      </c>
      <c r="X36" s="141" t="e">
        <f>SUM('NotEffectivelyVax (hypo)'!E36,'NotEffectivelyVax (hypo)'!H36,'NotEffectivelyVax (hypo)'!K36,'NotEffectivelyVax (hypo)'!N36,'NotEffectivelyVax (hypo)'!Q36,'NotEffectivelyVax (hypo)'!T36,'NotEffectivelyVax (hypo)'!Z36,'NotEffectivelyVax (hypo)'!W36,'NotEffectivelyVax (hypo)'!AC36,'NotEffectivelyVax (hypo)'!AF36,'NotEffectivelyVax (hypo)'!AI36,'NotEffectivelyVax (hypo)'!AL36,'NotEffectivelyVax (hypo)'!AO36,'NotEffectivelyVax (hypo)'!AR36,'NotEffectivelyVax (hypo)'!AU36,'NotEffectivelyVax (hypo)'!AX36,'NotEffectivelyVax (hypo)'!BA36,'NotEffectivelyVax (hypo)'!BD36,'NotEffectivelyVax (hypo)'!BG36,'NotEffectivelyVax (hypo)'!BJ36,'NotEffectivelyVax (hypo)'!BM36,'NotEffectivelyVax (hypo)'!BP36,'NotEffectivelyVax (hypo)'!BS36,'NotEffectivelyVax (hypo)'!BV36,'NotEffectivelyVax (hypo)'!BY36,'NotEffectivelyVax (hypo)'!CB36,'NotEffectivelyVax (hypo)'!CE36,'NotEffectivelyVax (hypo)'!CH36,'NotEffectivelyVax (hypo)'!CK36,'NotEffectivelyVax (hypo)'!CN36,'NotEffectivelyVax (hypo)'!CQ36,'NotEffectivelyVax (hypo)'!CT36,'NotEffectivelyVax (hypo)'!CW36,'NotEffectivelyVax (hypo)'!CZ36,'NotEffectivelyVax (hypo)'!DC36,'NotEffectivelyVax (hypo)'!DF36,'NotEffectivelyVax (hypo)'!DI36,'NotEffectivelyVax (hypo)'!DL36,'NotEffectivelyVax (hypo)'!DO36,'NotEffectivelyVax (hypo)'!DR36,'NotEffectivelyVax (hypo)'!DU36,'NotEffectivelyVax (hypo)'!DX36,'NotEffectivelyVax (hypo)'!EA36,'NotEffectivelyVax (hypo)'!ED36,'NotEffectivelyVax (hypo)'!EG36,'NotEffectivelyVax (hypo)'!EJ36,'NotEffectivelyVax (hypo)'!EM36,'NotEffectivelyVax (hypo)'!EP36,'NotEffectivelyVax (hypo)'!ES36,'NotEffectivelyVax (hypo)'!EV36,'NotEffectivelyVax (hypo)'!EY36,'NotEffectivelyVax (hypo)'!FB36,'NotEffectivelyVax (hypo)'!FE36,'NotEffectivelyVax (hypo)'!FH36,'NotEffectivelyVax (hypo)'!FK36,'NotEffectivelyVax (hypo)'!FN36,'NotEffectivelyVax (hypo)'!FQ36,'NotEffectivelyVax (hypo)'!FT36,'NotEffectivelyVax (hypo)'!FW36,'NotEffectivelyVax (hypo)'!FZ36)</f>
        <v>#VALUE!</v>
      </c>
      <c r="Y36" s="142" t="e">
        <f t="shared" si="2"/>
        <v>#VALUE!</v>
      </c>
      <c r="Z36" s="142" t="e">
        <f>IF(Export!M34&lt;&gt;"",W36*Export!K34*(1/Export!M34),W36*Export!K34)</f>
        <v>#VALUE!</v>
      </c>
      <c r="AA36" s="139" t="e">
        <f>Y36*Export!J34</f>
        <v>#VALUE!</v>
      </c>
      <c r="AC36" s="143" t="e">
        <f t="shared" si="3"/>
        <v>#VALUE!</v>
      </c>
      <c r="AD36" s="144" t="e">
        <f t="shared" si="18"/>
        <v>#VALUE!</v>
      </c>
      <c r="AE36" s="144" t="e">
        <f t="shared" si="4"/>
        <v>#VALUE!</v>
      </c>
      <c r="AF36" s="144" t="e">
        <f t="shared" si="5"/>
        <v>#VALUE!</v>
      </c>
      <c r="AG36" s="144" t="e">
        <f t="shared" si="6"/>
        <v>#VALUE!</v>
      </c>
      <c r="AH36" s="145"/>
      <c r="AI36" s="145"/>
      <c r="AJ36" s="145"/>
      <c r="AK36" s="145"/>
      <c r="AL36" s="146"/>
      <c r="AM36" s="150"/>
      <c r="AN36" s="150"/>
      <c r="AO36" s="150"/>
      <c r="AP36" s="150"/>
      <c r="AQ36" s="151"/>
    </row>
    <row r="37" spans="1:43" x14ac:dyDescent="0.35">
      <c r="A37" s="130">
        <f>EffectivelyVax!B36</f>
        <v>2</v>
      </c>
      <c r="B37" s="131" t="str">
        <f>EffectivelyVax!C36</f>
        <v/>
      </c>
      <c r="C37" s="132" t="str">
        <f>Export!N35</f>
        <v/>
      </c>
      <c r="D37" s="133" t="str">
        <f>Export!C35</f>
        <v/>
      </c>
      <c r="E37" s="133" t="e">
        <f>Export!C35*Export!L35</f>
        <v>#VALUE!</v>
      </c>
      <c r="F37" s="133" t="e">
        <f t="shared" si="17"/>
        <v>#VALUE!</v>
      </c>
      <c r="G37" s="133" t="e">
        <f>IF(Export!M35&lt;&gt;"",D37*Export!K35*(1/Export!M35),D37*Export!K35)</f>
        <v>#VALUE!</v>
      </c>
      <c r="H37" s="133" t="e">
        <f>F37*Export!J35</f>
        <v>#VALUE!</v>
      </c>
      <c r="I37" s="161" t="e">
        <f t="shared" si="16"/>
        <v>#VALUE!</v>
      </c>
      <c r="J37" s="134" t="e">
        <f t="shared" si="8"/>
        <v>#VALUE!</v>
      </c>
      <c r="K37" s="135" t="e">
        <f t="shared" si="9"/>
        <v>#VALUE!</v>
      </c>
      <c r="L37" s="117" t="str">
        <f>Export!B35</f>
        <v/>
      </c>
      <c r="M37" s="115" t="e">
        <f>C37*L37*HelperFunctions!G$31</f>
        <v>#VALUE!</v>
      </c>
      <c r="N37" s="116" t="e">
        <f>C37*L37*(1-HelperFunctions!G$31)</f>
        <v>#VALUE!</v>
      </c>
      <c r="O37" s="136" t="e">
        <f t="shared" si="14"/>
        <v>#DIV/0!</v>
      </c>
      <c r="P37" s="137">
        <f>SUM(EffectivelyVax!D36:BK36)</f>
        <v>0</v>
      </c>
      <c r="Q37" s="138" t="e">
        <f t="shared" si="11"/>
        <v>#DIV/0!</v>
      </c>
      <c r="R37" s="138" t="e">
        <f t="shared" si="12"/>
        <v>#DIV/0!</v>
      </c>
      <c r="S37" s="137" t="e">
        <f t="shared" si="1"/>
        <v>#DIV/0!</v>
      </c>
      <c r="T37" s="138" t="e">
        <f>IF(Export!M35&lt;&gt;"",Q37*Export!K35*(1/Export!M35),Q37*Export!K35)</f>
        <v>#DIV/0!</v>
      </c>
      <c r="U37" s="139" t="e">
        <f>S37*Export!J35</f>
        <v>#DIV/0!</v>
      </c>
      <c r="V37" s="140" t="e">
        <f>SUM('NotEffectivelyVax (hypo)'!F37,'NotEffectivelyVax (hypo)'!I37,'NotEffectivelyVax (hypo)'!L37,'NotEffectivelyVax (hypo)'!O37,'NotEffectivelyVax (hypo)'!R37,'NotEffectivelyVax (hypo)'!U37,'NotEffectivelyVax (hypo)'!X37,'NotEffectivelyVax (hypo)'!AA37,'NotEffectivelyVax (hypo)'!AD37,'NotEffectivelyVax (hypo)'!AG37,'NotEffectivelyVax (hypo)'!AJ37,'NotEffectivelyVax (hypo)'!AM37,'NotEffectivelyVax (hypo)'!AP37,'NotEffectivelyVax (hypo)'!AS37,'NotEffectivelyVax (hypo)'!AV37,'NotEffectivelyVax (hypo)'!AY37,'NotEffectivelyVax (hypo)'!BB37,'NotEffectivelyVax (hypo)'!BE37,'NotEffectivelyVax (hypo)'!BH37,'NotEffectivelyVax (hypo)'!BK37,'NotEffectivelyVax (hypo)'!BN37,'NotEffectivelyVax (hypo)'!BQ37,'NotEffectivelyVax (hypo)'!BT37,'NotEffectivelyVax (hypo)'!BW37,'NotEffectivelyVax (hypo)'!BZ37,'NotEffectivelyVax (hypo)'!CC37,'NotEffectivelyVax (hypo)'!CF37,'NotEffectivelyVax (hypo)'!CI37,'NotEffectivelyVax (hypo)'!CL37,'NotEffectivelyVax (hypo)'!CO37,'NotEffectivelyVax (hypo)'!CR37,'NotEffectivelyVax (hypo)'!CU37,'NotEffectivelyVax (hypo)'!CX37,'NotEffectivelyVax (hypo)'!DA37,'NotEffectivelyVax (hypo)'!DD37,'NotEffectivelyVax (hypo)'!DG37,'NotEffectivelyVax (hypo)'!DJ37,'NotEffectivelyVax (hypo)'!DM37,'NotEffectivelyVax (hypo)'!DQ37,'NotEffectivelyVax (hypo)'!DP37,'NotEffectivelyVax (hypo)'!DS37,'NotEffectivelyVax (hypo)'!DV37,'NotEffectivelyVax (hypo)'!DY37,'NotEffectivelyVax (hypo)'!EB37,'NotEffectivelyVax (hypo)'!EE37,'NotEffectivelyVax (hypo)'!EH37,'NotEffectivelyVax (hypo)'!EK37,'NotEffectivelyVax (hypo)'!EN37,'NotEffectivelyVax (hypo)'!EQ37,'NotEffectivelyVax (hypo)'!ET37,'NotEffectivelyVax (hypo)'!EW37,'NotEffectivelyVax (hypo)'!EZ37,'NotEffectivelyVax (hypo)'!FC37,'NotEffectivelyVax (hypo)'!FF37,'NotEffectivelyVax (hypo)'!FI37,'NotEffectivelyVax (hypo)'!FL37,'NotEffectivelyVax (hypo)'!FO37,'NotEffectivelyVax (hypo)'!FR37,'NotEffectivelyVax (hypo)'!FU37,'NotEffectivelyVax (hypo)'!FX37,'NotEffectivelyVax (hypo)'!GA37)</f>
        <v>#VALUE!</v>
      </c>
      <c r="W37" s="141" t="e">
        <f>SUM('NotEffectivelyVax (hypo)'!D37,'NotEffectivelyVax (hypo)'!G37,'NotEffectivelyVax (hypo)'!J37,'NotEffectivelyVax (hypo)'!M37,'NotEffectivelyVax (hypo)'!P37,'NotEffectivelyVax (hypo)'!S37,'NotEffectivelyVax (hypo)'!V37,'NotEffectivelyVax (hypo)'!Y37,'NotEffectivelyVax (hypo)'!AB37,'NotEffectivelyVax (hypo)'!AE37,'NotEffectivelyVax (hypo)'!AH37,'NotEffectivelyVax (hypo)'!AK37,'NotEffectivelyVax (hypo)'!AN37,'NotEffectivelyVax (hypo)'!AQ37,'NotEffectivelyVax (hypo)'!AT37,'NotEffectivelyVax (hypo)'!AW37,'NotEffectivelyVax (hypo)'!AZ37,'NotEffectivelyVax (hypo)'!BC37,'NotEffectivelyVax (hypo)'!BF37,'NotEffectivelyVax (hypo)'!BI37,'NotEffectivelyVax (hypo)'!BL37,'NotEffectivelyVax (hypo)'!BO37,'NotEffectivelyVax (hypo)'!BR37,'NotEffectivelyVax (hypo)'!BU37,'NotEffectivelyVax (hypo)'!BX37,'NotEffectivelyVax (hypo)'!CA37,'NotEffectivelyVax (hypo)'!CD37,'NotEffectivelyVax (hypo)'!CG37,'NotEffectivelyVax (hypo)'!CJ37,'NotEffectivelyVax (hypo)'!CM37,'NotEffectivelyVax (hypo)'!CP37,'NotEffectivelyVax (hypo)'!CS37,'NotEffectivelyVax (hypo)'!CV37,'NotEffectivelyVax (hypo)'!CY37,'NotEffectivelyVax (hypo)'!DB37,'NotEffectivelyVax (hypo)'!DE37,'NotEffectivelyVax (hypo)'!DH37,'NotEffectivelyVax (hypo)'!DK37,'NotEffectivelyVax (hypo)'!DN37,'NotEffectivelyVax (hypo)'!DQ37,'NotEffectivelyVax (hypo)'!DT37,'NotEffectivelyVax (hypo)'!DW37,'NotEffectivelyVax (hypo)'!DZ37,'NotEffectivelyVax (hypo)'!EC37,'NotEffectivelyVax (hypo)'!EF37,'NotEffectivelyVax (hypo)'!EI37,'NotEffectivelyVax (hypo)'!EL37,'NotEffectivelyVax (hypo)'!EO37,'NotEffectivelyVax (hypo)'!ER37,'NotEffectivelyVax (hypo)'!EU37,'NotEffectivelyVax (hypo)'!EX37,'NotEffectivelyVax (hypo)'!FA37,'NotEffectivelyVax (hypo)'!FD37,'NotEffectivelyVax (hypo)'!FG37,'NotEffectivelyVax (hypo)'!FJ37,'NotEffectivelyVax (hypo)'!FM37,'NotEffectivelyVax (hypo)'!FP37,'NotEffectivelyVax (hypo)'!FS37,'NotEffectivelyVax (hypo)'!FV37,'NotEffectivelyVax (hypo)'!FY37)</f>
        <v>#VALUE!</v>
      </c>
      <c r="X37" s="141" t="e">
        <f>SUM('NotEffectivelyVax (hypo)'!E37,'NotEffectivelyVax (hypo)'!H37,'NotEffectivelyVax (hypo)'!K37,'NotEffectivelyVax (hypo)'!N37,'NotEffectivelyVax (hypo)'!Q37,'NotEffectivelyVax (hypo)'!T37,'NotEffectivelyVax (hypo)'!Z37,'NotEffectivelyVax (hypo)'!W37,'NotEffectivelyVax (hypo)'!AC37,'NotEffectivelyVax (hypo)'!AF37,'NotEffectivelyVax (hypo)'!AI37,'NotEffectivelyVax (hypo)'!AL37,'NotEffectivelyVax (hypo)'!AO37,'NotEffectivelyVax (hypo)'!AR37,'NotEffectivelyVax (hypo)'!AU37,'NotEffectivelyVax (hypo)'!AX37,'NotEffectivelyVax (hypo)'!BA37,'NotEffectivelyVax (hypo)'!BD37,'NotEffectivelyVax (hypo)'!BG37,'NotEffectivelyVax (hypo)'!BJ37,'NotEffectivelyVax (hypo)'!BM37,'NotEffectivelyVax (hypo)'!BP37,'NotEffectivelyVax (hypo)'!BS37,'NotEffectivelyVax (hypo)'!BV37,'NotEffectivelyVax (hypo)'!BY37,'NotEffectivelyVax (hypo)'!CB37,'NotEffectivelyVax (hypo)'!CE37,'NotEffectivelyVax (hypo)'!CH37,'NotEffectivelyVax (hypo)'!CK37,'NotEffectivelyVax (hypo)'!CN37,'NotEffectivelyVax (hypo)'!CQ37,'NotEffectivelyVax (hypo)'!CT37,'NotEffectivelyVax (hypo)'!CW37,'NotEffectivelyVax (hypo)'!CZ37,'NotEffectivelyVax (hypo)'!DC37,'NotEffectivelyVax (hypo)'!DF37,'NotEffectivelyVax (hypo)'!DI37,'NotEffectivelyVax (hypo)'!DL37,'NotEffectivelyVax (hypo)'!DO37,'NotEffectivelyVax (hypo)'!DR37,'NotEffectivelyVax (hypo)'!DU37,'NotEffectivelyVax (hypo)'!DX37,'NotEffectivelyVax (hypo)'!EA37,'NotEffectivelyVax (hypo)'!ED37,'NotEffectivelyVax (hypo)'!EG37,'NotEffectivelyVax (hypo)'!EJ37,'NotEffectivelyVax (hypo)'!EM37,'NotEffectivelyVax (hypo)'!EP37,'NotEffectivelyVax (hypo)'!ES37,'NotEffectivelyVax (hypo)'!EV37,'NotEffectivelyVax (hypo)'!EY37,'NotEffectivelyVax (hypo)'!FB37,'NotEffectivelyVax (hypo)'!FE37,'NotEffectivelyVax (hypo)'!FH37,'NotEffectivelyVax (hypo)'!FK37,'NotEffectivelyVax (hypo)'!FN37,'NotEffectivelyVax (hypo)'!FQ37,'NotEffectivelyVax (hypo)'!FT37,'NotEffectivelyVax (hypo)'!FW37,'NotEffectivelyVax (hypo)'!FZ37)</f>
        <v>#VALUE!</v>
      </c>
      <c r="Y37" s="142" t="e">
        <f t="shared" si="2"/>
        <v>#VALUE!</v>
      </c>
      <c r="Z37" s="142" t="e">
        <f>IF(Export!M35&lt;&gt;"",W37*Export!K35*(1/Export!M35),W37*Export!K35)</f>
        <v>#VALUE!</v>
      </c>
      <c r="AA37" s="139" t="e">
        <f>Y37*Export!J35</f>
        <v>#VALUE!</v>
      </c>
      <c r="AC37" s="143" t="e">
        <f t="shared" si="3"/>
        <v>#VALUE!</v>
      </c>
      <c r="AD37" s="144" t="e">
        <f t="shared" si="18"/>
        <v>#VALUE!</v>
      </c>
      <c r="AE37" s="144" t="e">
        <f t="shared" si="4"/>
        <v>#VALUE!</v>
      </c>
      <c r="AF37" s="144" t="e">
        <f t="shared" si="5"/>
        <v>#VALUE!</v>
      </c>
      <c r="AG37" s="144" t="e">
        <f t="shared" si="6"/>
        <v>#VALUE!</v>
      </c>
      <c r="AH37" s="145"/>
      <c r="AI37" s="145"/>
      <c r="AJ37" s="145"/>
      <c r="AK37" s="145"/>
      <c r="AL37" s="146"/>
      <c r="AM37" s="150"/>
      <c r="AN37" s="150"/>
      <c r="AO37" s="150"/>
      <c r="AP37" s="150"/>
      <c r="AQ37" s="151"/>
    </row>
    <row r="38" spans="1:43" x14ac:dyDescent="0.35">
      <c r="A38" s="130">
        <f>EffectivelyVax!B37</f>
        <v>2</v>
      </c>
      <c r="B38" s="131" t="str">
        <f>EffectivelyVax!C37</f>
        <v/>
      </c>
      <c r="C38" s="132" t="str">
        <f>Export!N36</f>
        <v/>
      </c>
      <c r="D38" s="133" t="str">
        <f>Export!C36</f>
        <v/>
      </c>
      <c r="E38" s="133" t="e">
        <f>Export!C36*Export!L36</f>
        <v>#VALUE!</v>
      </c>
      <c r="F38" s="133" t="e">
        <f t="shared" si="17"/>
        <v>#VALUE!</v>
      </c>
      <c r="G38" s="133" t="e">
        <f>IF(Export!M36&lt;&gt;"",D38*Export!K36*(1/Export!M36),D38*Export!K36)</f>
        <v>#VALUE!</v>
      </c>
      <c r="H38" s="133" t="e">
        <f>F38*Export!J36</f>
        <v>#VALUE!</v>
      </c>
      <c r="I38" s="161" t="e">
        <f t="shared" si="16"/>
        <v>#VALUE!</v>
      </c>
      <c r="J38" s="134" t="e">
        <f t="shared" si="8"/>
        <v>#VALUE!</v>
      </c>
      <c r="K38" s="135" t="e">
        <f t="shared" si="9"/>
        <v>#VALUE!</v>
      </c>
      <c r="L38" s="117" t="str">
        <f>Export!B36</f>
        <v/>
      </c>
      <c r="M38" s="115" t="e">
        <f>C38*L38*HelperFunctions!G$31</f>
        <v>#VALUE!</v>
      </c>
      <c r="N38" s="116" t="e">
        <f>C38*L38*(1-HelperFunctions!G$31)</f>
        <v>#VALUE!</v>
      </c>
      <c r="O38" s="136" t="e">
        <f t="shared" si="14"/>
        <v>#DIV/0!</v>
      </c>
      <c r="P38" s="137">
        <f>SUM(EffectivelyVax!D37:BK37)</f>
        <v>0</v>
      </c>
      <c r="Q38" s="138" t="e">
        <f t="shared" si="11"/>
        <v>#DIV/0!</v>
      </c>
      <c r="R38" s="138" t="e">
        <f t="shared" si="12"/>
        <v>#DIV/0!</v>
      </c>
      <c r="S38" s="137" t="e">
        <f t="shared" si="1"/>
        <v>#DIV/0!</v>
      </c>
      <c r="T38" s="138" t="e">
        <f>IF(Export!M36&lt;&gt;"",Q38*Export!K36*(1/Export!M36),Q38*Export!K36)</f>
        <v>#DIV/0!</v>
      </c>
      <c r="U38" s="139" t="e">
        <f>S38*Export!J36</f>
        <v>#DIV/0!</v>
      </c>
      <c r="V38" s="140" t="e">
        <f>SUM('NotEffectivelyVax (hypo)'!F38,'NotEffectivelyVax (hypo)'!I38,'NotEffectivelyVax (hypo)'!L38,'NotEffectivelyVax (hypo)'!O38,'NotEffectivelyVax (hypo)'!R38,'NotEffectivelyVax (hypo)'!U38,'NotEffectivelyVax (hypo)'!X38,'NotEffectivelyVax (hypo)'!AA38,'NotEffectivelyVax (hypo)'!AD38,'NotEffectivelyVax (hypo)'!AG38,'NotEffectivelyVax (hypo)'!AJ38,'NotEffectivelyVax (hypo)'!AM38,'NotEffectivelyVax (hypo)'!AP38,'NotEffectivelyVax (hypo)'!AS38,'NotEffectivelyVax (hypo)'!AV38,'NotEffectivelyVax (hypo)'!AY38,'NotEffectivelyVax (hypo)'!BB38,'NotEffectivelyVax (hypo)'!BE38,'NotEffectivelyVax (hypo)'!BH38,'NotEffectivelyVax (hypo)'!BK38,'NotEffectivelyVax (hypo)'!BN38,'NotEffectivelyVax (hypo)'!BQ38,'NotEffectivelyVax (hypo)'!BT38,'NotEffectivelyVax (hypo)'!BW38,'NotEffectivelyVax (hypo)'!BZ38,'NotEffectivelyVax (hypo)'!CC38,'NotEffectivelyVax (hypo)'!CF38,'NotEffectivelyVax (hypo)'!CI38,'NotEffectivelyVax (hypo)'!CL38,'NotEffectivelyVax (hypo)'!CO38,'NotEffectivelyVax (hypo)'!CR38,'NotEffectivelyVax (hypo)'!CU38,'NotEffectivelyVax (hypo)'!CX38,'NotEffectivelyVax (hypo)'!DA38,'NotEffectivelyVax (hypo)'!DD38,'NotEffectivelyVax (hypo)'!DG38,'NotEffectivelyVax (hypo)'!DJ38,'NotEffectivelyVax (hypo)'!DM38,'NotEffectivelyVax (hypo)'!DQ38,'NotEffectivelyVax (hypo)'!DP38,'NotEffectivelyVax (hypo)'!DS38,'NotEffectivelyVax (hypo)'!DV38,'NotEffectivelyVax (hypo)'!DY38,'NotEffectivelyVax (hypo)'!EB38,'NotEffectivelyVax (hypo)'!EE38,'NotEffectivelyVax (hypo)'!EH38,'NotEffectivelyVax (hypo)'!EK38,'NotEffectivelyVax (hypo)'!EN38,'NotEffectivelyVax (hypo)'!EQ38,'NotEffectivelyVax (hypo)'!ET38,'NotEffectivelyVax (hypo)'!EW38,'NotEffectivelyVax (hypo)'!EZ38,'NotEffectivelyVax (hypo)'!FC38,'NotEffectivelyVax (hypo)'!FF38,'NotEffectivelyVax (hypo)'!FI38,'NotEffectivelyVax (hypo)'!FL38,'NotEffectivelyVax (hypo)'!FO38,'NotEffectivelyVax (hypo)'!FR38,'NotEffectivelyVax (hypo)'!FU38,'NotEffectivelyVax (hypo)'!FX38,'NotEffectivelyVax (hypo)'!GA38)</f>
        <v>#VALUE!</v>
      </c>
      <c r="W38" s="141" t="e">
        <f>SUM('NotEffectivelyVax (hypo)'!D38,'NotEffectivelyVax (hypo)'!G38,'NotEffectivelyVax (hypo)'!J38,'NotEffectivelyVax (hypo)'!M38,'NotEffectivelyVax (hypo)'!P38,'NotEffectivelyVax (hypo)'!S38,'NotEffectivelyVax (hypo)'!V38,'NotEffectivelyVax (hypo)'!Y38,'NotEffectivelyVax (hypo)'!AB38,'NotEffectivelyVax (hypo)'!AE38,'NotEffectivelyVax (hypo)'!AH38,'NotEffectivelyVax (hypo)'!AK38,'NotEffectivelyVax (hypo)'!AN38,'NotEffectivelyVax (hypo)'!AQ38,'NotEffectivelyVax (hypo)'!AT38,'NotEffectivelyVax (hypo)'!AW38,'NotEffectivelyVax (hypo)'!AZ38,'NotEffectivelyVax (hypo)'!BC38,'NotEffectivelyVax (hypo)'!BF38,'NotEffectivelyVax (hypo)'!BI38,'NotEffectivelyVax (hypo)'!BL38,'NotEffectivelyVax (hypo)'!BO38,'NotEffectivelyVax (hypo)'!BR38,'NotEffectivelyVax (hypo)'!BU38,'NotEffectivelyVax (hypo)'!BX38,'NotEffectivelyVax (hypo)'!CA38,'NotEffectivelyVax (hypo)'!CD38,'NotEffectivelyVax (hypo)'!CG38,'NotEffectivelyVax (hypo)'!CJ38,'NotEffectivelyVax (hypo)'!CM38,'NotEffectivelyVax (hypo)'!CP38,'NotEffectivelyVax (hypo)'!CS38,'NotEffectivelyVax (hypo)'!CV38,'NotEffectivelyVax (hypo)'!CY38,'NotEffectivelyVax (hypo)'!DB38,'NotEffectivelyVax (hypo)'!DE38,'NotEffectivelyVax (hypo)'!DH38,'NotEffectivelyVax (hypo)'!DK38,'NotEffectivelyVax (hypo)'!DN38,'NotEffectivelyVax (hypo)'!DQ38,'NotEffectivelyVax (hypo)'!DT38,'NotEffectivelyVax (hypo)'!DW38,'NotEffectivelyVax (hypo)'!DZ38,'NotEffectivelyVax (hypo)'!EC38,'NotEffectivelyVax (hypo)'!EF38,'NotEffectivelyVax (hypo)'!EI38,'NotEffectivelyVax (hypo)'!EL38,'NotEffectivelyVax (hypo)'!EO38,'NotEffectivelyVax (hypo)'!ER38,'NotEffectivelyVax (hypo)'!EU38,'NotEffectivelyVax (hypo)'!EX38,'NotEffectivelyVax (hypo)'!FA38,'NotEffectivelyVax (hypo)'!FD38,'NotEffectivelyVax (hypo)'!FG38,'NotEffectivelyVax (hypo)'!FJ38,'NotEffectivelyVax (hypo)'!FM38,'NotEffectivelyVax (hypo)'!FP38,'NotEffectivelyVax (hypo)'!FS38,'NotEffectivelyVax (hypo)'!FV38,'NotEffectivelyVax (hypo)'!FY38)</f>
        <v>#VALUE!</v>
      </c>
      <c r="X38" s="141" t="e">
        <f>SUM('NotEffectivelyVax (hypo)'!E38,'NotEffectivelyVax (hypo)'!H38,'NotEffectivelyVax (hypo)'!K38,'NotEffectivelyVax (hypo)'!N38,'NotEffectivelyVax (hypo)'!Q38,'NotEffectivelyVax (hypo)'!T38,'NotEffectivelyVax (hypo)'!Z38,'NotEffectivelyVax (hypo)'!W38,'NotEffectivelyVax (hypo)'!AC38,'NotEffectivelyVax (hypo)'!AF38,'NotEffectivelyVax (hypo)'!AI38,'NotEffectivelyVax (hypo)'!AL38,'NotEffectivelyVax (hypo)'!AO38,'NotEffectivelyVax (hypo)'!AR38,'NotEffectivelyVax (hypo)'!AU38,'NotEffectivelyVax (hypo)'!AX38,'NotEffectivelyVax (hypo)'!BA38,'NotEffectivelyVax (hypo)'!BD38,'NotEffectivelyVax (hypo)'!BG38,'NotEffectivelyVax (hypo)'!BJ38,'NotEffectivelyVax (hypo)'!BM38,'NotEffectivelyVax (hypo)'!BP38,'NotEffectivelyVax (hypo)'!BS38,'NotEffectivelyVax (hypo)'!BV38,'NotEffectivelyVax (hypo)'!BY38,'NotEffectivelyVax (hypo)'!CB38,'NotEffectivelyVax (hypo)'!CE38,'NotEffectivelyVax (hypo)'!CH38,'NotEffectivelyVax (hypo)'!CK38,'NotEffectivelyVax (hypo)'!CN38,'NotEffectivelyVax (hypo)'!CQ38,'NotEffectivelyVax (hypo)'!CT38,'NotEffectivelyVax (hypo)'!CW38,'NotEffectivelyVax (hypo)'!CZ38,'NotEffectivelyVax (hypo)'!DC38,'NotEffectivelyVax (hypo)'!DF38,'NotEffectivelyVax (hypo)'!DI38,'NotEffectivelyVax (hypo)'!DL38,'NotEffectivelyVax (hypo)'!DO38,'NotEffectivelyVax (hypo)'!DR38,'NotEffectivelyVax (hypo)'!DU38,'NotEffectivelyVax (hypo)'!DX38,'NotEffectivelyVax (hypo)'!EA38,'NotEffectivelyVax (hypo)'!ED38,'NotEffectivelyVax (hypo)'!EG38,'NotEffectivelyVax (hypo)'!EJ38,'NotEffectivelyVax (hypo)'!EM38,'NotEffectivelyVax (hypo)'!EP38,'NotEffectivelyVax (hypo)'!ES38,'NotEffectivelyVax (hypo)'!EV38,'NotEffectivelyVax (hypo)'!EY38,'NotEffectivelyVax (hypo)'!FB38,'NotEffectivelyVax (hypo)'!FE38,'NotEffectivelyVax (hypo)'!FH38,'NotEffectivelyVax (hypo)'!FK38,'NotEffectivelyVax (hypo)'!FN38,'NotEffectivelyVax (hypo)'!FQ38,'NotEffectivelyVax (hypo)'!FT38,'NotEffectivelyVax (hypo)'!FW38,'NotEffectivelyVax (hypo)'!FZ38)</f>
        <v>#VALUE!</v>
      </c>
      <c r="Y38" s="142" t="e">
        <f t="shared" si="2"/>
        <v>#VALUE!</v>
      </c>
      <c r="Z38" s="142" t="e">
        <f>IF(Export!M36&lt;&gt;"",W38*Export!K36*(1/Export!M36),W38*Export!K36)</f>
        <v>#VALUE!</v>
      </c>
      <c r="AA38" s="139" t="e">
        <f>Y38*Export!J36</f>
        <v>#VALUE!</v>
      </c>
      <c r="AC38" s="143" t="e">
        <f t="shared" si="3"/>
        <v>#VALUE!</v>
      </c>
      <c r="AD38" s="144" t="e">
        <f t="shared" si="18"/>
        <v>#VALUE!</v>
      </c>
      <c r="AE38" s="144" t="e">
        <f t="shared" si="4"/>
        <v>#VALUE!</v>
      </c>
      <c r="AF38" s="144" t="e">
        <f t="shared" si="5"/>
        <v>#VALUE!</v>
      </c>
      <c r="AG38" s="144" t="e">
        <f t="shared" si="6"/>
        <v>#VALUE!</v>
      </c>
      <c r="AH38" s="145"/>
      <c r="AI38" s="145"/>
      <c r="AJ38" s="145"/>
      <c r="AK38" s="145"/>
      <c r="AL38" s="146"/>
      <c r="AM38" s="150"/>
      <c r="AN38" s="150"/>
      <c r="AO38" s="150"/>
      <c r="AP38" s="150"/>
      <c r="AQ38" s="151"/>
    </row>
    <row r="39" spans="1:43" ht="15.75" customHeight="1" x14ac:dyDescent="0.35">
      <c r="A39" s="95">
        <f>EffectivelyVax!B38</f>
        <v>2</v>
      </c>
      <c r="B39" s="96" t="str">
        <f>EffectivelyVax!C38</f>
        <v/>
      </c>
      <c r="C39" s="97" t="str">
        <f>Export!N37</f>
        <v/>
      </c>
      <c r="D39" s="98" t="str">
        <f>Export!C37</f>
        <v/>
      </c>
      <c r="E39" s="98" t="e">
        <f>Export!C37*Export!L37</f>
        <v>#VALUE!</v>
      </c>
      <c r="F39" s="98" t="e">
        <f t="shared" si="17"/>
        <v>#VALUE!</v>
      </c>
      <c r="G39" s="98" t="e">
        <f>IF(Export!M37&lt;&gt;"",D39*Export!K37*(1/Export!M37),D39*Export!K37)</f>
        <v>#VALUE!</v>
      </c>
      <c r="H39" s="98" t="e">
        <f>F39*Export!J37</f>
        <v>#VALUE!</v>
      </c>
      <c r="I39" s="98" t="e">
        <f t="shared" si="16"/>
        <v>#VALUE!</v>
      </c>
      <c r="J39" s="99" t="e">
        <f t="shared" si="8"/>
        <v>#VALUE!</v>
      </c>
      <c r="K39" s="100" t="e">
        <f t="shared" si="9"/>
        <v>#VALUE!</v>
      </c>
      <c r="L39" s="101" t="str">
        <f>Export!B37</f>
        <v/>
      </c>
      <c r="M39" s="102" t="e">
        <f>C39*L39*HelperFunctions!G$31</f>
        <v>#VALUE!</v>
      </c>
      <c r="N39" s="103" t="e">
        <f>C39*L39*(1-HelperFunctions!G$31)</f>
        <v>#VALUE!</v>
      </c>
      <c r="O39" s="104" t="e">
        <f t="shared" si="14"/>
        <v>#DIV/0!</v>
      </c>
      <c r="P39" s="105">
        <f>SUM(EffectivelyVax!D38:BK38)</f>
        <v>0</v>
      </c>
      <c r="Q39" s="106" t="e">
        <f t="shared" si="11"/>
        <v>#DIV/0!</v>
      </c>
      <c r="R39" s="106" t="e">
        <f t="shared" si="12"/>
        <v>#DIV/0!</v>
      </c>
      <c r="S39" s="105" t="e">
        <f t="shared" si="1"/>
        <v>#DIV/0!</v>
      </c>
      <c r="T39" s="106" t="e">
        <f>IF(Export!M37&lt;&gt;"",Q39*Export!K37*(1/Export!M37),Q39*Export!K37)</f>
        <v>#DIV/0!</v>
      </c>
      <c r="U39" s="107" t="e">
        <f>S39*Export!J37</f>
        <v>#DIV/0!</v>
      </c>
      <c r="V39" s="108" t="e">
        <f>SUM('NotEffectivelyVax (hypo)'!F39,'NotEffectivelyVax (hypo)'!I39,'NotEffectivelyVax (hypo)'!L39,'NotEffectivelyVax (hypo)'!O39,'NotEffectivelyVax (hypo)'!R39,'NotEffectivelyVax (hypo)'!U39,'NotEffectivelyVax (hypo)'!X39,'NotEffectivelyVax (hypo)'!AA39,'NotEffectivelyVax (hypo)'!AD39,'NotEffectivelyVax (hypo)'!AG39,'NotEffectivelyVax (hypo)'!AJ39,'NotEffectivelyVax (hypo)'!AM39,'NotEffectivelyVax (hypo)'!AP39,'NotEffectivelyVax (hypo)'!AS39,'NotEffectivelyVax (hypo)'!AV39,'NotEffectivelyVax (hypo)'!AY39,'NotEffectivelyVax (hypo)'!BB39,'NotEffectivelyVax (hypo)'!BE39,'NotEffectivelyVax (hypo)'!BH39,'NotEffectivelyVax (hypo)'!BK39,'NotEffectivelyVax (hypo)'!BN39,'NotEffectivelyVax (hypo)'!BQ39,'NotEffectivelyVax (hypo)'!BT39,'NotEffectivelyVax (hypo)'!BW39,'NotEffectivelyVax (hypo)'!BZ39,'NotEffectivelyVax (hypo)'!CC39,'NotEffectivelyVax (hypo)'!CF39,'NotEffectivelyVax (hypo)'!CI39,'NotEffectivelyVax (hypo)'!CL39,'NotEffectivelyVax (hypo)'!CO39,'NotEffectivelyVax (hypo)'!CR39,'NotEffectivelyVax (hypo)'!CU39,'NotEffectivelyVax (hypo)'!CX39,'NotEffectivelyVax (hypo)'!DA39,'NotEffectivelyVax (hypo)'!DD39,'NotEffectivelyVax (hypo)'!DG39,'NotEffectivelyVax (hypo)'!DJ39,'NotEffectivelyVax (hypo)'!DM39,'NotEffectivelyVax (hypo)'!DQ39,'NotEffectivelyVax (hypo)'!DP39,'NotEffectivelyVax (hypo)'!DS39,'NotEffectivelyVax (hypo)'!DV39,'NotEffectivelyVax (hypo)'!DY39,'NotEffectivelyVax (hypo)'!EB39,'NotEffectivelyVax (hypo)'!EE39,'NotEffectivelyVax (hypo)'!EH39,'NotEffectivelyVax (hypo)'!EK39,'NotEffectivelyVax (hypo)'!EN39,'NotEffectivelyVax (hypo)'!EQ39,'NotEffectivelyVax (hypo)'!ET39,'NotEffectivelyVax (hypo)'!EW39,'NotEffectivelyVax (hypo)'!EZ39,'NotEffectivelyVax (hypo)'!FC39,'NotEffectivelyVax (hypo)'!FF39,'NotEffectivelyVax (hypo)'!FI39,'NotEffectivelyVax (hypo)'!FL39,'NotEffectivelyVax (hypo)'!FO39,'NotEffectivelyVax (hypo)'!FR39,'NotEffectivelyVax (hypo)'!FU39,'NotEffectivelyVax (hypo)'!FX39,'NotEffectivelyVax (hypo)'!GA39)</f>
        <v>#VALUE!</v>
      </c>
      <c r="W39" s="109" t="e">
        <f>SUM('NotEffectivelyVax (hypo)'!D39,'NotEffectivelyVax (hypo)'!G39,'NotEffectivelyVax (hypo)'!J39,'NotEffectivelyVax (hypo)'!M39,'NotEffectivelyVax (hypo)'!P39,'NotEffectivelyVax (hypo)'!S39,'NotEffectivelyVax (hypo)'!V39,'NotEffectivelyVax (hypo)'!Y39,'NotEffectivelyVax (hypo)'!AB39,'NotEffectivelyVax (hypo)'!AE39,'NotEffectivelyVax (hypo)'!AH39,'NotEffectivelyVax (hypo)'!AK39,'NotEffectivelyVax (hypo)'!AN39,'NotEffectivelyVax (hypo)'!AQ39,'NotEffectivelyVax (hypo)'!AT39,'NotEffectivelyVax (hypo)'!AW39,'NotEffectivelyVax (hypo)'!AZ39,'NotEffectivelyVax (hypo)'!BC39,'NotEffectivelyVax (hypo)'!BF39,'NotEffectivelyVax (hypo)'!BI39,'NotEffectivelyVax (hypo)'!BL39,'NotEffectivelyVax (hypo)'!BO39,'NotEffectivelyVax (hypo)'!BR39,'NotEffectivelyVax (hypo)'!BU39,'NotEffectivelyVax (hypo)'!BX39,'NotEffectivelyVax (hypo)'!CA39,'NotEffectivelyVax (hypo)'!CD39,'NotEffectivelyVax (hypo)'!CG39,'NotEffectivelyVax (hypo)'!CJ39,'NotEffectivelyVax (hypo)'!CM39,'NotEffectivelyVax (hypo)'!CP39,'NotEffectivelyVax (hypo)'!CS39,'NotEffectivelyVax (hypo)'!CV39,'NotEffectivelyVax (hypo)'!CY39,'NotEffectivelyVax (hypo)'!DB39,'NotEffectivelyVax (hypo)'!DE39,'NotEffectivelyVax (hypo)'!DH39,'NotEffectivelyVax (hypo)'!DK39,'NotEffectivelyVax (hypo)'!DN39,'NotEffectivelyVax (hypo)'!DQ39,'NotEffectivelyVax (hypo)'!DT39,'NotEffectivelyVax (hypo)'!DW39,'NotEffectivelyVax (hypo)'!DZ39,'NotEffectivelyVax (hypo)'!EC39,'NotEffectivelyVax (hypo)'!EF39,'NotEffectivelyVax (hypo)'!EI39,'NotEffectivelyVax (hypo)'!EL39,'NotEffectivelyVax (hypo)'!EO39,'NotEffectivelyVax (hypo)'!ER39,'NotEffectivelyVax (hypo)'!EU39,'NotEffectivelyVax (hypo)'!EX39,'NotEffectivelyVax (hypo)'!FA39,'NotEffectivelyVax (hypo)'!FD39,'NotEffectivelyVax (hypo)'!FG39,'NotEffectivelyVax (hypo)'!FJ39,'NotEffectivelyVax (hypo)'!FM39,'NotEffectivelyVax (hypo)'!FP39,'NotEffectivelyVax (hypo)'!FS39,'NotEffectivelyVax (hypo)'!FV39,'NotEffectivelyVax (hypo)'!FY39)</f>
        <v>#VALUE!</v>
      </c>
      <c r="X39" s="109" t="e">
        <f>SUM('NotEffectivelyVax (hypo)'!E39,'NotEffectivelyVax (hypo)'!H39,'NotEffectivelyVax (hypo)'!K39,'NotEffectivelyVax (hypo)'!N39,'NotEffectivelyVax (hypo)'!Q39,'NotEffectivelyVax (hypo)'!T39,'NotEffectivelyVax (hypo)'!Z39,'NotEffectivelyVax (hypo)'!W39,'NotEffectivelyVax (hypo)'!AC39,'NotEffectivelyVax (hypo)'!AF39,'NotEffectivelyVax (hypo)'!AI39,'NotEffectivelyVax (hypo)'!AL39,'NotEffectivelyVax (hypo)'!AO39,'NotEffectivelyVax (hypo)'!AR39,'NotEffectivelyVax (hypo)'!AU39,'NotEffectivelyVax (hypo)'!AX39,'NotEffectivelyVax (hypo)'!BA39,'NotEffectivelyVax (hypo)'!BD39,'NotEffectivelyVax (hypo)'!BG39,'NotEffectivelyVax (hypo)'!BJ39,'NotEffectivelyVax (hypo)'!BM39,'NotEffectivelyVax (hypo)'!BP39,'NotEffectivelyVax (hypo)'!BS39,'NotEffectivelyVax (hypo)'!BV39,'NotEffectivelyVax (hypo)'!BY39,'NotEffectivelyVax (hypo)'!CB39,'NotEffectivelyVax (hypo)'!CE39,'NotEffectivelyVax (hypo)'!CH39,'NotEffectivelyVax (hypo)'!CK39,'NotEffectivelyVax (hypo)'!CN39,'NotEffectivelyVax (hypo)'!CQ39,'NotEffectivelyVax (hypo)'!CT39,'NotEffectivelyVax (hypo)'!CW39,'NotEffectivelyVax (hypo)'!CZ39,'NotEffectivelyVax (hypo)'!DC39,'NotEffectivelyVax (hypo)'!DF39,'NotEffectivelyVax (hypo)'!DI39,'NotEffectivelyVax (hypo)'!DL39,'NotEffectivelyVax (hypo)'!DO39,'NotEffectivelyVax (hypo)'!DR39,'NotEffectivelyVax (hypo)'!DU39,'NotEffectivelyVax (hypo)'!DX39,'NotEffectivelyVax (hypo)'!EA39,'NotEffectivelyVax (hypo)'!ED39,'NotEffectivelyVax (hypo)'!EG39,'NotEffectivelyVax (hypo)'!EJ39,'NotEffectivelyVax (hypo)'!EM39,'NotEffectivelyVax (hypo)'!EP39,'NotEffectivelyVax (hypo)'!ES39,'NotEffectivelyVax (hypo)'!EV39,'NotEffectivelyVax (hypo)'!EY39,'NotEffectivelyVax (hypo)'!FB39,'NotEffectivelyVax (hypo)'!FE39,'NotEffectivelyVax (hypo)'!FH39,'NotEffectivelyVax (hypo)'!FK39,'NotEffectivelyVax (hypo)'!FN39,'NotEffectivelyVax (hypo)'!FQ39,'NotEffectivelyVax (hypo)'!FT39,'NotEffectivelyVax (hypo)'!FW39,'NotEffectivelyVax (hypo)'!FZ39)</f>
        <v>#VALUE!</v>
      </c>
      <c r="Y39" s="110" t="e">
        <f t="shared" si="2"/>
        <v>#VALUE!</v>
      </c>
      <c r="Z39" s="110" t="e">
        <f>IF(Export!M37&lt;&gt;"",W39*Export!K37*(1/Export!M37),W39*Export!K37)</f>
        <v>#VALUE!</v>
      </c>
      <c r="AA39" s="107" t="e">
        <f>Y39*Export!J37</f>
        <v>#VALUE!</v>
      </c>
      <c r="AC39" s="156" t="e">
        <f t="shared" si="3"/>
        <v>#VALUE!</v>
      </c>
      <c r="AD39" s="157" t="e">
        <f t="shared" si="18"/>
        <v>#VALUE!</v>
      </c>
      <c r="AE39" s="157" t="e">
        <f t="shared" si="4"/>
        <v>#VALUE!</v>
      </c>
      <c r="AF39" s="157" t="e">
        <f t="shared" si="5"/>
        <v>#VALUE!</v>
      </c>
      <c r="AG39" s="157" t="e">
        <f t="shared" si="6"/>
        <v>#VALUE!</v>
      </c>
      <c r="AH39" s="147" t="e">
        <f>SUM(AC28:AC39)/SUM(D28:D39)</f>
        <v>#VALUE!</v>
      </c>
      <c r="AI39" s="147" t="e">
        <f>SUM(AD28:AD39)/SUM(E28:E39)</f>
        <v>#VALUE!</v>
      </c>
      <c r="AJ39" s="112" t="e">
        <f>SUM(AE28:AE39)/SUM(G28:G39)</f>
        <v>#VALUE!</v>
      </c>
      <c r="AK39" s="112" t="e">
        <f>SUM(AF28:AF39)/SUM(H28:H39)</f>
        <v>#VALUE!</v>
      </c>
      <c r="AL39" s="111" t="e">
        <f>SUM(AG28:AG39)/SUM(F28:F39)</f>
        <v>#VALUE!</v>
      </c>
      <c r="AM39" s="148" t="e">
        <f>SUM($M28:$N39)/SUM(AC28:AC39)</f>
        <v>#VALUE!</v>
      </c>
      <c r="AN39" s="148" t="e">
        <f t="shared" ref="AN39" si="22">SUM($M28:$N39)/SUM(AD28:AD39)</f>
        <v>#VALUE!</v>
      </c>
      <c r="AO39" s="148" t="e">
        <f t="shared" ref="AO39" si="23">SUM($M28:$N39)/SUM(AE28:AE39)</f>
        <v>#VALUE!</v>
      </c>
      <c r="AP39" s="148" t="e">
        <f t="shared" ref="AP39" si="24">SUM($M28:$N39)/SUM(AF28:AF39)</f>
        <v>#VALUE!</v>
      </c>
      <c r="AQ39" s="149" t="e">
        <f>SUM($M28:$N39)/SUM(AC28:AD39)</f>
        <v>#VALUE!</v>
      </c>
    </row>
    <row r="40" spans="1:43" x14ac:dyDescent="0.35">
      <c r="A40" s="158">
        <f>EffectivelyVax!B39</f>
        <v>3</v>
      </c>
      <c r="B40" s="159" t="str">
        <f>EffectivelyVax!C39</f>
        <v/>
      </c>
      <c r="C40" s="160" t="str">
        <f>Export!N38</f>
        <v/>
      </c>
      <c r="D40" s="161" t="str">
        <f>Export!C38</f>
        <v/>
      </c>
      <c r="E40" s="161" t="e">
        <f>Export!C38*Export!L38</f>
        <v>#VALUE!</v>
      </c>
      <c r="F40" s="161" t="e">
        <f t="shared" si="17"/>
        <v>#VALUE!</v>
      </c>
      <c r="G40" s="161" t="e">
        <f>IF(Export!M38&lt;&gt;"",D40*Export!K38*(1/Export!M38),D40*Export!K38)</f>
        <v>#VALUE!</v>
      </c>
      <c r="H40" s="161" t="e">
        <f>F40*Export!J38</f>
        <v>#VALUE!</v>
      </c>
      <c r="I40" s="161" t="e">
        <f t="shared" si="16"/>
        <v>#VALUE!</v>
      </c>
      <c r="J40" s="153" t="e">
        <f t="shared" si="8"/>
        <v>#VALUE!</v>
      </c>
      <c r="K40" s="162" t="e">
        <f t="shared" si="9"/>
        <v>#VALUE!</v>
      </c>
      <c r="L40" s="163" t="str">
        <f>Export!B38</f>
        <v/>
      </c>
      <c r="M40" s="164" t="e">
        <f>C40*L40*HelperFunctions!G$45</f>
        <v>#VALUE!</v>
      </c>
      <c r="N40" s="165" t="e">
        <f>C40*L40*(1-HelperFunctions!G$45)</f>
        <v>#VALUE!</v>
      </c>
      <c r="O40" s="166" t="e">
        <f t="shared" si="14"/>
        <v>#DIV/0!</v>
      </c>
      <c r="P40" s="167">
        <f>SUM(EffectivelyVax!D39:BK39)</f>
        <v>0</v>
      </c>
      <c r="Q40" s="155" t="e">
        <f t="shared" si="11"/>
        <v>#DIV/0!</v>
      </c>
      <c r="R40" s="155" t="e">
        <f t="shared" si="12"/>
        <v>#DIV/0!</v>
      </c>
      <c r="S40" s="167" t="e">
        <f t="shared" si="1"/>
        <v>#DIV/0!</v>
      </c>
      <c r="T40" s="155" t="e">
        <f>IF(Export!M38&lt;&gt;"",Q40*Export!K38*(1/Export!M38),Q40*Export!K38)</f>
        <v>#DIV/0!</v>
      </c>
      <c r="U40" s="154" t="e">
        <f>S40*Export!J38</f>
        <v>#DIV/0!</v>
      </c>
      <c r="V40" s="168" t="e">
        <f>SUM('NotEffectivelyVax (hypo)'!F40,'NotEffectivelyVax (hypo)'!I40,'NotEffectivelyVax (hypo)'!L40,'NotEffectivelyVax (hypo)'!O40,'NotEffectivelyVax (hypo)'!R40,'NotEffectivelyVax (hypo)'!U40,'NotEffectivelyVax (hypo)'!X40,'NotEffectivelyVax (hypo)'!AA40,'NotEffectivelyVax (hypo)'!AD40,'NotEffectivelyVax (hypo)'!AG40,'NotEffectivelyVax (hypo)'!AJ40,'NotEffectivelyVax (hypo)'!AM40,'NotEffectivelyVax (hypo)'!AP40,'NotEffectivelyVax (hypo)'!AS40,'NotEffectivelyVax (hypo)'!AV40,'NotEffectivelyVax (hypo)'!AY40,'NotEffectivelyVax (hypo)'!BB40,'NotEffectivelyVax (hypo)'!BE40,'NotEffectivelyVax (hypo)'!BH40,'NotEffectivelyVax (hypo)'!BK40,'NotEffectivelyVax (hypo)'!BN40,'NotEffectivelyVax (hypo)'!BQ40,'NotEffectivelyVax (hypo)'!BT40,'NotEffectivelyVax (hypo)'!BW40,'NotEffectivelyVax (hypo)'!BZ40,'NotEffectivelyVax (hypo)'!CC40,'NotEffectivelyVax (hypo)'!CF40,'NotEffectivelyVax (hypo)'!CI40,'NotEffectivelyVax (hypo)'!CL40,'NotEffectivelyVax (hypo)'!CO40,'NotEffectivelyVax (hypo)'!CR40,'NotEffectivelyVax (hypo)'!CU40,'NotEffectivelyVax (hypo)'!CX40,'NotEffectivelyVax (hypo)'!DA40,'NotEffectivelyVax (hypo)'!DD40,'NotEffectivelyVax (hypo)'!DG40,'NotEffectivelyVax (hypo)'!DJ40,'NotEffectivelyVax (hypo)'!DM40,'NotEffectivelyVax (hypo)'!DQ40,'NotEffectivelyVax (hypo)'!DP40,'NotEffectivelyVax (hypo)'!DS40,'NotEffectivelyVax (hypo)'!DV40,'NotEffectivelyVax (hypo)'!DY40,'NotEffectivelyVax (hypo)'!EB40,'NotEffectivelyVax (hypo)'!EE40,'NotEffectivelyVax (hypo)'!EH40,'NotEffectivelyVax (hypo)'!EK40,'NotEffectivelyVax (hypo)'!EN40,'NotEffectivelyVax (hypo)'!EQ40,'NotEffectivelyVax (hypo)'!ET40,'NotEffectivelyVax (hypo)'!EW40,'NotEffectivelyVax (hypo)'!EZ40,'NotEffectivelyVax (hypo)'!FC40,'NotEffectivelyVax (hypo)'!FF40,'NotEffectivelyVax (hypo)'!FI40,'NotEffectivelyVax (hypo)'!FL40,'NotEffectivelyVax (hypo)'!FO40,'NotEffectivelyVax (hypo)'!FR40,'NotEffectivelyVax (hypo)'!FU40,'NotEffectivelyVax (hypo)'!FX40,'NotEffectivelyVax (hypo)'!GA40)</f>
        <v>#VALUE!</v>
      </c>
      <c r="W40" s="169" t="e">
        <f>SUM('NotEffectivelyVax (hypo)'!D40,'NotEffectivelyVax (hypo)'!G40,'NotEffectivelyVax (hypo)'!J40,'NotEffectivelyVax (hypo)'!M40,'NotEffectivelyVax (hypo)'!P40,'NotEffectivelyVax (hypo)'!S40,'NotEffectivelyVax (hypo)'!V40,'NotEffectivelyVax (hypo)'!Y40,'NotEffectivelyVax (hypo)'!AB40,'NotEffectivelyVax (hypo)'!AE40,'NotEffectivelyVax (hypo)'!AH40,'NotEffectivelyVax (hypo)'!AK40,'NotEffectivelyVax (hypo)'!AN40,'NotEffectivelyVax (hypo)'!AQ40,'NotEffectivelyVax (hypo)'!AT40,'NotEffectivelyVax (hypo)'!AW40,'NotEffectivelyVax (hypo)'!AZ40,'NotEffectivelyVax (hypo)'!BC40,'NotEffectivelyVax (hypo)'!BF40,'NotEffectivelyVax (hypo)'!BI40,'NotEffectivelyVax (hypo)'!BL40,'NotEffectivelyVax (hypo)'!BO40,'NotEffectivelyVax (hypo)'!BR40,'NotEffectivelyVax (hypo)'!BU40,'NotEffectivelyVax (hypo)'!BX40,'NotEffectivelyVax (hypo)'!CA40,'NotEffectivelyVax (hypo)'!CD40,'NotEffectivelyVax (hypo)'!CG40,'NotEffectivelyVax (hypo)'!CJ40,'NotEffectivelyVax (hypo)'!CM40,'NotEffectivelyVax (hypo)'!CP40,'NotEffectivelyVax (hypo)'!CS40,'NotEffectivelyVax (hypo)'!CV40,'NotEffectivelyVax (hypo)'!CY40,'NotEffectivelyVax (hypo)'!DB40,'NotEffectivelyVax (hypo)'!DE40,'NotEffectivelyVax (hypo)'!DH40,'NotEffectivelyVax (hypo)'!DK40,'NotEffectivelyVax (hypo)'!DN40,'NotEffectivelyVax (hypo)'!DQ40,'NotEffectivelyVax (hypo)'!DT40,'NotEffectivelyVax (hypo)'!DW40,'NotEffectivelyVax (hypo)'!DZ40,'NotEffectivelyVax (hypo)'!EC40,'NotEffectivelyVax (hypo)'!EF40,'NotEffectivelyVax (hypo)'!EI40,'NotEffectivelyVax (hypo)'!EL40,'NotEffectivelyVax (hypo)'!EO40,'NotEffectivelyVax (hypo)'!ER40,'NotEffectivelyVax (hypo)'!EU40,'NotEffectivelyVax (hypo)'!EX40,'NotEffectivelyVax (hypo)'!FA40,'NotEffectivelyVax (hypo)'!FD40,'NotEffectivelyVax (hypo)'!FG40,'NotEffectivelyVax (hypo)'!FJ40,'NotEffectivelyVax (hypo)'!FM40,'NotEffectivelyVax (hypo)'!FP40,'NotEffectivelyVax (hypo)'!FS40,'NotEffectivelyVax (hypo)'!FV40,'NotEffectivelyVax (hypo)'!FY40)</f>
        <v>#VALUE!</v>
      </c>
      <c r="X40" s="169" t="e">
        <f>SUM('NotEffectivelyVax (hypo)'!E40,'NotEffectivelyVax (hypo)'!H40,'NotEffectivelyVax (hypo)'!K40,'NotEffectivelyVax (hypo)'!N40,'NotEffectivelyVax (hypo)'!Q40,'NotEffectivelyVax (hypo)'!T40,'NotEffectivelyVax (hypo)'!Z40,'NotEffectivelyVax (hypo)'!W40,'NotEffectivelyVax (hypo)'!AC40,'NotEffectivelyVax (hypo)'!AF40,'NotEffectivelyVax (hypo)'!AI40,'NotEffectivelyVax (hypo)'!AL40,'NotEffectivelyVax (hypo)'!AO40,'NotEffectivelyVax (hypo)'!AR40,'NotEffectivelyVax (hypo)'!AU40,'NotEffectivelyVax (hypo)'!AX40,'NotEffectivelyVax (hypo)'!BA40,'NotEffectivelyVax (hypo)'!BD40,'NotEffectivelyVax (hypo)'!BG40,'NotEffectivelyVax (hypo)'!BJ40,'NotEffectivelyVax (hypo)'!BM40,'NotEffectivelyVax (hypo)'!BP40,'NotEffectivelyVax (hypo)'!BS40,'NotEffectivelyVax (hypo)'!BV40,'NotEffectivelyVax (hypo)'!BY40,'NotEffectivelyVax (hypo)'!CB40,'NotEffectivelyVax (hypo)'!CE40,'NotEffectivelyVax (hypo)'!CH40,'NotEffectivelyVax (hypo)'!CK40,'NotEffectivelyVax (hypo)'!CN40,'NotEffectivelyVax (hypo)'!CQ40,'NotEffectivelyVax (hypo)'!CT40,'NotEffectivelyVax (hypo)'!CW40,'NotEffectivelyVax (hypo)'!CZ40,'NotEffectivelyVax (hypo)'!DC40,'NotEffectivelyVax (hypo)'!DF40,'NotEffectivelyVax (hypo)'!DI40,'NotEffectivelyVax (hypo)'!DL40,'NotEffectivelyVax (hypo)'!DO40,'NotEffectivelyVax (hypo)'!DR40,'NotEffectivelyVax (hypo)'!DU40,'NotEffectivelyVax (hypo)'!DX40,'NotEffectivelyVax (hypo)'!EA40,'NotEffectivelyVax (hypo)'!ED40,'NotEffectivelyVax (hypo)'!EG40,'NotEffectivelyVax (hypo)'!EJ40,'NotEffectivelyVax (hypo)'!EM40,'NotEffectivelyVax (hypo)'!EP40,'NotEffectivelyVax (hypo)'!ES40,'NotEffectivelyVax (hypo)'!EV40,'NotEffectivelyVax (hypo)'!EY40,'NotEffectivelyVax (hypo)'!FB40,'NotEffectivelyVax (hypo)'!FE40,'NotEffectivelyVax (hypo)'!FH40,'NotEffectivelyVax (hypo)'!FK40,'NotEffectivelyVax (hypo)'!FN40,'NotEffectivelyVax (hypo)'!FQ40,'NotEffectivelyVax (hypo)'!FT40,'NotEffectivelyVax (hypo)'!FW40,'NotEffectivelyVax (hypo)'!FZ40)</f>
        <v>#VALUE!</v>
      </c>
      <c r="Y40" s="170" t="e">
        <f t="shared" si="2"/>
        <v>#VALUE!</v>
      </c>
      <c r="Z40" s="170" t="e">
        <f>IF(Export!M38&lt;&gt;"",W40*Export!K38*(1/Export!M38),W40*Export!K38)</f>
        <v>#VALUE!</v>
      </c>
      <c r="AA40" s="154" t="e">
        <f>Y40*Export!J38</f>
        <v>#VALUE!</v>
      </c>
      <c r="AC40" s="143" t="e">
        <f t="shared" si="3"/>
        <v>#VALUE!</v>
      </c>
      <c r="AD40" s="144" t="e">
        <f t="shared" si="18"/>
        <v>#VALUE!</v>
      </c>
      <c r="AE40" s="144" t="e">
        <f t="shared" si="4"/>
        <v>#VALUE!</v>
      </c>
      <c r="AF40" s="144" t="e">
        <f t="shared" si="5"/>
        <v>#VALUE!</v>
      </c>
      <c r="AG40" s="144" t="e">
        <f t="shared" si="6"/>
        <v>#VALUE!</v>
      </c>
      <c r="AH40" s="145"/>
      <c r="AI40" s="145"/>
      <c r="AJ40" s="145"/>
      <c r="AK40" s="145"/>
      <c r="AL40" s="146"/>
      <c r="AM40" s="150"/>
      <c r="AN40" s="150"/>
      <c r="AO40" s="150"/>
      <c r="AP40" s="150"/>
      <c r="AQ40" s="151"/>
    </row>
    <row r="41" spans="1:43" x14ac:dyDescent="0.35">
      <c r="A41" s="130">
        <f>EffectivelyVax!B40</f>
        <v>3</v>
      </c>
      <c r="B41" s="131" t="str">
        <f>EffectivelyVax!C40</f>
        <v/>
      </c>
      <c r="C41" s="132" t="str">
        <f>Export!N39</f>
        <v/>
      </c>
      <c r="D41" s="133" t="str">
        <f>Export!C39</f>
        <v/>
      </c>
      <c r="E41" s="133" t="e">
        <f>Export!C39*Export!L39</f>
        <v>#VALUE!</v>
      </c>
      <c r="F41" s="133" t="e">
        <f t="shared" si="17"/>
        <v>#VALUE!</v>
      </c>
      <c r="G41" s="133" t="e">
        <f>IF(Export!M39&lt;&gt;"",D41*Export!K39*(1/Export!M39),D41*Export!K39)</f>
        <v>#VALUE!</v>
      </c>
      <c r="H41" s="133" t="e">
        <f>F41*Export!J39</f>
        <v>#VALUE!</v>
      </c>
      <c r="I41" s="161" t="e">
        <f t="shared" si="16"/>
        <v>#VALUE!</v>
      </c>
      <c r="J41" s="134" t="e">
        <f t="shared" si="8"/>
        <v>#VALUE!</v>
      </c>
      <c r="K41" s="135" t="e">
        <f t="shared" si="9"/>
        <v>#VALUE!</v>
      </c>
      <c r="L41" s="117" t="str">
        <f>Export!B39</f>
        <v/>
      </c>
      <c r="M41" s="115" t="e">
        <f>C41*L41*HelperFunctions!G$45</f>
        <v>#VALUE!</v>
      </c>
      <c r="N41" s="116" t="e">
        <f>C41*L41*(1-HelperFunctions!G$45)</f>
        <v>#VALUE!</v>
      </c>
      <c r="O41" s="136" t="e">
        <f t="shared" si="14"/>
        <v>#DIV/0!</v>
      </c>
      <c r="P41" s="137">
        <f>SUM(EffectivelyVax!D40:BK40)</f>
        <v>0</v>
      </c>
      <c r="Q41" s="138" t="e">
        <f t="shared" si="11"/>
        <v>#DIV/0!</v>
      </c>
      <c r="R41" s="138" t="e">
        <f t="shared" si="12"/>
        <v>#DIV/0!</v>
      </c>
      <c r="S41" s="137" t="e">
        <f t="shared" si="1"/>
        <v>#DIV/0!</v>
      </c>
      <c r="T41" s="138" t="e">
        <f>IF(Export!M39&lt;&gt;"",Q41*Export!K39*(1/Export!M39),Q41*Export!K39)</f>
        <v>#DIV/0!</v>
      </c>
      <c r="U41" s="139" t="e">
        <f>S41*Export!J39</f>
        <v>#DIV/0!</v>
      </c>
      <c r="V41" s="140" t="e">
        <f>SUM('NotEffectivelyVax (hypo)'!F41,'NotEffectivelyVax (hypo)'!I41,'NotEffectivelyVax (hypo)'!L41,'NotEffectivelyVax (hypo)'!O41,'NotEffectivelyVax (hypo)'!R41,'NotEffectivelyVax (hypo)'!U41,'NotEffectivelyVax (hypo)'!X41,'NotEffectivelyVax (hypo)'!AA41,'NotEffectivelyVax (hypo)'!AD41,'NotEffectivelyVax (hypo)'!AG41,'NotEffectivelyVax (hypo)'!AJ41,'NotEffectivelyVax (hypo)'!AM41,'NotEffectivelyVax (hypo)'!AP41,'NotEffectivelyVax (hypo)'!AS41,'NotEffectivelyVax (hypo)'!AV41,'NotEffectivelyVax (hypo)'!AY41,'NotEffectivelyVax (hypo)'!BB41,'NotEffectivelyVax (hypo)'!BE41,'NotEffectivelyVax (hypo)'!BH41,'NotEffectivelyVax (hypo)'!BK41,'NotEffectivelyVax (hypo)'!BN41,'NotEffectivelyVax (hypo)'!BQ41,'NotEffectivelyVax (hypo)'!BT41,'NotEffectivelyVax (hypo)'!BW41,'NotEffectivelyVax (hypo)'!BZ41,'NotEffectivelyVax (hypo)'!CC41,'NotEffectivelyVax (hypo)'!CF41,'NotEffectivelyVax (hypo)'!CI41,'NotEffectivelyVax (hypo)'!CL41,'NotEffectivelyVax (hypo)'!CO41,'NotEffectivelyVax (hypo)'!CR41,'NotEffectivelyVax (hypo)'!CU41,'NotEffectivelyVax (hypo)'!CX41,'NotEffectivelyVax (hypo)'!DA41,'NotEffectivelyVax (hypo)'!DD41,'NotEffectivelyVax (hypo)'!DG41,'NotEffectivelyVax (hypo)'!DJ41,'NotEffectivelyVax (hypo)'!DM41,'NotEffectivelyVax (hypo)'!DQ41,'NotEffectivelyVax (hypo)'!DP41,'NotEffectivelyVax (hypo)'!DS41,'NotEffectivelyVax (hypo)'!DV41,'NotEffectivelyVax (hypo)'!DY41,'NotEffectivelyVax (hypo)'!EB41,'NotEffectivelyVax (hypo)'!EE41,'NotEffectivelyVax (hypo)'!EH41,'NotEffectivelyVax (hypo)'!EK41,'NotEffectivelyVax (hypo)'!EN41,'NotEffectivelyVax (hypo)'!EQ41,'NotEffectivelyVax (hypo)'!ET41,'NotEffectivelyVax (hypo)'!EW41,'NotEffectivelyVax (hypo)'!EZ41,'NotEffectivelyVax (hypo)'!FC41,'NotEffectivelyVax (hypo)'!FF41,'NotEffectivelyVax (hypo)'!FI41,'NotEffectivelyVax (hypo)'!FL41,'NotEffectivelyVax (hypo)'!FO41,'NotEffectivelyVax (hypo)'!FR41,'NotEffectivelyVax (hypo)'!FU41,'NotEffectivelyVax (hypo)'!FX41,'NotEffectivelyVax (hypo)'!GA41)</f>
        <v>#VALUE!</v>
      </c>
      <c r="W41" s="141" t="e">
        <f>SUM('NotEffectivelyVax (hypo)'!D41,'NotEffectivelyVax (hypo)'!G41,'NotEffectivelyVax (hypo)'!J41,'NotEffectivelyVax (hypo)'!M41,'NotEffectivelyVax (hypo)'!P41,'NotEffectivelyVax (hypo)'!S41,'NotEffectivelyVax (hypo)'!V41,'NotEffectivelyVax (hypo)'!Y41,'NotEffectivelyVax (hypo)'!AB41,'NotEffectivelyVax (hypo)'!AE41,'NotEffectivelyVax (hypo)'!AH41,'NotEffectivelyVax (hypo)'!AK41,'NotEffectivelyVax (hypo)'!AN41,'NotEffectivelyVax (hypo)'!AQ41,'NotEffectivelyVax (hypo)'!AT41,'NotEffectivelyVax (hypo)'!AW41,'NotEffectivelyVax (hypo)'!AZ41,'NotEffectivelyVax (hypo)'!BC41,'NotEffectivelyVax (hypo)'!BF41,'NotEffectivelyVax (hypo)'!BI41,'NotEffectivelyVax (hypo)'!BL41,'NotEffectivelyVax (hypo)'!BO41,'NotEffectivelyVax (hypo)'!BR41,'NotEffectivelyVax (hypo)'!BU41,'NotEffectivelyVax (hypo)'!BX41,'NotEffectivelyVax (hypo)'!CA41,'NotEffectivelyVax (hypo)'!CD41,'NotEffectivelyVax (hypo)'!CG41,'NotEffectivelyVax (hypo)'!CJ41,'NotEffectivelyVax (hypo)'!CM41,'NotEffectivelyVax (hypo)'!CP41,'NotEffectivelyVax (hypo)'!CS41,'NotEffectivelyVax (hypo)'!CV41,'NotEffectivelyVax (hypo)'!CY41,'NotEffectivelyVax (hypo)'!DB41,'NotEffectivelyVax (hypo)'!DE41,'NotEffectivelyVax (hypo)'!DH41,'NotEffectivelyVax (hypo)'!DK41,'NotEffectivelyVax (hypo)'!DN41,'NotEffectivelyVax (hypo)'!DQ41,'NotEffectivelyVax (hypo)'!DT41,'NotEffectivelyVax (hypo)'!DW41,'NotEffectivelyVax (hypo)'!DZ41,'NotEffectivelyVax (hypo)'!EC41,'NotEffectivelyVax (hypo)'!EF41,'NotEffectivelyVax (hypo)'!EI41,'NotEffectivelyVax (hypo)'!EL41,'NotEffectivelyVax (hypo)'!EO41,'NotEffectivelyVax (hypo)'!ER41,'NotEffectivelyVax (hypo)'!EU41,'NotEffectivelyVax (hypo)'!EX41,'NotEffectivelyVax (hypo)'!FA41,'NotEffectivelyVax (hypo)'!FD41,'NotEffectivelyVax (hypo)'!FG41,'NotEffectivelyVax (hypo)'!FJ41,'NotEffectivelyVax (hypo)'!FM41,'NotEffectivelyVax (hypo)'!FP41,'NotEffectivelyVax (hypo)'!FS41,'NotEffectivelyVax (hypo)'!FV41,'NotEffectivelyVax (hypo)'!FY41)</f>
        <v>#VALUE!</v>
      </c>
      <c r="X41" s="141" t="e">
        <f>SUM('NotEffectivelyVax (hypo)'!E41,'NotEffectivelyVax (hypo)'!H41,'NotEffectivelyVax (hypo)'!K41,'NotEffectivelyVax (hypo)'!N41,'NotEffectivelyVax (hypo)'!Q41,'NotEffectivelyVax (hypo)'!T41,'NotEffectivelyVax (hypo)'!Z41,'NotEffectivelyVax (hypo)'!W41,'NotEffectivelyVax (hypo)'!AC41,'NotEffectivelyVax (hypo)'!AF41,'NotEffectivelyVax (hypo)'!AI41,'NotEffectivelyVax (hypo)'!AL41,'NotEffectivelyVax (hypo)'!AO41,'NotEffectivelyVax (hypo)'!AR41,'NotEffectivelyVax (hypo)'!AU41,'NotEffectivelyVax (hypo)'!AX41,'NotEffectivelyVax (hypo)'!BA41,'NotEffectivelyVax (hypo)'!BD41,'NotEffectivelyVax (hypo)'!BG41,'NotEffectivelyVax (hypo)'!BJ41,'NotEffectivelyVax (hypo)'!BM41,'NotEffectivelyVax (hypo)'!BP41,'NotEffectivelyVax (hypo)'!BS41,'NotEffectivelyVax (hypo)'!BV41,'NotEffectivelyVax (hypo)'!BY41,'NotEffectivelyVax (hypo)'!CB41,'NotEffectivelyVax (hypo)'!CE41,'NotEffectivelyVax (hypo)'!CH41,'NotEffectivelyVax (hypo)'!CK41,'NotEffectivelyVax (hypo)'!CN41,'NotEffectivelyVax (hypo)'!CQ41,'NotEffectivelyVax (hypo)'!CT41,'NotEffectivelyVax (hypo)'!CW41,'NotEffectivelyVax (hypo)'!CZ41,'NotEffectivelyVax (hypo)'!DC41,'NotEffectivelyVax (hypo)'!DF41,'NotEffectivelyVax (hypo)'!DI41,'NotEffectivelyVax (hypo)'!DL41,'NotEffectivelyVax (hypo)'!DO41,'NotEffectivelyVax (hypo)'!DR41,'NotEffectivelyVax (hypo)'!DU41,'NotEffectivelyVax (hypo)'!DX41,'NotEffectivelyVax (hypo)'!EA41,'NotEffectivelyVax (hypo)'!ED41,'NotEffectivelyVax (hypo)'!EG41,'NotEffectivelyVax (hypo)'!EJ41,'NotEffectivelyVax (hypo)'!EM41,'NotEffectivelyVax (hypo)'!EP41,'NotEffectivelyVax (hypo)'!ES41,'NotEffectivelyVax (hypo)'!EV41,'NotEffectivelyVax (hypo)'!EY41,'NotEffectivelyVax (hypo)'!FB41,'NotEffectivelyVax (hypo)'!FE41,'NotEffectivelyVax (hypo)'!FH41,'NotEffectivelyVax (hypo)'!FK41,'NotEffectivelyVax (hypo)'!FN41,'NotEffectivelyVax (hypo)'!FQ41,'NotEffectivelyVax (hypo)'!FT41,'NotEffectivelyVax (hypo)'!FW41,'NotEffectivelyVax (hypo)'!FZ41)</f>
        <v>#VALUE!</v>
      </c>
      <c r="Y41" s="142" t="e">
        <f t="shared" si="2"/>
        <v>#VALUE!</v>
      </c>
      <c r="Z41" s="142" t="e">
        <f>IF(Export!M39&lt;&gt;"",W41*Export!K39*(1/Export!M39),W41*Export!K39)</f>
        <v>#VALUE!</v>
      </c>
      <c r="AA41" s="139" t="e">
        <f>Y41*Export!J39</f>
        <v>#VALUE!</v>
      </c>
      <c r="AC41" s="143" t="e">
        <f t="shared" si="3"/>
        <v>#VALUE!</v>
      </c>
      <c r="AD41" s="144" t="e">
        <f t="shared" si="18"/>
        <v>#VALUE!</v>
      </c>
      <c r="AE41" s="144" t="e">
        <f t="shared" si="4"/>
        <v>#VALUE!</v>
      </c>
      <c r="AF41" s="144" t="e">
        <f t="shared" si="5"/>
        <v>#VALUE!</v>
      </c>
      <c r="AG41" s="144" t="e">
        <f t="shared" si="6"/>
        <v>#VALUE!</v>
      </c>
      <c r="AH41" s="145"/>
      <c r="AI41" s="145"/>
      <c r="AJ41" s="145"/>
      <c r="AK41" s="145"/>
      <c r="AL41" s="146"/>
      <c r="AM41" s="150"/>
      <c r="AN41" s="150"/>
      <c r="AO41" s="150"/>
      <c r="AP41" s="150"/>
      <c r="AQ41" s="151"/>
    </row>
    <row r="42" spans="1:43" x14ac:dyDescent="0.35">
      <c r="A42" s="130">
        <f>EffectivelyVax!B41</f>
        <v>3</v>
      </c>
      <c r="B42" s="131" t="str">
        <f>EffectivelyVax!C41</f>
        <v/>
      </c>
      <c r="C42" s="132" t="str">
        <f>Export!N40</f>
        <v/>
      </c>
      <c r="D42" s="133" t="str">
        <f>Export!C40</f>
        <v/>
      </c>
      <c r="E42" s="133" t="e">
        <f>Export!C40*Export!L40</f>
        <v>#VALUE!</v>
      </c>
      <c r="F42" s="133" t="e">
        <f t="shared" si="17"/>
        <v>#VALUE!</v>
      </c>
      <c r="G42" s="133" t="e">
        <f>IF(Export!M40&lt;&gt;"",D42*Export!K40*(1/Export!M40),D42*Export!K40)</f>
        <v>#VALUE!</v>
      </c>
      <c r="H42" s="133" t="e">
        <f>F42*Export!J40</f>
        <v>#VALUE!</v>
      </c>
      <c r="I42" s="161" t="e">
        <f t="shared" si="16"/>
        <v>#VALUE!</v>
      </c>
      <c r="J42" s="134" t="e">
        <f t="shared" si="8"/>
        <v>#VALUE!</v>
      </c>
      <c r="K42" s="135" t="e">
        <f t="shared" si="9"/>
        <v>#VALUE!</v>
      </c>
      <c r="L42" s="117" t="str">
        <f>Export!B40</f>
        <v/>
      </c>
      <c r="M42" s="115" t="e">
        <f>C42*L42*HelperFunctions!G$45</f>
        <v>#VALUE!</v>
      </c>
      <c r="N42" s="116" t="e">
        <f>C42*L42*(1-HelperFunctions!G$45)</f>
        <v>#VALUE!</v>
      </c>
      <c r="O42" s="136" t="e">
        <f t="shared" si="14"/>
        <v>#DIV/0!</v>
      </c>
      <c r="P42" s="137">
        <f>SUM(EffectivelyVax!D41:BK41)</f>
        <v>0</v>
      </c>
      <c r="Q42" s="138" t="e">
        <f t="shared" si="11"/>
        <v>#DIV/0!</v>
      </c>
      <c r="R42" s="138" t="e">
        <f t="shared" si="12"/>
        <v>#DIV/0!</v>
      </c>
      <c r="S42" s="137" t="e">
        <f t="shared" si="1"/>
        <v>#DIV/0!</v>
      </c>
      <c r="T42" s="138" t="e">
        <f>IF(Export!M40&lt;&gt;"",Q42*Export!K40*(1/Export!M40),Q42*Export!K40)</f>
        <v>#DIV/0!</v>
      </c>
      <c r="U42" s="139" t="e">
        <f>S42*Export!J40</f>
        <v>#DIV/0!</v>
      </c>
      <c r="V42" s="140" t="e">
        <f>SUM('NotEffectivelyVax (hypo)'!F42,'NotEffectivelyVax (hypo)'!I42,'NotEffectivelyVax (hypo)'!L42,'NotEffectivelyVax (hypo)'!O42,'NotEffectivelyVax (hypo)'!R42,'NotEffectivelyVax (hypo)'!U42,'NotEffectivelyVax (hypo)'!X42,'NotEffectivelyVax (hypo)'!AA42,'NotEffectivelyVax (hypo)'!AD42,'NotEffectivelyVax (hypo)'!AG42,'NotEffectivelyVax (hypo)'!AJ42,'NotEffectivelyVax (hypo)'!AM42,'NotEffectivelyVax (hypo)'!AP42,'NotEffectivelyVax (hypo)'!AS42,'NotEffectivelyVax (hypo)'!AV42,'NotEffectivelyVax (hypo)'!AY42,'NotEffectivelyVax (hypo)'!BB42,'NotEffectivelyVax (hypo)'!BE42,'NotEffectivelyVax (hypo)'!BH42,'NotEffectivelyVax (hypo)'!BK42,'NotEffectivelyVax (hypo)'!BN42,'NotEffectivelyVax (hypo)'!BQ42,'NotEffectivelyVax (hypo)'!BT42,'NotEffectivelyVax (hypo)'!BW42,'NotEffectivelyVax (hypo)'!BZ42,'NotEffectivelyVax (hypo)'!CC42,'NotEffectivelyVax (hypo)'!CF42,'NotEffectivelyVax (hypo)'!CI42,'NotEffectivelyVax (hypo)'!CL42,'NotEffectivelyVax (hypo)'!CO42,'NotEffectivelyVax (hypo)'!CR42,'NotEffectivelyVax (hypo)'!CU42,'NotEffectivelyVax (hypo)'!CX42,'NotEffectivelyVax (hypo)'!DA42,'NotEffectivelyVax (hypo)'!DD42,'NotEffectivelyVax (hypo)'!DG42,'NotEffectivelyVax (hypo)'!DJ42,'NotEffectivelyVax (hypo)'!DM42,'NotEffectivelyVax (hypo)'!DQ42,'NotEffectivelyVax (hypo)'!DP42,'NotEffectivelyVax (hypo)'!DS42,'NotEffectivelyVax (hypo)'!DV42,'NotEffectivelyVax (hypo)'!DY42,'NotEffectivelyVax (hypo)'!EB42,'NotEffectivelyVax (hypo)'!EE42,'NotEffectivelyVax (hypo)'!EH42,'NotEffectivelyVax (hypo)'!EK42,'NotEffectivelyVax (hypo)'!EN42,'NotEffectivelyVax (hypo)'!EQ42,'NotEffectivelyVax (hypo)'!ET42,'NotEffectivelyVax (hypo)'!EW42,'NotEffectivelyVax (hypo)'!EZ42,'NotEffectivelyVax (hypo)'!FC42,'NotEffectivelyVax (hypo)'!FF42,'NotEffectivelyVax (hypo)'!FI42,'NotEffectivelyVax (hypo)'!FL42,'NotEffectivelyVax (hypo)'!FO42,'NotEffectivelyVax (hypo)'!FR42,'NotEffectivelyVax (hypo)'!FU42,'NotEffectivelyVax (hypo)'!FX42,'NotEffectivelyVax (hypo)'!GA42)</f>
        <v>#VALUE!</v>
      </c>
      <c r="W42" s="141" t="e">
        <f>SUM('NotEffectivelyVax (hypo)'!D42,'NotEffectivelyVax (hypo)'!G42,'NotEffectivelyVax (hypo)'!J42,'NotEffectivelyVax (hypo)'!M42,'NotEffectivelyVax (hypo)'!P42,'NotEffectivelyVax (hypo)'!S42,'NotEffectivelyVax (hypo)'!V42,'NotEffectivelyVax (hypo)'!Y42,'NotEffectivelyVax (hypo)'!AB42,'NotEffectivelyVax (hypo)'!AE42,'NotEffectivelyVax (hypo)'!AH42,'NotEffectivelyVax (hypo)'!AK42,'NotEffectivelyVax (hypo)'!AN42,'NotEffectivelyVax (hypo)'!AQ42,'NotEffectivelyVax (hypo)'!AT42,'NotEffectivelyVax (hypo)'!AW42,'NotEffectivelyVax (hypo)'!AZ42,'NotEffectivelyVax (hypo)'!BC42,'NotEffectivelyVax (hypo)'!BF42,'NotEffectivelyVax (hypo)'!BI42,'NotEffectivelyVax (hypo)'!BL42,'NotEffectivelyVax (hypo)'!BO42,'NotEffectivelyVax (hypo)'!BR42,'NotEffectivelyVax (hypo)'!BU42,'NotEffectivelyVax (hypo)'!BX42,'NotEffectivelyVax (hypo)'!CA42,'NotEffectivelyVax (hypo)'!CD42,'NotEffectivelyVax (hypo)'!CG42,'NotEffectivelyVax (hypo)'!CJ42,'NotEffectivelyVax (hypo)'!CM42,'NotEffectivelyVax (hypo)'!CP42,'NotEffectivelyVax (hypo)'!CS42,'NotEffectivelyVax (hypo)'!CV42,'NotEffectivelyVax (hypo)'!CY42,'NotEffectivelyVax (hypo)'!DB42,'NotEffectivelyVax (hypo)'!DE42,'NotEffectivelyVax (hypo)'!DH42,'NotEffectivelyVax (hypo)'!DK42,'NotEffectivelyVax (hypo)'!DN42,'NotEffectivelyVax (hypo)'!DQ42,'NotEffectivelyVax (hypo)'!DT42,'NotEffectivelyVax (hypo)'!DW42,'NotEffectivelyVax (hypo)'!DZ42,'NotEffectivelyVax (hypo)'!EC42,'NotEffectivelyVax (hypo)'!EF42,'NotEffectivelyVax (hypo)'!EI42,'NotEffectivelyVax (hypo)'!EL42,'NotEffectivelyVax (hypo)'!EO42,'NotEffectivelyVax (hypo)'!ER42,'NotEffectivelyVax (hypo)'!EU42,'NotEffectivelyVax (hypo)'!EX42,'NotEffectivelyVax (hypo)'!FA42,'NotEffectivelyVax (hypo)'!FD42,'NotEffectivelyVax (hypo)'!FG42,'NotEffectivelyVax (hypo)'!FJ42,'NotEffectivelyVax (hypo)'!FM42,'NotEffectivelyVax (hypo)'!FP42,'NotEffectivelyVax (hypo)'!FS42,'NotEffectivelyVax (hypo)'!FV42,'NotEffectivelyVax (hypo)'!FY42)</f>
        <v>#VALUE!</v>
      </c>
      <c r="X42" s="141" t="e">
        <f>SUM('NotEffectivelyVax (hypo)'!E42,'NotEffectivelyVax (hypo)'!H42,'NotEffectivelyVax (hypo)'!K42,'NotEffectivelyVax (hypo)'!N42,'NotEffectivelyVax (hypo)'!Q42,'NotEffectivelyVax (hypo)'!T42,'NotEffectivelyVax (hypo)'!Z42,'NotEffectivelyVax (hypo)'!W42,'NotEffectivelyVax (hypo)'!AC42,'NotEffectivelyVax (hypo)'!AF42,'NotEffectivelyVax (hypo)'!AI42,'NotEffectivelyVax (hypo)'!AL42,'NotEffectivelyVax (hypo)'!AO42,'NotEffectivelyVax (hypo)'!AR42,'NotEffectivelyVax (hypo)'!AU42,'NotEffectivelyVax (hypo)'!AX42,'NotEffectivelyVax (hypo)'!BA42,'NotEffectivelyVax (hypo)'!BD42,'NotEffectivelyVax (hypo)'!BG42,'NotEffectivelyVax (hypo)'!BJ42,'NotEffectivelyVax (hypo)'!BM42,'NotEffectivelyVax (hypo)'!BP42,'NotEffectivelyVax (hypo)'!BS42,'NotEffectivelyVax (hypo)'!BV42,'NotEffectivelyVax (hypo)'!BY42,'NotEffectivelyVax (hypo)'!CB42,'NotEffectivelyVax (hypo)'!CE42,'NotEffectivelyVax (hypo)'!CH42,'NotEffectivelyVax (hypo)'!CK42,'NotEffectivelyVax (hypo)'!CN42,'NotEffectivelyVax (hypo)'!CQ42,'NotEffectivelyVax (hypo)'!CT42,'NotEffectivelyVax (hypo)'!CW42,'NotEffectivelyVax (hypo)'!CZ42,'NotEffectivelyVax (hypo)'!DC42,'NotEffectivelyVax (hypo)'!DF42,'NotEffectivelyVax (hypo)'!DI42,'NotEffectivelyVax (hypo)'!DL42,'NotEffectivelyVax (hypo)'!DO42,'NotEffectivelyVax (hypo)'!DR42,'NotEffectivelyVax (hypo)'!DU42,'NotEffectivelyVax (hypo)'!DX42,'NotEffectivelyVax (hypo)'!EA42,'NotEffectivelyVax (hypo)'!ED42,'NotEffectivelyVax (hypo)'!EG42,'NotEffectivelyVax (hypo)'!EJ42,'NotEffectivelyVax (hypo)'!EM42,'NotEffectivelyVax (hypo)'!EP42,'NotEffectivelyVax (hypo)'!ES42,'NotEffectivelyVax (hypo)'!EV42,'NotEffectivelyVax (hypo)'!EY42,'NotEffectivelyVax (hypo)'!FB42,'NotEffectivelyVax (hypo)'!FE42,'NotEffectivelyVax (hypo)'!FH42,'NotEffectivelyVax (hypo)'!FK42,'NotEffectivelyVax (hypo)'!FN42,'NotEffectivelyVax (hypo)'!FQ42,'NotEffectivelyVax (hypo)'!FT42,'NotEffectivelyVax (hypo)'!FW42,'NotEffectivelyVax (hypo)'!FZ42)</f>
        <v>#VALUE!</v>
      </c>
      <c r="Y42" s="142" t="e">
        <f t="shared" si="2"/>
        <v>#VALUE!</v>
      </c>
      <c r="Z42" s="142" t="e">
        <f>IF(Export!M40&lt;&gt;"",W42*Export!K40*(1/Export!M40),W42*Export!K40)</f>
        <v>#VALUE!</v>
      </c>
      <c r="AA42" s="139" t="e">
        <f>Y42*Export!J40</f>
        <v>#VALUE!</v>
      </c>
      <c r="AC42" s="143" t="e">
        <f t="shared" si="3"/>
        <v>#VALUE!</v>
      </c>
      <c r="AD42" s="144" t="e">
        <f t="shared" si="18"/>
        <v>#VALUE!</v>
      </c>
      <c r="AE42" s="144" t="e">
        <f t="shared" si="4"/>
        <v>#VALUE!</v>
      </c>
      <c r="AF42" s="144" t="e">
        <f t="shared" si="5"/>
        <v>#VALUE!</v>
      </c>
      <c r="AG42" s="144" t="e">
        <f t="shared" si="6"/>
        <v>#VALUE!</v>
      </c>
      <c r="AH42" s="145"/>
      <c r="AI42" s="145"/>
      <c r="AJ42" s="145"/>
      <c r="AK42" s="145"/>
      <c r="AL42" s="146"/>
      <c r="AM42" s="150"/>
      <c r="AN42" s="150"/>
      <c r="AO42" s="150"/>
      <c r="AP42" s="150"/>
      <c r="AQ42" s="151"/>
    </row>
    <row r="43" spans="1:43" x14ac:dyDescent="0.35">
      <c r="A43" s="130">
        <f>EffectivelyVax!B42</f>
        <v>3</v>
      </c>
      <c r="B43" s="131" t="str">
        <f>EffectivelyVax!C42</f>
        <v/>
      </c>
      <c r="C43" s="132" t="str">
        <f>Export!N41</f>
        <v/>
      </c>
      <c r="D43" s="133" t="str">
        <f>Export!C41</f>
        <v/>
      </c>
      <c r="E43" s="133" t="e">
        <f>Export!C41*Export!L41</f>
        <v>#VALUE!</v>
      </c>
      <c r="F43" s="133" t="e">
        <f t="shared" si="17"/>
        <v>#VALUE!</v>
      </c>
      <c r="G43" s="133" t="e">
        <f>IF(Export!M41&lt;&gt;"",D43*Export!K41*(1/Export!M41),D43*Export!K41)</f>
        <v>#VALUE!</v>
      </c>
      <c r="H43" s="133" t="e">
        <f>F43*Export!J41</f>
        <v>#VALUE!</v>
      </c>
      <c r="I43" s="161" t="e">
        <f t="shared" si="16"/>
        <v>#VALUE!</v>
      </c>
      <c r="J43" s="134" t="e">
        <f t="shared" si="8"/>
        <v>#VALUE!</v>
      </c>
      <c r="K43" s="135" t="e">
        <f t="shared" si="9"/>
        <v>#VALUE!</v>
      </c>
      <c r="L43" s="117" t="str">
        <f>Export!B41</f>
        <v/>
      </c>
      <c r="M43" s="115" t="e">
        <f>C43*L43*HelperFunctions!G$45</f>
        <v>#VALUE!</v>
      </c>
      <c r="N43" s="116" t="e">
        <f>C43*L43*(1-HelperFunctions!G$45)</f>
        <v>#VALUE!</v>
      </c>
      <c r="O43" s="136" t="e">
        <f t="shared" si="14"/>
        <v>#DIV/0!</v>
      </c>
      <c r="P43" s="137">
        <f>SUM(EffectivelyVax!D42:BK42)</f>
        <v>0</v>
      </c>
      <c r="Q43" s="138" t="e">
        <f t="shared" si="11"/>
        <v>#DIV/0!</v>
      </c>
      <c r="R43" s="138" t="e">
        <f t="shared" si="12"/>
        <v>#DIV/0!</v>
      </c>
      <c r="S43" s="137" t="e">
        <f t="shared" si="1"/>
        <v>#DIV/0!</v>
      </c>
      <c r="T43" s="138" t="e">
        <f>IF(Export!M41&lt;&gt;"",Q43*Export!K41*(1/Export!M41),Q43*Export!K41)</f>
        <v>#DIV/0!</v>
      </c>
      <c r="U43" s="139" t="e">
        <f>S43*Export!J41</f>
        <v>#DIV/0!</v>
      </c>
      <c r="V43" s="140" t="e">
        <f>SUM('NotEffectivelyVax (hypo)'!F43,'NotEffectivelyVax (hypo)'!I43,'NotEffectivelyVax (hypo)'!L43,'NotEffectivelyVax (hypo)'!O43,'NotEffectivelyVax (hypo)'!R43,'NotEffectivelyVax (hypo)'!U43,'NotEffectivelyVax (hypo)'!X43,'NotEffectivelyVax (hypo)'!AA43,'NotEffectivelyVax (hypo)'!AD43,'NotEffectivelyVax (hypo)'!AG43,'NotEffectivelyVax (hypo)'!AJ43,'NotEffectivelyVax (hypo)'!AM43,'NotEffectivelyVax (hypo)'!AP43,'NotEffectivelyVax (hypo)'!AS43,'NotEffectivelyVax (hypo)'!AV43,'NotEffectivelyVax (hypo)'!AY43,'NotEffectivelyVax (hypo)'!BB43,'NotEffectivelyVax (hypo)'!BE43,'NotEffectivelyVax (hypo)'!BH43,'NotEffectivelyVax (hypo)'!BK43,'NotEffectivelyVax (hypo)'!BN43,'NotEffectivelyVax (hypo)'!BQ43,'NotEffectivelyVax (hypo)'!BT43,'NotEffectivelyVax (hypo)'!BW43,'NotEffectivelyVax (hypo)'!BZ43,'NotEffectivelyVax (hypo)'!CC43,'NotEffectivelyVax (hypo)'!CF43,'NotEffectivelyVax (hypo)'!CI43,'NotEffectivelyVax (hypo)'!CL43,'NotEffectivelyVax (hypo)'!CO43,'NotEffectivelyVax (hypo)'!CR43,'NotEffectivelyVax (hypo)'!CU43,'NotEffectivelyVax (hypo)'!CX43,'NotEffectivelyVax (hypo)'!DA43,'NotEffectivelyVax (hypo)'!DD43,'NotEffectivelyVax (hypo)'!DG43,'NotEffectivelyVax (hypo)'!DJ43,'NotEffectivelyVax (hypo)'!DM43,'NotEffectivelyVax (hypo)'!DQ43,'NotEffectivelyVax (hypo)'!DP43,'NotEffectivelyVax (hypo)'!DS43,'NotEffectivelyVax (hypo)'!DV43,'NotEffectivelyVax (hypo)'!DY43,'NotEffectivelyVax (hypo)'!EB43,'NotEffectivelyVax (hypo)'!EE43,'NotEffectivelyVax (hypo)'!EH43,'NotEffectivelyVax (hypo)'!EK43,'NotEffectivelyVax (hypo)'!EN43,'NotEffectivelyVax (hypo)'!EQ43,'NotEffectivelyVax (hypo)'!ET43,'NotEffectivelyVax (hypo)'!EW43,'NotEffectivelyVax (hypo)'!EZ43,'NotEffectivelyVax (hypo)'!FC43,'NotEffectivelyVax (hypo)'!FF43,'NotEffectivelyVax (hypo)'!FI43,'NotEffectivelyVax (hypo)'!FL43,'NotEffectivelyVax (hypo)'!FO43,'NotEffectivelyVax (hypo)'!FR43,'NotEffectivelyVax (hypo)'!FU43,'NotEffectivelyVax (hypo)'!FX43,'NotEffectivelyVax (hypo)'!GA43)</f>
        <v>#VALUE!</v>
      </c>
      <c r="W43" s="141" t="e">
        <f>SUM('NotEffectivelyVax (hypo)'!D43,'NotEffectivelyVax (hypo)'!G43,'NotEffectivelyVax (hypo)'!J43,'NotEffectivelyVax (hypo)'!M43,'NotEffectivelyVax (hypo)'!P43,'NotEffectivelyVax (hypo)'!S43,'NotEffectivelyVax (hypo)'!V43,'NotEffectivelyVax (hypo)'!Y43,'NotEffectivelyVax (hypo)'!AB43,'NotEffectivelyVax (hypo)'!AE43,'NotEffectivelyVax (hypo)'!AH43,'NotEffectivelyVax (hypo)'!AK43,'NotEffectivelyVax (hypo)'!AN43,'NotEffectivelyVax (hypo)'!AQ43,'NotEffectivelyVax (hypo)'!AT43,'NotEffectivelyVax (hypo)'!AW43,'NotEffectivelyVax (hypo)'!AZ43,'NotEffectivelyVax (hypo)'!BC43,'NotEffectivelyVax (hypo)'!BF43,'NotEffectivelyVax (hypo)'!BI43,'NotEffectivelyVax (hypo)'!BL43,'NotEffectivelyVax (hypo)'!BO43,'NotEffectivelyVax (hypo)'!BR43,'NotEffectivelyVax (hypo)'!BU43,'NotEffectivelyVax (hypo)'!BX43,'NotEffectivelyVax (hypo)'!CA43,'NotEffectivelyVax (hypo)'!CD43,'NotEffectivelyVax (hypo)'!CG43,'NotEffectivelyVax (hypo)'!CJ43,'NotEffectivelyVax (hypo)'!CM43,'NotEffectivelyVax (hypo)'!CP43,'NotEffectivelyVax (hypo)'!CS43,'NotEffectivelyVax (hypo)'!CV43,'NotEffectivelyVax (hypo)'!CY43,'NotEffectivelyVax (hypo)'!DB43,'NotEffectivelyVax (hypo)'!DE43,'NotEffectivelyVax (hypo)'!DH43,'NotEffectivelyVax (hypo)'!DK43,'NotEffectivelyVax (hypo)'!DN43,'NotEffectivelyVax (hypo)'!DQ43,'NotEffectivelyVax (hypo)'!DT43,'NotEffectivelyVax (hypo)'!DW43,'NotEffectivelyVax (hypo)'!DZ43,'NotEffectivelyVax (hypo)'!EC43,'NotEffectivelyVax (hypo)'!EF43,'NotEffectivelyVax (hypo)'!EI43,'NotEffectivelyVax (hypo)'!EL43,'NotEffectivelyVax (hypo)'!EO43,'NotEffectivelyVax (hypo)'!ER43,'NotEffectivelyVax (hypo)'!EU43,'NotEffectivelyVax (hypo)'!EX43,'NotEffectivelyVax (hypo)'!FA43,'NotEffectivelyVax (hypo)'!FD43,'NotEffectivelyVax (hypo)'!FG43,'NotEffectivelyVax (hypo)'!FJ43,'NotEffectivelyVax (hypo)'!FM43,'NotEffectivelyVax (hypo)'!FP43,'NotEffectivelyVax (hypo)'!FS43,'NotEffectivelyVax (hypo)'!FV43,'NotEffectivelyVax (hypo)'!FY43)</f>
        <v>#VALUE!</v>
      </c>
      <c r="X43" s="141" t="e">
        <f>SUM('NotEffectivelyVax (hypo)'!E43,'NotEffectivelyVax (hypo)'!H43,'NotEffectivelyVax (hypo)'!K43,'NotEffectivelyVax (hypo)'!N43,'NotEffectivelyVax (hypo)'!Q43,'NotEffectivelyVax (hypo)'!T43,'NotEffectivelyVax (hypo)'!Z43,'NotEffectivelyVax (hypo)'!W43,'NotEffectivelyVax (hypo)'!AC43,'NotEffectivelyVax (hypo)'!AF43,'NotEffectivelyVax (hypo)'!AI43,'NotEffectivelyVax (hypo)'!AL43,'NotEffectivelyVax (hypo)'!AO43,'NotEffectivelyVax (hypo)'!AR43,'NotEffectivelyVax (hypo)'!AU43,'NotEffectivelyVax (hypo)'!AX43,'NotEffectivelyVax (hypo)'!BA43,'NotEffectivelyVax (hypo)'!BD43,'NotEffectivelyVax (hypo)'!BG43,'NotEffectivelyVax (hypo)'!BJ43,'NotEffectivelyVax (hypo)'!BM43,'NotEffectivelyVax (hypo)'!BP43,'NotEffectivelyVax (hypo)'!BS43,'NotEffectivelyVax (hypo)'!BV43,'NotEffectivelyVax (hypo)'!BY43,'NotEffectivelyVax (hypo)'!CB43,'NotEffectivelyVax (hypo)'!CE43,'NotEffectivelyVax (hypo)'!CH43,'NotEffectivelyVax (hypo)'!CK43,'NotEffectivelyVax (hypo)'!CN43,'NotEffectivelyVax (hypo)'!CQ43,'NotEffectivelyVax (hypo)'!CT43,'NotEffectivelyVax (hypo)'!CW43,'NotEffectivelyVax (hypo)'!CZ43,'NotEffectivelyVax (hypo)'!DC43,'NotEffectivelyVax (hypo)'!DF43,'NotEffectivelyVax (hypo)'!DI43,'NotEffectivelyVax (hypo)'!DL43,'NotEffectivelyVax (hypo)'!DO43,'NotEffectivelyVax (hypo)'!DR43,'NotEffectivelyVax (hypo)'!DU43,'NotEffectivelyVax (hypo)'!DX43,'NotEffectivelyVax (hypo)'!EA43,'NotEffectivelyVax (hypo)'!ED43,'NotEffectivelyVax (hypo)'!EG43,'NotEffectivelyVax (hypo)'!EJ43,'NotEffectivelyVax (hypo)'!EM43,'NotEffectivelyVax (hypo)'!EP43,'NotEffectivelyVax (hypo)'!ES43,'NotEffectivelyVax (hypo)'!EV43,'NotEffectivelyVax (hypo)'!EY43,'NotEffectivelyVax (hypo)'!FB43,'NotEffectivelyVax (hypo)'!FE43,'NotEffectivelyVax (hypo)'!FH43,'NotEffectivelyVax (hypo)'!FK43,'NotEffectivelyVax (hypo)'!FN43,'NotEffectivelyVax (hypo)'!FQ43,'NotEffectivelyVax (hypo)'!FT43,'NotEffectivelyVax (hypo)'!FW43,'NotEffectivelyVax (hypo)'!FZ43)</f>
        <v>#VALUE!</v>
      </c>
      <c r="Y43" s="142" t="e">
        <f t="shared" si="2"/>
        <v>#VALUE!</v>
      </c>
      <c r="Z43" s="142" t="e">
        <f>IF(Export!M41&lt;&gt;"",W43*Export!K41*(1/Export!M41),W43*Export!K41)</f>
        <v>#VALUE!</v>
      </c>
      <c r="AA43" s="139" t="e">
        <f>Y43*Export!J41</f>
        <v>#VALUE!</v>
      </c>
      <c r="AC43" s="143" t="e">
        <f t="shared" si="3"/>
        <v>#VALUE!</v>
      </c>
      <c r="AD43" s="144" t="e">
        <f t="shared" si="18"/>
        <v>#VALUE!</v>
      </c>
      <c r="AE43" s="144" t="e">
        <f t="shared" si="4"/>
        <v>#VALUE!</v>
      </c>
      <c r="AF43" s="144" t="e">
        <f t="shared" si="5"/>
        <v>#VALUE!</v>
      </c>
      <c r="AG43" s="144" t="e">
        <f t="shared" si="6"/>
        <v>#VALUE!</v>
      </c>
      <c r="AH43" s="145"/>
      <c r="AI43" s="145"/>
      <c r="AJ43" s="145"/>
      <c r="AK43" s="145"/>
      <c r="AL43" s="146"/>
      <c r="AM43" s="150"/>
      <c r="AN43" s="150"/>
      <c r="AO43" s="150"/>
      <c r="AP43" s="150"/>
      <c r="AQ43" s="151"/>
    </row>
    <row r="44" spans="1:43" x14ac:dyDescent="0.35">
      <c r="A44" s="130">
        <f>EffectivelyVax!B43</f>
        <v>3</v>
      </c>
      <c r="B44" s="131" t="str">
        <f>EffectivelyVax!C43</f>
        <v/>
      </c>
      <c r="C44" s="132" t="str">
        <f>Export!N42</f>
        <v/>
      </c>
      <c r="D44" s="133" t="str">
        <f>Export!C42</f>
        <v/>
      </c>
      <c r="E44" s="133" t="e">
        <f>Export!C42*Export!L42</f>
        <v>#VALUE!</v>
      </c>
      <c r="F44" s="133" t="e">
        <f t="shared" si="17"/>
        <v>#VALUE!</v>
      </c>
      <c r="G44" s="133" t="e">
        <f>IF(Export!M42&lt;&gt;"",D44*Export!K42*(1/Export!M42),D44*Export!K42)</f>
        <v>#VALUE!</v>
      </c>
      <c r="H44" s="133" t="e">
        <f>F44*Export!J42</f>
        <v>#VALUE!</v>
      </c>
      <c r="I44" s="161" t="e">
        <f t="shared" si="16"/>
        <v>#VALUE!</v>
      </c>
      <c r="J44" s="134" t="e">
        <f t="shared" si="8"/>
        <v>#VALUE!</v>
      </c>
      <c r="K44" s="135" t="e">
        <f t="shared" si="9"/>
        <v>#VALUE!</v>
      </c>
      <c r="L44" s="117" t="str">
        <f>Export!B42</f>
        <v/>
      </c>
      <c r="M44" s="115" t="e">
        <f>C44*L44*HelperFunctions!G$45</f>
        <v>#VALUE!</v>
      </c>
      <c r="N44" s="116" t="e">
        <f>C44*L44*(1-HelperFunctions!G$45)</f>
        <v>#VALUE!</v>
      </c>
      <c r="O44" s="136" t="e">
        <f t="shared" si="14"/>
        <v>#DIV/0!</v>
      </c>
      <c r="P44" s="137">
        <f>SUM(EffectivelyVax!D43:BK43)</f>
        <v>0</v>
      </c>
      <c r="Q44" s="138" t="e">
        <f t="shared" si="11"/>
        <v>#DIV/0!</v>
      </c>
      <c r="R44" s="138" t="e">
        <f t="shared" si="12"/>
        <v>#DIV/0!</v>
      </c>
      <c r="S44" s="137" t="e">
        <f t="shared" si="1"/>
        <v>#DIV/0!</v>
      </c>
      <c r="T44" s="138" t="e">
        <f>IF(Export!M42&lt;&gt;"",Q44*Export!K42*(1/Export!M42),Q44*Export!K42)</f>
        <v>#DIV/0!</v>
      </c>
      <c r="U44" s="139" t="e">
        <f>S44*Export!J42</f>
        <v>#DIV/0!</v>
      </c>
      <c r="V44" s="140" t="e">
        <f>SUM('NotEffectivelyVax (hypo)'!F44,'NotEffectivelyVax (hypo)'!I44,'NotEffectivelyVax (hypo)'!L44,'NotEffectivelyVax (hypo)'!O44,'NotEffectivelyVax (hypo)'!R44,'NotEffectivelyVax (hypo)'!U44,'NotEffectivelyVax (hypo)'!X44,'NotEffectivelyVax (hypo)'!AA44,'NotEffectivelyVax (hypo)'!AD44,'NotEffectivelyVax (hypo)'!AG44,'NotEffectivelyVax (hypo)'!AJ44,'NotEffectivelyVax (hypo)'!AM44,'NotEffectivelyVax (hypo)'!AP44,'NotEffectivelyVax (hypo)'!AS44,'NotEffectivelyVax (hypo)'!AV44,'NotEffectivelyVax (hypo)'!AY44,'NotEffectivelyVax (hypo)'!BB44,'NotEffectivelyVax (hypo)'!BE44,'NotEffectivelyVax (hypo)'!BH44,'NotEffectivelyVax (hypo)'!BK44,'NotEffectivelyVax (hypo)'!BN44,'NotEffectivelyVax (hypo)'!BQ44,'NotEffectivelyVax (hypo)'!BT44,'NotEffectivelyVax (hypo)'!BW44,'NotEffectivelyVax (hypo)'!BZ44,'NotEffectivelyVax (hypo)'!CC44,'NotEffectivelyVax (hypo)'!CF44,'NotEffectivelyVax (hypo)'!CI44,'NotEffectivelyVax (hypo)'!CL44,'NotEffectivelyVax (hypo)'!CO44,'NotEffectivelyVax (hypo)'!CR44,'NotEffectivelyVax (hypo)'!CU44,'NotEffectivelyVax (hypo)'!CX44,'NotEffectivelyVax (hypo)'!DA44,'NotEffectivelyVax (hypo)'!DD44,'NotEffectivelyVax (hypo)'!DG44,'NotEffectivelyVax (hypo)'!DJ44,'NotEffectivelyVax (hypo)'!DM44,'NotEffectivelyVax (hypo)'!DQ44,'NotEffectivelyVax (hypo)'!DP44,'NotEffectivelyVax (hypo)'!DS44,'NotEffectivelyVax (hypo)'!DV44,'NotEffectivelyVax (hypo)'!DY44,'NotEffectivelyVax (hypo)'!EB44,'NotEffectivelyVax (hypo)'!EE44,'NotEffectivelyVax (hypo)'!EH44,'NotEffectivelyVax (hypo)'!EK44,'NotEffectivelyVax (hypo)'!EN44,'NotEffectivelyVax (hypo)'!EQ44,'NotEffectivelyVax (hypo)'!ET44,'NotEffectivelyVax (hypo)'!EW44,'NotEffectivelyVax (hypo)'!EZ44,'NotEffectivelyVax (hypo)'!FC44,'NotEffectivelyVax (hypo)'!FF44,'NotEffectivelyVax (hypo)'!FI44,'NotEffectivelyVax (hypo)'!FL44,'NotEffectivelyVax (hypo)'!FO44,'NotEffectivelyVax (hypo)'!FR44,'NotEffectivelyVax (hypo)'!FU44,'NotEffectivelyVax (hypo)'!FX44,'NotEffectivelyVax (hypo)'!GA44)</f>
        <v>#VALUE!</v>
      </c>
      <c r="W44" s="141" t="e">
        <f>SUM('NotEffectivelyVax (hypo)'!D44,'NotEffectivelyVax (hypo)'!G44,'NotEffectivelyVax (hypo)'!J44,'NotEffectivelyVax (hypo)'!M44,'NotEffectivelyVax (hypo)'!P44,'NotEffectivelyVax (hypo)'!S44,'NotEffectivelyVax (hypo)'!V44,'NotEffectivelyVax (hypo)'!Y44,'NotEffectivelyVax (hypo)'!AB44,'NotEffectivelyVax (hypo)'!AE44,'NotEffectivelyVax (hypo)'!AH44,'NotEffectivelyVax (hypo)'!AK44,'NotEffectivelyVax (hypo)'!AN44,'NotEffectivelyVax (hypo)'!AQ44,'NotEffectivelyVax (hypo)'!AT44,'NotEffectivelyVax (hypo)'!AW44,'NotEffectivelyVax (hypo)'!AZ44,'NotEffectivelyVax (hypo)'!BC44,'NotEffectivelyVax (hypo)'!BF44,'NotEffectivelyVax (hypo)'!BI44,'NotEffectivelyVax (hypo)'!BL44,'NotEffectivelyVax (hypo)'!BO44,'NotEffectivelyVax (hypo)'!BR44,'NotEffectivelyVax (hypo)'!BU44,'NotEffectivelyVax (hypo)'!BX44,'NotEffectivelyVax (hypo)'!CA44,'NotEffectivelyVax (hypo)'!CD44,'NotEffectivelyVax (hypo)'!CG44,'NotEffectivelyVax (hypo)'!CJ44,'NotEffectivelyVax (hypo)'!CM44,'NotEffectivelyVax (hypo)'!CP44,'NotEffectivelyVax (hypo)'!CS44,'NotEffectivelyVax (hypo)'!CV44,'NotEffectivelyVax (hypo)'!CY44,'NotEffectivelyVax (hypo)'!DB44,'NotEffectivelyVax (hypo)'!DE44,'NotEffectivelyVax (hypo)'!DH44,'NotEffectivelyVax (hypo)'!DK44,'NotEffectivelyVax (hypo)'!DN44,'NotEffectivelyVax (hypo)'!DQ44,'NotEffectivelyVax (hypo)'!DT44,'NotEffectivelyVax (hypo)'!DW44,'NotEffectivelyVax (hypo)'!DZ44,'NotEffectivelyVax (hypo)'!EC44,'NotEffectivelyVax (hypo)'!EF44,'NotEffectivelyVax (hypo)'!EI44,'NotEffectivelyVax (hypo)'!EL44,'NotEffectivelyVax (hypo)'!EO44,'NotEffectivelyVax (hypo)'!ER44,'NotEffectivelyVax (hypo)'!EU44,'NotEffectivelyVax (hypo)'!EX44,'NotEffectivelyVax (hypo)'!FA44,'NotEffectivelyVax (hypo)'!FD44,'NotEffectivelyVax (hypo)'!FG44,'NotEffectivelyVax (hypo)'!FJ44,'NotEffectivelyVax (hypo)'!FM44,'NotEffectivelyVax (hypo)'!FP44,'NotEffectivelyVax (hypo)'!FS44,'NotEffectivelyVax (hypo)'!FV44,'NotEffectivelyVax (hypo)'!FY44)</f>
        <v>#VALUE!</v>
      </c>
      <c r="X44" s="141" t="e">
        <f>SUM('NotEffectivelyVax (hypo)'!E44,'NotEffectivelyVax (hypo)'!H44,'NotEffectivelyVax (hypo)'!K44,'NotEffectivelyVax (hypo)'!N44,'NotEffectivelyVax (hypo)'!Q44,'NotEffectivelyVax (hypo)'!T44,'NotEffectivelyVax (hypo)'!Z44,'NotEffectivelyVax (hypo)'!W44,'NotEffectivelyVax (hypo)'!AC44,'NotEffectivelyVax (hypo)'!AF44,'NotEffectivelyVax (hypo)'!AI44,'NotEffectivelyVax (hypo)'!AL44,'NotEffectivelyVax (hypo)'!AO44,'NotEffectivelyVax (hypo)'!AR44,'NotEffectivelyVax (hypo)'!AU44,'NotEffectivelyVax (hypo)'!AX44,'NotEffectivelyVax (hypo)'!BA44,'NotEffectivelyVax (hypo)'!BD44,'NotEffectivelyVax (hypo)'!BG44,'NotEffectivelyVax (hypo)'!BJ44,'NotEffectivelyVax (hypo)'!BM44,'NotEffectivelyVax (hypo)'!BP44,'NotEffectivelyVax (hypo)'!BS44,'NotEffectivelyVax (hypo)'!BV44,'NotEffectivelyVax (hypo)'!BY44,'NotEffectivelyVax (hypo)'!CB44,'NotEffectivelyVax (hypo)'!CE44,'NotEffectivelyVax (hypo)'!CH44,'NotEffectivelyVax (hypo)'!CK44,'NotEffectivelyVax (hypo)'!CN44,'NotEffectivelyVax (hypo)'!CQ44,'NotEffectivelyVax (hypo)'!CT44,'NotEffectivelyVax (hypo)'!CW44,'NotEffectivelyVax (hypo)'!CZ44,'NotEffectivelyVax (hypo)'!DC44,'NotEffectivelyVax (hypo)'!DF44,'NotEffectivelyVax (hypo)'!DI44,'NotEffectivelyVax (hypo)'!DL44,'NotEffectivelyVax (hypo)'!DO44,'NotEffectivelyVax (hypo)'!DR44,'NotEffectivelyVax (hypo)'!DU44,'NotEffectivelyVax (hypo)'!DX44,'NotEffectivelyVax (hypo)'!EA44,'NotEffectivelyVax (hypo)'!ED44,'NotEffectivelyVax (hypo)'!EG44,'NotEffectivelyVax (hypo)'!EJ44,'NotEffectivelyVax (hypo)'!EM44,'NotEffectivelyVax (hypo)'!EP44,'NotEffectivelyVax (hypo)'!ES44,'NotEffectivelyVax (hypo)'!EV44,'NotEffectivelyVax (hypo)'!EY44,'NotEffectivelyVax (hypo)'!FB44,'NotEffectivelyVax (hypo)'!FE44,'NotEffectivelyVax (hypo)'!FH44,'NotEffectivelyVax (hypo)'!FK44,'NotEffectivelyVax (hypo)'!FN44,'NotEffectivelyVax (hypo)'!FQ44,'NotEffectivelyVax (hypo)'!FT44,'NotEffectivelyVax (hypo)'!FW44,'NotEffectivelyVax (hypo)'!FZ44)</f>
        <v>#VALUE!</v>
      </c>
      <c r="Y44" s="142" t="e">
        <f t="shared" si="2"/>
        <v>#VALUE!</v>
      </c>
      <c r="Z44" s="142" t="e">
        <f>IF(Export!M42&lt;&gt;"",W44*Export!K42*(1/Export!M42),W44*Export!K42)</f>
        <v>#VALUE!</v>
      </c>
      <c r="AA44" s="139" t="e">
        <f>Y44*Export!J42</f>
        <v>#VALUE!</v>
      </c>
      <c r="AC44" s="143" t="e">
        <f t="shared" si="3"/>
        <v>#VALUE!</v>
      </c>
      <c r="AD44" s="144" t="e">
        <f t="shared" si="18"/>
        <v>#VALUE!</v>
      </c>
      <c r="AE44" s="144" t="e">
        <f t="shared" si="4"/>
        <v>#VALUE!</v>
      </c>
      <c r="AF44" s="144" t="e">
        <f t="shared" si="5"/>
        <v>#VALUE!</v>
      </c>
      <c r="AG44" s="144" t="e">
        <f t="shared" si="6"/>
        <v>#VALUE!</v>
      </c>
      <c r="AH44" s="145"/>
      <c r="AI44" s="145"/>
      <c r="AJ44" s="145"/>
      <c r="AK44" s="145"/>
      <c r="AL44" s="146"/>
      <c r="AM44" s="150"/>
      <c r="AN44" s="150"/>
      <c r="AO44" s="150"/>
      <c r="AP44" s="150"/>
      <c r="AQ44" s="151"/>
    </row>
    <row r="45" spans="1:43" x14ac:dyDescent="0.35">
      <c r="A45" s="130">
        <f>EffectivelyVax!B44</f>
        <v>3</v>
      </c>
      <c r="B45" s="131" t="str">
        <f>EffectivelyVax!C44</f>
        <v/>
      </c>
      <c r="C45" s="132" t="str">
        <f>Export!N43</f>
        <v/>
      </c>
      <c r="D45" s="133" t="str">
        <f>Export!C43</f>
        <v/>
      </c>
      <c r="E45" s="133" t="e">
        <f>Export!C43*Export!L43</f>
        <v>#VALUE!</v>
      </c>
      <c r="F45" s="133" t="e">
        <f t="shared" si="17"/>
        <v>#VALUE!</v>
      </c>
      <c r="G45" s="133" t="e">
        <f>IF(Export!M43&lt;&gt;"",D45*Export!K43*(1/Export!M43),D45*Export!K43)</f>
        <v>#VALUE!</v>
      </c>
      <c r="H45" s="133" t="e">
        <f>F45*Export!J43</f>
        <v>#VALUE!</v>
      </c>
      <c r="I45" s="161" t="e">
        <f t="shared" si="16"/>
        <v>#VALUE!</v>
      </c>
      <c r="J45" s="134" t="e">
        <f t="shared" si="8"/>
        <v>#VALUE!</v>
      </c>
      <c r="K45" s="135" t="e">
        <f t="shared" si="9"/>
        <v>#VALUE!</v>
      </c>
      <c r="L45" s="117" t="str">
        <f>Export!B43</f>
        <v/>
      </c>
      <c r="M45" s="115" t="e">
        <f>C45*L45*HelperFunctions!G$45</f>
        <v>#VALUE!</v>
      </c>
      <c r="N45" s="116" t="e">
        <f>C45*L45*(1-HelperFunctions!G$45)</f>
        <v>#VALUE!</v>
      </c>
      <c r="O45" s="136" t="e">
        <f t="shared" si="14"/>
        <v>#DIV/0!</v>
      </c>
      <c r="P45" s="137">
        <f>SUM(EffectivelyVax!D44:BK44)</f>
        <v>0</v>
      </c>
      <c r="Q45" s="138" t="e">
        <f t="shared" si="11"/>
        <v>#DIV/0!</v>
      </c>
      <c r="R45" s="138" t="e">
        <f t="shared" si="12"/>
        <v>#DIV/0!</v>
      </c>
      <c r="S45" s="137" t="e">
        <f t="shared" si="1"/>
        <v>#DIV/0!</v>
      </c>
      <c r="T45" s="138" t="e">
        <f>IF(Export!M43&lt;&gt;"",Q45*Export!K43*(1/Export!M43),Q45*Export!K43)</f>
        <v>#DIV/0!</v>
      </c>
      <c r="U45" s="139" t="e">
        <f>S45*Export!J43</f>
        <v>#DIV/0!</v>
      </c>
      <c r="V45" s="140" t="e">
        <f>SUM('NotEffectivelyVax (hypo)'!F45,'NotEffectivelyVax (hypo)'!I45,'NotEffectivelyVax (hypo)'!L45,'NotEffectivelyVax (hypo)'!O45,'NotEffectivelyVax (hypo)'!R45,'NotEffectivelyVax (hypo)'!U45,'NotEffectivelyVax (hypo)'!X45,'NotEffectivelyVax (hypo)'!AA45,'NotEffectivelyVax (hypo)'!AD45,'NotEffectivelyVax (hypo)'!AG45,'NotEffectivelyVax (hypo)'!AJ45,'NotEffectivelyVax (hypo)'!AM45,'NotEffectivelyVax (hypo)'!AP45,'NotEffectivelyVax (hypo)'!AS45,'NotEffectivelyVax (hypo)'!AV45,'NotEffectivelyVax (hypo)'!AY45,'NotEffectivelyVax (hypo)'!BB45,'NotEffectivelyVax (hypo)'!BE45,'NotEffectivelyVax (hypo)'!BH45,'NotEffectivelyVax (hypo)'!BK45,'NotEffectivelyVax (hypo)'!BN45,'NotEffectivelyVax (hypo)'!BQ45,'NotEffectivelyVax (hypo)'!BT45,'NotEffectivelyVax (hypo)'!BW45,'NotEffectivelyVax (hypo)'!BZ45,'NotEffectivelyVax (hypo)'!CC45,'NotEffectivelyVax (hypo)'!CF45,'NotEffectivelyVax (hypo)'!CI45,'NotEffectivelyVax (hypo)'!CL45,'NotEffectivelyVax (hypo)'!CO45,'NotEffectivelyVax (hypo)'!CR45,'NotEffectivelyVax (hypo)'!CU45,'NotEffectivelyVax (hypo)'!CX45,'NotEffectivelyVax (hypo)'!DA45,'NotEffectivelyVax (hypo)'!DD45,'NotEffectivelyVax (hypo)'!DG45,'NotEffectivelyVax (hypo)'!DJ45,'NotEffectivelyVax (hypo)'!DM45,'NotEffectivelyVax (hypo)'!DQ45,'NotEffectivelyVax (hypo)'!DP45,'NotEffectivelyVax (hypo)'!DS45,'NotEffectivelyVax (hypo)'!DV45,'NotEffectivelyVax (hypo)'!DY45,'NotEffectivelyVax (hypo)'!EB45,'NotEffectivelyVax (hypo)'!EE45,'NotEffectivelyVax (hypo)'!EH45,'NotEffectivelyVax (hypo)'!EK45,'NotEffectivelyVax (hypo)'!EN45,'NotEffectivelyVax (hypo)'!EQ45,'NotEffectivelyVax (hypo)'!ET45,'NotEffectivelyVax (hypo)'!EW45,'NotEffectivelyVax (hypo)'!EZ45,'NotEffectivelyVax (hypo)'!FC45,'NotEffectivelyVax (hypo)'!FF45,'NotEffectivelyVax (hypo)'!FI45,'NotEffectivelyVax (hypo)'!FL45,'NotEffectivelyVax (hypo)'!FO45,'NotEffectivelyVax (hypo)'!FR45,'NotEffectivelyVax (hypo)'!FU45,'NotEffectivelyVax (hypo)'!FX45,'NotEffectivelyVax (hypo)'!GA45)</f>
        <v>#VALUE!</v>
      </c>
      <c r="W45" s="141" t="e">
        <f>SUM('NotEffectivelyVax (hypo)'!D45,'NotEffectivelyVax (hypo)'!G45,'NotEffectivelyVax (hypo)'!J45,'NotEffectivelyVax (hypo)'!M45,'NotEffectivelyVax (hypo)'!P45,'NotEffectivelyVax (hypo)'!S45,'NotEffectivelyVax (hypo)'!V45,'NotEffectivelyVax (hypo)'!Y45,'NotEffectivelyVax (hypo)'!AB45,'NotEffectivelyVax (hypo)'!AE45,'NotEffectivelyVax (hypo)'!AH45,'NotEffectivelyVax (hypo)'!AK45,'NotEffectivelyVax (hypo)'!AN45,'NotEffectivelyVax (hypo)'!AQ45,'NotEffectivelyVax (hypo)'!AT45,'NotEffectivelyVax (hypo)'!AW45,'NotEffectivelyVax (hypo)'!AZ45,'NotEffectivelyVax (hypo)'!BC45,'NotEffectivelyVax (hypo)'!BF45,'NotEffectivelyVax (hypo)'!BI45,'NotEffectivelyVax (hypo)'!BL45,'NotEffectivelyVax (hypo)'!BO45,'NotEffectivelyVax (hypo)'!BR45,'NotEffectivelyVax (hypo)'!BU45,'NotEffectivelyVax (hypo)'!BX45,'NotEffectivelyVax (hypo)'!CA45,'NotEffectivelyVax (hypo)'!CD45,'NotEffectivelyVax (hypo)'!CG45,'NotEffectivelyVax (hypo)'!CJ45,'NotEffectivelyVax (hypo)'!CM45,'NotEffectivelyVax (hypo)'!CP45,'NotEffectivelyVax (hypo)'!CS45,'NotEffectivelyVax (hypo)'!CV45,'NotEffectivelyVax (hypo)'!CY45,'NotEffectivelyVax (hypo)'!DB45,'NotEffectivelyVax (hypo)'!DE45,'NotEffectivelyVax (hypo)'!DH45,'NotEffectivelyVax (hypo)'!DK45,'NotEffectivelyVax (hypo)'!DN45,'NotEffectivelyVax (hypo)'!DQ45,'NotEffectivelyVax (hypo)'!DT45,'NotEffectivelyVax (hypo)'!DW45,'NotEffectivelyVax (hypo)'!DZ45,'NotEffectivelyVax (hypo)'!EC45,'NotEffectivelyVax (hypo)'!EF45,'NotEffectivelyVax (hypo)'!EI45,'NotEffectivelyVax (hypo)'!EL45,'NotEffectivelyVax (hypo)'!EO45,'NotEffectivelyVax (hypo)'!ER45,'NotEffectivelyVax (hypo)'!EU45,'NotEffectivelyVax (hypo)'!EX45,'NotEffectivelyVax (hypo)'!FA45,'NotEffectivelyVax (hypo)'!FD45,'NotEffectivelyVax (hypo)'!FG45,'NotEffectivelyVax (hypo)'!FJ45,'NotEffectivelyVax (hypo)'!FM45,'NotEffectivelyVax (hypo)'!FP45,'NotEffectivelyVax (hypo)'!FS45,'NotEffectivelyVax (hypo)'!FV45,'NotEffectivelyVax (hypo)'!FY45)</f>
        <v>#VALUE!</v>
      </c>
      <c r="X45" s="141" t="e">
        <f>SUM('NotEffectivelyVax (hypo)'!E45,'NotEffectivelyVax (hypo)'!H45,'NotEffectivelyVax (hypo)'!K45,'NotEffectivelyVax (hypo)'!N45,'NotEffectivelyVax (hypo)'!Q45,'NotEffectivelyVax (hypo)'!T45,'NotEffectivelyVax (hypo)'!Z45,'NotEffectivelyVax (hypo)'!W45,'NotEffectivelyVax (hypo)'!AC45,'NotEffectivelyVax (hypo)'!AF45,'NotEffectivelyVax (hypo)'!AI45,'NotEffectivelyVax (hypo)'!AL45,'NotEffectivelyVax (hypo)'!AO45,'NotEffectivelyVax (hypo)'!AR45,'NotEffectivelyVax (hypo)'!AU45,'NotEffectivelyVax (hypo)'!AX45,'NotEffectivelyVax (hypo)'!BA45,'NotEffectivelyVax (hypo)'!BD45,'NotEffectivelyVax (hypo)'!BG45,'NotEffectivelyVax (hypo)'!BJ45,'NotEffectivelyVax (hypo)'!BM45,'NotEffectivelyVax (hypo)'!BP45,'NotEffectivelyVax (hypo)'!BS45,'NotEffectivelyVax (hypo)'!BV45,'NotEffectivelyVax (hypo)'!BY45,'NotEffectivelyVax (hypo)'!CB45,'NotEffectivelyVax (hypo)'!CE45,'NotEffectivelyVax (hypo)'!CH45,'NotEffectivelyVax (hypo)'!CK45,'NotEffectivelyVax (hypo)'!CN45,'NotEffectivelyVax (hypo)'!CQ45,'NotEffectivelyVax (hypo)'!CT45,'NotEffectivelyVax (hypo)'!CW45,'NotEffectivelyVax (hypo)'!CZ45,'NotEffectivelyVax (hypo)'!DC45,'NotEffectivelyVax (hypo)'!DF45,'NotEffectivelyVax (hypo)'!DI45,'NotEffectivelyVax (hypo)'!DL45,'NotEffectivelyVax (hypo)'!DO45,'NotEffectivelyVax (hypo)'!DR45,'NotEffectivelyVax (hypo)'!DU45,'NotEffectivelyVax (hypo)'!DX45,'NotEffectivelyVax (hypo)'!EA45,'NotEffectivelyVax (hypo)'!ED45,'NotEffectivelyVax (hypo)'!EG45,'NotEffectivelyVax (hypo)'!EJ45,'NotEffectivelyVax (hypo)'!EM45,'NotEffectivelyVax (hypo)'!EP45,'NotEffectivelyVax (hypo)'!ES45,'NotEffectivelyVax (hypo)'!EV45,'NotEffectivelyVax (hypo)'!EY45,'NotEffectivelyVax (hypo)'!FB45,'NotEffectivelyVax (hypo)'!FE45,'NotEffectivelyVax (hypo)'!FH45,'NotEffectivelyVax (hypo)'!FK45,'NotEffectivelyVax (hypo)'!FN45,'NotEffectivelyVax (hypo)'!FQ45,'NotEffectivelyVax (hypo)'!FT45,'NotEffectivelyVax (hypo)'!FW45,'NotEffectivelyVax (hypo)'!FZ45)</f>
        <v>#VALUE!</v>
      </c>
      <c r="Y45" s="142" t="e">
        <f t="shared" si="2"/>
        <v>#VALUE!</v>
      </c>
      <c r="Z45" s="142" t="e">
        <f>IF(Export!M43&lt;&gt;"",W45*Export!K43*(1/Export!M43),W45*Export!K43)</f>
        <v>#VALUE!</v>
      </c>
      <c r="AA45" s="139" t="e">
        <f>Y45*Export!J43</f>
        <v>#VALUE!</v>
      </c>
      <c r="AC45" s="143" t="e">
        <f t="shared" si="3"/>
        <v>#VALUE!</v>
      </c>
      <c r="AD45" s="144" t="e">
        <f t="shared" si="18"/>
        <v>#VALUE!</v>
      </c>
      <c r="AE45" s="144" t="e">
        <f t="shared" si="4"/>
        <v>#VALUE!</v>
      </c>
      <c r="AF45" s="144" t="e">
        <f t="shared" si="5"/>
        <v>#VALUE!</v>
      </c>
      <c r="AG45" s="144" t="e">
        <f t="shared" si="6"/>
        <v>#VALUE!</v>
      </c>
      <c r="AH45" s="145"/>
      <c r="AI45" s="145"/>
      <c r="AJ45" s="145"/>
      <c r="AK45" s="145"/>
      <c r="AL45" s="146"/>
      <c r="AM45" s="150"/>
      <c r="AN45" s="150"/>
      <c r="AO45" s="150"/>
      <c r="AP45" s="150"/>
      <c r="AQ45" s="151"/>
    </row>
    <row r="46" spans="1:43" x14ac:dyDescent="0.35">
      <c r="A46" s="130">
        <f>EffectivelyVax!B45</f>
        <v>3</v>
      </c>
      <c r="B46" s="131" t="str">
        <f>EffectivelyVax!C45</f>
        <v/>
      </c>
      <c r="C46" s="132" t="str">
        <f>Export!N44</f>
        <v/>
      </c>
      <c r="D46" s="133" t="str">
        <f>Export!C44</f>
        <v/>
      </c>
      <c r="E46" s="133" t="e">
        <f>Export!C44*Export!L44</f>
        <v>#VALUE!</v>
      </c>
      <c r="F46" s="133" t="e">
        <f t="shared" si="17"/>
        <v>#VALUE!</v>
      </c>
      <c r="G46" s="133" t="e">
        <f>IF(Export!M44&lt;&gt;"",D46*Export!K44*(1/Export!M44),D46*Export!K44)</f>
        <v>#VALUE!</v>
      </c>
      <c r="H46" s="133" t="e">
        <f>F46*Export!J44</f>
        <v>#VALUE!</v>
      </c>
      <c r="I46" s="161" t="e">
        <f t="shared" si="16"/>
        <v>#VALUE!</v>
      </c>
      <c r="J46" s="134" t="e">
        <f t="shared" si="8"/>
        <v>#VALUE!</v>
      </c>
      <c r="K46" s="135" t="e">
        <f t="shared" si="9"/>
        <v>#VALUE!</v>
      </c>
      <c r="L46" s="117" t="str">
        <f>Export!B44</f>
        <v/>
      </c>
      <c r="M46" s="115" t="e">
        <f>C46*L46*HelperFunctions!G$45</f>
        <v>#VALUE!</v>
      </c>
      <c r="N46" s="116" t="e">
        <f>C46*L46*(1-HelperFunctions!G$45)</f>
        <v>#VALUE!</v>
      </c>
      <c r="O46" s="136" t="e">
        <f t="shared" si="14"/>
        <v>#DIV/0!</v>
      </c>
      <c r="P46" s="137">
        <f>SUM(EffectivelyVax!D45:BK45)</f>
        <v>0</v>
      </c>
      <c r="Q46" s="138" t="e">
        <f t="shared" si="11"/>
        <v>#DIV/0!</v>
      </c>
      <c r="R46" s="138" t="e">
        <f t="shared" si="12"/>
        <v>#DIV/0!</v>
      </c>
      <c r="S46" s="137" t="e">
        <f t="shared" si="1"/>
        <v>#DIV/0!</v>
      </c>
      <c r="T46" s="138" t="e">
        <f>IF(Export!M44&lt;&gt;"",Q46*Export!K44*(1/Export!M44),Q46*Export!K44)</f>
        <v>#DIV/0!</v>
      </c>
      <c r="U46" s="139" t="e">
        <f>S46*Export!J44</f>
        <v>#DIV/0!</v>
      </c>
      <c r="V46" s="140" t="e">
        <f>SUM('NotEffectivelyVax (hypo)'!F46,'NotEffectivelyVax (hypo)'!I46,'NotEffectivelyVax (hypo)'!L46,'NotEffectivelyVax (hypo)'!O46,'NotEffectivelyVax (hypo)'!R46,'NotEffectivelyVax (hypo)'!U46,'NotEffectivelyVax (hypo)'!X46,'NotEffectivelyVax (hypo)'!AA46,'NotEffectivelyVax (hypo)'!AD46,'NotEffectivelyVax (hypo)'!AG46,'NotEffectivelyVax (hypo)'!AJ46,'NotEffectivelyVax (hypo)'!AM46,'NotEffectivelyVax (hypo)'!AP46,'NotEffectivelyVax (hypo)'!AS46,'NotEffectivelyVax (hypo)'!AV46,'NotEffectivelyVax (hypo)'!AY46,'NotEffectivelyVax (hypo)'!BB46,'NotEffectivelyVax (hypo)'!BE46,'NotEffectivelyVax (hypo)'!BH46,'NotEffectivelyVax (hypo)'!BK46,'NotEffectivelyVax (hypo)'!BN46,'NotEffectivelyVax (hypo)'!BQ46,'NotEffectivelyVax (hypo)'!BT46,'NotEffectivelyVax (hypo)'!BW46,'NotEffectivelyVax (hypo)'!BZ46,'NotEffectivelyVax (hypo)'!CC46,'NotEffectivelyVax (hypo)'!CF46,'NotEffectivelyVax (hypo)'!CI46,'NotEffectivelyVax (hypo)'!CL46,'NotEffectivelyVax (hypo)'!CO46,'NotEffectivelyVax (hypo)'!CR46,'NotEffectivelyVax (hypo)'!CU46,'NotEffectivelyVax (hypo)'!CX46,'NotEffectivelyVax (hypo)'!DA46,'NotEffectivelyVax (hypo)'!DD46,'NotEffectivelyVax (hypo)'!DG46,'NotEffectivelyVax (hypo)'!DJ46,'NotEffectivelyVax (hypo)'!DM46,'NotEffectivelyVax (hypo)'!DQ46,'NotEffectivelyVax (hypo)'!DP46,'NotEffectivelyVax (hypo)'!DS46,'NotEffectivelyVax (hypo)'!DV46,'NotEffectivelyVax (hypo)'!DY46,'NotEffectivelyVax (hypo)'!EB46,'NotEffectivelyVax (hypo)'!EE46,'NotEffectivelyVax (hypo)'!EH46,'NotEffectivelyVax (hypo)'!EK46,'NotEffectivelyVax (hypo)'!EN46,'NotEffectivelyVax (hypo)'!EQ46,'NotEffectivelyVax (hypo)'!ET46,'NotEffectivelyVax (hypo)'!EW46,'NotEffectivelyVax (hypo)'!EZ46,'NotEffectivelyVax (hypo)'!FC46,'NotEffectivelyVax (hypo)'!FF46,'NotEffectivelyVax (hypo)'!FI46,'NotEffectivelyVax (hypo)'!FL46,'NotEffectivelyVax (hypo)'!FO46,'NotEffectivelyVax (hypo)'!FR46,'NotEffectivelyVax (hypo)'!FU46,'NotEffectivelyVax (hypo)'!FX46,'NotEffectivelyVax (hypo)'!GA46)</f>
        <v>#VALUE!</v>
      </c>
      <c r="W46" s="141" t="e">
        <f>SUM('NotEffectivelyVax (hypo)'!D46,'NotEffectivelyVax (hypo)'!G46,'NotEffectivelyVax (hypo)'!J46,'NotEffectivelyVax (hypo)'!M46,'NotEffectivelyVax (hypo)'!P46,'NotEffectivelyVax (hypo)'!S46,'NotEffectivelyVax (hypo)'!V46,'NotEffectivelyVax (hypo)'!Y46,'NotEffectivelyVax (hypo)'!AB46,'NotEffectivelyVax (hypo)'!AE46,'NotEffectivelyVax (hypo)'!AH46,'NotEffectivelyVax (hypo)'!AK46,'NotEffectivelyVax (hypo)'!AN46,'NotEffectivelyVax (hypo)'!AQ46,'NotEffectivelyVax (hypo)'!AT46,'NotEffectivelyVax (hypo)'!AW46,'NotEffectivelyVax (hypo)'!AZ46,'NotEffectivelyVax (hypo)'!BC46,'NotEffectivelyVax (hypo)'!BF46,'NotEffectivelyVax (hypo)'!BI46,'NotEffectivelyVax (hypo)'!BL46,'NotEffectivelyVax (hypo)'!BO46,'NotEffectivelyVax (hypo)'!BR46,'NotEffectivelyVax (hypo)'!BU46,'NotEffectivelyVax (hypo)'!BX46,'NotEffectivelyVax (hypo)'!CA46,'NotEffectivelyVax (hypo)'!CD46,'NotEffectivelyVax (hypo)'!CG46,'NotEffectivelyVax (hypo)'!CJ46,'NotEffectivelyVax (hypo)'!CM46,'NotEffectivelyVax (hypo)'!CP46,'NotEffectivelyVax (hypo)'!CS46,'NotEffectivelyVax (hypo)'!CV46,'NotEffectivelyVax (hypo)'!CY46,'NotEffectivelyVax (hypo)'!DB46,'NotEffectivelyVax (hypo)'!DE46,'NotEffectivelyVax (hypo)'!DH46,'NotEffectivelyVax (hypo)'!DK46,'NotEffectivelyVax (hypo)'!DN46,'NotEffectivelyVax (hypo)'!DQ46,'NotEffectivelyVax (hypo)'!DT46,'NotEffectivelyVax (hypo)'!DW46,'NotEffectivelyVax (hypo)'!DZ46,'NotEffectivelyVax (hypo)'!EC46,'NotEffectivelyVax (hypo)'!EF46,'NotEffectivelyVax (hypo)'!EI46,'NotEffectivelyVax (hypo)'!EL46,'NotEffectivelyVax (hypo)'!EO46,'NotEffectivelyVax (hypo)'!ER46,'NotEffectivelyVax (hypo)'!EU46,'NotEffectivelyVax (hypo)'!EX46,'NotEffectivelyVax (hypo)'!FA46,'NotEffectivelyVax (hypo)'!FD46,'NotEffectivelyVax (hypo)'!FG46,'NotEffectivelyVax (hypo)'!FJ46,'NotEffectivelyVax (hypo)'!FM46,'NotEffectivelyVax (hypo)'!FP46,'NotEffectivelyVax (hypo)'!FS46,'NotEffectivelyVax (hypo)'!FV46,'NotEffectivelyVax (hypo)'!FY46)</f>
        <v>#VALUE!</v>
      </c>
      <c r="X46" s="141" t="e">
        <f>SUM('NotEffectivelyVax (hypo)'!E46,'NotEffectivelyVax (hypo)'!H46,'NotEffectivelyVax (hypo)'!K46,'NotEffectivelyVax (hypo)'!N46,'NotEffectivelyVax (hypo)'!Q46,'NotEffectivelyVax (hypo)'!T46,'NotEffectivelyVax (hypo)'!Z46,'NotEffectivelyVax (hypo)'!W46,'NotEffectivelyVax (hypo)'!AC46,'NotEffectivelyVax (hypo)'!AF46,'NotEffectivelyVax (hypo)'!AI46,'NotEffectivelyVax (hypo)'!AL46,'NotEffectivelyVax (hypo)'!AO46,'NotEffectivelyVax (hypo)'!AR46,'NotEffectivelyVax (hypo)'!AU46,'NotEffectivelyVax (hypo)'!AX46,'NotEffectivelyVax (hypo)'!BA46,'NotEffectivelyVax (hypo)'!BD46,'NotEffectivelyVax (hypo)'!BG46,'NotEffectivelyVax (hypo)'!BJ46,'NotEffectivelyVax (hypo)'!BM46,'NotEffectivelyVax (hypo)'!BP46,'NotEffectivelyVax (hypo)'!BS46,'NotEffectivelyVax (hypo)'!BV46,'NotEffectivelyVax (hypo)'!BY46,'NotEffectivelyVax (hypo)'!CB46,'NotEffectivelyVax (hypo)'!CE46,'NotEffectivelyVax (hypo)'!CH46,'NotEffectivelyVax (hypo)'!CK46,'NotEffectivelyVax (hypo)'!CN46,'NotEffectivelyVax (hypo)'!CQ46,'NotEffectivelyVax (hypo)'!CT46,'NotEffectivelyVax (hypo)'!CW46,'NotEffectivelyVax (hypo)'!CZ46,'NotEffectivelyVax (hypo)'!DC46,'NotEffectivelyVax (hypo)'!DF46,'NotEffectivelyVax (hypo)'!DI46,'NotEffectivelyVax (hypo)'!DL46,'NotEffectivelyVax (hypo)'!DO46,'NotEffectivelyVax (hypo)'!DR46,'NotEffectivelyVax (hypo)'!DU46,'NotEffectivelyVax (hypo)'!DX46,'NotEffectivelyVax (hypo)'!EA46,'NotEffectivelyVax (hypo)'!ED46,'NotEffectivelyVax (hypo)'!EG46,'NotEffectivelyVax (hypo)'!EJ46,'NotEffectivelyVax (hypo)'!EM46,'NotEffectivelyVax (hypo)'!EP46,'NotEffectivelyVax (hypo)'!ES46,'NotEffectivelyVax (hypo)'!EV46,'NotEffectivelyVax (hypo)'!EY46,'NotEffectivelyVax (hypo)'!FB46,'NotEffectivelyVax (hypo)'!FE46,'NotEffectivelyVax (hypo)'!FH46,'NotEffectivelyVax (hypo)'!FK46,'NotEffectivelyVax (hypo)'!FN46,'NotEffectivelyVax (hypo)'!FQ46,'NotEffectivelyVax (hypo)'!FT46,'NotEffectivelyVax (hypo)'!FW46,'NotEffectivelyVax (hypo)'!FZ46)</f>
        <v>#VALUE!</v>
      </c>
      <c r="Y46" s="142" t="e">
        <f t="shared" si="2"/>
        <v>#VALUE!</v>
      </c>
      <c r="Z46" s="142" t="e">
        <f>IF(Export!M44&lt;&gt;"",W46*Export!K44*(1/Export!M44),W46*Export!K44)</f>
        <v>#VALUE!</v>
      </c>
      <c r="AA46" s="139" t="e">
        <f>Y46*Export!J44</f>
        <v>#VALUE!</v>
      </c>
      <c r="AC46" s="143" t="e">
        <f t="shared" si="3"/>
        <v>#VALUE!</v>
      </c>
      <c r="AD46" s="144" t="e">
        <f t="shared" si="18"/>
        <v>#VALUE!</v>
      </c>
      <c r="AE46" s="144" t="e">
        <f t="shared" si="4"/>
        <v>#VALUE!</v>
      </c>
      <c r="AF46" s="144" t="e">
        <f t="shared" si="5"/>
        <v>#VALUE!</v>
      </c>
      <c r="AG46" s="144" t="e">
        <f t="shared" si="6"/>
        <v>#VALUE!</v>
      </c>
      <c r="AH46" s="145"/>
      <c r="AI46" s="145"/>
      <c r="AJ46" s="145"/>
      <c r="AK46" s="145"/>
      <c r="AL46" s="146"/>
      <c r="AM46" s="150"/>
      <c r="AN46" s="150"/>
      <c r="AO46" s="150"/>
      <c r="AP46" s="150"/>
      <c r="AQ46" s="151"/>
    </row>
    <row r="47" spans="1:43" x14ac:dyDescent="0.35">
      <c r="A47" s="130">
        <f>EffectivelyVax!B46</f>
        <v>3</v>
      </c>
      <c r="B47" s="131" t="str">
        <f>EffectivelyVax!C46</f>
        <v/>
      </c>
      <c r="C47" s="132" t="str">
        <f>Export!N45</f>
        <v/>
      </c>
      <c r="D47" s="133" t="str">
        <f>Export!C45</f>
        <v/>
      </c>
      <c r="E47" s="133" t="e">
        <f>Export!C45*Export!L45</f>
        <v>#VALUE!</v>
      </c>
      <c r="F47" s="133" t="e">
        <f t="shared" si="17"/>
        <v>#VALUE!</v>
      </c>
      <c r="G47" s="133" t="e">
        <f>IF(Export!M45&lt;&gt;"",D47*Export!K45*(1/Export!M45),D47*Export!K45)</f>
        <v>#VALUE!</v>
      </c>
      <c r="H47" s="133" t="e">
        <f>F47*Export!J45</f>
        <v>#VALUE!</v>
      </c>
      <c r="I47" s="161" t="e">
        <f t="shared" si="16"/>
        <v>#VALUE!</v>
      </c>
      <c r="J47" s="134" t="e">
        <f t="shared" si="8"/>
        <v>#VALUE!</v>
      </c>
      <c r="K47" s="135" t="e">
        <f t="shared" si="9"/>
        <v>#VALUE!</v>
      </c>
      <c r="L47" s="117" t="str">
        <f>Export!B45</f>
        <v/>
      </c>
      <c r="M47" s="115" t="e">
        <f>C47*L47*HelperFunctions!G$45</f>
        <v>#VALUE!</v>
      </c>
      <c r="N47" s="116" t="e">
        <f>C47*L47*(1-HelperFunctions!G$45)</f>
        <v>#VALUE!</v>
      </c>
      <c r="O47" s="136" t="e">
        <f t="shared" si="14"/>
        <v>#DIV/0!</v>
      </c>
      <c r="P47" s="137">
        <f>SUM(EffectivelyVax!D46:BK46)</f>
        <v>0</v>
      </c>
      <c r="Q47" s="138" t="e">
        <f t="shared" si="11"/>
        <v>#DIV/0!</v>
      </c>
      <c r="R47" s="138" t="e">
        <f t="shared" si="12"/>
        <v>#DIV/0!</v>
      </c>
      <c r="S47" s="137" t="e">
        <f t="shared" si="1"/>
        <v>#DIV/0!</v>
      </c>
      <c r="T47" s="138" t="e">
        <f>IF(Export!M45&lt;&gt;"",Q47*Export!K45*(1/Export!M45),Q47*Export!K45)</f>
        <v>#DIV/0!</v>
      </c>
      <c r="U47" s="139" t="e">
        <f>S47*Export!J45</f>
        <v>#DIV/0!</v>
      </c>
      <c r="V47" s="140" t="e">
        <f>SUM('NotEffectivelyVax (hypo)'!F47,'NotEffectivelyVax (hypo)'!I47,'NotEffectivelyVax (hypo)'!L47,'NotEffectivelyVax (hypo)'!O47,'NotEffectivelyVax (hypo)'!R47,'NotEffectivelyVax (hypo)'!U47,'NotEffectivelyVax (hypo)'!X47,'NotEffectivelyVax (hypo)'!AA47,'NotEffectivelyVax (hypo)'!AD47,'NotEffectivelyVax (hypo)'!AG47,'NotEffectivelyVax (hypo)'!AJ47,'NotEffectivelyVax (hypo)'!AM47,'NotEffectivelyVax (hypo)'!AP47,'NotEffectivelyVax (hypo)'!AS47,'NotEffectivelyVax (hypo)'!AV47,'NotEffectivelyVax (hypo)'!AY47,'NotEffectivelyVax (hypo)'!BB47,'NotEffectivelyVax (hypo)'!BE47,'NotEffectivelyVax (hypo)'!BH47,'NotEffectivelyVax (hypo)'!BK47,'NotEffectivelyVax (hypo)'!BN47,'NotEffectivelyVax (hypo)'!BQ47,'NotEffectivelyVax (hypo)'!BT47,'NotEffectivelyVax (hypo)'!BW47,'NotEffectivelyVax (hypo)'!BZ47,'NotEffectivelyVax (hypo)'!CC47,'NotEffectivelyVax (hypo)'!CF47,'NotEffectivelyVax (hypo)'!CI47,'NotEffectivelyVax (hypo)'!CL47,'NotEffectivelyVax (hypo)'!CO47,'NotEffectivelyVax (hypo)'!CR47,'NotEffectivelyVax (hypo)'!CU47,'NotEffectivelyVax (hypo)'!CX47,'NotEffectivelyVax (hypo)'!DA47,'NotEffectivelyVax (hypo)'!DD47,'NotEffectivelyVax (hypo)'!DG47,'NotEffectivelyVax (hypo)'!DJ47,'NotEffectivelyVax (hypo)'!DM47,'NotEffectivelyVax (hypo)'!DQ47,'NotEffectivelyVax (hypo)'!DP47,'NotEffectivelyVax (hypo)'!DS47,'NotEffectivelyVax (hypo)'!DV47,'NotEffectivelyVax (hypo)'!DY47,'NotEffectivelyVax (hypo)'!EB47,'NotEffectivelyVax (hypo)'!EE47,'NotEffectivelyVax (hypo)'!EH47,'NotEffectivelyVax (hypo)'!EK47,'NotEffectivelyVax (hypo)'!EN47,'NotEffectivelyVax (hypo)'!EQ47,'NotEffectivelyVax (hypo)'!ET47,'NotEffectivelyVax (hypo)'!EW47,'NotEffectivelyVax (hypo)'!EZ47,'NotEffectivelyVax (hypo)'!FC47,'NotEffectivelyVax (hypo)'!FF47,'NotEffectivelyVax (hypo)'!FI47,'NotEffectivelyVax (hypo)'!FL47,'NotEffectivelyVax (hypo)'!FO47,'NotEffectivelyVax (hypo)'!FR47,'NotEffectivelyVax (hypo)'!FU47,'NotEffectivelyVax (hypo)'!FX47,'NotEffectivelyVax (hypo)'!GA47)</f>
        <v>#VALUE!</v>
      </c>
      <c r="W47" s="141" t="e">
        <f>SUM('NotEffectivelyVax (hypo)'!D47,'NotEffectivelyVax (hypo)'!G47,'NotEffectivelyVax (hypo)'!J47,'NotEffectivelyVax (hypo)'!M47,'NotEffectivelyVax (hypo)'!P47,'NotEffectivelyVax (hypo)'!S47,'NotEffectivelyVax (hypo)'!V47,'NotEffectivelyVax (hypo)'!Y47,'NotEffectivelyVax (hypo)'!AB47,'NotEffectivelyVax (hypo)'!AE47,'NotEffectivelyVax (hypo)'!AH47,'NotEffectivelyVax (hypo)'!AK47,'NotEffectivelyVax (hypo)'!AN47,'NotEffectivelyVax (hypo)'!AQ47,'NotEffectivelyVax (hypo)'!AT47,'NotEffectivelyVax (hypo)'!AW47,'NotEffectivelyVax (hypo)'!AZ47,'NotEffectivelyVax (hypo)'!BC47,'NotEffectivelyVax (hypo)'!BF47,'NotEffectivelyVax (hypo)'!BI47,'NotEffectivelyVax (hypo)'!BL47,'NotEffectivelyVax (hypo)'!BO47,'NotEffectivelyVax (hypo)'!BR47,'NotEffectivelyVax (hypo)'!BU47,'NotEffectivelyVax (hypo)'!BX47,'NotEffectivelyVax (hypo)'!CA47,'NotEffectivelyVax (hypo)'!CD47,'NotEffectivelyVax (hypo)'!CG47,'NotEffectivelyVax (hypo)'!CJ47,'NotEffectivelyVax (hypo)'!CM47,'NotEffectivelyVax (hypo)'!CP47,'NotEffectivelyVax (hypo)'!CS47,'NotEffectivelyVax (hypo)'!CV47,'NotEffectivelyVax (hypo)'!CY47,'NotEffectivelyVax (hypo)'!DB47,'NotEffectivelyVax (hypo)'!DE47,'NotEffectivelyVax (hypo)'!DH47,'NotEffectivelyVax (hypo)'!DK47,'NotEffectivelyVax (hypo)'!DN47,'NotEffectivelyVax (hypo)'!DQ47,'NotEffectivelyVax (hypo)'!DT47,'NotEffectivelyVax (hypo)'!DW47,'NotEffectivelyVax (hypo)'!DZ47,'NotEffectivelyVax (hypo)'!EC47,'NotEffectivelyVax (hypo)'!EF47,'NotEffectivelyVax (hypo)'!EI47,'NotEffectivelyVax (hypo)'!EL47,'NotEffectivelyVax (hypo)'!EO47,'NotEffectivelyVax (hypo)'!ER47,'NotEffectivelyVax (hypo)'!EU47,'NotEffectivelyVax (hypo)'!EX47,'NotEffectivelyVax (hypo)'!FA47,'NotEffectivelyVax (hypo)'!FD47,'NotEffectivelyVax (hypo)'!FG47,'NotEffectivelyVax (hypo)'!FJ47,'NotEffectivelyVax (hypo)'!FM47,'NotEffectivelyVax (hypo)'!FP47,'NotEffectivelyVax (hypo)'!FS47,'NotEffectivelyVax (hypo)'!FV47,'NotEffectivelyVax (hypo)'!FY47)</f>
        <v>#VALUE!</v>
      </c>
      <c r="X47" s="141" t="e">
        <f>SUM('NotEffectivelyVax (hypo)'!E47,'NotEffectivelyVax (hypo)'!H47,'NotEffectivelyVax (hypo)'!K47,'NotEffectivelyVax (hypo)'!N47,'NotEffectivelyVax (hypo)'!Q47,'NotEffectivelyVax (hypo)'!T47,'NotEffectivelyVax (hypo)'!Z47,'NotEffectivelyVax (hypo)'!W47,'NotEffectivelyVax (hypo)'!AC47,'NotEffectivelyVax (hypo)'!AF47,'NotEffectivelyVax (hypo)'!AI47,'NotEffectivelyVax (hypo)'!AL47,'NotEffectivelyVax (hypo)'!AO47,'NotEffectivelyVax (hypo)'!AR47,'NotEffectivelyVax (hypo)'!AU47,'NotEffectivelyVax (hypo)'!AX47,'NotEffectivelyVax (hypo)'!BA47,'NotEffectivelyVax (hypo)'!BD47,'NotEffectivelyVax (hypo)'!BG47,'NotEffectivelyVax (hypo)'!BJ47,'NotEffectivelyVax (hypo)'!BM47,'NotEffectivelyVax (hypo)'!BP47,'NotEffectivelyVax (hypo)'!BS47,'NotEffectivelyVax (hypo)'!BV47,'NotEffectivelyVax (hypo)'!BY47,'NotEffectivelyVax (hypo)'!CB47,'NotEffectivelyVax (hypo)'!CE47,'NotEffectivelyVax (hypo)'!CH47,'NotEffectivelyVax (hypo)'!CK47,'NotEffectivelyVax (hypo)'!CN47,'NotEffectivelyVax (hypo)'!CQ47,'NotEffectivelyVax (hypo)'!CT47,'NotEffectivelyVax (hypo)'!CW47,'NotEffectivelyVax (hypo)'!CZ47,'NotEffectivelyVax (hypo)'!DC47,'NotEffectivelyVax (hypo)'!DF47,'NotEffectivelyVax (hypo)'!DI47,'NotEffectivelyVax (hypo)'!DL47,'NotEffectivelyVax (hypo)'!DO47,'NotEffectivelyVax (hypo)'!DR47,'NotEffectivelyVax (hypo)'!DU47,'NotEffectivelyVax (hypo)'!DX47,'NotEffectivelyVax (hypo)'!EA47,'NotEffectivelyVax (hypo)'!ED47,'NotEffectivelyVax (hypo)'!EG47,'NotEffectivelyVax (hypo)'!EJ47,'NotEffectivelyVax (hypo)'!EM47,'NotEffectivelyVax (hypo)'!EP47,'NotEffectivelyVax (hypo)'!ES47,'NotEffectivelyVax (hypo)'!EV47,'NotEffectivelyVax (hypo)'!EY47,'NotEffectivelyVax (hypo)'!FB47,'NotEffectivelyVax (hypo)'!FE47,'NotEffectivelyVax (hypo)'!FH47,'NotEffectivelyVax (hypo)'!FK47,'NotEffectivelyVax (hypo)'!FN47,'NotEffectivelyVax (hypo)'!FQ47,'NotEffectivelyVax (hypo)'!FT47,'NotEffectivelyVax (hypo)'!FW47,'NotEffectivelyVax (hypo)'!FZ47)</f>
        <v>#VALUE!</v>
      </c>
      <c r="Y47" s="142" t="e">
        <f t="shared" si="2"/>
        <v>#VALUE!</v>
      </c>
      <c r="Z47" s="142" t="e">
        <f>IF(Export!M45&lt;&gt;"",W47*Export!K45*(1/Export!M45),W47*Export!K45)</f>
        <v>#VALUE!</v>
      </c>
      <c r="AA47" s="139" t="e">
        <f>Y47*Export!J45</f>
        <v>#VALUE!</v>
      </c>
      <c r="AC47" s="143" t="e">
        <f t="shared" si="3"/>
        <v>#VALUE!</v>
      </c>
      <c r="AD47" s="144" t="e">
        <f t="shared" si="18"/>
        <v>#VALUE!</v>
      </c>
      <c r="AE47" s="144" t="e">
        <f t="shared" si="4"/>
        <v>#VALUE!</v>
      </c>
      <c r="AF47" s="144" t="e">
        <f t="shared" si="5"/>
        <v>#VALUE!</v>
      </c>
      <c r="AG47" s="144" t="e">
        <f t="shared" si="6"/>
        <v>#VALUE!</v>
      </c>
      <c r="AH47" s="145"/>
      <c r="AI47" s="145"/>
      <c r="AJ47" s="145"/>
      <c r="AK47" s="145"/>
      <c r="AL47" s="146"/>
      <c r="AM47" s="150"/>
      <c r="AN47" s="150"/>
      <c r="AO47" s="150"/>
      <c r="AP47" s="150"/>
      <c r="AQ47" s="151"/>
    </row>
    <row r="48" spans="1:43" x14ac:dyDescent="0.35">
      <c r="A48" s="130">
        <f>EffectivelyVax!B47</f>
        <v>3</v>
      </c>
      <c r="B48" s="131" t="str">
        <f>EffectivelyVax!C47</f>
        <v/>
      </c>
      <c r="C48" s="132" t="str">
        <f>Export!N46</f>
        <v/>
      </c>
      <c r="D48" s="133" t="str">
        <f>Export!C46</f>
        <v/>
      </c>
      <c r="E48" s="133" t="e">
        <f>Export!C46*Export!L46</f>
        <v>#VALUE!</v>
      </c>
      <c r="F48" s="133" t="e">
        <f t="shared" si="17"/>
        <v>#VALUE!</v>
      </c>
      <c r="G48" s="133" t="e">
        <f>IF(Export!M46&lt;&gt;"",D48*Export!K46*(1/Export!M46),D48*Export!K46)</f>
        <v>#VALUE!</v>
      </c>
      <c r="H48" s="133" t="e">
        <f>F48*Export!J46</f>
        <v>#VALUE!</v>
      </c>
      <c r="I48" s="161" t="e">
        <f t="shared" si="16"/>
        <v>#VALUE!</v>
      </c>
      <c r="J48" s="134" t="e">
        <f t="shared" si="8"/>
        <v>#VALUE!</v>
      </c>
      <c r="K48" s="135" t="e">
        <f t="shared" si="9"/>
        <v>#VALUE!</v>
      </c>
      <c r="L48" s="117" t="str">
        <f>Export!B46</f>
        <v/>
      </c>
      <c r="M48" s="115" t="e">
        <f>C48*L48*HelperFunctions!G$45</f>
        <v>#VALUE!</v>
      </c>
      <c r="N48" s="116" t="e">
        <f>C48*L48*(1-HelperFunctions!G$45)</f>
        <v>#VALUE!</v>
      </c>
      <c r="O48" s="136" t="e">
        <f t="shared" si="14"/>
        <v>#DIV/0!</v>
      </c>
      <c r="P48" s="137">
        <f>SUM(EffectivelyVax!D47:BK47)</f>
        <v>0</v>
      </c>
      <c r="Q48" s="138" t="e">
        <f t="shared" si="11"/>
        <v>#DIV/0!</v>
      </c>
      <c r="R48" s="138" t="e">
        <f t="shared" si="12"/>
        <v>#DIV/0!</v>
      </c>
      <c r="S48" s="137" t="e">
        <f t="shared" si="1"/>
        <v>#DIV/0!</v>
      </c>
      <c r="T48" s="138" t="e">
        <f>IF(Export!M46&lt;&gt;"",Q48*Export!K46*(1/Export!M46),Q48*Export!K46)</f>
        <v>#DIV/0!</v>
      </c>
      <c r="U48" s="139" t="e">
        <f>S48*Export!J46</f>
        <v>#DIV/0!</v>
      </c>
      <c r="V48" s="140" t="e">
        <f>SUM('NotEffectivelyVax (hypo)'!F48,'NotEffectivelyVax (hypo)'!I48,'NotEffectivelyVax (hypo)'!L48,'NotEffectivelyVax (hypo)'!O48,'NotEffectivelyVax (hypo)'!R48,'NotEffectivelyVax (hypo)'!U48,'NotEffectivelyVax (hypo)'!X48,'NotEffectivelyVax (hypo)'!AA48,'NotEffectivelyVax (hypo)'!AD48,'NotEffectivelyVax (hypo)'!AG48,'NotEffectivelyVax (hypo)'!AJ48,'NotEffectivelyVax (hypo)'!AM48,'NotEffectivelyVax (hypo)'!AP48,'NotEffectivelyVax (hypo)'!AS48,'NotEffectivelyVax (hypo)'!AV48,'NotEffectivelyVax (hypo)'!AY48,'NotEffectivelyVax (hypo)'!BB48,'NotEffectivelyVax (hypo)'!BE48,'NotEffectivelyVax (hypo)'!BH48,'NotEffectivelyVax (hypo)'!BK48,'NotEffectivelyVax (hypo)'!BN48,'NotEffectivelyVax (hypo)'!BQ48,'NotEffectivelyVax (hypo)'!BT48,'NotEffectivelyVax (hypo)'!BW48,'NotEffectivelyVax (hypo)'!BZ48,'NotEffectivelyVax (hypo)'!CC48,'NotEffectivelyVax (hypo)'!CF48,'NotEffectivelyVax (hypo)'!CI48,'NotEffectivelyVax (hypo)'!CL48,'NotEffectivelyVax (hypo)'!CO48,'NotEffectivelyVax (hypo)'!CR48,'NotEffectivelyVax (hypo)'!CU48,'NotEffectivelyVax (hypo)'!CX48,'NotEffectivelyVax (hypo)'!DA48,'NotEffectivelyVax (hypo)'!DD48,'NotEffectivelyVax (hypo)'!DG48,'NotEffectivelyVax (hypo)'!DJ48,'NotEffectivelyVax (hypo)'!DM48,'NotEffectivelyVax (hypo)'!DQ48,'NotEffectivelyVax (hypo)'!DP48,'NotEffectivelyVax (hypo)'!DS48,'NotEffectivelyVax (hypo)'!DV48,'NotEffectivelyVax (hypo)'!DY48,'NotEffectivelyVax (hypo)'!EB48,'NotEffectivelyVax (hypo)'!EE48,'NotEffectivelyVax (hypo)'!EH48,'NotEffectivelyVax (hypo)'!EK48,'NotEffectivelyVax (hypo)'!EN48,'NotEffectivelyVax (hypo)'!EQ48,'NotEffectivelyVax (hypo)'!ET48,'NotEffectivelyVax (hypo)'!EW48,'NotEffectivelyVax (hypo)'!EZ48,'NotEffectivelyVax (hypo)'!FC48,'NotEffectivelyVax (hypo)'!FF48,'NotEffectivelyVax (hypo)'!FI48,'NotEffectivelyVax (hypo)'!FL48,'NotEffectivelyVax (hypo)'!FO48,'NotEffectivelyVax (hypo)'!FR48,'NotEffectivelyVax (hypo)'!FU48,'NotEffectivelyVax (hypo)'!FX48,'NotEffectivelyVax (hypo)'!GA48)</f>
        <v>#VALUE!</v>
      </c>
      <c r="W48" s="141" t="e">
        <f>SUM('NotEffectivelyVax (hypo)'!D48,'NotEffectivelyVax (hypo)'!G48,'NotEffectivelyVax (hypo)'!J48,'NotEffectivelyVax (hypo)'!M48,'NotEffectivelyVax (hypo)'!P48,'NotEffectivelyVax (hypo)'!S48,'NotEffectivelyVax (hypo)'!V48,'NotEffectivelyVax (hypo)'!Y48,'NotEffectivelyVax (hypo)'!AB48,'NotEffectivelyVax (hypo)'!AE48,'NotEffectivelyVax (hypo)'!AH48,'NotEffectivelyVax (hypo)'!AK48,'NotEffectivelyVax (hypo)'!AN48,'NotEffectivelyVax (hypo)'!AQ48,'NotEffectivelyVax (hypo)'!AT48,'NotEffectivelyVax (hypo)'!AW48,'NotEffectivelyVax (hypo)'!AZ48,'NotEffectivelyVax (hypo)'!BC48,'NotEffectivelyVax (hypo)'!BF48,'NotEffectivelyVax (hypo)'!BI48,'NotEffectivelyVax (hypo)'!BL48,'NotEffectivelyVax (hypo)'!BO48,'NotEffectivelyVax (hypo)'!BR48,'NotEffectivelyVax (hypo)'!BU48,'NotEffectivelyVax (hypo)'!BX48,'NotEffectivelyVax (hypo)'!CA48,'NotEffectivelyVax (hypo)'!CD48,'NotEffectivelyVax (hypo)'!CG48,'NotEffectivelyVax (hypo)'!CJ48,'NotEffectivelyVax (hypo)'!CM48,'NotEffectivelyVax (hypo)'!CP48,'NotEffectivelyVax (hypo)'!CS48,'NotEffectivelyVax (hypo)'!CV48,'NotEffectivelyVax (hypo)'!CY48,'NotEffectivelyVax (hypo)'!DB48,'NotEffectivelyVax (hypo)'!DE48,'NotEffectivelyVax (hypo)'!DH48,'NotEffectivelyVax (hypo)'!DK48,'NotEffectivelyVax (hypo)'!DN48,'NotEffectivelyVax (hypo)'!DQ48,'NotEffectivelyVax (hypo)'!DT48,'NotEffectivelyVax (hypo)'!DW48,'NotEffectivelyVax (hypo)'!DZ48,'NotEffectivelyVax (hypo)'!EC48,'NotEffectivelyVax (hypo)'!EF48,'NotEffectivelyVax (hypo)'!EI48,'NotEffectivelyVax (hypo)'!EL48,'NotEffectivelyVax (hypo)'!EO48,'NotEffectivelyVax (hypo)'!ER48,'NotEffectivelyVax (hypo)'!EU48,'NotEffectivelyVax (hypo)'!EX48,'NotEffectivelyVax (hypo)'!FA48,'NotEffectivelyVax (hypo)'!FD48,'NotEffectivelyVax (hypo)'!FG48,'NotEffectivelyVax (hypo)'!FJ48,'NotEffectivelyVax (hypo)'!FM48,'NotEffectivelyVax (hypo)'!FP48,'NotEffectivelyVax (hypo)'!FS48,'NotEffectivelyVax (hypo)'!FV48,'NotEffectivelyVax (hypo)'!FY48)</f>
        <v>#VALUE!</v>
      </c>
      <c r="X48" s="141" t="e">
        <f>SUM('NotEffectivelyVax (hypo)'!E48,'NotEffectivelyVax (hypo)'!H48,'NotEffectivelyVax (hypo)'!K48,'NotEffectivelyVax (hypo)'!N48,'NotEffectivelyVax (hypo)'!Q48,'NotEffectivelyVax (hypo)'!T48,'NotEffectivelyVax (hypo)'!Z48,'NotEffectivelyVax (hypo)'!W48,'NotEffectivelyVax (hypo)'!AC48,'NotEffectivelyVax (hypo)'!AF48,'NotEffectivelyVax (hypo)'!AI48,'NotEffectivelyVax (hypo)'!AL48,'NotEffectivelyVax (hypo)'!AO48,'NotEffectivelyVax (hypo)'!AR48,'NotEffectivelyVax (hypo)'!AU48,'NotEffectivelyVax (hypo)'!AX48,'NotEffectivelyVax (hypo)'!BA48,'NotEffectivelyVax (hypo)'!BD48,'NotEffectivelyVax (hypo)'!BG48,'NotEffectivelyVax (hypo)'!BJ48,'NotEffectivelyVax (hypo)'!BM48,'NotEffectivelyVax (hypo)'!BP48,'NotEffectivelyVax (hypo)'!BS48,'NotEffectivelyVax (hypo)'!BV48,'NotEffectivelyVax (hypo)'!BY48,'NotEffectivelyVax (hypo)'!CB48,'NotEffectivelyVax (hypo)'!CE48,'NotEffectivelyVax (hypo)'!CH48,'NotEffectivelyVax (hypo)'!CK48,'NotEffectivelyVax (hypo)'!CN48,'NotEffectivelyVax (hypo)'!CQ48,'NotEffectivelyVax (hypo)'!CT48,'NotEffectivelyVax (hypo)'!CW48,'NotEffectivelyVax (hypo)'!CZ48,'NotEffectivelyVax (hypo)'!DC48,'NotEffectivelyVax (hypo)'!DF48,'NotEffectivelyVax (hypo)'!DI48,'NotEffectivelyVax (hypo)'!DL48,'NotEffectivelyVax (hypo)'!DO48,'NotEffectivelyVax (hypo)'!DR48,'NotEffectivelyVax (hypo)'!DU48,'NotEffectivelyVax (hypo)'!DX48,'NotEffectivelyVax (hypo)'!EA48,'NotEffectivelyVax (hypo)'!ED48,'NotEffectivelyVax (hypo)'!EG48,'NotEffectivelyVax (hypo)'!EJ48,'NotEffectivelyVax (hypo)'!EM48,'NotEffectivelyVax (hypo)'!EP48,'NotEffectivelyVax (hypo)'!ES48,'NotEffectivelyVax (hypo)'!EV48,'NotEffectivelyVax (hypo)'!EY48,'NotEffectivelyVax (hypo)'!FB48,'NotEffectivelyVax (hypo)'!FE48,'NotEffectivelyVax (hypo)'!FH48,'NotEffectivelyVax (hypo)'!FK48,'NotEffectivelyVax (hypo)'!FN48,'NotEffectivelyVax (hypo)'!FQ48,'NotEffectivelyVax (hypo)'!FT48,'NotEffectivelyVax (hypo)'!FW48,'NotEffectivelyVax (hypo)'!FZ48)</f>
        <v>#VALUE!</v>
      </c>
      <c r="Y48" s="142" t="e">
        <f t="shared" si="2"/>
        <v>#VALUE!</v>
      </c>
      <c r="Z48" s="142" t="e">
        <f>IF(Export!M46&lt;&gt;"",W48*Export!K46*(1/Export!M46),W48*Export!K46)</f>
        <v>#VALUE!</v>
      </c>
      <c r="AA48" s="139" t="e">
        <f>Y48*Export!J46</f>
        <v>#VALUE!</v>
      </c>
      <c r="AC48" s="143" t="e">
        <f t="shared" si="3"/>
        <v>#VALUE!</v>
      </c>
      <c r="AD48" s="144" t="e">
        <f t="shared" si="18"/>
        <v>#VALUE!</v>
      </c>
      <c r="AE48" s="144" t="e">
        <f t="shared" si="4"/>
        <v>#VALUE!</v>
      </c>
      <c r="AF48" s="144" t="e">
        <f t="shared" si="5"/>
        <v>#VALUE!</v>
      </c>
      <c r="AG48" s="144" t="e">
        <f t="shared" si="6"/>
        <v>#VALUE!</v>
      </c>
      <c r="AH48" s="145"/>
      <c r="AI48" s="145"/>
      <c r="AJ48" s="145"/>
      <c r="AK48" s="145"/>
      <c r="AL48" s="146"/>
      <c r="AM48" s="150"/>
      <c r="AN48" s="150"/>
      <c r="AO48" s="150"/>
      <c r="AP48" s="150"/>
      <c r="AQ48" s="151"/>
    </row>
    <row r="49" spans="1:43" x14ac:dyDescent="0.35">
      <c r="A49" s="130">
        <f>EffectivelyVax!B48</f>
        <v>3</v>
      </c>
      <c r="B49" s="131" t="str">
        <f>EffectivelyVax!C48</f>
        <v/>
      </c>
      <c r="C49" s="132" t="str">
        <f>Export!N47</f>
        <v/>
      </c>
      <c r="D49" s="133" t="str">
        <f>Export!C47</f>
        <v/>
      </c>
      <c r="E49" s="133" t="e">
        <f>Export!C47*Export!L47</f>
        <v>#VALUE!</v>
      </c>
      <c r="F49" s="133" t="e">
        <f t="shared" si="17"/>
        <v>#VALUE!</v>
      </c>
      <c r="G49" s="133" t="e">
        <f>IF(Export!M47&lt;&gt;"",D49*Export!K47*(1/Export!M47),D49*Export!K47)</f>
        <v>#VALUE!</v>
      </c>
      <c r="H49" s="133" t="e">
        <f>F49*Export!J47</f>
        <v>#VALUE!</v>
      </c>
      <c r="I49" s="161" t="e">
        <f t="shared" si="16"/>
        <v>#VALUE!</v>
      </c>
      <c r="J49" s="134" t="e">
        <f t="shared" si="8"/>
        <v>#VALUE!</v>
      </c>
      <c r="K49" s="135" t="e">
        <f t="shared" si="9"/>
        <v>#VALUE!</v>
      </c>
      <c r="L49" s="117" t="str">
        <f>Export!B47</f>
        <v/>
      </c>
      <c r="M49" s="115" t="e">
        <f>C49*L49*HelperFunctions!G$45</f>
        <v>#VALUE!</v>
      </c>
      <c r="N49" s="116" t="e">
        <f>C49*L49*(1-HelperFunctions!G$45)</f>
        <v>#VALUE!</v>
      </c>
      <c r="O49" s="136" t="e">
        <f t="shared" si="14"/>
        <v>#DIV/0!</v>
      </c>
      <c r="P49" s="137">
        <f>SUM(EffectivelyVax!D48:BK48)</f>
        <v>0</v>
      </c>
      <c r="Q49" s="138" t="e">
        <f t="shared" si="11"/>
        <v>#DIV/0!</v>
      </c>
      <c r="R49" s="138" t="e">
        <f t="shared" si="12"/>
        <v>#DIV/0!</v>
      </c>
      <c r="S49" s="137" t="e">
        <f t="shared" si="1"/>
        <v>#DIV/0!</v>
      </c>
      <c r="T49" s="138" t="e">
        <f>IF(Export!M47&lt;&gt;"",Q49*Export!K47*(1/Export!M47),Q49*Export!K47)</f>
        <v>#DIV/0!</v>
      </c>
      <c r="U49" s="139" t="e">
        <f>S49*Export!J47</f>
        <v>#DIV/0!</v>
      </c>
      <c r="V49" s="140" t="e">
        <f>SUM('NotEffectivelyVax (hypo)'!F49,'NotEffectivelyVax (hypo)'!I49,'NotEffectivelyVax (hypo)'!L49,'NotEffectivelyVax (hypo)'!O49,'NotEffectivelyVax (hypo)'!R49,'NotEffectivelyVax (hypo)'!U49,'NotEffectivelyVax (hypo)'!X49,'NotEffectivelyVax (hypo)'!AA49,'NotEffectivelyVax (hypo)'!AD49,'NotEffectivelyVax (hypo)'!AG49,'NotEffectivelyVax (hypo)'!AJ49,'NotEffectivelyVax (hypo)'!AM49,'NotEffectivelyVax (hypo)'!AP49,'NotEffectivelyVax (hypo)'!AS49,'NotEffectivelyVax (hypo)'!AV49,'NotEffectivelyVax (hypo)'!AY49,'NotEffectivelyVax (hypo)'!BB49,'NotEffectivelyVax (hypo)'!BE49,'NotEffectivelyVax (hypo)'!BH49,'NotEffectivelyVax (hypo)'!BK49,'NotEffectivelyVax (hypo)'!BN49,'NotEffectivelyVax (hypo)'!BQ49,'NotEffectivelyVax (hypo)'!BT49,'NotEffectivelyVax (hypo)'!BW49,'NotEffectivelyVax (hypo)'!BZ49,'NotEffectivelyVax (hypo)'!CC49,'NotEffectivelyVax (hypo)'!CF49,'NotEffectivelyVax (hypo)'!CI49,'NotEffectivelyVax (hypo)'!CL49,'NotEffectivelyVax (hypo)'!CO49,'NotEffectivelyVax (hypo)'!CR49,'NotEffectivelyVax (hypo)'!CU49,'NotEffectivelyVax (hypo)'!CX49,'NotEffectivelyVax (hypo)'!DA49,'NotEffectivelyVax (hypo)'!DD49,'NotEffectivelyVax (hypo)'!DG49,'NotEffectivelyVax (hypo)'!DJ49,'NotEffectivelyVax (hypo)'!DM49,'NotEffectivelyVax (hypo)'!DQ49,'NotEffectivelyVax (hypo)'!DP49,'NotEffectivelyVax (hypo)'!DS49,'NotEffectivelyVax (hypo)'!DV49,'NotEffectivelyVax (hypo)'!DY49,'NotEffectivelyVax (hypo)'!EB49,'NotEffectivelyVax (hypo)'!EE49,'NotEffectivelyVax (hypo)'!EH49,'NotEffectivelyVax (hypo)'!EK49,'NotEffectivelyVax (hypo)'!EN49,'NotEffectivelyVax (hypo)'!EQ49,'NotEffectivelyVax (hypo)'!ET49,'NotEffectivelyVax (hypo)'!EW49,'NotEffectivelyVax (hypo)'!EZ49,'NotEffectivelyVax (hypo)'!FC49,'NotEffectivelyVax (hypo)'!FF49,'NotEffectivelyVax (hypo)'!FI49,'NotEffectivelyVax (hypo)'!FL49,'NotEffectivelyVax (hypo)'!FO49,'NotEffectivelyVax (hypo)'!FR49,'NotEffectivelyVax (hypo)'!FU49,'NotEffectivelyVax (hypo)'!FX49,'NotEffectivelyVax (hypo)'!GA49)</f>
        <v>#VALUE!</v>
      </c>
      <c r="W49" s="141" t="e">
        <f>SUM('NotEffectivelyVax (hypo)'!D49,'NotEffectivelyVax (hypo)'!G49,'NotEffectivelyVax (hypo)'!J49,'NotEffectivelyVax (hypo)'!M49,'NotEffectivelyVax (hypo)'!P49,'NotEffectivelyVax (hypo)'!S49,'NotEffectivelyVax (hypo)'!V49,'NotEffectivelyVax (hypo)'!Y49,'NotEffectivelyVax (hypo)'!AB49,'NotEffectivelyVax (hypo)'!AE49,'NotEffectivelyVax (hypo)'!AH49,'NotEffectivelyVax (hypo)'!AK49,'NotEffectivelyVax (hypo)'!AN49,'NotEffectivelyVax (hypo)'!AQ49,'NotEffectivelyVax (hypo)'!AT49,'NotEffectivelyVax (hypo)'!AW49,'NotEffectivelyVax (hypo)'!AZ49,'NotEffectivelyVax (hypo)'!BC49,'NotEffectivelyVax (hypo)'!BF49,'NotEffectivelyVax (hypo)'!BI49,'NotEffectivelyVax (hypo)'!BL49,'NotEffectivelyVax (hypo)'!BO49,'NotEffectivelyVax (hypo)'!BR49,'NotEffectivelyVax (hypo)'!BU49,'NotEffectivelyVax (hypo)'!BX49,'NotEffectivelyVax (hypo)'!CA49,'NotEffectivelyVax (hypo)'!CD49,'NotEffectivelyVax (hypo)'!CG49,'NotEffectivelyVax (hypo)'!CJ49,'NotEffectivelyVax (hypo)'!CM49,'NotEffectivelyVax (hypo)'!CP49,'NotEffectivelyVax (hypo)'!CS49,'NotEffectivelyVax (hypo)'!CV49,'NotEffectivelyVax (hypo)'!CY49,'NotEffectivelyVax (hypo)'!DB49,'NotEffectivelyVax (hypo)'!DE49,'NotEffectivelyVax (hypo)'!DH49,'NotEffectivelyVax (hypo)'!DK49,'NotEffectivelyVax (hypo)'!DN49,'NotEffectivelyVax (hypo)'!DQ49,'NotEffectivelyVax (hypo)'!DT49,'NotEffectivelyVax (hypo)'!DW49,'NotEffectivelyVax (hypo)'!DZ49,'NotEffectivelyVax (hypo)'!EC49,'NotEffectivelyVax (hypo)'!EF49,'NotEffectivelyVax (hypo)'!EI49,'NotEffectivelyVax (hypo)'!EL49,'NotEffectivelyVax (hypo)'!EO49,'NotEffectivelyVax (hypo)'!ER49,'NotEffectivelyVax (hypo)'!EU49,'NotEffectivelyVax (hypo)'!EX49,'NotEffectivelyVax (hypo)'!FA49,'NotEffectivelyVax (hypo)'!FD49,'NotEffectivelyVax (hypo)'!FG49,'NotEffectivelyVax (hypo)'!FJ49,'NotEffectivelyVax (hypo)'!FM49,'NotEffectivelyVax (hypo)'!FP49,'NotEffectivelyVax (hypo)'!FS49,'NotEffectivelyVax (hypo)'!FV49,'NotEffectivelyVax (hypo)'!FY49)</f>
        <v>#VALUE!</v>
      </c>
      <c r="X49" s="141" t="e">
        <f>SUM('NotEffectivelyVax (hypo)'!E49,'NotEffectivelyVax (hypo)'!H49,'NotEffectivelyVax (hypo)'!K49,'NotEffectivelyVax (hypo)'!N49,'NotEffectivelyVax (hypo)'!Q49,'NotEffectivelyVax (hypo)'!T49,'NotEffectivelyVax (hypo)'!Z49,'NotEffectivelyVax (hypo)'!W49,'NotEffectivelyVax (hypo)'!AC49,'NotEffectivelyVax (hypo)'!AF49,'NotEffectivelyVax (hypo)'!AI49,'NotEffectivelyVax (hypo)'!AL49,'NotEffectivelyVax (hypo)'!AO49,'NotEffectivelyVax (hypo)'!AR49,'NotEffectivelyVax (hypo)'!AU49,'NotEffectivelyVax (hypo)'!AX49,'NotEffectivelyVax (hypo)'!BA49,'NotEffectivelyVax (hypo)'!BD49,'NotEffectivelyVax (hypo)'!BG49,'NotEffectivelyVax (hypo)'!BJ49,'NotEffectivelyVax (hypo)'!BM49,'NotEffectivelyVax (hypo)'!BP49,'NotEffectivelyVax (hypo)'!BS49,'NotEffectivelyVax (hypo)'!BV49,'NotEffectivelyVax (hypo)'!BY49,'NotEffectivelyVax (hypo)'!CB49,'NotEffectivelyVax (hypo)'!CE49,'NotEffectivelyVax (hypo)'!CH49,'NotEffectivelyVax (hypo)'!CK49,'NotEffectivelyVax (hypo)'!CN49,'NotEffectivelyVax (hypo)'!CQ49,'NotEffectivelyVax (hypo)'!CT49,'NotEffectivelyVax (hypo)'!CW49,'NotEffectivelyVax (hypo)'!CZ49,'NotEffectivelyVax (hypo)'!DC49,'NotEffectivelyVax (hypo)'!DF49,'NotEffectivelyVax (hypo)'!DI49,'NotEffectivelyVax (hypo)'!DL49,'NotEffectivelyVax (hypo)'!DO49,'NotEffectivelyVax (hypo)'!DR49,'NotEffectivelyVax (hypo)'!DU49,'NotEffectivelyVax (hypo)'!DX49,'NotEffectivelyVax (hypo)'!EA49,'NotEffectivelyVax (hypo)'!ED49,'NotEffectivelyVax (hypo)'!EG49,'NotEffectivelyVax (hypo)'!EJ49,'NotEffectivelyVax (hypo)'!EM49,'NotEffectivelyVax (hypo)'!EP49,'NotEffectivelyVax (hypo)'!ES49,'NotEffectivelyVax (hypo)'!EV49,'NotEffectivelyVax (hypo)'!EY49,'NotEffectivelyVax (hypo)'!FB49,'NotEffectivelyVax (hypo)'!FE49,'NotEffectivelyVax (hypo)'!FH49,'NotEffectivelyVax (hypo)'!FK49,'NotEffectivelyVax (hypo)'!FN49,'NotEffectivelyVax (hypo)'!FQ49,'NotEffectivelyVax (hypo)'!FT49,'NotEffectivelyVax (hypo)'!FW49,'NotEffectivelyVax (hypo)'!FZ49)</f>
        <v>#VALUE!</v>
      </c>
      <c r="Y49" s="142" t="e">
        <f t="shared" si="2"/>
        <v>#VALUE!</v>
      </c>
      <c r="Z49" s="142" t="e">
        <f>IF(Export!M47&lt;&gt;"",W49*Export!K47*(1/Export!M47),W49*Export!K47)</f>
        <v>#VALUE!</v>
      </c>
      <c r="AA49" s="139" t="e">
        <f>Y49*Export!J47</f>
        <v>#VALUE!</v>
      </c>
      <c r="AC49" s="143" t="e">
        <f t="shared" si="3"/>
        <v>#VALUE!</v>
      </c>
      <c r="AD49" s="144" t="e">
        <f t="shared" si="18"/>
        <v>#VALUE!</v>
      </c>
      <c r="AE49" s="144" t="e">
        <f t="shared" si="4"/>
        <v>#VALUE!</v>
      </c>
      <c r="AF49" s="144" t="e">
        <f t="shared" si="5"/>
        <v>#VALUE!</v>
      </c>
      <c r="AG49" s="144" t="e">
        <f t="shared" si="6"/>
        <v>#VALUE!</v>
      </c>
      <c r="AH49" s="145"/>
      <c r="AI49" s="145"/>
      <c r="AJ49" s="145"/>
      <c r="AK49" s="145"/>
      <c r="AL49" s="146"/>
      <c r="AM49" s="150"/>
      <c r="AN49" s="150"/>
      <c r="AO49" s="150"/>
      <c r="AP49" s="150"/>
      <c r="AQ49" s="151"/>
    </row>
    <row r="50" spans="1:43" x14ac:dyDescent="0.35">
      <c r="A50" s="130">
        <f>EffectivelyVax!B49</f>
        <v>3</v>
      </c>
      <c r="B50" s="131" t="str">
        <f>EffectivelyVax!C49</f>
        <v/>
      </c>
      <c r="C50" s="132" t="str">
        <f>Export!N48</f>
        <v/>
      </c>
      <c r="D50" s="133" t="str">
        <f>Export!C48</f>
        <v/>
      </c>
      <c r="E50" s="133" t="e">
        <f>Export!C48*Export!L48</f>
        <v>#VALUE!</v>
      </c>
      <c r="F50" s="133" t="e">
        <f t="shared" si="17"/>
        <v>#VALUE!</v>
      </c>
      <c r="G50" s="133" t="e">
        <f>IF(Export!M48&lt;&gt;"",D50*Export!K48*(1/Export!M48),D50*Export!K48)</f>
        <v>#VALUE!</v>
      </c>
      <c r="H50" s="133" t="e">
        <f>F50*Export!J48</f>
        <v>#VALUE!</v>
      </c>
      <c r="I50" s="161" t="e">
        <f t="shared" si="16"/>
        <v>#VALUE!</v>
      </c>
      <c r="J50" s="134" t="e">
        <f t="shared" si="8"/>
        <v>#VALUE!</v>
      </c>
      <c r="K50" s="135" t="e">
        <f t="shared" si="9"/>
        <v>#VALUE!</v>
      </c>
      <c r="L50" s="117" t="str">
        <f>Export!B48</f>
        <v/>
      </c>
      <c r="M50" s="115" t="e">
        <f>C50*L50*HelperFunctions!G$45</f>
        <v>#VALUE!</v>
      </c>
      <c r="N50" s="116" t="e">
        <f>C50*L50*(1-HelperFunctions!G$45)</f>
        <v>#VALUE!</v>
      </c>
      <c r="O50" s="136" t="e">
        <f t="shared" si="14"/>
        <v>#DIV/0!</v>
      </c>
      <c r="P50" s="137">
        <f>SUM(EffectivelyVax!D49:BK49)</f>
        <v>0</v>
      </c>
      <c r="Q50" s="138" t="e">
        <f t="shared" si="11"/>
        <v>#DIV/0!</v>
      </c>
      <c r="R50" s="138" t="e">
        <f t="shared" si="12"/>
        <v>#DIV/0!</v>
      </c>
      <c r="S50" s="137" t="e">
        <f t="shared" si="1"/>
        <v>#DIV/0!</v>
      </c>
      <c r="T50" s="138" t="e">
        <f>IF(Export!M48&lt;&gt;"",Q50*Export!K48*(1/Export!M48),Q50*Export!K48)</f>
        <v>#DIV/0!</v>
      </c>
      <c r="U50" s="139" t="e">
        <f>S50*Export!J48</f>
        <v>#DIV/0!</v>
      </c>
      <c r="V50" s="140" t="e">
        <f>SUM('NotEffectivelyVax (hypo)'!F50,'NotEffectivelyVax (hypo)'!I50,'NotEffectivelyVax (hypo)'!L50,'NotEffectivelyVax (hypo)'!O50,'NotEffectivelyVax (hypo)'!R50,'NotEffectivelyVax (hypo)'!U50,'NotEffectivelyVax (hypo)'!X50,'NotEffectivelyVax (hypo)'!AA50,'NotEffectivelyVax (hypo)'!AD50,'NotEffectivelyVax (hypo)'!AG50,'NotEffectivelyVax (hypo)'!AJ50,'NotEffectivelyVax (hypo)'!AM50,'NotEffectivelyVax (hypo)'!AP50,'NotEffectivelyVax (hypo)'!AS50,'NotEffectivelyVax (hypo)'!AV50,'NotEffectivelyVax (hypo)'!AY50,'NotEffectivelyVax (hypo)'!BB50,'NotEffectivelyVax (hypo)'!BE50,'NotEffectivelyVax (hypo)'!BH50,'NotEffectivelyVax (hypo)'!BK50,'NotEffectivelyVax (hypo)'!BN50,'NotEffectivelyVax (hypo)'!BQ50,'NotEffectivelyVax (hypo)'!BT50,'NotEffectivelyVax (hypo)'!BW50,'NotEffectivelyVax (hypo)'!BZ50,'NotEffectivelyVax (hypo)'!CC50,'NotEffectivelyVax (hypo)'!CF50,'NotEffectivelyVax (hypo)'!CI50,'NotEffectivelyVax (hypo)'!CL50,'NotEffectivelyVax (hypo)'!CO50,'NotEffectivelyVax (hypo)'!CR50,'NotEffectivelyVax (hypo)'!CU50,'NotEffectivelyVax (hypo)'!CX50,'NotEffectivelyVax (hypo)'!DA50,'NotEffectivelyVax (hypo)'!DD50,'NotEffectivelyVax (hypo)'!DG50,'NotEffectivelyVax (hypo)'!DJ50,'NotEffectivelyVax (hypo)'!DM50,'NotEffectivelyVax (hypo)'!DQ50,'NotEffectivelyVax (hypo)'!DP50,'NotEffectivelyVax (hypo)'!DS50,'NotEffectivelyVax (hypo)'!DV50,'NotEffectivelyVax (hypo)'!DY50,'NotEffectivelyVax (hypo)'!EB50,'NotEffectivelyVax (hypo)'!EE50,'NotEffectivelyVax (hypo)'!EH50,'NotEffectivelyVax (hypo)'!EK50,'NotEffectivelyVax (hypo)'!EN50,'NotEffectivelyVax (hypo)'!EQ50,'NotEffectivelyVax (hypo)'!ET50,'NotEffectivelyVax (hypo)'!EW50,'NotEffectivelyVax (hypo)'!EZ50,'NotEffectivelyVax (hypo)'!FC50,'NotEffectivelyVax (hypo)'!FF50,'NotEffectivelyVax (hypo)'!FI50,'NotEffectivelyVax (hypo)'!FL50,'NotEffectivelyVax (hypo)'!FO50,'NotEffectivelyVax (hypo)'!FR50,'NotEffectivelyVax (hypo)'!FU50,'NotEffectivelyVax (hypo)'!FX50,'NotEffectivelyVax (hypo)'!GA50)</f>
        <v>#VALUE!</v>
      </c>
      <c r="W50" s="141" t="e">
        <f>SUM('NotEffectivelyVax (hypo)'!D50,'NotEffectivelyVax (hypo)'!G50,'NotEffectivelyVax (hypo)'!J50,'NotEffectivelyVax (hypo)'!M50,'NotEffectivelyVax (hypo)'!P50,'NotEffectivelyVax (hypo)'!S50,'NotEffectivelyVax (hypo)'!V50,'NotEffectivelyVax (hypo)'!Y50,'NotEffectivelyVax (hypo)'!AB50,'NotEffectivelyVax (hypo)'!AE50,'NotEffectivelyVax (hypo)'!AH50,'NotEffectivelyVax (hypo)'!AK50,'NotEffectivelyVax (hypo)'!AN50,'NotEffectivelyVax (hypo)'!AQ50,'NotEffectivelyVax (hypo)'!AT50,'NotEffectivelyVax (hypo)'!AW50,'NotEffectivelyVax (hypo)'!AZ50,'NotEffectivelyVax (hypo)'!BC50,'NotEffectivelyVax (hypo)'!BF50,'NotEffectivelyVax (hypo)'!BI50,'NotEffectivelyVax (hypo)'!BL50,'NotEffectivelyVax (hypo)'!BO50,'NotEffectivelyVax (hypo)'!BR50,'NotEffectivelyVax (hypo)'!BU50,'NotEffectivelyVax (hypo)'!BX50,'NotEffectivelyVax (hypo)'!CA50,'NotEffectivelyVax (hypo)'!CD50,'NotEffectivelyVax (hypo)'!CG50,'NotEffectivelyVax (hypo)'!CJ50,'NotEffectivelyVax (hypo)'!CM50,'NotEffectivelyVax (hypo)'!CP50,'NotEffectivelyVax (hypo)'!CS50,'NotEffectivelyVax (hypo)'!CV50,'NotEffectivelyVax (hypo)'!CY50,'NotEffectivelyVax (hypo)'!DB50,'NotEffectivelyVax (hypo)'!DE50,'NotEffectivelyVax (hypo)'!DH50,'NotEffectivelyVax (hypo)'!DK50,'NotEffectivelyVax (hypo)'!DN50,'NotEffectivelyVax (hypo)'!DQ50,'NotEffectivelyVax (hypo)'!DT50,'NotEffectivelyVax (hypo)'!DW50,'NotEffectivelyVax (hypo)'!DZ50,'NotEffectivelyVax (hypo)'!EC50,'NotEffectivelyVax (hypo)'!EF50,'NotEffectivelyVax (hypo)'!EI50,'NotEffectivelyVax (hypo)'!EL50,'NotEffectivelyVax (hypo)'!EO50,'NotEffectivelyVax (hypo)'!ER50,'NotEffectivelyVax (hypo)'!EU50,'NotEffectivelyVax (hypo)'!EX50,'NotEffectivelyVax (hypo)'!FA50,'NotEffectivelyVax (hypo)'!FD50,'NotEffectivelyVax (hypo)'!FG50,'NotEffectivelyVax (hypo)'!FJ50,'NotEffectivelyVax (hypo)'!FM50,'NotEffectivelyVax (hypo)'!FP50,'NotEffectivelyVax (hypo)'!FS50,'NotEffectivelyVax (hypo)'!FV50,'NotEffectivelyVax (hypo)'!FY50)</f>
        <v>#VALUE!</v>
      </c>
      <c r="X50" s="141" t="e">
        <f>SUM('NotEffectivelyVax (hypo)'!E50,'NotEffectivelyVax (hypo)'!H50,'NotEffectivelyVax (hypo)'!K50,'NotEffectivelyVax (hypo)'!N50,'NotEffectivelyVax (hypo)'!Q50,'NotEffectivelyVax (hypo)'!T50,'NotEffectivelyVax (hypo)'!Z50,'NotEffectivelyVax (hypo)'!W50,'NotEffectivelyVax (hypo)'!AC50,'NotEffectivelyVax (hypo)'!AF50,'NotEffectivelyVax (hypo)'!AI50,'NotEffectivelyVax (hypo)'!AL50,'NotEffectivelyVax (hypo)'!AO50,'NotEffectivelyVax (hypo)'!AR50,'NotEffectivelyVax (hypo)'!AU50,'NotEffectivelyVax (hypo)'!AX50,'NotEffectivelyVax (hypo)'!BA50,'NotEffectivelyVax (hypo)'!BD50,'NotEffectivelyVax (hypo)'!BG50,'NotEffectivelyVax (hypo)'!BJ50,'NotEffectivelyVax (hypo)'!BM50,'NotEffectivelyVax (hypo)'!BP50,'NotEffectivelyVax (hypo)'!BS50,'NotEffectivelyVax (hypo)'!BV50,'NotEffectivelyVax (hypo)'!BY50,'NotEffectivelyVax (hypo)'!CB50,'NotEffectivelyVax (hypo)'!CE50,'NotEffectivelyVax (hypo)'!CH50,'NotEffectivelyVax (hypo)'!CK50,'NotEffectivelyVax (hypo)'!CN50,'NotEffectivelyVax (hypo)'!CQ50,'NotEffectivelyVax (hypo)'!CT50,'NotEffectivelyVax (hypo)'!CW50,'NotEffectivelyVax (hypo)'!CZ50,'NotEffectivelyVax (hypo)'!DC50,'NotEffectivelyVax (hypo)'!DF50,'NotEffectivelyVax (hypo)'!DI50,'NotEffectivelyVax (hypo)'!DL50,'NotEffectivelyVax (hypo)'!DO50,'NotEffectivelyVax (hypo)'!DR50,'NotEffectivelyVax (hypo)'!DU50,'NotEffectivelyVax (hypo)'!DX50,'NotEffectivelyVax (hypo)'!EA50,'NotEffectivelyVax (hypo)'!ED50,'NotEffectivelyVax (hypo)'!EG50,'NotEffectivelyVax (hypo)'!EJ50,'NotEffectivelyVax (hypo)'!EM50,'NotEffectivelyVax (hypo)'!EP50,'NotEffectivelyVax (hypo)'!ES50,'NotEffectivelyVax (hypo)'!EV50,'NotEffectivelyVax (hypo)'!EY50,'NotEffectivelyVax (hypo)'!FB50,'NotEffectivelyVax (hypo)'!FE50,'NotEffectivelyVax (hypo)'!FH50,'NotEffectivelyVax (hypo)'!FK50,'NotEffectivelyVax (hypo)'!FN50,'NotEffectivelyVax (hypo)'!FQ50,'NotEffectivelyVax (hypo)'!FT50,'NotEffectivelyVax (hypo)'!FW50,'NotEffectivelyVax (hypo)'!FZ50)</f>
        <v>#VALUE!</v>
      </c>
      <c r="Y50" s="142" t="e">
        <f t="shared" si="2"/>
        <v>#VALUE!</v>
      </c>
      <c r="Z50" s="142" t="e">
        <f>IF(Export!M48&lt;&gt;"",W50*Export!K48*(1/Export!M48),W50*Export!K48)</f>
        <v>#VALUE!</v>
      </c>
      <c r="AA50" s="139" t="e">
        <f>Y50*Export!J48</f>
        <v>#VALUE!</v>
      </c>
      <c r="AC50" s="143" t="e">
        <f t="shared" si="3"/>
        <v>#VALUE!</v>
      </c>
      <c r="AD50" s="144" t="e">
        <f t="shared" si="18"/>
        <v>#VALUE!</v>
      </c>
      <c r="AE50" s="144" t="e">
        <f t="shared" si="4"/>
        <v>#VALUE!</v>
      </c>
      <c r="AF50" s="144" t="e">
        <f t="shared" si="5"/>
        <v>#VALUE!</v>
      </c>
      <c r="AG50" s="144" t="e">
        <f t="shared" si="6"/>
        <v>#VALUE!</v>
      </c>
      <c r="AH50" s="145"/>
      <c r="AI50" s="145"/>
      <c r="AJ50" s="145"/>
      <c r="AK50" s="145"/>
      <c r="AL50" s="146"/>
      <c r="AM50" s="150"/>
      <c r="AN50" s="150"/>
      <c r="AO50" s="150"/>
      <c r="AP50" s="150"/>
      <c r="AQ50" s="151"/>
    </row>
    <row r="51" spans="1:43" ht="15.75" customHeight="1" x14ac:dyDescent="0.35">
      <c r="A51" s="95">
        <f>EffectivelyVax!B50</f>
        <v>3</v>
      </c>
      <c r="B51" s="96" t="str">
        <f>EffectivelyVax!C50</f>
        <v/>
      </c>
      <c r="C51" s="97" t="str">
        <f>Export!N49</f>
        <v/>
      </c>
      <c r="D51" s="98" t="str">
        <f>Export!C49</f>
        <v/>
      </c>
      <c r="E51" s="98" t="e">
        <f>Export!C49*Export!L49</f>
        <v>#VALUE!</v>
      </c>
      <c r="F51" s="98" t="e">
        <f t="shared" si="17"/>
        <v>#VALUE!</v>
      </c>
      <c r="G51" s="98" t="e">
        <f>IF(Export!M49&lt;&gt;"",D51*Export!K49*(1/Export!M49),D51*Export!K49)</f>
        <v>#VALUE!</v>
      </c>
      <c r="H51" s="98" t="e">
        <f>F51*Export!J49</f>
        <v>#VALUE!</v>
      </c>
      <c r="I51" s="98" t="e">
        <f t="shared" si="16"/>
        <v>#VALUE!</v>
      </c>
      <c r="J51" s="99" t="e">
        <f t="shared" si="8"/>
        <v>#VALUE!</v>
      </c>
      <c r="K51" s="100" t="e">
        <f t="shared" si="9"/>
        <v>#VALUE!</v>
      </c>
      <c r="L51" s="101" t="str">
        <f>Export!B49</f>
        <v/>
      </c>
      <c r="M51" s="102" t="e">
        <f>C51*L51*HelperFunctions!G$45</f>
        <v>#VALUE!</v>
      </c>
      <c r="N51" s="103" t="e">
        <f>C51*L51*(1-HelperFunctions!G$45)</f>
        <v>#VALUE!</v>
      </c>
      <c r="O51" s="104" t="e">
        <f t="shared" si="14"/>
        <v>#DIV/0!</v>
      </c>
      <c r="P51" s="105">
        <f>SUM(EffectivelyVax!D50:BK50)</f>
        <v>0</v>
      </c>
      <c r="Q51" s="106" t="e">
        <f t="shared" si="11"/>
        <v>#DIV/0!</v>
      </c>
      <c r="R51" s="106" t="e">
        <f t="shared" si="12"/>
        <v>#DIV/0!</v>
      </c>
      <c r="S51" s="105" t="e">
        <f t="shared" si="1"/>
        <v>#DIV/0!</v>
      </c>
      <c r="T51" s="106" t="e">
        <f>IF(Export!M49&lt;&gt;"",Q51*Export!K49*(1/Export!M49),Q51*Export!K49)</f>
        <v>#DIV/0!</v>
      </c>
      <c r="U51" s="107" t="e">
        <f>S51*Export!J49</f>
        <v>#DIV/0!</v>
      </c>
      <c r="V51" s="108" t="e">
        <f>SUM('NotEffectivelyVax (hypo)'!F51,'NotEffectivelyVax (hypo)'!I51,'NotEffectivelyVax (hypo)'!L51,'NotEffectivelyVax (hypo)'!O51,'NotEffectivelyVax (hypo)'!R51,'NotEffectivelyVax (hypo)'!U51,'NotEffectivelyVax (hypo)'!X51,'NotEffectivelyVax (hypo)'!AA51,'NotEffectivelyVax (hypo)'!AD51,'NotEffectivelyVax (hypo)'!AG51,'NotEffectivelyVax (hypo)'!AJ51,'NotEffectivelyVax (hypo)'!AM51,'NotEffectivelyVax (hypo)'!AP51,'NotEffectivelyVax (hypo)'!AS51,'NotEffectivelyVax (hypo)'!AV51,'NotEffectivelyVax (hypo)'!AY51,'NotEffectivelyVax (hypo)'!BB51,'NotEffectivelyVax (hypo)'!BE51,'NotEffectivelyVax (hypo)'!BH51,'NotEffectivelyVax (hypo)'!BK51,'NotEffectivelyVax (hypo)'!BN51,'NotEffectivelyVax (hypo)'!BQ51,'NotEffectivelyVax (hypo)'!BT51,'NotEffectivelyVax (hypo)'!BW51,'NotEffectivelyVax (hypo)'!BZ51,'NotEffectivelyVax (hypo)'!CC51,'NotEffectivelyVax (hypo)'!CF51,'NotEffectivelyVax (hypo)'!CI51,'NotEffectivelyVax (hypo)'!CL51,'NotEffectivelyVax (hypo)'!CO51,'NotEffectivelyVax (hypo)'!CR51,'NotEffectivelyVax (hypo)'!CU51,'NotEffectivelyVax (hypo)'!CX51,'NotEffectivelyVax (hypo)'!DA51,'NotEffectivelyVax (hypo)'!DD51,'NotEffectivelyVax (hypo)'!DG51,'NotEffectivelyVax (hypo)'!DJ51,'NotEffectivelyVax (hypo)'!DM51,'NotEffectivelyVax (hypo)'!DQ51,'NotEffectivelyVax (hypo)'!DP51,'NotEffectivelyVax (hypo)'!DS51,'NotEffectivelyVax (hypo)'!DV51,'NotEffectivelyVax (hypo)'!DY51,'NotEffectivelyVax (hypo)'!EB51,'NotEffectivelyVax (hypo)'!EE51,'NotEffectivelyVax (hypo)'!EH51,'NotEffectivelyVax (hypo)'!EK51,'NotEffectivelyVax (hypo)'!EN51,'NotEffectivelyVax (hypo)'!EQ51,'NotEffectivelyVax (hypo)'!ET51,'NotEffectivelyVax (hypo)'!EW51,'NotEffectivelyVax (hypo)'!EZ51,'NotEffectivelyVax (hypo)'!FC51,'NotEffectivelyVax (hypo)'!FF51,'NotEffectivelyVax (hypo)'!FI51,'NotEffectivelyVax (hypo)'!FL51,'NotEffectivelyVax (hypo)'!FO51,'NotEffectivelyVax (hypo)'!FR51,'NotEffectivelyVax (hypo)'!FU51,'NotEffectivelyVax (hypo)'!FX51,'NotEffectivelyVax (hypo)'!GA51)</f>
        <v>#VALUE!</v>
      </c>
      <c r="W51" s="109" t="e">
        <f>SUM('NotEffectivelyVax (hypo)'!D51,'NotEffectivelyVax (hypo)'!G51,'NotEffectivelyVax (hypo)'!J51,'NotEffectivelyVax (hypo)'!M51,'NotEffectivelyVax (hypo)'!P51,'NotEffectivelyVax (hypo)'!S51,'NotEffectivelyVax (hypo)'!V51,'NotEffectivelyVax (hypo)'!Y51,'NotEffectivelyVax (hypo)'!AB51,'NotEffectivelyVax (hypo)'!AE51,'NotEffectivelyVax (hypo)'!AH51,'NotEffectivelyVax (hypo)'!AK51,'NotEffectivelyVax (hypo)'!AN51,'NotEffectivelyVax (hypo)'!AQ51,'NotEffectivelyVax (hypo)'!AT51,'NotEffectivelyVax (hypo)'!AW51,'NotEffectivelyVax (hypo)'!AZ51,'NotEffectivelyVax (hypo)'!BC51,'NotEffectivelyVax (hypo)'!BF51,'NotEffectivelyVax (hypo)'!BI51,'NotEffectivelyVax (hypo)'!BL51,'NotEffectivelyVax (hypo)'!BO51,'NotEffectivelyVax (hypo)'!BR51,'NotEffectivelyVax (hypo)'!BU51,'NotEffectivelyVax (hypo)'!BX51,'NotEffectivelyVax (hypo)'!CA51,'NotEffectivelyVax (hypo)'!CD51,'NotEffectivelyVax (hypo)'!CG51,'NotEffectivelyVax (hypo)'!CJ51,'NotEffectivelyVax (hypo)'!CM51,'NotEffectivelyVax (hypo)'!CP51,'NotEffectivelyVax (hypo)'!CS51,'NotEffectivelyVax (hypo)'!CV51,'NotEffectivelyVax (hypo)'!CY51,'NotEffectivelyVax (hypo)'!DB51,'NotEffectivelyVax (hypo)'!DE51,'NotEffectivelyVax (hypo)'!DH51,'NotEffectivelyVax (hypo)'!DK51,'NotEffectivelyVax (hypo)'!DN51,'NotEffectivelyVax (hypo)'!DQ51,'NotEffectivelyVax (hypo)'!DT51,'NotEffectivelyVax (hypo)'!DW51,'NotEffectivelyVax (hypo)'!DZ51,'NotEffectivelyVax (hypo)'!EC51,'NotEffectivelyVax (hypo)'!EF51,'NotEffectivelyVax (hypo)'!EI51,'NotEffectivelyVax (hypo)'!EL51,'NotEffectivelyVax (hypo)'!EO51,'NotEffectivelyVax (hypo)'!ER51,'NotEffectivelyVax (hypo)'!EU51,'NotEffectivelyVax (hypo)'!EX51,'NotEffectivelyVax (hypo)'!FA51,'NotEffectivelyVax (hypo)'!FD51,'NotEffectivelyVax (hypo)'!FG51,'NotEffectivelyVax (hypo)'!FJ51,'NotEffectivelyVax (hypo)'!FM51,'NotEffectivelyVax (hypo)'!FP51,'NotEffectivelyVax (hypo)'!FS51,'NotEffectivelyVax (hypo)'!FV51,'NotEffectivelyVax (hypo)'!FY51)</f>
        <v>#VALUE!</v>
      </c>
      <c r="X51" s="109" t="e">
        <f>SUM('NotEffectivelyVax (hypo)'!E51,'NotEffectivelyVax (hypo)'!H51,'NotEffectivelyVax (hypo)'!K51,'NotEffectivelyVax (hypo)'!N51,'NotEffectivelyVax (hypo)'!Q51,'NotEffectivelyVax (hypo)'!T51,'NotEffectivelyVax (hypo)'!Z51,'NotEffectivelyVax (hypo)'!W51,'NotEffectivelyVax (hypo)'!AC51,'NotEffectivelyVax (hypo)'!AF51,'NotEffectivelyVax (hypo)'!AI51,'NotEffectivelyVax (hypo)'!AL51,'NotEffectivelyVax (hypo)'!AO51,'NotEffectivelyVax (hypo)'!AR51,'NotEffectivelyVax (hypo)'!AU51,'NotEffectivelyVax (hypo)'!AX51,'NotEffectivelyVax (hypo)'!BA51,'NotEffectivelyVax (hypo)'!BD51,'NotEffectivelyVax (hypo)'!BG51,'NotEffectivelyVax (hypo)'!BJ51,'NotEffectivelyVax (hypo)'!BM51,'NotEffectivelyVax (hypo)'!BP51,'NotEffectivelyVax (hypo)'!BS51,'NotEffectivelyVax (hypo)'!BV51,'NotEffectivelyVax (hypo)'!BY51,'NotEffectivelyVax (hypo)'!CB51,'NotEffectivelyVax (hypo)'!CE51,'NotEffectivelyVax (hypo)'!CH51,'NotEffectivelyVax (hypo)'!CK51,'NotEffectivelyVax (hypo)'!CN51,'NotEffectivelyVax (hypo)'!CQ51,'NotEffectivelyVax (hypo)'!CT51,'NotEffectivelyVax (hypo)'!CW51,'NotEffectivelyVax (hypo)'!CZ51,'NotEffectivelyVax (hypo)'!DC51,'NotEffectivelyVax (hypo)'!DF51,'NotEffectivelyVax (hypo)'!DI51,'NotEffectivelyVax (hypo)'!DL51,'NotEffectivelyVax (hypo)'!DO51,'NotEffectivelyVax (hypo)'!DR51,'NotEffectivelyVax (hypo)'!DU51,'NotEffectivelyVax (hypo)'!DX51,'NotEffectivelyVax (hypo)'!EA51,'NotEffectivelyVax (hypo)'!ED51,'NotEffectivelyVax (hypo)'!EG51,'NotEffectivelyVax (hypo)'!EJ51,'NotEffectivelyVax (hypo)'!EM51,'NotEffectivelyVax (hypo)'!EP51,'NotEffectivelyVax (hypo)'!ES51,'NotEffectivelyVax (hypo)'!EV51,'NotEffectivelyVax (hypo)'!EY51,'NotEffectivelyVax (hypo)'!FB51,'NotEffectivelyVax (hypo)'!FE51,'NotEffectivelyVax (hypo)'!FH51,'NotEffectivelyVax (hypo)'!FK51,'NotEffectivelyVax (hypo)'!FN51,'NotEffectivelyVax (hypo)'!FQ51,'NotEffectivelyVax (hypo)'!FT51,'NotEffectivelyVax (hypo)'!FW51,'NotEffectivelyVax (hypo)'!FZ51)</f>
        <v>#VALUE!</v>
      </c>
      <c r="Y51" s="110" t="e">
        <f t="shared" si="2"/>
        <v>#VALUE!</v>
      </c>
      <c r="Z51" s="110" t="e">
        <f>IF(Export!M49&lt;&gt;"",W51*Export!K49*(1/Export!M49),W51*Export!K49)</f>
        <v>#VALUE!</v>
      </c>
      <c r="AA51" s="107" t="e">
        <f>Y51*Export!J49</f>
        <v>#VALUE!</v>
      </c>
      <c r="AC51" s="156" t="e">
        <f t="shared" si="3"/>
        <v>#VALUE!</v>
      </c>
      <c r="AD51" s="157" t="e">
        <f t="shared" si="18"/>
        <v>#VALUE!</v>
      </c>
      <c r="AE51" s="157" t="e">
        <f t="shared" si="4"/>
        <v>#VALUE!</v>
      </c>
      <c r="AF51" s="157" t="e">
        <f t="shared" si="5"/>
        <v>#VALUE!</v>
      </c>
      <c r="AG51" s="157" t="e">
        <f t="shared" si="6"/>
        <v>#VALUE!</v>
      </c>
      <c r="AH51" s="147" t="e">
        <f>SUM(AC40:AC51)/SUM(D40:D51)</f>
        <v>#VALUE!</v>
      </c>
      <c r="AI51" s="147" t="e">
        <f>SUM(AD40:AD51)/SUM(E40:E51)</f>
        <v>#VALUE!</v>
      </c>
      <c r="AJ51" s="112" t="e">
        <f>SUM(AE40:AE51)/SUM(G40:G51)</f>
        <v>#VALUE!</v>
      </c>
      <c r="AK51" s="112" t="e">
        <f>SUM(AF40:AF51)/SUM(H40:H51)</f>
        <v>#VALUE!</v>
      </c>
      <c r="AL51" s="111" t="e">
        <f>SUM(AG40:AG51)/SUM(F40:F51)</f>
        <v>#VALUE!</v>
      </c>
      <c r="AM51" s="148" t="e">
        <f>SUM($M40:$N51)/SUM(AC40:AC51)</f>
        <v>#VALUE!</v>
      </c>
      <c r="AN51" s="148" t="e">
        <f t="shared" ref="AN51" si="25">SUM($M40:$N51)/SUM(AD40:AD51)</f>
        <v>#VALUE!</v>
      </c>
      <c r="AO51" s="148" t="e">
        <f t="shared" ref="AO51" si="26">SUM($M40:$N51)/SUM(AE40:AE51)</f>
        <v>#VALUE!</v>
      </c>
      <c r="AP51" s="148" t="e">
        <f t="shared" ref="AP51" si="27">SUM($M40:$N51)/SUM(AF40:AF51)</f>
        <v>#VALUE!</v>
      </c>
      <c r="AQ51" s="149" t="e">
        <f>SUM($M40:$N51)/SUM(AC40:AD51)</f>
        <v>#VALUE!</v>
      </c>
    </row>
    <row r="52" spans="1:43" x14ac:dyDescent="0.35">
      <c r="A52" s="158">
        <f>EffectivelyVax!B51</f>
        <v>4</v>
      </c>
      <c r="B52" s="159" t="str">
        <f>EffectivelyVax!C51</f>
        <v/>
      </c>
      <c r="C52" s="160" t="str">
        <f>Export!N50</f>
        <v/>
      </c>
      <c r="D52" s="161" t="str">
        <f>Export!C50</f>
        <v/>
      </c>
      <c r="E52" s="161" t="e">
        <f>Export!C50*Export!L50</f>
        <v>#VALUE!</v>
      </c>
      <c r="F52" s="161" t="e">
        <f t="shared" si="17"/>
        <v>#VALUE!</v>
      </c>
      <c r="G52" s="161" t="e">
        <f>IF(Export!M50&lt;&gt;"",D52*Export!K50*(1/Export!M50),D52*Export!K50)</f>
        <v>#VALUE!</v>
      </c>
      <c r="H52" s="161" t="e">
        <f>F52*Export!J50</f>
        <v>#VALUE!</v>
      </c>
      <c r="I52" s="161" t="e">
        <f t="shared" si="16"/>
        <v>#VALUE!</v>
      </c>
      <c r="J52" s="153" t="e">
        <f t="shared" si="8"/>
        <v>#VALUE!</v>
      </c>
      <c r="K52" s="162" t="e">
        <f t="shared" si="9"/>
        <v>#VALUE!</v>
      </c>
      <c r="L52" s="163" t="str">
        <f>Export!B50</f>
        <v/>
      </c>
      <c r="M52" s="164" t="e">
        <f>C52*L52*HelperFunctions!G$59</f>
        <v>#VALUE!</v>
      </c>
      <c r="N52" s="165" t="e">
        <f>C52*L52*(1-HelperFunctions!G$59)</f>
        <v>#VALUE!</v>
      </c>
      <c r="O52" s="166" t="e">
        <f t="shared" si="14"/>
        <v>#DIV/0!</v>
      </c>
      <c r="P52" s="167">
        <f>SUM(EffectivelyVax!D51:BK51)</f>
        <v>0</v>
      </c>
      <c r="Q52" s="155" t="e">
        <f t="shared" si="11"/>
        <v>#DIV/0!</v>
      </c>
      <c r="R52" s="155" t="e">
        <f t="shared" si="12"/>
        <v>#DIV/0!</v>
      </c>
      <c r="S52" s="167" t="e">
        <f t="shared" si="1"/>
        <v>#DIV/0!</v>
      </c>
      <c r="T52" s="155" t="e">
        <f>IF(Export!M50&lt;&gt;"",Q52*Export!K50*(1/Export!M50),Q52*Export!K50)</f>
        <v>#DIV/0!</v>
      </c>
      <c r="U52" s="154" t="e">
        <f>S52*Export!J50</f>
        <v>#DIV/0!</v>
      </c>
      <c r="V52" s="168" t="e">
        <f>SUM('NotEffectivelyVax (hypo)'!F52,'NotEffectivelyVax (hypo)'!I52,'NotEffectivelyVax (hypo)'!L52,'NotEffectivelyVax (hypo)'!O52,'NotEffectivelyVax (hypo)'!R52,'NotEffectivelyVax (hypo)'!U52,'NotEffectivelyVax (hypo)'!X52,'NotEffectivelyVax (hypo)'!AA52,'NotEffectivelyVax (hypo)'!AD52,'NotEffectivelyVax (hypo)'!AG52,'NotEffectivelyVax (hypo)'!AJ52,'NotEffectivelyVax (hypo)'!AM52,'NotEffectivelyVax (hypo)'!AP52,'NotEffectivelyVax (hypo)'!AS52,'NotEffectivelyVax (hypo)'!AV52,'NotEffectivelyVax (hypo)'!AY52,'NotEffectivelyVax (hypo)'!BB52,'NotEffectivelyVax (hypo)'!BE52,'NotEffectivelyVax (hypo)'!BH52,'NotEffectivelyVax (hypo)'!BK52,'NotEffectivelyVax (hypo)'!BN52,'NotEffectivelyVax (hypo)'!BQ52,'NotEffectivelyVax (hypo)'!BT52,'NotEffectivelyVax (hypo)'!BW52,'NotEffectivelyVax (hypo)'!BZ52,'NotEffectivelyVax (hypo)'!CC52,'NotEffectivelyVax (hypo)'!CF52,'NotEffectivelyVax (hypo)'!CI52,'NotEffectivelyVax (hypo)'!CL52,'NotEffectivelyVax (hypo)'!CO52,'NotEffectivelyVax (hypo)'!CR52,'NotEffectivelyVax (hypo)'!CU52,'NotEffectivelyVax (hypo)'!CX52,'NotEffectivelyVax (hypo)'!DA52,'NotEffectivelyVax (hypo)'!DD52,'NotEffectivelyVax (hypo)'!DG52,'NotEffectivelyVax (hypo)'!DJ52,'NotEffectivelyVax (hypo)'!DM52,'NotEffectivelyVax (hypo)'!DQ52,'NotEffectivelyVax (hypo)'!DP52,'NotEffectivelyVax (hypo)'!DS52,'NotEffectivelyVax (hypo)'!DV52,'NotEffectivelyVax (hypo)'!DY52,'NotEffectivelyVax (hypo)'!EB52,'NotEffectivelyVax (hypo)'!EE52,'NotEffectivelyVax (hypo)'!EH52,'NotEffectivelyVax (hypo)'!EK52,'NotEffectivelyVax (hypo)'!EN52,'NotEffectivelyVax (hypo)'!EQ52,'NotEffectivelyVax (hypo)'!ET52,'NotEffectivelyVax (hypo)'!EW52,'NotEffectivelyVax (hypo)'!EZ52,'NotEffectivelyVax (hypo)'!FC52,'NotEffectivelyVax (hypo)'!FF52,'NotEffectivelyVax (hypo)'!FI52,'NotEffectivelyVax (hypo)'!FL52,'NotEffectivelyVax (hypo)'!FO52,'NotEffectivelyVax (hypo)'!FR52,'NotEffectivelyVax (hypo)'!FU52,'NotEffectivelyVax (hypo)'!FX52,'NotEffectivelyVax (hypo)'!GA52)</f>
        <v>#VALUE!</v>
      </c>
      <c r="W52" s="169" t="e">
        <f>SUM('NotEffectivelyVax (hypo)'!D52,'NotEffectivelyVax (hypo)'!G52,'NotEffectivelyVax (hypo)'!J52,'NotEffectivelyVax (hypo)'!M52,'NotEffectivelyVax (hypo)'!P52,'NotEffectivelyVax (hypo)'!S52,'NotEffectivelyVax (hypo)'!V52,'NotEffectivelyVax (hypo)'!Y52,'NotEffectivelyVax (hypo)'!AB52,'NotEffectivelyVax (hypo)'!AE52,'NotEffectivelyVax (hypo)'!AH52,'NotEffectivelyVax (hypo)'!AK52,'NotEffectivelyVax (hypo)'!AN52,'NotEffectivelyVax (hypo)'!AQ52,'NotEffectivelyVax (hypo)'!AT52,'NotEffectivelyVax (hypo)'!AW52,'NotEffectivelyVax (hypo)'!AZ52,'NotEffectivelyVax (hypo)'!BC52,'NotEffectivelyVax (hypo)'!BF52,'NotEffectivelyVax (hypo)'!BI52,'NotEffectivelyVax (hypo)'!BL52,'NotEffectivelyVax (hypo)'!BO52,'NotEffectivelyVax (hypo)'!BR52,'NotEffectivelyVax (hypo)'!BU52,'NotEffectivelyVax (hypo)'!BX52,'NotEffectivelyVax (hypo)'!CA52,'NotEffectivelyVax (hypo)'!CD52,'NotEffectivelyVax (hypo)'!CG52,'NotEffectivelyVax (hypo)'!CJ52,'NotEffectivelyVax (hypo)'!CM52,'NotEffectivelyVax (hypo)'!CP52,'NotEffectivelyVax (hypo)'!CS52,'NotEffectivelyVax (hypo)'!CV52,'NotEffectivelyVax (hypo)'!CY52,'NotEffectivelyVax (hypo)'!DB52,'NotEffectivelyVax (hypo)'!DE52,'NotEffectivelyVax (hypo)'!DH52,'NotEffectivelyVax (hypo)'!DK52,'NotEffectivelyVax (hypo)'!DN52,'NotEffectivelyVax (hypo)'!DQ52,'NotEffectivelyVax (hypo)'!DT52,'NotEffectivelyVax (hypo)'!DW52,'NotEffectivelyVax (hypo)'!DZ52,'NotEffectivelyVax (hypo)'!EC52,'NotEffectivelyVax (hypo)'!EF52,'NotEffectivelyVax (hypo)'!EI52,'NotEffectivelyVax (hypo)'!EL52,'NotEffectivelyVax (hypo)'!EO52,'NotEffectivelyVax (hypo)'!ER52,'NotEffectivelyVax (hypo)'!EU52,'NotEffectivelyVax (hypo)'!EX52,'NotEffectivelyVax (hypo)'!FA52,'NotEffectivelyVax (hypo)'!FD52,'NotEffectivelyVax (hypo)'!FG52,'NotEffectivelyVax (hypo)'!FJ52,'NotEffectivelyVax (hypo)'!FM52,'NotEffectivelyVax (hypo)'!FP52,'NotEffectivelyVax (hypo)'!FS52,'NotEffectivelyVax (hypo)'!FV52,'NotEffectivelyVax (hypo)'!FY52)</f>
        <v>#VALUE!</v>
      </c>
      <c r="X52" s="169" t="e">
        <f>SUM('NotEffectivelyVax (hypo)'!E52,'NotEffectivelyVax (hypo)'!H52,'NotEffectivelyVax (hypo)'!K52,'NotEffectivelyVax (hypo)'!N52,'NotEffectivelyVax (hypo)'!Q52,'NotEffectivelyVax (hypo)'!T52,'NotEffectivelyVax (hypo)'!Z52,'NotEffectivelyVax (hypo)'!W52,'NotEffectivelyVax (hypo)'!AC52,'NotEffectivelyVax (hypo)'!AF52,'NotEffectivelyVax (hypo)'!AI52,'NotEffectivelyVax (hypo)'!AL52,'NotEffectivelyVax (hypo)'!AO52,'NotEffectivelyVax (hypo)'!AR52,'NotEffectivelyVax (hypo)'!AU52,'NotEffectivelyVax (hypo)'!AX52,'NotEffectivelyVax (hypo)'!BA52,'NotEffectivelyVax (hypo)'!BD52,'NotEffectivelyVax (hypo)'!BG52,'NotEffectivelyVax (hypo)'!BJ52,'NotEffectivelyVax (hypo)'!BM52,'NotEffectivelyVax (hypo)'!BP52,'NotEffectivelyVax (hypo)'!BS52,'NotEffectivelyVax (hypo)'!BV52,'NotEffectivelyVax (hypo)'!BY52,'NotEffectivelyVax (hypo)'!CB52,'NotEffectivelyVax (hypo)'!CE52,'NotEffectivelyVax (hypo)'!CH52,'NotEffectivelyVax (hypo)'!CK52,'NotEffectivelyVax (hypo)'!CN52,'NotEffectivelyVax (hypo)'!CQ52,'NotEffectivelyVax (hypo)'!CT52,'NotEffectivelyVax (hypo)'!CW52,'NotEffectivelyVax (hypo)'!CZ52,'NotEffectivelyVax (hypo)'!DC52,'NotEffectivelyVax (hypo)'!DF52,'NotEffectivelyVax (hypo)'!DI52,'NotEffectivelyVax (hypo)'!DL52,'NotEffectivelyVax (hypo)'!DO52,'NotEffectivelyVax (hypo)'!DR52,'NotEffectivelyVax (hypo)'!DU52,'NotEffectivelyVax (hypo)'!DX52,'NotEffectivelyVax (hypo)'!EA52,'NotEffectivelyVax (hypo)'!ED52,'NotEffectivelyVax (hypo)'!EG52,'NotEffectivelyVax (hypo)'!EJ52,'NotEffectivelyVax (hypo)'!EM52,'NotEffectivelyVax (hypo)'!EP52,'NotEffectivelyVax (hypo)'!ES52,'NotEffectivelyVax (hypo)'!EV52,'NotEffectivelyVax (hypo)'!EY52,'NotEffectivelyVax (hypo)'!FB52,'NotEffectivelyVax (hypo)'!FE52,'NotEffectivelyVax (hypo)'!FH52,'NotEffectivelyVax (hypo)'!FK52,'NotEffectivelyVax (hypo)'!FN52,'NotEffectivelyVax (hypo)'!FQ52,'NotEffectivelyVax (hypo)'!FT52,'NotEffectivelyVax (hypo)'!FW52,'NotEffectivelyVax (hypo)'!FZ52)</f>
        <v>#VALUE!</v>
      </c>
      <c r="Y52" s="170" t="e">
        <f t="shared" si="2"/>
        <v>#VALUE!</v>
      </c>
      <c r="Z52" s="170" t="e">
        <f>IF(Export!M50&lt;&gt;"",W52*Export!K50*(1/Export!M50),W52*Export!K50)</f>
        <v>#VALUE!</v>
      </c>
      <c r="AA52" s="154" t="e">
        <f>Y52*Export!J50</f>
        <v>#VALUE!</v>
      </c>
      <c r="AC52" s="143" t="e">
        <f t="shared" si="3"/>
        <v>#VALUE!</v>
      </c>
      <c r="AD52" s="144" t="e">
        <f t="shared" si="18"/>
        <v>#VALUE!</v>
      </c>
      <c r="AE52" s="144" t="e">
        <f t="shared" si="4"/>
        <v>#VALUE!</v>
      </c>
      <c r="AF52" s="144" t="e">
        <f t="shared" si="5"/>
        <v>#VALUE!</v>
      </c>
      <c r="AG52" s="144" t="e">
        <f t="shared" si="6"/>
        <v>#VALUE!</v>
      </c>
      <c r="AH52" s="145"/>
      <c r="AI52" s="145"/>
      <c r="AJ52" s="145"/>
      <c r="AK52" s="145"/>
      <c r="AL52" s="146"/>
      <c r="AM52" s="150"/>
      <c r="AN52" s="150"/>
      <c r="AO52" s="150"/>
      <c r="AP52" s="150"/>
      <c r="AQ52" s="151"/>
    </row>
    <row r="53" spans="1:43" x14ac:dyDescent="0.35">
      <c r="A53" s="130">
        <f>EffectivelyVax!B52</f>
        <v>4</v>
      </c>
      <c r="B53" s="131" t="str">
        <f>EffectivelyVax!C52</f>
        <v/>
      </c>
      <c r="C53" s="132" t="str">
        <f>Export!N51</f>
        <v/>
      </c>
      <c r="D53" s="133" t="str">
        <f>Export!C51</f>
        <v/>
      </c>
      <c r="E53" s="133" t="e">
        <f>Export!C51*Export!L51</f>
        <v>#VALUE!</v>
      </c>
      <c r="F53" s="133" t="e">
        <f t="shared" si="17"/>
        <v>#VALUE!</v>
      </c>
      <c r="G53" s="133" t="e">
        <f>IF(Export!M51&lt;&gt;"",D53*Export!K51*(1/Export!M51),D53*Export!K51)</f>
        <v>#VALUE!</v>
      </c>
      <c r="H53" s="133" t="e">
        <f>F53*Export!J51</f>
        <v>#VALUE!</v>
      </c>
      <c r="I53" s="161" t="e">
        <f t="shared" si="16"/>
        <v>#VALUE!</v>
      </c>
      <c r="J53" s="134" t="e">
        <f t="shared" si="8"/>
        <v>#VALUE!</v>
      </c>
      <c r="K53" s="135" t="e">
        <f t="shared" si="9"/>
        <v>#VALUE!</v>
      </c>
      <c r="L53" s="117" t="str">
        <f>Export!B51</f>
        <v/>
      </c>
      <c r="M53" s="115" t="e">
        <f>C53*L53*HelperFunctions!G$59</f>
        <v>#VALUE!</v>
      </c>
      <c r="N53" s="116" t="e">
        <f>C53*L53*(1-HelperFunctions!G$59)</f>
        <v>#VALUE!</v>
      </c>
      <c r="O53" s="136" t="e">
        <f t="shared" si="14"/>
        <v>#DIV/0!</v>
      </c>
      <c r="P53" s="137">
        <f>SUM(EffectivelyVax!D52:BK52)</f>
        <v>0</v>
      </c>
      <c r="Q53" s="138" t="e">
        <f t="shared" si="11"/>
        <v>#DIV/0!</v>
      </c>
      <c r="R53" s="138" t="e">
        <f t="shared" si="12"/>
        <v>#DIV/0!</v>
      </c>
      <c r="S53" s="137" t="e">
        <f t="shared" si="1"/>
        <v>#DIV/0!</v>
      </c>
      <c r="T53" s="138" t="e">
        <f>IF(Export!M51&lt;&gt;"",Q53*Export!K51*(1/Export!M51),Q53*Export!K51)</f>
        <v>#DIV/0!</v>
      </c>
      <c r="U53" s="139" t="e">
        <f>S53*Export!J51</f>
        <v>#DIV/0!</v>
      </c>
      <c r="V53" s="140" t="e">
        <f>SUM('NotEffectivelyVax (hypo)'!F53,'NotEffectivelyVax (hypo)'!I53,'NotEffectivelyVax (hypo)'!L53,'NotEffectivelyVax (hypo)'!O53,'NotEffectivelyVax (hypo)'!R53,'NotEffectivelyVax (hypo)'!U53,'NotEffectivelyVax (hypo)'!X53,'NotEffectivelyVax (hypo)'!AA53,'NotEffectivelyVax (hypo)'!AD53,'NotEffectivelyVax (hypo)'!AG53,'NotEffectivelyVax (hypo)'!AJ53,'NotEffectivelyVax (hypo)'!AM53,'NotEffectivelyVax (hypo)'!AP53,'NotEffectivelyVax (hypo)'!AS53,'NotEffectivelyVax (hypo)'!AV53,'NotEffectivelyVax (hypo)'!AY53,'NotEffectivelyVax (hypo)'!BB53,'NotEffectivelyVax (hypo)'!BE53,'NotEffectivelyVax (hypo)'!BH53,'NotEffectivelyVax (hypo)'!BK53,'NotEffectivelyVax (hypo)'!BN53,'NotEffectivelyVax (hypo)'!BQ53,'NotEffectivelyVax (hypo)'!BT53,'NotEffectivelyVax (hypo)'!BW53,'NotEffectivelyVax (hypo)'!BZ53,'NotEffectivelyVax (hypo)'!CC53,'NotEffectivelyVax (hypo)'!CF53,'NotEffectivelyVax (hypo)'!CI53,'NotEffectivelyVax (hypo)'!CL53,'NotEffectivelyVax (hypo)'!CO53,'NotEffectivelyVax (hypo)'!CR53,'NotEffectivelyVax (hypo)'!CU53,'NotEffectivelyVax (hypo)'!CX53,'NotEffectivelyVax (hypo)'!DA53,'NotEffectivelyVax (hypo)'!DD53,'NotEffectivelyVax (hypo)'!DG53,'NotEffectivelyVax (hypo)'!DJ53,'NotEffectivelyVax (hypo)'!DM53,'NotEffectivelyVax (hypo)'!DQ53,'NotEffectivelyVax (hypo)'!DP53,'NotEffectivelyVax (hypo)'!DS53,'NotEffectivelyVax (hypo)'!DV53,'NotEffectivelyVax (hypo)'!DY53,'NotEffectivelyVax (hypo)'!EB53,'NotEffectivelyVax (hypo)'!EE53,'NotEffectivelyVax (hypo)'!EH53,'NotEffectivelyVax (hypo)'!EK53,'NotEffectivelyVax (hypo)'!EN53,'NotEffectivelyVax (hypo)'!EQ53,'NotEffectivelyVax (hypo)'!ET53,'NotEffectivelyVax (hypo)'!EW53,'NotEffectivelyVax (hypo)'!EZ53,'NotEffectivelyVax (hypo)'!FC53,'NotEffectivelyVax (hypo)'!FF53,'NotEffectivelyVax (hypo)'!FI53,'NotEffectivelyVax (hypo)'!FL53,'NotEffectivelyVax (hypo)'!FO53,'NotEffectivelyVax (hypo)'!FR53,'NotEffectivelyVax (hypo)'!FU53,'NotEffectivelyVax (hypo)'!FX53,'NotEffectivelyVax (hypo)'!GA53)</f>
        <v>#VALUE!</v>
      </c>
      <c r="W53" s="141" t="e">
        <f>SUM('NotEffectivelyVax (hypo)'!D53,'NotEffectivelyVax (hypo)'!G53,'NotEffectivelyVax (hypo)'!J53,'NotEffectivelyVax (hypo)'!M53,'NotEffectivelyVax (hypo)'!P53,'NotEffectivelyVax (hypo)'!S53,'NotEffectivelyVax (hypo)'!V53,'NotEffectivelyVax (hypo)'!Y53,'NotEffectivelyVax (hypo)'!AB53,'NotEffectivelyVax (hypo)'!AE53,'NotEffectivelyVax (hypo)'!AH53,'NotEffectivelyVax (hypo)'!AK53,'NotEffectivelyVax (hypo)'!AN53,'NotEffectivelyVax (hypo)'!AQ53,'NotEffectivelyVax (hypo)'!AT53,'NotEffectivelyVax (hypo)'!AW53,'NotEffectivelyVax (hypo)'!AZ53,'NotEffectivelyVax (hypo)'!BC53,'NotEffectivelyVax (hypo)'!BF53,'NotEffectivelyVax (hypo)'!BI53,'NotEffectivelyVax (hypo)'!BL53,'NotEffectivelyVax (hypo)'!BO53,'NotEffectivelyVax (hypo)'!BR53,'NotEffectivelyVax (hypo)'!BU53,'NotEffectivelyVax (hypo)'!BX53,'NotEffectivelyVax (hypo)'!CA53,'NotEffectivelyVax (hypo)'!CD53,'NotEffectivelyVax (hypo)'!CG53,'NotEffectivelyVax (hypo)'!CJ53,'NotEffectivelyVax (hypo)'!CM53,'NotEffectivelyVax (hypo)'!CP53,'NotEffectivelyVax (hypo)'!CS53,'NotEffectivelyVax (hypo)'!CV53,'NotEffectivelyVax (hypo)'!CY53,'NotEffectivelyVax (hypo)'!DB53,'NotEffectivelyVax (hypo)'!DE53,'NotEffectivelyVax (hypo)'!DH53,'NotEffectivelyVax (hypo)'!DK53,'NotEffectivelyVax (hypo)'!DN53,'NotEffectivelyVax (hypo)'!DQ53,'NotEffectivelyVax (hypo)'!DT53,'NotEffectivelyVax (hypo)'!DW53,'NotEffectivelyVax (hypo)'!DZ53,'NotEffectivelyVax (hypo)'!EC53,'NotEffectivelyVax (hypo)'!EF53,'NotEffectivelyVax (hypo)'!EI53,'NotEffectivelyVax (hypo)'!EL53,'NotEffectivelyVax (hypo)'!EO53,'NotEffectivelyVax (hypo)'!ER53,'NotEffectivelyVax (hypo)'!EU53,'NotEffectivelyVax (hypo)'!EX53,'NotEffectivelyVax (hypo)'!FA53,'NotEffectivelyVax (hypo)'!FD53,'NotEffectivelyVax (hypo)'!FG53,'NotEffectivelyVax (hypo)'!FJ53,'NotEffectivelyVax (hypo)'!FM53,'NotEffectivelyVax (hypo)'!FP53,'NotEffectivelyVax (hypo)'!FS53,'NotEffectivelyVax (hypo)'!FV53,'NotEffectivelyVax (hypo)'!FY53)</f>
        <v>#VALUE!</v>
      </c>
      <c r="X53" s="141" t="e">
        <f>SUM('NotEffectivelyVax (hypo)'!E53,'NotEffectivelyVax (hypo)'!H53,'NotEffectivelyVax (hypo)'!K53,'NotEffectivelyVax (hypo)'!N53,'NotEffectivelyVax (hypo)'!Q53,'NotEffectivelyVax (hypo)'!T53,'NotEffectivelyVax (hypo)'!Z53,'NotEffectivelyVax (hypo)'!W53,'NotEffectivelyVax (hypo)'!AC53,'NotEffectivelyVax (hypo)'!AF53,'NotEffectivelyVax (hypo)'!AI53,'NotEffectivelyVax (hypo)'!AL53,'NotEffectivelyVax (hypo)'!AO53,'NotEffectivelyVax (hypo)'!AR53,'NotEffectivelyVax (hypo)'!AU53,'NotEffectivelyVax (hypo)'!AX53,'NotEffectivelyVax (hypo)'!BA53,'NotEffectivelyVax (hypo)'!BD53,'NotEffectivelyVax (hypo)'!BG53,'NotEffectivelyVax (hypo)'!BJ53,'NotEffectivelyVax (hypo)'!BM53,'NotEffectivelyVax (hypo)'!BP53,'NotEffectivelyVax (hypo)'!BS53,'NotEffectivelyVax (hypo)'!BV53,'NotEffectivelyVax (hypo)'!BY53,'NotEffectivelyVax (hypo)'!CB53,'NotEffectivelyVax (hypo)'!CE53,'NotEffectivelyVax (hypo)'!CH53,'NotEffectivelyVax (hypo)'!CK53,'NotEffectivelyVax (hypo)'!CN53,'NotEffectivelyVax (hypo)'!CQ53,'NotEffectivelyVax (hypo)'!CT53,'NotEffectivelyVax (hypo)'!CW53,'NotEffectivelyVax (hypo)'!CZ53,'NotEffectivelyVax (hypo)'!DC53,'NotEffectivelyVax (hypo)'!DF53,'NotEffectivelyVax (hypo)'!DI53,'NotEffectivelyVax (hypo)'!DL53,'NotEffectivelyVax (hypo)'!DO53,'NotEffectivelyVax (hypo)'!DR53,'NotEffectivelyVax (hypo)'!DU53,'NotEffectivelyVax (hypo)'!DX53,'NotEffectivelyVax (hypo)'!EA53,'NotEffectivelyVax (hypo)'!ED53,'NotEffectivelyVax (hypo)'!EG53,'NotEffectivelyVax (hypo)'!EJ53,'NotEffectivelyVax (hypo)'!EM53,'NotEffectivelyVax (hypo)'!EP53,'NotEffectivelyVax (hypo)'!ES53,'NotEffectivelyVax (hypo)'!EV53,'NotEffectivelyVax (hypo)'!EY53,'NotEffectivelyVax (hypo)'!FB53,'NotEffectivelyVax (hypo)'!FE53,'NotEffectivelyVax (hypo)'!FH53,'NotEffectivelyVax (hypo)'!FK53,'NotEffectivelyVax (hypo)'!FN53,'NotEffectivelyVax (hypo)'!FQ53,'NotEffectivelyVax (hypo)'!FT53,'NotEffectivelyVax (hypo)'!FW53,'NotEffectivelyVax (hypo)'!FZ53)</f>
        <v>#VALUE!</v>
      </c>
      <c r="Y53" s="142" t="e">
        <f t="shared" si="2"/>
        <v>#VALUE!</v>
      </c>
      <c r="Z53" s="142" t="e">
        <f>IF(Export!M51&lt;&gt;"",W53*Export!K51*(1/Export!M51),W53*Export!K51)</f>
        <v>#VALUE!</v>
      </c>
      <c r="AA53" s="139" t="e">
        <f>Y53*Export!J51</f>
        <v>#VALUE!</v>
      </c>
      <c r="AC53" s="143" t="e">
        <f t="shared" si="3"/>
        <v>#VALUE!</v>
      </c>
      <c r="AD53" s="144" t="e">
        <f t="shared" si="18"/>
        <v>#VALUE!</v>
      </c>
      <c r="AE53" s="144" t="e">
        <f t="shared" si="4"/>
        <v>#VALUE!</v>
      </c>
      <c r="AF53" s="144" t="e">
        <f t="shared" si="5"/>
        <v>#VALUE!</v>
      </c>
      <c r="AG53" s="144" t="e">
        <f t="shared" si="6"/>
        <v>#VALUE!</v>
      </c>
      <c r="AH53" s="145"/>
      <c r="AI53" s="145"/>
      <c r="AJ53" s="145"/>
      <c r="AK53" s="145"/>
      <c r="AL53" s="146"/>
      <c r="AM53" s="150"/>
      <c r="AN53" s="150"/>
      <c r="AO53" s="150"/>
      <c r="AP53" s="150"/>
      <c r="AQ53" s="151"/>
    </row>
    <row r="54" spans="1:43" x14ac:dyDescent="0.35">
      <c r="A54" s="130">
        <f>EffectivelyVax!B53</f>
        <v>4</v>
      </c>
      <c r="B54" s="131" t="str">
        <f>EffectivelyVax!C53</f>
        <v/>
      </c>
      <c r="C54" s="132" t="str">
        <f>Export!N52</f>
        <v/>
      </c>
      <c r="D54" s="133" t="str">
        <f>Export!C52</f>
        <v/>
      </c>
      <c r="E54" s="133" t="e">
        <f>Export!C52*Export!L52</f>
        <v>#VALUE!</v>
      </c>
      <c r="F54" s="133" t="e">
        <f t="shared" si="17"/>
        <v>#VALUE!</v>
      </c>
      <c r="G54" s="133" t="e">
        <f>IF(Export!M52&lt;&gt;"",D54*Export!K52*(1/Export!M52),D54*Export!K52)</f>
        <v>#VALUE!</v>
      </c>
      <c r="H54" s="133" t="e">
        <f>F54*Export!J52</f>
        <v>#VALUE!</v>
      </c>
      <c r="I54" s="161" t="e">
        <f t="shared" si="16"/>
        <v>#VALUE!</v>
      </c>
      <c r="J54" s="134" t="e">
        <f t="shared" si="8"/>
        <v>#VALUE!</v>
      </c>
      <c r="K54" s="135" t="e">
        <f t="shared" si="9"/>
        <v>#VALUE!</v>
      </c>
      <c r="L54" s="117" t="str">
        <f>Export!B52</f>
        <v/>
      </c>
      <c r="M54" s="115" t="e">
        <f>C54*L54*HelperFunctions!G$59</f>
        <v>#VALUE!</v>
      </c>
      <c r="N54" s="116" t="e">
        <f>C54*L54*(1-HelperFunctions!G$59)</f>
        <v>#VALUE!</v>
      </c>
      <c r="O54" s="136" t="e">
        <f t="shared" si="14"/>
        <v>#DIV/0!</v>
      </c>
      <c r="P54" s="137">
        <f>SUM(EffectivelyVax!D53:BK53)</f>
        <v>0</v>
      </c>
      <c r="Q54" s="138" t="e">
        <f t="shared" si="11"/>
        <v>#DIV/0!</v>
      </c>
      <c r="R54" s="138" t="e">
        <f t="shared" si="12"/>
        <v>#DIV/0!</v>
      </c>
      <c r="S54" s="137" t="e">
        <f t="shared" si="1"/>
        <v>#DIV/0!</v>
      </c>
      <c r="T54" s="138" t="e">
        <f>IF(Export!M52&lt;&gt;"",Q54*Export!K52*(1/Export!M52),Q54*Export!K52)</f>
        <v>#DIV/0!</v>
      </c>
      <c r="U54" s="139" t="e">
        <f>S54*Export!J52</f>
        <v>#DIV/0!</v>
      </c>
      <c r="V54" s="140" t="e">
        <f>SUM('NotEffectivelyVax (hypo)'!F54,'NotEffectivelyVax (hypo)'!I54,'NotEffectivelyVax (hypo)'!L54,'NotEffectivelyVax (hypo)'!O54,'NotEffectivelyVax (hypo)'!R54,'NotEffectivelyVax (hypo)'!U54,'NotEffectivelyVax (hypo)'!X54,'NotEffectivelyVax (hypo)'!AA54,'NotEffectivelyVax (hypo)'!AD54,'NotEffectivelyVax (hypo)'!AG54,'NotEffectivelyVax (hypo)'!AJ54,'NotEffectivelyVax (hypo)'!AM54,'NotEffectivelyVax (hypo)'!AP54,'NotEffectivelyVax (hypo)'!AS54,'NotEffectivelyVax (hypo)'!AV54,'NotEffectivelyVax (hypo)'!AY54,'NotEffectivelyVax (hypo)'!BB54,'NotEffectivelyVax (hypo)'!BE54,'NotEffectivelyVax (hypo)'!BH54,'NotEffectivelyVax (hypo)'!BK54,'NotEffectivelyVax (hypo)'!BN54,'NotEffectivelyVax (hypo)'!BQ54,'NotEffectivelyVax (hypo)'!BT54,'NotEffectivelyVax (hypo)'!BW54,'NotEffectivelyVax (hypo)'!BZ54,'NotEffectivelyVax (hypo)'!CC54,'NotEffectivelyVax (hypo)'!CF54,'NotEffectivelyVax (hypo)'!CI54,'NotEffectivelyVax (hypo)'!CL54,'NotEffectivelyVax (hypo)'!CO54,'NotEffectivelyVax (hypo)'!CR54,'NotEffectivelyVax (hypo)'!CU54,'NotEffectivelyVax (hypo)'!CX54,'NotEffectivelyVax (hypo)'!DA54,'NotEffectivelyVax (hypo)'!DD54,'NotEffectivelyVax (hypo)'!DG54,'NotEffectivelyVax (hypo)'!DJ54,'NotEffectivelyVax (hypo)'!DM54,'NotEffectivelyVax (hypo)'!DQ54,'NotEffectivelyVax (hypo)'!DP54,'NotEffectivelyVax (hypo)'!DS54,'NotEffectivelyVax (hypo)'!DV54,'NotEffectivelyVax (hypo)'!DY54,'NotEffectivelyVax (hypo)'!EB54,'NotEffectivelyVax (hypo)'!EE54,'NotEffectivelyVax (hypo)'!EH54,'NotEffectivelyVax (hypo)'!EK54,'NotEffectivelyVax (hypo)'!EN54,'NotEffectivelyVax (hypo)'!EQ54,'NotEffectivelyVax (hypo)'!ET54,'NotEffectivelyVax (hypo)'!EW54,'NotEffectivelyVax (hypo)'!EZ54,'NotEffectivelyVax (hypo)'!FC54,'NotEffectivelyVax (hypo)'!FF54,'NotEffectivelyVax (hypo)'!FI54,'NotEffectivelyVax (hypo)'!FL54,'NotEffectivelyVax (hypo)'!FO54,'NotEffectivelyVax (hypo)'!FR54,'NotEffectivelyVax (hypo)'!FU54,'NotEffectivelyVax (hypo)'!FX54,'NotEffectivelyVax (hypo)'!GA54)</f>
        <v>#VALUE!</v>
      </c>
      <c r="W54" s="141" t="e">
        <f>SUM('NotEffectivelyVax (hypo)'!D54,'NotEffectivelyVax (hypo)'!G54,'NotEffectivelyVax (hypo)'!J54,'NotEffectivelyVax (hypo)'!M54,'NotEffectivelyVax (hypo)'!P54,'NotEffectivelyVax (hypo)'!S54,'NotEffectivelyVax (hypo)'!V54,'NotEffectivelyVax (hypo)'!Y54,'NotEffectivelyVax (hypo)'!AB54,'NotEffectivelyVax (hypo)'!AE54,'NotEffectivelyVax (hypo)'!AH54,'NotEffectivelyVax (hypo)'!AK54,'NotEffectivelyVax (hypo)'!AN54,'NotEffectivelyVax (hypo)'!AQ54,'NotEffectivelyVax (hypo)'!AT54,'NotEffectivelyVax (hypo)'!AW54,'NotEffectivelyVax (hypo)'!AZ54,'NotEffectivelyVax (hypo)'!BC54,'NotEffectivelyVax (hypo)'!BF54,'NotEffectivelyVax (hypo)'!BI54,'NotEffectivelyVax (hypo)'!BL54,'NotEffectivelyVax (hypo)'!BO54,'NotEffectivelyVax (hypo)'!BR54,'NotEffectivelyVax (hypo)'!BU54,'NotEffectivelyVax (hypo)'!BX54,'NotEffectivelyVax (hypo)'!CA54,'NotEffectivelyVax (hypo)'!CD54,'NotEffectivelyVax (hypo)'!CG54,'NotEffectivelyVax (hypo)'!CJ54,'NotEffectivelyVax (hypo)'!CM54,'NotEffectivelyVax (hypo)'!CP54,'NotEffectivelyVax (hypo)'!CS54,'NotEffectivelyVax (hypo)'!CV54,'NotEffectivelyVax (hypo)'!CY54,'NotEffectivelyVax (hypo)'!DB54,'NotEffectivelyVax (hypo)'!DE54,'NotEffectivelyVax (hypo)'!DH54,'NotEffectivelyVax (hypo)'!DK54,'NotEffectivelyVax (hypo)'!DN54,'NotEffectivelyVax (hypo)'!DQ54,'NotEffectivelyVax (hypo)'!DT54,'NotEffectivelyVax (hypo)'!DW54,'NotEffectivelyVax (hypo)'!DZ54,'NotEffectivelyVax (hypo)'!EC54,'NotEffectivelyVax (hypo)'!EF54,'NotEffectivelyVax (hypo)'!EI54,'NotEffectivelyVax (hypo)'!EL54,'NotEffectivelyVax (hypo)'!EO54,'NotEffectivelyVax (hypo)'!ER54,'NotEffectivelyVax (hypo)'!EU54,'NotEffectivelyVax (hypo)'!EX54,'NotEffectivelyVax (hypo)'!FA54,'NotEffectivelyVax (hypo)'!FD54,'NotEffectivelyVax (hypo)'!FG54,'NotEffectivelyVax (hypo)'!FJ54,'NotEffectivelyVax (hypo)'!FM54,'NotEffectivelyVax (hypo)'!FP54,'NotEffectivelyVax (hypo)'!FS54,'NotEffectivelyVax (hypo)'!FV54,'NotEffectivelyVax (hypo)'!FY54)</f>
        <v>#VALUE!</v>
      </c>
      <c r="X54" s="141" t="e">
        <f>SUM('NotEffectivelyVax (hypo)'!E54,'NotEffectivelyVax (hypo)'!H54,'NotEffectivelyVax (hypo)'!K54,'NotEffectivelyVax (hypo)'!N54,'NotEffectivelyVax (hypo)'!Q54,'NotEffectivelyVax (hypo)'!T54,'NotEffectivelyVax (hypo)'!Z54,'NotEffectivelyVax (hypo)'!W54,'NotEffectivelyVax (hypo)'!AC54,'NotEffectivelyVax (hypo)'!AF54,'NotEffectivelyVax (hypo)'!AI54,'NotEffectivelyVax (hypo)'!AL54,'NotEffectivelyVax (hypo)'!AO54,'NotEffectivelyVax (hypo)'!AR54,'NotEffectivelyVax (hypo)'!AU54,'NotEffectivelyVax (hypo)'!AX54,'NotEffectivelyVax (hypo)'!BA54,'NotEffectivelyVax (hypo)'!BD54,'NotEffectivelyVax (hypo)'!BG54,'NotEffectivelyVax (hypo)'!BJ54,'NotEffectivelyVax (hypo)'!BM54,'NotEffectivelyVax (hypo)'!BP54,'NotEffectivelyVax (hypo)'!BS54,'NotEffectivelyVax (hypo)'!BV54,'NotEffectivelyVax (hypo)'!BY54,'NotEffectivelyVax (hypo)'!CB54,'NotEffectivelyVax (hypo)'!CE54,'NotEffectivelyVax (hypo)'!CH54,'NotEffectivelyVax (hypo)'!CK54,'NotEffectivelyVax (hypo)'!CN54,'NotEffectivelyVax (hypo)'!CQ54,'NotEffectivelyVax (hypo)'!CT54,'NotEffectivelyVax (hypo)'!CW54,'NotEffectivelyVax (hypo)'!CZ54,'NotEffectivelyVax (hypo)'!DC54,'NotEffectivelyVax (hypo)'!DF54,'NotEffectivelyVax (hypo)'!DI54,'NotEffectivelyVax (hypo)'!DL54,'NotEffectivelyVax (hypo)'!DO54,'NotEffectivelyVax (hypo)'!DR54,'NotEffectivelyVax (hypo)'!DU54,'NotEffectivelyVax (hypo)'!DX54,'NotEffectivelyVax (hypo)'!EA54,'NotEffectivelyVax (hypo)'!ED54,'NotEffectivelyVax (hypo)'!EG54,'NotEffectivelyVax (hypo)'!EJ54,'NotEffectivelyVax (hypo)'!EM54,'NotEffectivelyVax (hypo)'!EP54,'NotEffectivelyVax (hypo)'!ES54,'NotEffectivelyVax (hypo)'!EV54,'NotEffectivelyVax (hypo)'!EY54,'NotEffectivelyVax (hypo)'!FB54,'NotEffectivelyVax (hypo)'!FE54,'NotEffectivelyVax (hypo)'!FH54,'NotEffectivelyVax (hypo)'!FK54,'NotEffectivelyVax (hypo)'!FN54,'NotEffectivelyVax (hypo)'!FQ54,'NotEffectivelyVax (hypo)'!FT54,'NotEffectivelyVax (hypo)'!FW54,'NotEffectivelyVax (hypo)'!FZ54)</f>
        <v>#VALUE!</v>
      </c>
      <c r="Y54" s="142" t="e">
        <f t="shared" si="2"/>
        <v>#VALUE!</v>
      </c>
      <c r="Z54" s="142" t="e">
        <f>IF(Export!M52&lt;&gt;"",W54*Export!K52*(1/Export!M52),W54*Export!K52)</f>
        <v>#VALUE!</v>
      </c>
      <c r="AA54" s="139" t="e">
        <f>Y54*Export!J52</f>
        <v>#VALUE!</v>
      </c>
      <c r="AC54" s="143" t="e">
        <f t="shared" si="3"/>
        <v>#VALUE!</v>
      </c>
      <c r="AD54" s="144" t="e">
        <f t="shared" si="18"/>
        <v>#VALUE!</v>
      </c>
      <c r="AE54" s="144" t="e">
        <f t="shared" si="4"/>
        <v>#VALUE!</v>
      </c>
      <c r="AF54" s="144" t="e">
        <f t="shared" si="5"/>
        <v>#VALUE!</v>
      </c>
      <c r="AG54" s="144" t="e">
        <f t="shared" si="6"/>
        <v>#VALUE!</v>
      </c>
      <c r="AH54" s="145"/>
      <c r="AI54" s="145"/>
      <c r="AJ54" s="145"/>
      <c r="AK54" s="145"/>
      <c r="AL54" s="146"/>
      <c r="AM54" s="150"/>
      <c r="AN54" s="150"/>
      <c r="AO54" s="150"/>
      <c r="AP54" s="150"/>
      <c r="AQ54" s="151"/>
    </row>
    <row r="55" spans="1:43" x14ac:dyDescent="0.35">
      <c r="A55" s="130">
        <f>EffectivelyVax!B54</f>
        <v>4</v>
      </c>
      <c r="B55" s="131" t="str">
        <f>EffectivelyVax!C54</f>
        <v/>
      </c>
      <c r="C55" s="132" t="str">
        <f>Export!N53</f>
        <v/>
      </c>
      <c r="D55" s="133" t="str">
        <f>Export!C53</f>
        <v/>
      </c>
      <c r="E55" s="133" t="e">
        <f>Export!C53*Export!L53</f>
        <v>#VALUE!</v>
      </c>
      <c r="F55" s="133" t="e">
        <f t="shared" si="17"/>
        <v>#VALUE!</v>
      </c>
      <c r="G55" s="133" t="e">
        <f>IF(Export!M53&lt;&gt;"",D55*Export!K53*(1/Export!M53),D55*Export!K53)</f>
        <v>#VALUE!</v>
      </c>
      <c r="H55" s="133" t="e">
        <f>F55*Export!J53</f>
        <v>#VALUE!</v>
      </c>
      <c r="I55" s="161" t="e">
        <f t="shared" si="16"/>
        <v>#VALUE!</v>
      </c>
      <c r="J55" s="134" t="e">
        <f t="shared" si="8"/>
        <v>#VALUE!</v>
      </c>
      <c r="K55" s="135" t="e">
        <f t="shared" si="9"/>
        <v>#VALUE!</v>
      </c>
      <c r="L55" s="117" t="str">
        <f>Export!B53</f>
        <v/>
      </c>
      <c r="M55" s="115" t="e">
        <f>C55*L55*HelperFunctions!G$59</f>
        <v>#VALUE!</v>
      </c>
      <c r="N55" s="116" t="e">
        <f>C55*L55*(1-HelperFunctions!G$59)</f>
        <v>#VALUE!</v>
      </c>
      <c r="O55" s="136" t="e">
        <f t="shared" si="14"/>
        <v>#DIV/0!</v>
      </c>
      <c r="P55" s="137">
        <f>SUM(EffectivelyVax!D54:BK54)</f>
        <v>0</v>
      </c>
      <c r="Q55" s="138" t="e">
        <f t="shared" si="11"/>
        <v>#DIV/0!</v>
      </c>
      <c r="R55" s="138" t="e">
        <f t="shared" si="12"/>
        <v>#DIV/0!</v>
      </c>
      <c r="S55" s="137" t="e">
        <f t="shared" si="1"/>
        <v>#DIV/0!</v>
      </c>
      <c r="T55" s="138" t="e">
        <f>IF(Export!M53&lt;&gt;"",Q55*Export!K53*(1/Export!M53),Q55*Export!K53)</f>
        <v>#DIV/0!</v>
      </c>
      <c r="U55" s="139" t="e">
        <f>S55*Export!J53</f>
        <v>#DIV/0!</v>
      </c>
      <c r="V55" s="140" t="e">
        <f>SUM('NotEffectivelyVax (hypo)'!F55,'NotEffectivelyVax (hypo)'!I55,'NotEffectivelyVax (hypo)'!L55,'NotEffectivelyVax (hypo)'!O55,'NotEffectivelyVax (hypo)'!R55,'NotEffectivelyVax (hypo)'!U55,'NotEffectivelyVax (hypo)'!X55,'NotEffectivelyVax (hypo)'!AA55,'NotEffectivelyVax (hypo)'!AD55,'NotEffectivelyVax (hypo)'!AG55,'NotEffectivelyVax (hypo)'!AJ55,'NotEffectivelyVax (hypo)'!AM55,'NotEffectivelyVax (hypo)'!AP55,'NotEffectivelyVax (hypo)'!AS55,'NotEffectivelyVax (hypo)'!AV55,'NotEffectivelyVax (hypo)'!AY55,'NotEffectivelyVax (hypo)'!BB55,'NotEffectivelyVax (hypo)'!BE55,'NotEffectivelyVax (hypo)'!BH55,'NotEffectivelyVax (hypo)'!BK55,'NotEffectivelyVax (hypo)'!BN55,'NotEffectivelyVax (hypo)'!BQ55,'NotEffectivelyVax (hypo)'!BT55,'NotEffectivelyVax (hypo)'!BW55,'NotEffectivelyVax (hypo)'!BZ55,'NotEffectivelyVax (hypo)'!CC55,'NotEffectivelyVax (hypo)'!CF55,'NotEffectivelyVax (hypo)'!CI55,'NotEffectivelyVax (hypo)'!CL55,'NotEffectivelyVax (hypo)'!CO55,'NotEffectivelyVax (hypo)'!CR55,'NotEffectivelyVax (hypo)'!CU55,'NotEffectivelyVax (hypo)'!CX55,'NotEffectivelyVax (hypo)'!DA55,'NotEffectivelyVax (hypo)'!DD55,'NotEffectivelyVax (hypo)'!DG55,'NotEffectivelyVax (hypo)'!DJ55,'NotEffectivelyVax (hypo)'!DM55,'NotEffectivelyVax (hypo)'!DQ55,'NotEffectivelyVax (hypo)'!DP55,'NotEffectivelyVax (hypo)'!DS55,'NotEffectivelyVax (hypo)'!DV55,'NotEffectivelyVax (hypo)'!DY55,'NotEffectivelyVax (hypo)'!EB55,'NotEffectivelyVax (hypo)'!EE55,'NotEffectivelyVax (hypo)'!EH55,'NotEffectivelyVax (hypo)'!EK55,'NotEffectivelyVax (hypo)'!EN55,'NotEffectivelyVax (hypo)'!EQ55,'NotEffectivelyVax (hypo)'!ET55,'NotEffectivelyVax (hypo)'!EW55,'NotEffectivelyVax (hypo)'!EZ55,'NotEffectivelyVax (hypo)'!FC55,'NotEffectivelyVax (hypo)'!FF55,'NotEffectivelyVax (hypo)'!FI55,'NotEffectivelyVax (hypo)'!FL55,'NotEffectivelyVax (hypo)'!FO55,'NotEffectivelyVax (hypo)'!FR55,'NotEffectivelyVax (hypo)'!FU55,'NotEffectivelyVax (hypo)'!FX55,'NotEffectivelyVax (hypo)'!GA55)</f>
        <v>#VALUE!</v>
      </c>
      <c r="W55" s="141" t="e">
        <f>SUM('NotEffectivelyVax (hypo)'!D55,'NotEffectivelyVax (hypo)'!G55,'NotEffectivelyVax (hypo)'!J55,'NotEffectivelyVax (hypo)'!M55,'NotEffectivelyVax (hypo)'!P55,'NotEffectivelyVax (hypo)'!S55,'NotEffectivelyVax (hypo)'!V55,'NotEffectivelyVax (hypo)'!Y55,'NotEffectivelyVax (hypo)'!AB55,'NotEffectivelyVax (hypo)'!AE55,'NotEffectivelyVax (hypo)'!AH55,'NotEffectivelyVax (hypo)'!AK55,'NotEffectivelyVax (hypo)'!AN55,'NotEffectivelyVax (hypo)'!AQ55,'NotEffectivelyVax (hypo)'!AT55,'NotEffectivelyVax (hypo)'!AW55,'NotEffectivelyVax (hypo)'!AZ55,'NotEffectivelyVax (hypo)'!BC55,'NotEffectivelyVax (hypo)'!BF55,'NotEffectivelyVax (hypo)'!BI55,'NotEffectivelyVax (hypo)'!BL55,'NotEffectivelyVax (hypo)'!BO55,'NotEffectivelyVax (hypo)'!BR55,'NotEffectivelyVax (hypo)'!BU55,'NotEffectivelyVax (hypo)'!BX55,'NotEffectivelyVax (hypo)'!CA55,'NotEffectivelyVax (hypo)'!CD55,'NotEffectivelyVax (hypo)'!CG55,'NotEffectivelyVax (hypo)'!CJ55,'NotEffectivelyVax (hypo)'!CM55,'NotEffectivelyVax (hypo)'!CP55,'NotEffectivelyVax (hypo)'!CS55,'NotEffectivelyVax (hypo)'!CV55,'NotEffectivelyVax (hypo)'!CY55,'NotEffectivelyVax (hypo)'!DB55,'NotEffectivelyVax (hypo)'!DE55,'NotEffectivelyVax (hypo)'!DH55,'NotEffectivelyVax (hypo)'!DK55,'NotEffectivelyVax (hypo)'!DN55,'NotEffectivelyVax (hypo)'!DQ55,'NotEffectivelyVax (hypo)'!DT55,'NotEffectivelyVax (hypo)'!DW55,'NotEffectivelyVax (hypo)'!DZ55,'NotEffectivelyVax (hypo)'!EC55,'NotEffectivelyVax (hypo)'!EF55,'NotEffectivelyVax (hypo)'!EI55,'NotEffectivelyVax (hypo)'!EL55,'NotEffectivelyVax (hypo)'!EO55,'NotEffectivelyVax (hypo)'!ER55,'NotEffectivelyVax (hypo)'!EU55,'NotEffectivelyVax (hypo)'!EX55,'NotEffectivelyVax (hypo)'!FA55,'NotEffectivelyVax (hypo)'!FD55,'NotEffectivelyVax (hypo)'!FG55,'NotEffectivelyVax (hypo)'!FJ55,'NotEffectivelyVax (hypo)'!FM55,'NotEffectivelyVax (hypo)'!FP55,'NotEffectivelyVax (hypo)'!FS55,'NotEffectivelyVax (hypo)'!FV55,'NotEffectivelyVax (hypo)'!FY55)</f>
        <v>#VALUE!</v>
      </c>
      <c r="X55" s="141" t="e">
        <f>SUM('NotEffectivelyVax (hypo)'!E55,'NotEffectivelyVax (hypo)'!H55,'NotEffectivelyVax (hypo)'!K55,'NotEffectivelyVax (hypo)'!N55,'NotEffectivelyVax (hypo)'!Q55,'NotEffectivelyVax (hypo)'!T55,'NotEffectivelyVax (hypo)'!Z55,'NotEffectivelyVax (hypo)'!W55,'NotEffectivelyVax (hypo)'!AC55,'NotEffectivelyVax (hypo)'!AF55,'NotEffectivelyVax (hypo)'!AI55,'NotEffectivelyVax (hypo)'!AL55,'NotEffectivelyVax (hypo)'!AO55,'NotEffectivelyVax (hypo)'!AR55,'NotEffectivelyVax (hypo)'!AU55,'NotEffectivelyVax (hypo)'!AX55,'NotEffectivelyVax (hypo)'!BA55,'NotEffectivelyVax (hypo)'!BD55,'NotEffectivelyVax (hypo)'!BG55,'NotEffectivelyVax (hypo)'!BJ55,'NotEffectivelyVax (hypo)'!BM55,'NotEffectivelyVax (hypo)'!BP55,'NotEffectivelyVax (hypo)'!BS55,'NotEffectivelyVax (hypo)'!BV55,'NotEffectivelyVax (hypo)'!BY55,'NotEffectivelyVax (hypo)'!CB55,'NotEffectivelyVax (hypo)'!CE55,'NotEffectivelyVax (hypo)'!CH55,'NotEffectivelyVax (hypo)'!CK55,'NotEffectivelyVax (hypo)'!CN55,'NotEffectivelyVax (hypo)'!CQ55,'NotEffectivelyVax (hypo)'!CT55,'NotEffectivelyVax (hypo)'!CW55,'NotEffectivelyVax (hypo)'!CZ55,'NotEffectivelyVax (hypo)'!DC55,'NotEffectivelyVax (hypo)'!DF55,'NotEffectivelyVax (hypo)'!DI55,'NotEffectivelyVax (hypo)'!DL55,'NotEffectivelyVax (hypo)'!DO55,'NotEffectivelyVax (hypo)'!DR55,'NotEffectivelyVax (hypo)'!DU55,'NotEffectivelyVax (hypo)'!DX55,'NotEffectivelyVax (hypo)'!EA55,'NotEffectivelyVax (hypo)'!ED55,'NotEffectivelyVax (hypo)'!EG55,'NotEffectivelyVax (hypo)'!EJ55,'NotEffectivelyVax (hypo)'!EM55,'NotEffectivelyVax (hypo)'!EP55,'NotEffectivelyVax (hypo)'!ES55,'NotEffectivelyVax (hypo)'!EV55,'NotEffectivelyVax (hypo)'!EY55,'NotEffectivelyVax (hypo)'!FB55,'NotEffectivelyVax (hypo)'!FE55,'NotEffectivelyVax (hypo)'!FH55,'NotEffectivelyVax (hypo)'!FK55,'NotEffectivelyVax (hypo)'!FN55,'NotEffectivelyVax (hypo)'!FQ55,'NotEffectivelyVax (hypo)'!FT55,'NotEffectivelyVax (hypo)'!FW55,'NotEffectivelyVax (hypo)'!FZ55)</f>
        <v>#VALUE!</v>
      </c>
      <c r="Y55" s="142" t="e">
        <f t="shared" si="2"/>
        <v>#VALUE!</v>
      </c>
      <c r="Z55" s="142" t="e">
        <f>IF(Export!M53&lt;&gt;"",W55*Export!K53*(1/Export!M53),W55*Export!K53)</f>
        <v>#VALUE!</v>
      </c>
      <c r="AA55" s="139" t="e">
        <f>Y55*Export!J53</f>
        <v>#VALUE!</v>
      </c>
      <c r="AC55" s="143" t="e">
        <f t="shared" si="3"/>
        <v>#VALUE!</v>
      </c>
      <c r="AD55" s="144" t="e">
        <f t="shared" si="18"/>
        <v>#VALUE!</v>
      </c>
      <c r="AE55" s="144" t="e">
        <f t="shared" si="4"/>
        <v>#VALUE!</v>
      </c>
      <c r="AF55" s="144" t="e">
        <f t="shared" si="5"/>
        <v>#VALUE!</v>
      </c>
      <c r="AG55" s="144" t="e">
        <f t="shared" si="6"/>
        <v>#VALUE!</v>
      </c>
      <c r="AH55" s="145"/>
      <c r="AI55" s="145"/>
      <c r="AJ55" s="145"/>
      <c r="AK55" s="145"/>
      <c r="AL55" s="146"/>
      <c r="AM55" s="150"/>
      <c r="AN55" s="150"/>
      <c r="AO55" s="150"/>
      <c r="AP55" s="150"/>
      <c r="AQ55" s="151"/>
    </row>
    <row r="56" spans="1:43" x14ac:dyDescent="0.35">
      <c r="A56" s="130">
        <f>EffectivelyVax!B55</f>
        <v>4</v>
      </c>
      <c r="B56" s="131" t="str">
        <f>EffectivelyVax!C55</f>
        <v/>
      </c>
      <c r="C56" s="132" t="str">
        <f>Export!N54</f>
        <v/>
      </c>
      <c r="D56" s="133" t="str">
        <f>Export!C54</f>
        <v/>
      </c>
      <c r="E56" s="133" t="e">
        <f>Export!C54*Export!L54</f>
        <v>#VALUE!</v>
      </c>
      <c r="F56" s="133" t="e">
        <f t="shared" si="17"/>
        <v>#VALUE!</v>
      </c>
      <c r="G56" s="133" t="e">
        <f>IF(Export!M54&lt;&gt;"",D56*Export!K54*(1/Export!M54),D56*Export!K54)</f>
        <v>#VALUE!</v>
      </c>
      <c r="H56" s="133" t="e">
        <f>F56*Export!J54</f>
        <v>#VALUE!</v>
      </c>
      <c r="I56" s="161" t="e">
        <f t="shared" si="16"/>
        <v>#VALUE!</v>
      </c>
      <c r="J56" s="134" t="e">
        <f t="shared" si="8"/>
        <v>#VALUE!</v>
      </c>
      <c r="K56" s="135" t="e">
        <f t="shared" si="9"/>
        <v>#VALUE!</v>
      </c>
      <c r="L56" s="117" t="str">
        <f>Export!B54</f>
        <v/>
      </c>
      <c r="M56" s="115" t="e">
        <f>C56*L56*HelperFunctions!G$59</f>
        <v>#VALUE!</v>
      </c>
      <c r="N56" s="116" t="e">
        <f>C56*L56*(1-HelperFunctions!G$59)</f>
        <v>#VALUE!</v>
      </c>
      <c r="O56" s="136" t="e">
        <f t="shared" si="14"/>
        <v>#DIV/0!</v>
      </c>
      <c r="P56" s="137">
        <f>SUM(EffectivelyVax!D55:BK55)</f>
        <v>0</v>
      </c>
      <c r="Q56" s="138" t="e">
        <f t="shared" si="11"/>
        <v>#DIV/0!</v>
      </c>
      <c r="R56" s="138" t="e">
        <f t="shared" si="12"/>
        <v>#DIV/0!</v>
      </c>
      <c r="S56" s="137" t="e">
        <f t="shared" si="1"/>
        <v>#DIV/0!</v>
      </c>
      <c r="T56" s="138" t="e">
        <f>IF(Export!M54&lt;&gt;"",Q56*Export!K54*(1/Export!M54),Q56*Export!K54)</f>
        <v>#DIV/0!</v>
      </c>
      <c r="U56" s="139" t="e">
        <f>S56*Export!J54</f>
        <v>#DIV/0!</v>
      </c>
      <c r="V56" s="140" t="e">
        <f>SUM('NotEffectivelyVax (hypo)'!F56,'NotEffectivelyVax (hypo)'!I56,'NotEffectivelyVax (hypo)'!L56,'NotEffectivelyVax (hypo)'!O56,'NotEffectivelyVax (hypo)'!R56,'NotEffectivelyVax (hypo)'!U56,'NotEffectivelyVax (hypo)'!X56,'NotEffectivelyVax (hypo)'!AA56,'NotEffectivelyVax (hypo)'!AD56,'NotEffectivelyVax (hypo)'!AG56,'NotEffectivelyVax (hypo)'!AJ56,'NotEffectivelyVax (hypo)'!AM56,'NotEffectivelyVax (hypo)'!AP56,'NotEffectivelyVax (hypo)'!AS56,'NotEffectivelyVax (hypo)'!AV56,'NotEffectivelyVax (hypo)'!AY56,'NotEffectivelyVax (hypo)'!BB56,'NotEffectivelyVax (hypo)'!BE56,'NotEffectivelyVax (hypo)'!BH56,'NotEffectivelyVax (hypo)'!BK56,'NotEffectivelyVax (hypo)'!BN56,'NotEffectivelyVax (hypo)'!BQ56,'NotEffectivelyVax (hypo)'!BT56,'NotEffectivelyVax (hypo)'!BW56,'NotEffectivelyVax (hypo)'!BZ56,'NotEffectivelyVax (hypo)'!CC56,'NotEffectivelyVax (hypo)'!CF56,'NotEffectivelyVax (hypo)'!CI56,'NotEffectivelyVax (hypo)'!CL56,'NotEffectivelyVax (hypo)'!CO56,'NotEffectivelyVax (hypo)'!CR56,'NotEffectivelyVax (hypo)'!CU56,'NotEffectivelyVax (hypo)'!CX56,'NotEffectivelyVax (hypo)'!DA56,'NotEffectivelyVax (hypo)'!DD56,'NotEffectivelyVax (hypo)'!DG56,'NotEffectivelyVax (hypo)'!DJ56,'NotEffectivelyVax (hypo)'!DM56,'NotEffectivelyVax (hypo)'!DQ56,'NotEffectivelyVax (hypo)'!DP56,'NotEffectivelyVax (hypo)'!DS56,'NotEffectivelyVax (hypo)'!DV56,'NotEffectivelyVax (hypo)'!DY56,'NotEffectivelyVax (hypo)'!EB56,'NotEffectivelyVax (hypo)'!EE56,'NotEffectivelyVax (hypo)'!EH56,'NotEffectivelyVax (hypo)'!EK56,'NotEffectivelyVax (hypo)'!EN56,'NotEffectivelyVax (hypo)'!EQ56,'NotEffectivelyVax (hypo)'!ET56,'NotEffectivelyVax (hypo)'!EW56,'NotEffectivelyVax (hypo)'!EZ56,'NotEffectivelyVax (hypo)'!FC56,'NotEffectivelyVax (hypo)'!FF56,'NotEffectivelyVax (hypo)'!FI56,'NotEffectivelyVax (hypo)'!FL56,'NotEffectivelyVax (hypo)'!FO56,'NotEffectivelyVax (hypo)'!FR56,'NotEffectivelyVax (hypo)'!FU56,'NotEffectivelyVax (hypo)'!FX56,'NotEffectivelyVax (hypo)'!GA56)</f>
        <v>#VALUE!</v>
      </c>
      <c r="W56" s="141" t="e">
        <f>SUM('NotEffectivelyVax (hypo)'!D56,'NotEffectivelyVax (hypo)'!G56,'NotEffectivelyVax (hypo)'!J56,'NotEffectivelyVax (hypo)'!M56,'NotEffectivelyVax (hypo)'!P56,'NotEffectivelyVax (hypo)'!S56,'NotEffectivelyVax (hypo)'!V56,'NotEffectivelyVax (hypo)'!Y56,'NotEffectivelyVax (hypo)'!AB56,'NotEffectivelyVax (hypo)'!AE56,'NotEffectivelyVax (hypo)'!AH56,'NotEffectivelyVax (hypo)'!AK56,'NotEffectivelyVax (hypo)'!AN56,'NotEffectivelyVax (hypo)'!AQ56,'NotEffectivelyVax (hypo)'!AT56,'NotEffectivelyVax (hypo)'!AW56,'NotEffectivelyVax (hypo)'!AZ56,'NotEffectivelyVax (hypo)'!BC56,'NotEffectivelyVax (hypo)'!BF56,'NotEffectivelyVax (hypo)'!BI56,'NotEffectivelyVax (hypo)'!BL56,'NotEffectivelyVax (hypo)'!BO56,'NotEffectivelyVax (hypo)'!BR56,'NotEffectivelyVax (hypo)'!BU56,'NotEffectivelyVax (hypo)'!BX56,'NotEffectivelyVax (hypo)'!CA56,'NotEffectivelyVax (hypo)'!CD56,'NotEffectivelyVax (hypo)'!CG56,'NotEffectivelyVax (hypo)'!CJ56,'NotEffectivelyVax (hypo)'!CM56,'NotEffectivelyVax (hypo)'!CP56,'NotEffectivelyVax (hypo)'!CS56,'NotEffectivelyVax (hypo)'!CV56,'NotEffectivelyVax (hypo)'!CY56,'NotEffectivelyVax (hypo)'!DB56,'NotEffectivelyVax (hypo)'!DE56,'NotEffectivelyVax (hypo)'!DH56,'NotEffectivelyVax (hypo)'!DK56,'NotEffectivelyVax (hypo)'!DN56,'NotEffectivelyVax (hypo)'!DQ56,'NotEffectivelyVax (hypo)'!DT56,'NotEffectivelyVax (hypo)'!DW56,'NotEffectivelyVax (hypo)'!DZ56,'NotEffectivelyVax (hypo)'!EC56,'NotEffectivelyVax (hypo)'!EF56,'NotEffectivelyVax (hypo)'!EI56,'NotEffectivelyVax (hypo)'!EL56,'NotEffectivelyVax (hypo)'!EO56,'NotEffectivelyVax (hypo)'!ER56,'NotEffectivelyVax (hypo)'!EU56,'NotEffectivelyVax (hypo)'!EX56,'NotEffectivelyVax (hypo)'!FA56,'NotEffectivelyVax (hypo)'!FD56,'NotEffectivelyVax (hypo)'!FG56,'NotEffectivelyVax (hypo)'!FJ56,'NotEffectivelyVax (hypo)'!FM56,'NotEffectivelyVax (hypo)'!FP56,'NotEffectivelyVax (hypo)'!FS56,'NotEffectivelyVax (hypo)'!FV56,'NotEffectivelyVax (hypo)'!FY56)</f>
        <v>#VALUE!</v>
      </c>
      <c r="X56" s="141" t="e">
        <f>SUM('NotEffectivelyVax (hypo)'!E56,'NotEffectivelyVax (hypo)'!H56,'NotEffectivelyVax (hypo)'!K56,'NotEffectivelyVax (hypo)'!N56,'NotEffectivelyVax (hypo)'!Q56,'NotEffectivelyVax (hypo)'!T56,'NotEffectivelyVax (hypo)'!Z56,'NotEffectivelyVax (hypo)'!W56,'NotEffectivelyVax (hypo)'!AC56,'NotEffectivelyVax (hypo)'!AF56,'NotEffectivelyVax (hypo)'!AI56,'NotEffectivelyVax (hypo)'!AL56,'NotEffectivelyVax (hypo)'!AO56,'NotEffectivelyVax (hypo)'!AR56,'NotEffectivelyVax (hypo)'!AU56,'NotEffectivelyVax (hypo)'!AX56,'NotEffectivelyVax (hypo)'!BA56,'NotEffectivelyVax (hypo)'!BD56,'NotEffectivelyVax (hypo)'!BG56,'NotEffectivelyVax (hypo)'!BJ56,'NotEffectivelyVax (hypo)'!BM56,'NotEffectivelyVax (hypo)'!BP56,'NotEffectivelyVax (hypo)'!BS56,'NotEffectivelyVax (hypo)'!BV56,'NotEffectivelyVax (hypo)'!BY56,'NotEffectivelyVax (hypo)'!CB56,'NotEffectivelyVax (hypo)'!CE56,'NotEffectivelyVax (hypo)'!CH56,'NotEffectivelyVax (hypo)'!CK56,'NotEffectivelyVax (hypo)'!CN56,'NotEffectivelyVax (hypo)'!CQ56,'NotEffectivelyVax (hypo)'!CT56,'NotEffectivelyVax (hypo)'!CW56,'NotEffectivelyVax (hypo)'!CZ56,'NotEffectivelyVax (hypo)'!DC56,'NotEffectivelyVax (hypo)'!DF56,'NotEffectivelyVax (hypo)'!DI56,'NotEffectivelyVax (hypo)'!DL56,'NotEffectivelyVax (hypo)'!DO56,'NotEffectivelyVax (hypo)'!DR56,'NotEffectivelyVax (hypo)'!DU56,'NotEffectivelyVax (hypo)'!DX56,'NotEffectivelyVax (hypo)'!EA56,'NotEffectivelyVax (hypo)'!ED56,'NotEffectivelyVax (hypo)'!EG56,'NotEffectivelyVax (hypo)'!EJ56,'NotEffectivelyVax (hypo)'!EM56,'NotEffectivelyVax (hypo)'!EP56,'NotEffectivelyVax (hypo)'!ES56,'NotEffectivelyVax (hypo)'!EV56,'NotEffectivelyVax (hypo)'!EY56,'NotEffectivelyVax (hypo)'!FB56,'NotEffectivelyVax (hypo)'!FE56,'NotEffectivelyVax (hypo)'!FH56,'NotEffectivelyVax (hypo)'!FK56,'NotEffectivelyVax (hypo)'!FN56,'NotEffectivelyVax (hypo)'!FQ56,'NotEffectivelyVax (hypo)'!FT56,'NotEffectivelyVax (hypo)'!FW56,'NotEffectivelyVax (hypo)'!FZ56)</f>
        <v>#VALUE!</v>
      </c>
      <c r="Y56" s="142" t="e">
        <f t="shared" si="2"/>
        <v>#VALUE!</v>
      </c>
      <c r="Z56" s="142" t="e">
        <f>IF(Export!M54&lt;&gt;"",W56*Export!K54*(1/Export!M54),W56*Export!K54)</f>
        <v>#VALUE!</v>
      </c>
      <c r="AA56" s="139" t="e">
        <f>Y56*Export!J54</f>
        <v>#VALUE!</v>
      </c>
      <c r="AC56" s="143" t="e">
        <f t="shared" si="3"/>
        <v>#VALUE!</v>
      </c>
      <c r="AD56" s="144" t="e">
        <f t="shared" si="18"/>
        <v>#VALUE!</v>
      </c>
      <c r="AE56" s="144" t="e">
        <f t="shared" si="4"/>
        <v>#VALUE!</v>
      </c>
      <c r="AF56" s="144" t="e">
        <f t="shared" si="5"/>
        <v>#VALUE!</v>
      </c>
      <c r="AG56" s="144" t="e">
        <f t="shared" si="6"/>
        <v>#VALUE!</v>
      </c>
      <c r="AH56" s="145"/>
      <c r="AI56" s="145"/>
      <c r="AJ56" s="145"/>
      <c r="AK56" s="145"/>
      <c r="AL56" s="146"/>
      <c r="AM56" s="150"/>
      <c r="AN56" s="150"/>
      <c r="AO56" s="150"/>
      <c r="AP56" s="150"/>
      <c r="AQ56" s="151"/>
    </row>
    <row r="57" spans="1:43" x14ac:dyDescent="0.35">
      <c r="A57" s="130">
        <f>EffectivelyVax!B56</f>
        <v>4</v>
      </c>
      <c r="B57" s="131" t="str">
        <f>EffectivelyVax!C56</f>
        <v/>
      </c>
      <c r="C57" s="132" t="str">
        <f>Export!N55</f>
        <v/>
      </c>
      <c r="D57" s="133" t="str">
        <f>Export!C55</f>
        <v/>
      </c>
      <c r="E57" s="133" t="e">
        <f>Export!C55*Export!L55</f>
        <v>#VALUE!</v>
      </c>
      <c r="F57" s="133" t="e">
        <f t="shared" si="17"/>
        <v>#VALUE!</v>
      </c>
      <c r="G57" s="133" t="e">
        <f>IF(Export!M55&lt;&gt;"",D57*Export!K55*(1/Export!M55),D57*Export!K55)</f>
        <v>#VALUE!</v>
      </c>
      <c r="H57" s="133" t="e">
        <f>F57*Export!J55</f>
        <v>#VALUE!</v>
      </c>
      <c r="I57" s="161" t="e">
        <f t="shared" si="16"/>
        <v>#VALUE!</v>
      </c>
      <c r="J57" s="134" t="e">
        <f t="shared" si="8"/>
        <v>#VALUE!</v>
      </c>
      <c r="K57" s="135" t="e">
        <f t="shared" si="9"/>
        <v>#VALUE!</v>
      </c>
      <c r="L57" s="117" t="str">
        <f>Export!B55</f>
        <v/>
      </c>
      <c r="M57" s="115" t="e">
        <f>C57*L57*HelperFunctions!G$59</f>
        <v>#VALUE!</v>
      </c>
      <c r="N57" s="116" t="e">
        <f>C57*L57*(1-HelperFunctions!G$59)</f>
        <v>#VALUE!</v>
      </c>
      <c r="O57" s="136" t="e">
        <f t="shared" si="14"/>
        <v>#DIV/0!</v>
      </c>
      <c r="P57" s="137">
        <f>SUM(EffectivelyVax!D56:BK56)</f>
        <v>0</v>
      </c>
      <c r="Q57" s="138" t="e">
        <f t="shared" si="11"/>
        <v>#DIV/0!</v>
      </c>
      <c r="R57" s="138" t="e">
        <f t="shared" si="12"/>
        <v>#DIV/0!</v>
      </c>
      <c r="S57" s="137" t="e">
        <f t="shared" si="1"/>
        <v>#DIV/0!</v>
      </c>
      <c r="T57" s="138" t="e">
        <f>IF(Export!M55&lt;&gt;"",Q57*Export!K55*(1/Export!M55),Q57*Export!K55)</f>
        <v>#DIV/0!</v>
      </c>
      <c r="U57" s="139" t="e">
        <f>S57*Export!J55</f>
        <v>#DIV/0!</v>
      </c>
      <c r="V57" s="140" t="e">
        <f>SUM('NotEffectivelyVax (hypo)'!F57,'NotEffectivelyVax (hypo)'!I57,'NotEffectivelyVax (hypo)'!L57,'NotEffectivelyVax (hypo)'!O57,'NotEffectivelyVax (hypo)'!R57,'NotEffectivelyVax (hypo)'!U57,'NotEffectivelyVax (hypo)'!X57,'NotEffectivelyVax (hypo)'!AA57,'NotEffectivelyVax (hypo)'!AD57,'NotEffectivelyVax (hypo)'!AG57,'NotEffectivelyVax (hypo)'!AJ57,'NotEffectivelyVax (hypo)'!AM57,'NotEffectivelyVax (hypo)'!AP57,'NotEffectivelyVax (hypo)'!AS57,'NotEffectivelyVax (hypo)'!AV57,'NotEffectivelyVax (hypo)'!AY57,'NotEffectivelyVax (hypo)'!BB57,'NotEffectivelyVax (hypo)'!BE57,'NotEffectivelyVax (hypo)'!BH57,'NotEffectivelyVax (hypo)'!BK57,'NotEffectivelyVax (hypo)'!BN57,'NotEffectivelyVax (hypo)'!BQ57,'NotEffectivelyVax (hypo)'!BT57,'NotEffectivelyVax (hypo)'!BW57,'NotEffectivelyVax (hypo)'!BZ57,'NotEffectivelyVax (hypo)'!CC57,'NotEffectivelyVax (hypo)'!CF57,'NotEffectivelyVax (hypo)'!CI57,'NotEffectivelyVax (hypo)'!CL57,'NotEffectivelyVax (hypo)'!CO57,'NotEffectivelyVax (hypo)'!CR57,'NotEffectivelyVax (hypo)'!CU57,'NotEffectivelyVax (hypo)'!CX57,'NotEffectivelyVax (hypo)'!DA57,'NotEffectivelyVax (hypo)'!DD57,'NotEffectivelyVax (hypo)'!DG57,'NotEffectivelyVax (hypo)'!DJ57,'NotEffectivelyVax (hypo)'!DM57,'NotEffectivelyVax (hypo)'!DQ57,'NotEffectivelyVax (hypo)'!DP57,'NotEffectivelyVax (hypo)'!DS57,'NotEffectivelyVax (hypo)'!DV57,'NotEffectivelyVax (hypo)'!DY57,'NotEffectivelyVax (hypo)'!EB57,'NotEffectivelyVax (hypo)'!EE57,'NotEffectivelyVax (hypo)'!EH57,'NotEffectivelyVax (hypo)'!EK57,'NotEffectivelyVax (hypo)'!EN57,'NotEffectivelyVax (hypo)'!EQ57,'NotEffectivelyVax (hypo)'!ET57,'NotEffectivelyVax (hypo)'!EW57,'NotEffectivelyVax (hypo)'!EZ57,'NotEffectivelyVax (hypo)'!FC57,'NotEffectivelyVax (hypo)'!FF57,'NotEffectivelyVax (hypo)'!FI57,'NotEffectivelyVax (hypo)'!FL57,'NotEffectivelyVax (hypo)'!FO57,'NotEffectivelyVax (hypo)'!FR57,'NotEffectivelyVax (hypo)'!FU57,'NotEffectivelyVax (hypo)'!FX57,'NotEffectivelyVax (hypo)'!GA57)</f>
        <v>#VALUE!</v>
      </c>
      <c r="W57" s="141" t="e">
        <f>SUM('NotEffectivelyVax (hypo)'!D57,'NotEffectivelyVax (hypo)'!G57,'NotEffectivelyVax (hypo)'!J57,'NotEffectivelyVax (hypo)'!M57,'NotEffectivelyVax (hypo)'!P57,'NotEffectivelyVax (hypo)'!S57,'NotEffectivelyVax (hypo)'!V57,'NotEffectivelyVax (hypo)'!Y57,'NotEffectivelyVax (hypo)'!AB57,'NotEffectivelyVax (hypo)'!AE57,'NotEffectivelyVax (hypo)'!AH57,'NotEffectivelyVax (hypo)'!AK57,'NotEffectivelyVax (hypo)'!AN57,'NotEffectivelyVax (hypo)'!AQ57,'NotEffectivelyVax (hypo)'!AT57,'NotEffectivelyVax (hypo)'!AW57,'NotEffectivelyVax (hypo)'!AZ57,'NotEffectivelyVax (hypo)'!BC57,'NotEffectivelyVax (hypo)'!BF57,'NotEffectivelyVax (hypo)'!BI57,'NotEffectivelyVax (hypo)'!BL57,'NotEffectivelyVax (hypo)'!BO57,'NotEffectivelyVax (hypo)'!BR57,'NotEffectivelyVax (hypo)'!BU57,'NotEffectivelyVax (hypo)'!BX57,'NotEffectivelyVax (hypo)'!CA57,'NotEffectivelyVax (hypo)'!CD57,'NotEffectivelyVax (hypo)'!CG57,'NotEffectivelyVax (hypo)'!CJ57,'NotEffectivelyVax (hypo)'!CM57,'NotEffectivelyVax (hypo)'!CP57,'NotEffectivelyVax (hypo)'!CS57,'NotEffectivelyVax (hypo)'!CV57,'NotEffectivelyVax (hypo)'!CY57,'NotEffectivelyVax (hypo)'!DB57,'NotEffectivelyVax (hypo)'!DE57,'NotEffectivelyVax (hypo)'!DH57,'NotEffectivelyVax (hypo)'!DK57,'NotEffectivelyVax (hypo)'!DN57,'NotEffectivelyVax (hypo)'!DQ57,'NotEffectivelyVax (hypo)'!DT57,'NotEffectivelyVax (hypo)'!DW57,'NotEffectivelyVax (hypo)'!DZ57,'NotEffectivelyVax (hypo)'!EC57,'NotEffectivelyVax (hypo)'!EF57,'NotEffectivelyVax (hypo)'!EI57,'NotEffectivelyVax (hypo)'!EL57,'NotEffectivelyVax (hypo)'!EO57,'NotEffectivelyVax (hypo)'!ER57,'NotEffectivelyVax (hypo)'!EU57,'NotEffectivelyVax (hypo)'!EX57,'NotEffectivelyVax (hypo)'!FA57,'NotEffectivelyVax (hypo)'!FD57,'NotEffectivelyVax (hypo)'!FG57,'NotEffectivelyVax (hypo)'!FJ57,'NotEffectivelyVax (hypo)'!FM57,'NotEffectivelyVax (hypo)'!FP57,'NotEffectivelyVax (hypo)'!FS57,'NotEffectivelyVax (hypo)'!FV57,'NotEffectivelyVax (hypo)'!FY57)</f>
        <v>#VALUE!</v>
      </c>
      <c r="X57" s="141" t="e">
        <f>SUM('NotEffectivelyVax (hypo)'!E57,'NotEffectivelyVax (hypo)'!H57,'NotEffectivelyVax (hypo)'!K57,'NotEffectivelyVax (hypo)'!N57,'NotEffectivelyVax (hypo)'!Q57,'NotEffectivelyVax (hypo)'!T57,'NotEffectivelyVax (hypo)'!Z57,'NotEffectivelyVax (hypo)'!W57,'NotEffectivelyVax (hypo)'!AC57,'NotEffectivelyVax (hypo)'!AF57,'NotEffectivelyVax (hypo)'!AI57,'NotEffectivelyVax (hypo)'!AL57,'NotEffectivelyVax (hypo)'!AO57,'NotEffectivelyVax (hypo)'!AR57,'NotEffectivelyVax (hypo)'!AU57,'NotEffectivelyVax (hypo)'!AX57,'NotEffectivelyVax (hypo)'!BA57,'NotEffectivelyVax (hypo)'!BD57,'NotEffectivelyVax (hypo)'!BG57,'NotEffectivelyVax (hypo)'!BJ57,'NotEffectivelyVax (hypo)'!BM57,'NotEffectivelyVax (hypo)'!BP57,'NotEffectivelyVax (hypo)'!BS57,'NotEffectivelyVax (hypo)'!BV57,'NotEffectivelyVax (hypo)'!BY57,'NotEffectivelyVax (hypo)'!CB57,'NotEffectivelyVax (hypo)'!CE57,'NotEffectivelyVax (hypo)'!CH57,'NotEffectivelyVax (hypo)'!CK57,'NotEffectivelyVax (hypo)'!CN57,'NotEffectivelyVax (hypo)'!CQ57,'NotEffectivelyVax (hypo)'!CT57,'NotEffectivelyVax (hypo)'!CW57,'NotEffectivelyVax (hypo)'!CZ57,'NotEffectivelyVax (hypo)'!DC57,'NotEffectivelyVax (hypo)'!DF57,'NotEffectivelyVax (hypo)'!DI57,'NotEffectivelyVax (hypo)'!DL57,'NotEffectivelyVax (hypo)'!DO57,'NotEffectivelyVax (hypo)'!DR57,'NotEffectivelyVax (hypo)'!DU57,'NotEffectivelyVax (hypo)'!DX57,'NotEffectivelyVax (hypo)'!EA57,'NotEffectivelyVax (hypo)'!ED57,'NotEffectivelyVax (hypo)'!EG57,'NotEffectivelyVax (hypo)'!EJ57,'NotEffectivelyVax (hypo)'!EM57,'NotEffectivelyVax (hypo)'!EP57,'NotEffectivelyVax (hypo)'!ES57,'NotEffectivelyVax (hypo)'!EV57,'NotEffectivelyVax (hypo)'!EY57,'NotEffectivelyVax (hypo)'!FB57,'NotEffectivelyVax (hypo)'!FE57,'NotEffectivelyVax (hypo)'!FH57,'NotEffectivelyVax (hypo)'!FK57,'NotEffectivelyVax (hypo)'!FN57,'NotEffectivelyVax (hypo)'!FQ57,'NotEffectivelyVax (hypo)'!FT57,'NotEffectivelyVax (hypo)'!FW57,'NotEffectivelyVax (hypo)'!FZ57)</f>
        <v>#VALUE!</v>
      </c>
      <c r="Y57" s="142" t="e">
        <f t="shared" si="2"/>
        <v>#VALUE!</v>
      </c>
      <c r="Z57" s="142" t="e">
        <f>IF(Export!M55&lt;&gt;"",W57*Export!K55*(1/Export!M55),W57*Export!K55)</f>
        <v>#VALUE!</v>
      </c>
      <c r="AA57" s="139" t="e">
        <f>Y57*Export!J55</f>
        <v>#VALUE!</v>
      </c>
      <c r="AC57" s="143" t="e">
        <f t="shared" si="3"/>
        <v>#VALUE!</v>
      </c>
      <c r="AD57" s="144" t="e">
        <f t="shared" si="18"/>
        <v>#VALUE!</v>
      </c>
      <c r="AE57" s="144" t="e">
        <f t="shared" si="4"/>
        <v>#VALUE!</v>
      </c>
      <c r="AF57" s="144" t="e">
        <f t="shared" si="5"/>
        <v>#VALUE!</v>
      </c>
      <c r="AG57" s="144" t="e">
        <f t="shared" si="6"/>
        <v>#VALUE!</v>
      </c>
      <c r="AH57" s="145"/>
      <c r="AI57" s="145"/>
      <c r="AJ57" s="145"/>
      <c r="AK57" s="145"/>
      <c r="AL57" s="146"/>
      <c r="AM57" s="150"/>
      <c r="AN57" s="150"/>
      <c r="AO57" s="150"/>
      <c r="AP57" s="150"/>
      <c r="AQ57" s="151"/>
    </row>
    <row r="58" spans="1:43" x14ac:dyDescent="0.35">
      <c r="A58" s="130">
        <f>EffectivelyVax!B57</f>
        <v>4</v>
      </c>
      <c r="B58" s="131" t="str">
        <f>EffectivelyVax!C57</f>
        <v/>
      </c>
      <c r="C58" s="132" t="str">
        <f>Export!N56</f>
        <v/>
      </c>
      <c r="D58" s="133" t="str">
        <f>Export!C56</f>
        <v/>
      </c>
      <c r="E58" s="133" t="e">
        <f>Export!C56*Export!L56</f>
        <v>#VALUE!</v>
      </c>
      <c r="F58" s="133" t="e">
        <f t="shared" si="17"/>
        <v>#VALUE!</v>
      </c>
      <c r="G58" s="133" t="e">
        <f>IF(Export!M56&lt;&gt;"",D58*Export!K56*(1/Export!M56),D58*Export!K56)</f>
        <v>#VALUE!</v>
      </c>
      <c r="H58" s="133" t="e">
        <f>F58*Export!J56</f>
        <v>#VALUE!</v>
      </c>
      <c r="I58" s="161" t="e">
        <f t="shared" si="16"/>
        <v>#VALUE!</v>
      </c>
      <c r="J58" s="134" t="e">
        <f t="shared" si="8"/>
        <v>#VALUE!</v>
      </c>
      <c r="K58" s="135" t="e">
        <f t="shared" si="9"/>
        <v>#VALUE!</v>
      </c>
      <c r="L58" s="117" t="str">
        <f>Export!B56</f>
        <v/>
      </c>
      <c r="M58" s="115" t="e">
        <f>C58*L58*HelperFunctions!G$59</f>
        <v>#VALUE!</v>
      </c>
      <c r="N58" s="116" t="e">
        <f>C58*L58*(1-HelperFunctions!G$59)</f>
        <v>#VALUE!</v>
      </c>
      <c r="O58" s="136" t="e">
        <f t="shared" si="14"/>
        <v>#DIV/0!</v>
      </c>
      <c r="P58" s="137">
        <f>SUM(EffectivelyVax!D57:BK57)</f>
        <v>0</v>
      </c>
      <c r="Q58" s="138" t="e">
        <f t="shared" si="11"/>
        <v>#DIV/0!</v>
      </c>
      <c r="R58" s="138" t="e">
        <f t="shared" si="12"/>
        <v>#DIV/0!</v>
      </c>
      <c r="S58" s="137" t="e">
        <f t="shared" si="1"/>
        <v>#DIV/0!</v>
      </c>
      <c r="T58" s="138" t="e">
        <f>IF(Export!M56&lt;&gt;"",Q58*Export!K56*(1/Export!M56),Q58*Export!K56)</f>
        <v>#DIV/0!</v>
      </c>
      <c r="U58" s="139" t="e">
        <f>S58*Export!J56</f>
        <v>#DIV/0!</v>
      </c>
      <c r="V58" s="140" t="e">
        <f>SUM('NotEffectivelyVax (hypo)'!F58,'NotEffectivelyVax (hypo)'!I58,'NotEffectivelyVax (hypo)'!L58,'NotEffectivelyVax (hypo)'!O58,'NotEffectivelyVax (hypo)'!R58,'NotEffectivelyVax (hypo)'!U58,'NotEffectivelyVax (hypo)'!X58,'NotEffectivelyVax (hypo)'!AA58,'NotEffectivelyVax (hypo)'!AD58,'NotEffectivelyVax (hypo)'!AG58,'NotEffectivelyVax (hypo)'!AJ58,'NotEffectivelyVax (hypo)'!AM58,'NotEffectivelyVax (hypo)'!AP58,'NotEffectivelyVax (hypo)'!AS58,'NotEffectivelyVax (hypo)'!AV58,'NotEffectivelyVax (hypo)'!AY58,'NotEffectivelyVax (hypo)'!BB58,'NotEffectivelyVax (hypo)'!BE58,'NotEffectivelyVax (hypo)'!BH58,'NotEffectivelyVax (hypo)'!BK58,'NotEffectivelyVax (hypo)'!BN58,'NotEffectivelyVax (hypo)'!BQ58,'NotEffectivelyVax (hypo)'!BT58,'NotEffectivelyVax (hypo)'!BW58,'NotEffectivelyVax (hypo)'!BZ58,'NotEffectivelyVax (hypo)'!CC58,'NotEffectivelyVax (hypo)'!CF58,'NotEffectivelyVax (hypo)'!CI58,'NotEffectivelyVax (hypo)'!CL58,'NotEffectivelyVax (hypo)'!CO58,'NotEffectivelyVax (hypo)'!CR58,'NotEffectivelyVax (hypo)'!CU58,'NotEffectivelyVax (hypo)'!CX58,'NotEffectivelyVax (hypo)'!DA58,'NotEffectivelyVax (hypo)'!DD58,'NotEffectivelyVax (hypo)'!DG58,'NotEffectivelyVax (hypo)'!DJ58,'NotEffectivelyVax (hypo)'!DM58,'NotEffectivelyVax (hypo)'!DQ58,'NotEffectivelyVax (hypo)'!DP58,'NotEffectivelyVax (hypo)'!DS58,'NotEffectivelyVax (hypo)'!DV58,'NotEffectivelyVax (hypo)'!DY58,'NotEffectivelyVax (hypo)'!EB58,'NotEffectivelyVax (hypo)'!EE58,'NotEffectivelyVax (hypo)'!EH58,'NotEffectivelyVax (hypo)'!EK58,'NotEffectivelyVax (hypo)'!EN58,'NotEffectivelyVax (hypo)'!EQ58,'NotEffectivelyVax (hypo)'!ET58,'NotEffectivelyVax (hypo)'!EW58,'NotEffectivelyVax (hypo)'!EZ58,'NotEffectivelyVax (hypo)'!FC58,'NotEffectivelyVax (hypo)'!FF58,'NotEffectivelyVax (hypo)'!FI58,'NotEffectivelyVax (hypo)'!FL58,'NotEffectivelyVax (hypo)'!FO58,'NotEffectivelyVax (hypo)'!FR58,'NotEffectivelyVax (hypo)'!FU58,'NotEffectivelyVax (hypo)'!FX58,'NotEffectivelyVax (hypo)'!GA58)</f>
        <v>#VALUE!</v>
      </c>
      <c r="W58" s="141" t="e">
        <f>SUM('NotEffectivelyVax (hypo)'!D58,'NotEffectivelyVax (hypo)'!G58,'NotEffectivelyVax (hypo)'!J58,'NotEffectivelyVax (hypo)'!M58,'NotEffectivelyVax (hypo)'!P58,'NotEffectivelyVax (hypo)'!S58,'NotEffectivelyVax (hypo)'!V58,'NotEffectivelyVax (hypo)'!Y58,'NotEffectivelyVax (hypo)'!AB58,'NotEffectivelyVax (hypo)'!AE58,'NotEffectivelyVax (hypo)'!AH58,'NotEffectivelyVax (hypo)'!AK58,'NotEffectivelyVax (hypo)'!AN58,'NotEffectivelyVax (hypo)'!AQ58,'NotEffectivelyVax (hypo)'!AT58,'NotEffectivelyVax (hypo)'!AW58,'NotEffectivelyVax (hypo)'!AZ58,'NotEffectivelyVax (hypo)'!BC58,'NotEffectivelyVax (hypo)'!BF58,'NotEffectivelyVax (hypo)'!BI58,'NotEffectivelyVax (hypo)'!BL58,'NotEffectivelyVax (hypo)'!BO58,'NotEffectivelyVax (hypo)'!BR58,'NotEffectivelyVax (hypo)'!BU58,'NotEffectivelyVax (hypo)'!BX58,'NotEffectivelyVax (hypo)'!CA58,'NotEffectivelyVax (hypo)'!CD58,'NotEffectivelyVax (hypo)'!CG58,'NotEffectivelyVax (hypo)'!CJ58,'NotEffectivelyVax (hypo)'!CM58,'NotEffectivelyVax (hypo)'!CP58,'NotEffectivelyVax (hypo)'!CS58,'NotEffectivelyVax (hypo)'!CV58,'NotEffectivelyVax (hypo)'!CY58,'NotEffectivelyVax (hypo)'!DB58,'NotEffectivelyVax (hypo)'!DE58,'NotEffectivelyVax (hypo)'!DH58,'NotEffectivelyVax (hypo)'!DK58,'NotEffectivelyVax (hypo)'!DN58,'NotEffectivelyVax (hypo)'!DQ58,'NotEffectivelyVax (hypo)'!DT58,'NotEffectivelyVax (hypo)'!DW58,'NotEffectivelyVax (hypo)'!DZ58,'NotEffectivelyVax (hypo)'!EC58,'NotEffectivelyVax (hypo)'!EF58,'NotEffectivelyVax (hypo)'!EI58,'NotEffectivelyVax (hypo)'!EL58,'NotEffectivelyVax (hypo)'!EO58,'NotEffectivelyVax (hypo)'!ER58,'NotEffectivelyVax (hypo)'!EU58,'NotEffectivelyVax (hypo)'!EX58,'NotEffectivelyVax (hypo)'!FA58,'NotEffectivelyVax (hypo)'!FD58,'NotEffectivelyVax (hypo)'!FG58,'NotEffectivelyVax (hypo)'!FJ58,'NotEffectivelyVax (hypo)'!FM58,'NotEffectivelyVax (hypo)'!FP58,'NotEffectivelyVax (hypo)'!FS58,'NotEffectivelyVax (hypo)'!FV58,'NotEffectivelyVax (hypo)'!FY58)</f>
        <v>#VALUE!</v>
      </c>
      <c r="X58" s="141" t="e">
        <f>SUM('NotEffectivelyVax (hypo)'!E58,'NotEffectivelyVax (hypo)'!H58,'NotEffectivelyVax (hypo)'!K58,'NotEffectivelyVax (hypo)'!N58,'NotEffectivelyVax (hypo)'!Q58,'NotEffectivelyVax (hypo)'!T58,'NotEffectivelyVax (hypo)'!Z58,'NotEffectivelyVax (hypo)'!W58,'NotEffectivelyVax (hypo)'!AC58,'NotEffectivelyVax (hypo)'!AF58,'NotEffectivelyVax (hypo)'!AI58,'NotEffectivelyVax (hypo)'!AL58,'NotEffectivelyVax (hypo)'!AO58,'NotEffectivelyVax (hypo)'!AR58,'NotEffectivelyVax (hypo)'!AU58,'NotEffectivelyVax (hypo)'!AX58,'NotEffectivelyVax (hypo)'!BA58,'NotEffectivelyVax (hypo)'!BD58,'NotEffectivelyVax (hypo)'!BG58,'NotEffectivelyVax (hypo)'!BJ58,'NotEffectivelyVax (hypo)'!BM58,'NotEffectivelyVax (hypo)'!BP58,'NotEffectivelyVax (hypo)'!BS58,'NotEffectivelyVax (hypo)'!BV58,'NotEffectivelyVax (hypo)'!BY58,'NotEffectivelyVax (hypo)'!CB58,'NotEffectivelyVax (hypo)'!CE58,'NotEffectivelyVax (hypo)'!CH58,'NotEffectivelyVax (hypo)'!CK58,'NotEffectivelyVax (hypo)'!CN58,'NotEffectivelyVax (hypo)'!CQ58,'NotEffectivelyVax (hypo)'!CT58,'NotEffectivelyVax (hypo)'!CW58,'NotEffectivelyVax (hypo)'!CZ58,'NotEffectivelyVax (hypo)'!DC58,'NotEffectivelyVax (hypo)'!DF58,'NotEffectivelyVax (hypo)'!DI58,'NotEffectivelyVax (hypo)'!DL58,'NotEffectivelyVax (hypo)'!DO58,'NotEffectivelyVax (hypo)'!DR58,'NotEffectivelyVax (hypo)'!DU58,'NotEffectivelyVax (hypo)'!DX58,'NotEffectivelyVax (hypo)'!EA58,'NotEffectivelyVax (hypo)'!ED58,'NotEffectivelyVax (hypo)'!EG58,'NotEffectivelyVax (hypo)'!EJ58,'NotEffectivelyVax (hypo)'!EM58,'NotEffectivelyVax (hypo)'!EP58,'NotEffectivelyVax (hypo)'!ES58,'NotEffectivelyVax (hypo)'!EV58,'NotEffectivelyVax (hypo)'!EY58,'NotEffectivelyVax (hypo)'!FB58,'NotEffectivelyVax (hypo)'!FE58,'NotEffectivelyVax (hypo)'!FH58,'NotEffectivelyVax (hypo)'!FK58,'NotEffectivelyVax (hypo)'!FN58,'NotEffectivelyVax (hypo)'!FQ58,'NotEffectivelyVax (hypo)'!FT58,'NotEffectivelyVax (hypo)'!FW58,'NotEffectivelyVax (hypo)'!FZ58)</f>
        <v>#VALUE!</v>
      </c>
      <c r="Y58" s="142" t="e">
        <f t="shared" si="2"/>
        <v>#VALUE!</v>
      </c>
      <c r="Z58" s="142" t="e">
        <f>IF(Export!M56&lt;&gt;"",W58*Export!K56*(1/Export!M56),W58*Export!K56)</f>
        <v>#VALUE!</v>
      </c>
      <c r="AA58" s="139" t="e">
        <f>Y58*Export!J56</f>
        <v>#VALUE!</v>
      </c>
      <c r="AC58" s="143" t="e">
        <f t="shared" si="3"/>
        <v>#VALUE!</v>
      </c>
      <c r="AD58" s="144" t="e">
        <f t="shared" si="18"/>
        <v>#VALUE!</v>
      </c>
      <c r="AE58" s="144" t="e">
        <f t="shared" si="4"/>
        <v>#VALUE!</v>
      </c>
      <c r="AF58" s="144" t="e">
        <f t="shared" si="5"/>
        <v>#VALUE!</v>
      </c>
      <c r="AG58" s="144" t="e">
        <f t="shared" si="6"/>
        <v>#VALUE!</v>
      </c>
      <c r="AH58" s="145"/>
      <c r="AI58" s="145"/>
      <c r="AJ58" s="145"/>
      <c r="AK58" s="145"/>
      <c r="AL58" s="146"/>
      <c r="AM58" s="150"/>
      <c r="AN58" s="150"/>
      <c r="AO58" s="150"/>
      <c r="AP58" s="150"/>
      <c r="AQ58" s="151"/>
    </row>
    <row r="59" spans="1:43" x14ac:dyDescent="0.35">
      <c r="A59" s="130">
        <f>EffectivelyVax!B58</f>
        <v>4</v>
      </c>
      <c r="B59" s="131" t="str">
        <f>EffectivelyVax!C58</f>
        <v/>
      </c>
      <c r="C59" s="132" t="str">
        <f>Export!N57</f>
        <v/>
      </c>
      <c r="D59" s="133" t="str">
        <f>Export!C57</f>
        <v/>
      </c>
      <c r="E59" s="133" t="e">
        <f>Export!C57*Export!L57</f>
        <v>#VALUE!</v>
      </c>
      <c r="F59" s="133" t="e">
        <f t="shared" si="17"/>
        <v>#VALUE!</v>
      </c>
      <c r="G59" s="133" t="e">
        <f>IF(Export!M57&lt;&gt;"",D59*Export!K57*(1/Export!M57),D59*Export!K57)</f>
        <v>#VALUE!</v>
      </c>
      <c r="H59" s="133" t="e">
        <f>F59*Export!J57</f>
        <v>#VALUE!</v>
      </c>
      <c r="I59" s="161" t="e">
        <f t="shared" si="16"/>
        <v>#VALUE!</v>
      </c>
      <c r="J59" s="134" t="e">
        <f t="shared" si="8"/>
        <v>#VALUE!</v>
      </c>
      <c r="K59" s="135" t="e">
        <f t="shared" si="9"/>
        <v>#VALUE!</v>
      </c>
      <c r="L59" s="117" t="str">
        <f>Export!B57</f>
        <v/>
      </c>
      <c r="M59" s="115" t="e">
        <f>C59*L59*HelperFunctions!G$59</f>
        <v>#VALUE!</v>
      </c>
      <c r="N59" s="116" t="e">
        <f>C59*L59*(1-HelperFunctions!G$59)</f>
        <v>#VALUE!</v>
      </c>
      <c r="O59" s="136" t="e">
        <f t="shared" si="14"/>
        <v>#DIV/0!</v>
      </c>
      <c r="P59" s="137">
        <f>SUM(EffectivelyVax!D58:BK58)</f>
        <v>0</v>
      </c>
      <c r="Q59" s="138" t="e">
        <f t="shared" si="11"/>
        <v>#DIV/0!</v>
      </c>
      <c r="R59" s="138" t="e">
        <f t="shared" si="12"/>
        <v>#DIV/0!</v>
      </c>
      <c r="S59" s="137" t="e">
        <f t="shared" si="1"/>
        <v>#DIV/0!</v>
      </c>
      <c r="T59" s="138" t="e">
        <f>IF(Export!M57&lt;&gt;"",Q59*Export!K57*(1/Export!M57),Q59*Export!K57)</f>
        <v>#DIV/0!</v>
      </c>
      <c r="U59" s="139" t="e">
        <f>S59*Export!J57</f>
        <v>#DIV/0!</v>
      </c>
      <c r="V59" s="140" t="e">
        <f>SUM('NotEffectivelyVax (hypo)'!F59,'NotEffectivelyVax (hypo)'!I59,'NotEffectivelyVax (hypo)'!L59,'NotEffectivelyVax (hypo)'!O59,'NotEffectivelyVax (hypo)'!R59,'NotEffectivelyVax (hypo)'!U59,'NotEffectivelyVax (hypo)'!X59,'NotEffectivelyVax (hypo)'!AA59,'NotEffectivelyVax (hypo)'!AD59,'NotEffectivelyVax (hypo)'!AG59,'NotEffectivelyVax (hypo)'!AJ59,'NotEffectivelyVax (hypo)'!AM59,'NotEffectivelyVax (hypo)'!AP59,'NotEffectivelyVax (hypo)'!AS59,'NotEffectivelyVax (hypo)'!AV59,'NotEffectivelyVax (hypo)'!AY59,'NotEffectivelyVax (hypo)'!BB59,'NotEffectivelyVax (hypo)'!BE59,'NotEffectivelyVax (hypo)'!BH59,'NotEffectivelyVax (hypo)'!BK59,'NotEffectivelyVax (hypo)'!BN59,'NotEffectivelyVax (hypo)'!BQ59,'NotEffectivelyVax (hypo)'!BT59,'NotEffectivelyVax (hypo)'!BW59,'NotEffectivelyVax (hypo)'!BZ59,'NotEffectivelyVax (hypo)'!CC59,'NotEffectivelyVax (hypo)'!CF59,'NotEffectivelyVax (hypo)'!CI59,'NotEffectivelyVax (hypo)'!CL59,'NotEffectivelyVax (hypo)'!CO59,'NotEffectivelyVax (hypo)'!CR59,'NotEffectivelyVax (hypo)'!CU59,'NotEffectivelyVax (hypo)'!CX59,'NotEffectivelyVax (hypo)'!DA59,'NotEffectivelyVax (hypo)'!DD59,'NotEffectivelyVax (hypo)'!DG59,'NotEffectivelyVax (hypo)'!DJ59,'NotEffectivelyVax (hypo)'!DM59,'NotEffectivelyVax (hypo)'!DQ59,'NotEffectivelyVax (hypo)'!DP59,'NotEffectivelyVax (hypo)'!DS59,'NotEffectivelyVax (hypo)'!DV59,'NotEffectivelyVax (hypo)'!DY59,'NotEffectivelyVax (hypo)'!EB59,'NotEffectivelyVax (hypo)'!EE59,'NotEffectivelyVax (hypo)'!EH59,'NotEffectivelyVax (hypo)'!EK59,'NotEffectivelyVax (hypo)'!EN59,'NotEffectivelyVax (hypo)'!EQ59,'NotEffectivelyVax (hypo)'!ET59,'NotEffectivelyVax (hypo)'!EW59,'NotEffectivelyVax (hypo)'!EZ59,'NotEffectivelyVax (hypo)'!FC59,'NotEffectivelyVax (hypo)'!FF59,'NotEffectivelyVax (hypo)'!FI59,'NotEffectivelyVax (hypo)'!FL59,'NotEffectivelyVax (hypo)'!FO59,'NotEffectivelyVax (hypo)'!FR59,'NotEffectivelyVax (hypo)'!FU59,'NotEffectivelyVax (hypo)'!FX59,'NotEffectivelyVax (hypo)'!GA59)</f>
        <v>#VALUE!</v>
      </c>
      <c r="W59" s="141" t="e">
        <f>SUM('NotEffectivelyVax (hypo)'!D59,'NotEffectivelyVax (hypo)'!G59,'NotEffectivelyVax (hypo)'!J59,'NotEffectivelyVax (hypo)'!M59,'NotEffectivelyVax (hypo)'!P59,'NotEffectivelyVax (hypo)'!S59,'NotEffectivelyVax (hypo)'!V59,'NotEffectivelyVax (hypo)'!Y59,'NotEffectivelyVax (hypo)'!AB59,'NotEffectivelyVax (hypo)'!AE59,'NotEffectivelyVax (hypo)'!AH59,'NotEffectivelyVax (hypo)'!AK59,'NotEffectivelyVax (hypo)'!AN59,'NotEffectivelyVax (hypo)'!AQ59,'NotEffectivelyVax (hypo)'!AT59,'NotEffectivelyVax (hypo)'!AW59,'NotEffectivelyVax (hypo)'!AZ59,'NotEffectivelyVax (hypo)'!BC59,'NotEffectivelyVax (hypo)'!BF59,'NotEffectivelyVax (hypo)'!BI59,'NotEffectivelyVax (hypo)'!BL59,'NotEffectivelyVax (hypo)'!BO59,'NotEffectivelyVax (hypo)'!BR59,'NotEffectivelyVax (hypo)'!BU59,'NotEffectivelyVax (hypo)'!BX59,'NotEffectivelyVax (hypo)'!CA59,'NotEffectivelyVax (hypo)'!CD59,'NotEffectivelyVax (hypo)'!CG59,'NotEffectivelyVax (hypo)'!CJ59,'NotEffectivelyVax (hypo)'!CM59,'NotEffectivelyVax (hypo)'!CP59,'NotEffectivelyVax (hypo)'!CS59,'NotEffectivelyVax (hypo)'!CV59,'NotEffectivelyVax (hypo)'!CY59,'NotEffectivelyVax (hypo)'!DB59,'NotEffectivelyVax (hypo)'!DE59,'NotEffectivelyVax (hypo)'!DH59,'NotEffectivelyVax (hypo)'!DK59,'NotEffectivelyVax (hypo)'!DN59,'NotEffectivelyVax (hypo)'!DQ59,'NotEffectivelyVax (hypo)'!DT59,'NotEffectivelyVax (hypo)'!DW59,'NotEffectivelyVax (hypo)'!DZ59,'NotEffectivelyVax (hypo)'!EC59,'NotEffectivelyVax (hypo)'!EF59,'NotEffectivelyVax (hypo)'!EI59,'NotEffectivelyVax (hypo)'!EL59,'NotEffectivelyVax (hypo)'!EO59,'NotEffectivelyVax (hypo)'!ER59,'NotEffectivelyVax (hypo)'!EU59,'NotEffectivelyVax (hypo)'!EX59,'NotEffectivelyVax (hypo)'!FA59,'NotEffectivelyVax (hypo)'!FD59,'NotEffectivelyVax (hypo)'!FG59,'NotEffectivelyVax (hypo)'!FJ59,'NotEffectivelyVax (hypo)'!FM59,'NotEffectivelyVax (hypo)'!FP59,'NotEffectivelyVax (hypo)'!FS59,'NotEffectivelyVax (hypo)'!FV59,'NotEffectivelyVax (hypo)'!FY59)</f>
        <v>#VALUE!</v>
      </c>
      <c r="X59" s="141" t="e">
        <f>SUM('NotEffectivelyVax (hypo)'!E59,'NotEffectivelyVax (hypo)'!H59,'NotEffectivelyVax (hypo)'!K59,'NotEffectivelyVax (hypo)'!N59,'NotEffectivelyVax (hypo)'!Q59,'NotEffectivelyVax (hypo)'!T59,'NotEffectivelyVax (hypo)'!Z59,'NotEffectivelyVax (hypo)'!W59,'NotEffectivelyVax (hypo)'!AC59,'NotEffectivelyVax (hypo)'!AF59,'NotEffectivelyVax (hypo)'!AI59,'NotEffectivelyVax (hypo)'!AL59,'NotEffectivelyVax (hypo)'!AO59,'NotEffectivelyVax (hypo)'!AR59,'NotEffectivelyVax (hypo)'!AU59,'NotEffectivelyVax (hypo)'!AX59,'NotEffectivelyVax (hypo)'!BA59,'NotEffectivelyVax (hypo)'!BD59,'NotEffectivelyVax (hypo)'!BG59,'NotEffectivelyVax (hypo)'!BJ59,'NotEffectivelyVax (hypo)'!BM59,'NotEffectivelyVax (hypo)'!BP59,'NotEffectivelyVax (hypo)'!BS59,'NotEffectivelyVax (hypo)'!BV59,'NotEffectivelyVax (hypo)'!BY59,'NotEffectivelyVax (hypo)'!CB59,'NotEffectivelyVax (hypo)'!CE59,'NotEffectivelyVax (hypo)'!CH59,'NotEffectivelyVax (hypo)'!CK59,'NotEffectivelyVax (hypo)'!CN59,'NotEffectivelyVax (hypo)'!CQ59,'NotEffectivelyVax (hypo)'!CT59,'NotEffectivelyVax (hypo)'!CW59,'NotEffectivelyVax (hypo)'!CZ59,'NotEffectivelyVax (hypo)'!DC59,'NotEffectivelyVax (hypo)'!DF59,'NotEffectivelyVax (hypo)'!DI59,'NotEffectivelyVax (hypo)'!DL59,'NotEffectivelyVax (hypo)'!DO59,'NotEffectivelyVax (hypo)'!DR59,'NotEffectivelyVax (hypo)'!DU59,'NotEffectivelyVax (hypo)'!DX59,'NotEffectivelyVax (hypo)'!EA59,'NotEffectivelyVax (hypo)'!ED59,'NotEffectivelyVax (hypo)'!EG59,'NotEffectivelyVax (hypo)'!EJ59,'NotEffectivelyVax (hypo)'!EM59,'NotEffectivelyVax (hypo)'!EP59,'NotEffectivelyVax (hypo)'!ES59,'NotEffectivelyVax (hypo)'!EV59,'NotEffectivelyVax (hypo)'!EY59,'NotEffectivelyVax (hypo)'!FB59,'NotEffectivelyVax (hypo)'!FE59,'NotEffectivelyVax (hypo)'!FH59,'NotEffectivelyVax (hypo)'!FK59,'NotEffectivelyVax (hypo)'!FN59,'NotEffectivelyVax (hypo)'!FQ59,'NotEffectivelyVax (hypo)'!FT59,'NotEffectivelyVax (hypo)'!FW59,'NotEffectivelyVax (hypo)'!FZ59)</f>
        <v>#VALUE!</v>
      </c>
      <c r="Y59" s="142" t="e">
        <f t="shared" si="2"/>
        <v>#VALUE!</v>
      </c>
      <c r="Z59" s="142" t="e">
        <f>IF(Export!M57&lt;&gt;"",W59*Export!K57*(1/Export!M57),W59*Export!K57)</f>
        <v>#VALUE!</v>
      </c>
      <c r="AA59" s="139" t="e">
        <f>Y59*Export!J57</f>
        <v>#VALUE!</v>
      </c>
      <c r="AC59" s="143" t="e">
        <f t="shared" si="3"/>
        <v>#VALUE!</v>
      </c>
      <c r="AD59" s="144" t="e">
        <f t="shared" si="18"/>
        <v>#VALUE!</v>
      </c>
      <c r="AE59" s="144" t="e">
        <f t="shared" si="4"/>
        <v>#VALUE!</v>
      </c>
      <c r="AF59" s="144" t="e">
        <f t="shared" si="5"/>
        <v>#VALUE!</v>
      </c>
      <c r="AG59" s="144" t="e">
        <f t="shared" si="6"/>
        <v>#VALUE!</v>
      </c>
      <c r="AH59" s="145"/>
      <c r="AI59" s="145"/>
      <c r="AJ59" s="145"/>
      <c r="AK59" s="145"/>
      <c r="AL59" s="146"/>
      <c r="AM59" s="150"/>
      <c r="AN59" s="150"/>
      <c r="AO59" s="150"/>
      <c r="AP59" s="150"/>
      <c r="AQ59" s="151"/>
    </row>
    <row r="60" spans="1:43" x14ac:dyDescent="0.35">
      <c r="A60" s="130">
        <f>EffectivelyVax!B59</f>
        <v>4</v>
      </c>
      <c r="B60" s="131" t="str">
        <f>EffectivelyVax!C59</f>
        <v/>
      </c>
      <c r="C60" s="132" t="str">
        <f>Export!N58</f>
        <v/>
      </c>
      <c r="D60" s="133" t="str">
        <f>Export!C58</f>
        <v/>
      </c>
      <c r="E60" s="133" t="e">
        <f>Export!C58*Export!L58</f>
        <v>#VALUE!</v>
      </c>
      <c r="F60" s="133" t="e">
        <f t="shared" si="17"/>
        <v>#VALUE!</v>
      </c>
      <c r="G60" s="133" t="e">
        <f>IF(Export!M58&lt;&gt;"",D60*Export!K58*(1/Export!M58),D60*Export!K58)</f>
        <v>#VALUE!</v>
      </c>
      <c r="H60" s="133" t="e">
        <f>F60*Export!J58</f>
        <v>#VALUE!</v>
      </c>
      <c r="I60" s="161" t="e">
        <f t="shared" si="16"/>
        <v>#VALUE!</v>
      </c>
      <c r="J60" s="134" t="e">
        <f t="shared" si="8"/>
        <v>#VALUE!</v>
      </c>
      <c r="K60" s="135" t="e">
        <f t="shared" si="9"/>
        <v>#VALUE!</v>
      </c>
      <c r="L60" s="117" t="str">
        <f>Export!B58</f>
        <v/>
      </c>
      <c r="M60" s="115" t="e">
        <f>C60*L60*HelperFunctions!G$59</f>
        <v>#VALUE!</v>
      </c>
      <c r="N60" s="116" t="e">
        <f>C60*L60*(1-HelperFunctions!G$59)</f>
        <v>#VALUE!</v>
      </c>
      <c r="O60" s="136" t="e">
        <f t="shared" si="14"/>
        <v>#DIV/0!</v>
      </c>
      <c r="P60" s="137">
        <f>SUM(EffectivelyVax!D59:BK59)</f>
        <v>0</v>
      </c>
      <c r="Q60" s="138" t="e">
        <f t="shared" si="11"/>
        <v>#DIV/0!</v>
      </c>
      <c r="R60" s="138" t="e">
        <f t="shared" si="12"/>
        <v>#DIV/0!</v>
      </c>
      <c r="S60" s="137" t="e">
        <f t="shared" si="1"/>
        <v>#DIV/0!</v>
      </c>
      <c r="T60" s="138" t="e">
        <f>IF(Export!M58&lt;&gt;"",Q60*Export!K58*(1/Export!M58),Q60*Export!K58)</f>
        <v>#DIV/0!</v>
      </c>
      <c r="U60" s="139" t="e">
        <f>S60*Export!J58</f>
        <v>#DIV/0!</v>
      </c>
      <c r="V60" s="140" t="e">
        <f>SUM('NotEffectivelyVax (hypo)'!F60,'NotEffectivelyVax (hypo)'!I60,'NotEffectivelyVax (hypo)'!L60,'NotEffectivelyVax (hypo)'!O60,'NotEffectivelyVax (hypo)'!R60,'NotEffectivelyVax (hypo)'!U60,'NotEffectivelyVax (hypo)'!X60,'NotEffectivelyVax (hypo)'!AA60,'NotEffectivelyVax (hypo)'!AD60,'NotEffectivelyVax (hypo)'!AG60,'NotEffectivelyVax (hypo)'!AJ60,'NotEffectivelyVax (hypo)'!AM60,'NotEffectivelyVax (hypo)'!AP60,'NotEffectivelyVax (hypo)'!AS60,'NotEffectivelyVax (hypo)'!AV60,'NotEffectivelyVax (hypo)'!AY60,'NotEffectivelyVax (hypo)'!BB60,'NotEffectivelyVax (hypo)'!BE60,'NotEffectivelyVax (hypo)'!BH60,'NotEffectivelyVax (hypo)'!BK60,'NotEffectivelyVax (hypo)'!BN60,'NotEffectivelyVax (hypo)'!BQ60,'NotEffectivelyVax (hypo)'!BT60,'NotEffectivelyVax (hypo)'!BW60,'NotEffectivelyVax (hypo)'!BZ60,'NotEffectivelyVax (hypo)'!CC60,'NotEffectivelyVax (hypo)'!CF60,'NotEffectivelyVax (hypo)'!CI60,'NotEffectivelyVax (hypo)'!CL60,'NotEffectivelyVax (hypo)'!CO60,'NotEffectivelyVax (hypo)'!CR60,'NotEffectivelyVax (hypo)'!CU60,'NotEffectivelyVax (hypo)'!CX60,'NotEffectivelyVax (hypo)'!DA60,'NotEffectivelyVax (hypo)'!DD60,'NotEffectivelyVax (hypo)'!DG60,'NotEffectivelyVax (hypo)'!DJ60,'NotEffectivelyVax (hypo)'!DM60,'NotEffectivelyVax (hypo)'!DQ60,'NotEffectivelyVax (hypo)'!DP60,'NotEffectivelyVax (hypo)'!DS60,'NotEffectivelyVax (hypo)'!DV60,'NotEffectivelyVax (hypo)'!DY60,'NotEffectivelyVax (hypo)'!EB60,'NotEffectivelyVax (hypo)'!EE60,'NotEffectivelyVax (hypo)'!EH60,'NotEffectivelyVax (hypo)'!EK60,'NotEffectivelyVax (hypo)'!EN60,'NotEffectivelyVax (hypo)'!EQ60,'NotEffectivelyVax (hypo)'!ET60,'NotEffectivelyVax (hypo)'!EW60,'NotEffectivelyVax (hypo)'!EZ60,'NotEffectivelyVax (hypo)'!FC60,'NotEffectivelyVax (hypo)'!FF60,'NotEffectivelyVax (hypo)'!FI60,'NotEffectivelyVax (hypo)'!FL60,'NotEffectivelyVax (hypo)'!FO60,'NotEffectivelyVax (hypo)'!FR60,'NotEffectivelyVax (hypo)'!FU60,'NotEffectivelyVax (hypo)'!FX60,'NotEffectivelyVax (hypo)'!GA60)</f>
        <v>#VALUE!</v>
      </c>
      <c r="W60" s="141" t="e">
        <f>SUM('NotEffectivelyVax (hypo)'!D60,'NotEffectivelyVax (hypo)'!G60,'NotEffectivelyVax (hypo)'!J60,'NotEffectivelyVax (hypo)'!M60,'NotEffectivelyVax (hypo)'!P60,'NotEffectivelyVax (hypo)'!S60,'NotEffectivelyVax (hypo)'!V60,'NotEffectivelyVax (hypo)'!Y60,'NotEffectivelyVax (hypo)'!AB60,'NotEffectivelyVax (hypo)'!AE60,'NotEffectivelyVax (hypo)'!AH60,'NotEffectivelyVax (hypo)'!AK60,'NotEffectivelyVax (hypo)'!AN60,'NotEffectivelyVax (hypo)'!AQ60,'NotEffectivelyVax (hypo)'!AT60,'NotEffectivelyVax (hypo)'!AW60,'NotEffectivelyVax (hypo)'!AZ60,'NotEffectivelyVax (hypo)'!BC60,'NotEffectivelyVax (hypo)'!BF60,'NotEffectivelyVax (hypo)'!BI60,'NotEffectivelyVax (hypo)'!BL60,'NotEffectivelyVax (hypo)'!BO60,'NotEffectivelyVax (hypo)'!BR60,'NotEffectivelyVax (hypo)'!BU60,'NotEffectivelyVax (hypo)'!BX60,'NotEffectivelyVax (hypo)'!CA60,'NotEffectivelyVax (hypo)'!CD60,'NotEffectivelyVax (hypo)'!CG60,'NotEffectivelyVax (hypo)'!CJ60,'NotEffectivelyVax (hypo)'!CM60,'NotEffectivelyVax (hypo)'!CP60,'NotEffectivelyVax (hypo)'!CS60,'NotEffectivelyVax (hypo)'!CV60,'NotEffectivelyVax (hypo)'!CY60,'NotEffectivelyVax (hypo)'!DB60,'NotEffectivelyVax (hypo)'!DE60,'NotEffectivelyVax (hypo)'!DH60,'NotEffectivelyVax (hypo)'!DK60,'NotEffectivelyVax (hypo)'!DN60,'NotEffectivelyVax (hypo)'!DQ60,'NotEffectivelyVax (hypo)'!DT60,'NotEffectivelyVax (hypo)'!DW60,'NotEffectivelyVax (hypo)'!DZ60,'NotEffectivelyVax (hypo)'!EC60,'NotEffectivelyVax (hypo)'!EF60,'NotEffectivelyVax (hypo)'!EI60,'NotEffectivelyVax (hypo)'!EL60,'NotEffectivelyVax (hypo)'!EO60,'NotEffectivelyVax (hypo)'!ER60,'NotEffectivelyVax (hypo)'!EU60,'NotEffectivelyVax (hypo)'!EX60,'NotEffectivelyVax (hypo)'!FA60,'NotEffectivelyVax (hypo)'!FD60,'NotEffectivelyVax (hypo)'!FG60,'NotEffectivelyVax (hypo)'!FJ60,'NotEffectivelyVax (hypo)'!FM60,'NotEffectivelyVax (hypo)'!FP60,'NotEffectivelyVax (hypo)'!FS60,'NotEffectivelyVax (hypo)'!FV60,'NotEffectivelyVax (hypo)'!FY60)</f>
        <v>#VALUE!</v>
      </c>
      <c r="X60" s="141" t="e">
        <f>SUM('NotEffectivelyVax (hypo)'!E60,'NotEffectivelyVax (hypo)'!H60,'NotEffectivelyVax (hypo)'!K60,'NotEffectivelyVax (hypo)'!N60,'NotEffectivelyVax (hypo)'!Q60,'NotEffectivelyVax (hypo)'!T60,'NotEffectivelyVax (hypo)'!Z60,'NotEffectivelyVax (hypo)'!W60,'NotEffectivelyVax (hypo)'!AC60,'NotEffectivelyVax (hypo)'!AF60,'NotEffectivelyVax (hypo)'!AI60,'NotEffectivelyVax (hypo)'!AL60,'NotEffectivelyVax (hypo)'!AO60,'NotEffectivelyVax (hypo)'!AR60,'NotEffectivelyVax (hypo)'!AU60,'NotEffectivelyVax (hypo)'!AX60,'NotEffectivelyVax (hypo)'!BA60,'NotEffectivelyVax (hypo)'!BD60,'NotEffectivelyVax (hypo)'!BG60,'NotEffectivelyVax (hypo)'!BJ60,'NotEffectivelyVax (hypo)'!BM60,'NotEffectivelyVax (hypo)'!BP60,'NotEffectivelyVax (hypo)'!BS60,'NotEffectivelyVax (hypo)'!BV60,'NotEffectivelyVax (hypo)'!BY60,'NotEffectivelyVax (hypo)'!CB60,'NotEffectivelyVax (hypo)'!CE60,'NotEffectivelyVax (hypo)'!CH60,'NotEffectivelyVax (hypo)'!CK60,'NotEffectivelyVax (hypo)'!CN60,'NotEffectivelyVax (hypo)'!CQ60,'NotEffectivelyVax (hypo)'!CT60,'NotEffectivelyVax (hypo)'!CW60,'NotEffectivelyVax (hypo)'!CZ60,'NotEffectivelyVax (hypo)'!DC60,'NotEffectivelyVax (hypo)'!DF60,'NotEffectivelyVax (hypo)'!DI60,'NotEffectivelyVax (hypo)'!DL60,'NotEffectivelyVax (hypo)'!DO60,'NotEffectivelyVax (hypo)'!DR60,'NotEffectivelyVax (hypo)'!DU60,'NotEffectivelyVax (hypo)'!DX60,'NotEffectivelyVax (hypo)'!EA60,'NotEffectivelyVax (hypo)'!ED60,'NotEffectivelyVax (hypo)'!EG60,'NotEffectivelyVax (hypo)'!EJ60,'NotEffectivelyVax (hypo)'!EM60,'NotEffectivelyVax (hypo)'!EP60,'NotEffectivelyVax (hypo)'!ES60,'NotEffectivelyVax (hypo)'!EV60,'NotEffectivelyVax (hypo)'!EY60,'NotEffectivelyVax (hypo)'!FB60,'NotEffectivelyVax (hypo)'!FE60,'NotEffectivelyVax (hypo)'!FH60,'NotEffectivelyVax (hypo)'!FK60,'NotEffectivelyVax (hypo)'!FN60,'NotEffectivelyVax (hypo)'!FQ60,'NotEffectivelyVax (hypo)'!FT60,'NotEffectivelyVax (hypo)'!FW60,'NotEffectivelyVax (hypo)'!FZ60)</f>
        <v>#VALUE!</v>
      </c>
      <c r="Y60" s="142" t="e">
        <f t="shared" si="2"/>
        <v>#VALUE!</v>
      </c>
      <c r="Z60" s="142" t="e">
        <f>IF(Export!M58&lt;&gt;"",W60*Export!K58*(1/Export!M58),W60*Export!K58)</f>
        <v>#VALUE!</v>
      </c>
      <c r="AA60" s="139" t="e">
        <f>Y60*Export!J58</f>
        <v>#VALUE!</v>
      </c>
      <c r="AC60" s="143" t="e">
        <f t="shared" si="3"/>
        <v>#VALUE!</v>
      </c>
      <c r="AD60" s="144" t="e">
        <f t="shared" si="18"/>
        <v>#VALUE!</v>
      </c>
      <c r="AE60" s="144" t="e">
        <f t="shared" si="4"/>
        <v>#VALUE!</v>
      </c>
      <c r="AF60" s="144" t="e">
        <f t="shared" si="5"/>
        <v>#VALUE!</v>
      </c>
      <c r="AG60" s="144" t="e">
        <f t="shared" si="6"/>
        <v>#VALUE!</v>
      </c>
      <c r="AH60" s="145"/>
      <c r="AI60" s="145"/>
      <c r="AJ60" s="145"/>
      <c r="AK60" s="145"/>
      <c r="AL60" s="146"/>
      <c r="AM60" s="150"/>
      <c r="AN60" s="150"/>
      <c r="AO60" s="150"/>
      <c r="AP60" s="150"/>
      <c r="AQ60" s="151"/>
    </row>
    <row r="61" spans="1:43" x14ac:dyDescent="0.35">
      <c r="A61" s="130">
        <f>EffectivelyVax!B60</f>
        <v>4</v>
      </c>
      <c r="B61" s="131" t="str">
        <f>EffectivelyVax!C60</f>
        <v/>
      </c>
      <c r="C61" s="132" t="str">
        <f>Export!N59</f>
        <v/>
      </c>
      <c r="D61" s="133" t="str">
        <f>Export!C59</f>
        <v/>
      </c>
      <c r="E61" s="133" t="e">
        <f>Export!C59*Export!L59</f>
        <v>#VALUE!</v>
      </c>
      <c r="F61" s="133" t="e">
        <f t="shared" si="17"/>
        <v>#VALUE!</v>
      </c>
      <c r="G61" s="133" t="e">
        <f>IF(Export!M59&lt;&gt;"",D61*Export!K59*(1/Export!M59),D61*Export!K59)</f>
        <v>#VALUE!</v>
      </c>
      <c r="H61" s="133" t="e">
        <f>F61*Export!J59</f>
        <v>#VALUE!</v>
      </c>
      <c r="I61" s="161" t="e">
        <f t="shared" si="16"/>
        <v>#VALUE!</v>
      </c>
      <c r="J61" s="134" t="e">
        <f t="shared" si="8"/>
        <v>#VALUE!</v>
      </c>
      <c r="K61" s="135" t="e">
        <f t="shared" si="9"/>
        <v>#VALUE!</v>
      </c>
      <c r="L61" s="117" t="str">
        <f>Export!B59</f>
        <v/>
      </c>
      <c r="M61" s="115" t="e">
        <f>C61*L61*HelperFunctions!G$59</f>
        <v>#VALUE!</v>
      </c>
      <c r="N61" s="116" t="e">
        <f>C61*L61*(1-HelperFunctions!G$59)</f>
        <v>#VALUE!</v>
      </c>
      <c r="O61" s="136" t="e">
        <f t="shared" si="14"/>
        <v>#DIV/0!</v>
      </c>
      <c r="P61" s="137">
        <f>SUM(EffectivelyVax!D60:BK60)</f>
        <v>0</v>
      </c>
      <c r="Q61" s="138" t="e">
        <f t="shared" si="11"/>
        <v>#DIV/0!</v>
      </c>
      <c r="R61" s="138" t="e">
        <f t="shared" si="12"/>
        <v>#DIV/0!</v>
      </c>
      <c r="S61" s="137" t="e">
        <f t="shared" si="1"/>
        <v>#DIV/0!</v>
      </c>
      <c r="T61" s="138" t="e">
        <f>IF(Export!M59&lt;&gt;"",Q61*Export!K59*(1/Export!M59),Q61*Export!K59)</f>
        <v>#DIV/0!</v>
      </c>
      <c r="U61" s="139" t="e">
        <f>S61*Export!J59</f>
        <v>#DIV/0!</v>
      </c>
      <c r="V61" s="140" t="e">
        <f>SUM('NotEffectivelyVax (hypo)'!F61,'NotEffectivelyVax (hypo)'!I61,'NotEffectivelyVax (hypo)'!L61,'NotEffectivelyVax (hypo)'!O61,'NotEffectivelyVax (hypo)'!R61,'NotEffectivelyVax (hypo)'!U61,'NotEffectivelyVax (hypo)'!X61,'NotEffectivelyVax (hypo)'!AA61,'NotEffectivelyVax (hypo)'!AD61,'NotEffectivelyVax (hypo)'!AG61,'NotEffectivelyVax (hypo)'!AJ61,'NotEffectivelyVax (hypo)'!AM61,'NotEffectivelyVax (hypo)'!AP61,'NotEffectivelyVax (hypo)'!AS61,'NotEffectivelyVax (hypo)'!AV61,'NotEffectivelyVax (hypo)'!AY61,'NotEffectivelyVax (hypo)'!BB61,'NotEffectivelyVax (hypo)'!BE61,'NotEffectivelyVax (hypo)'!BH61,'NotEffectivelyVax (hypo)'!BK61,'NotEffectivelyVax (hypo)'!BN61,'NotEffectivelyVax (hypo)'!BQ61,'NotEffectivelyVax (hypo)'!BT61,'NotEffectivelyVax (hypo)'!BW61,'NotEffectivelyVax (hypo)'!BZ61,'NotEffectivelyVax (hypo)'!CC61,'NotEffectivelyVax (hypo)'!CF61,'NotEffectivelyVax (hypo)'!CI61,'NotEffectivelyVax (hypo)'!CL61,'NotEffectivelyVax (hypo)'!CO61,'NotEffectivelyVax (hypo)'!CR61,'NotEffectivelyVax (hypo)'!CU61,'NotEffectivelyVax (hypo)'!CX61,'NotEffectivelyVax (hypo)'!DA61,'NotEffectivelyVax (hypo)'!DD61,'NotEffectivelyVax (hypo)'!DG61,'NotEffectivelyVax (hypo)'!DJ61,'NotEffectivelyVax (hypo)'!DM61,'NotEffectivelyVax (hypo)'!DQ61,'NotEffectivelyVax (hypo)'!DP61,'NotEffectivelyVax (hypo)'!DS61,'NotEffectivelyVax (hypo)'!DV61,'NotEffectivelyVax (hypo)'!DY61,'NotEffectivelyVax (hypo)'!EB61,'NotEffectivelyVax (hypo)'!EE61,'NotEffectivelyVax (hypo)'!EH61,'NotEffectivelyVax (hypo)'!EK61,'NotEffectivelyVax (hypo)'!EN61,'NotEffectivelyVax (hypo)'!EQ61,'NotEffectivelyVax (hypo)'!ET61,'NotEffectivelyVax (hypo)'!EW61,'NotEffectivelyVax (hypo)'!EZ61,'NotEffectivelyVax (hypo)'!FC61,'NotEffectivelyVax (hypo)'!FF61,'NotEffectivelyVax (hypo)'!FI61,'NotEffectivelyVax (hypo)'!FL61,'NotEffectivelyVax (hypo)'!FO61,'NotEffectivelyVax (hypo)'!FR61,'NotEffectivelyVax (hypo)'!FU61,'NotEffectivelyVax (hypo)'!FX61,'NotEffectivelyVax (hypo)'!GA61)</f>
        <v>#VALUE!</v>
      </c>
      <c r="W61" s="141" t="e">
        <f>SUM('NotEffectivelyVax (hypo)'!D61,'NotEffectivelyVax (hypo)'!G61,'NotEffectivelyVax (hypo)'!J61,'NotEffectivelyVax (hypo)'!M61,'NotEffectivelyVax (hypo)'!P61,'NotEffectivelyVax (hypo)'!S61,'NotEffectivelyVax (hypo)'!V61,'NotEffectivelyVax (hypo)'!Y61,'NotEffectivelyVax (hypo)'!AB61,'NotEffectivelyVax (hypo)'!AE61,'NotEffectivelyVax (hypo)'!AH61,'NotEffectivelyVax (hypo)'!AK61,'NotEffectivelyVax (hypo)'!AN61,'NotEffectivelyVax (hypo)'!AQ61,'NotEffectivelyVax (hypo)'!AT61,'NotEffectivelyVax (hypo)'!AW61,'NotEffectivelyVax (hypo)'!AZ61,'NotEffectivelyVax (hypo)'!BC61,'NotEffectivelyVax (hypo)'!BF61,'NotEffectivelyVax (hypo)'!BI61,'NotEffectivelyVax (hypo)'!BL61,'NotEffectivelyVax (hypo)'!BO61,'NotEffectivelyVax (hypo)'!BR61,'NotEffectivelyVax (hypo)'!BU61,'NotEffectivelyVax (hypo)'!BX61,'NotEffectivelyVax (hypo)'!CA61,'NotEffectivelyVax (hypo)'!CD61,'NotEffectivelyVax (hypo)'!CG61,'NotEffectivelyVax (hypo)'!CJ61,'NotEffectivelyVax (hypo)'!CM61,'NotEffectivelyVax (hypo)'!CP61,'NotEffectivelyVax (hypo)'!CS61,'NotEffectivelyVax (hypo)'!CV61,'NotEffectivelyVax (hypo)'!CY61,'NotEffectivelyVax (hypo)'!DB61,'NotEffectivelyVax (hypo)'!DE61,'NotEffectivelyVax (hypo)'!DH61,'NotEffectivelyVax (hypo)'!DK61,'NotEffectivelyVax (hypo)'!DN61,'NotEffectivelyVax (hypo)'!DQ61,'NotEffectivelyVax (hypo)'!DT61,'NotEffectivelyVax (hypo)'!DW61,'NotEffectivelyVax (hypo)'!DZ61,'NotEffectivelyVax (hypo)'!EC61,'NotEffectivelyVax (hypo)'!EF61,'NotEffectivelyVax (hypo)'!EI61,'NotEffectivelyVax (hypo)'!EL61,'NotEffectivelyVax (hypo)'!EO61,'NotEffectivelyVax (hypo)'!ER61,'NotEffectivelyVax (hypo)'!EU61,'NotEffectivelyVax (hypo)'!EX61,'NotEffectivelyVax (hypo)'!FA61,'NotEffectivelyVax (hypo)'!FD61,'NotEffectivelyVax (hypo)'!FG61,'NotEffectivelyVax (hypo)'!FJ61,'NotEffectivelyVax (hypo)'!FM61,'NotEffectivelyVax (hypo)'!FP61,'NotEffectivelyVax (hypo)'!FS61,'NotEffectivelyVax (hypo)'!FV61,'NotEffectivelyVax (hypo)'!FY61)</f>
        <v>#VALUE!</v>
      </c>
      <c r="X61" s="141" t="e">
        <f>SUM('NotEffectivelyVax (hypo)'!E61,'NotEffectivelyVax (hypo)'!H61,'NotEffectivelyVax (hypo)'!K61,'NotEffectivelyVax (hypo)'!N61,'NotEffectivelyVax (hypo)'!Q61,'NotEffectivelyVax (hypo)'!T61,'NotEffectivelyVax (hypo)'!Z61,'NotEffectivelyVax (hypo)'!W61,'NotEffectivelyVax (hypo)'!AC61,'NotEffectivelyVax (hypo)'!AF61,'NotEffectivelyVax (hypo)'!AI61,'NotEffectivelyVax (hypo)'!AL61,'NotEffectivelyVax (hypo)'!AO61,'NotEffectivelyVax (hypo)'!AR61,'NotEffectivelyVax (hypo)'!AU61,'NotEffectivelyVax (hypo)'!AX61,'NotEffectivelyVax (hypo)'!BA61,'NotEffectivelyVax (hypo)'!BD61,'NotEffectivelyVax (hypo)'!BG61,'NotEffectivelyVax (hypo)'!BJ61,'NotEffectivelyVax (hypo)'!BM61,'NotEffectivelyVax (hypo)'!BP61,'NotEffectivelyVax (hypo)'!BS61,'NotEffectivelyVax (hypo)'!BV61,'NotEffectivelyVax (hypo)'!BY61,'NotEffectivelyVax (hypo)'!CB61,'NotEffectivelyVax (hypo)'!CE61,'NotEffectivelyVax (hypo)'!CH61,'NotEffectivelyVax (hypo)'!CK61,'NotEffectivelyVax (hypo)'!CN61,'NotEffectivelyVax (hypo)'!CQ61,'NotEffectivelyVax (hypo)'!CT61,'NotEffectivelyVax (hypo)'!CW61,'NotEffectivelyVax (hypo)'!CZ61,'NotEffectivelyVax (hypo)'!DC61,'NotEffectivelyVax (hypo)'!DF61,'NotEffectivelyVax (hypo)'!DI61,'NotEffectivelyVax (hypo)'!DL61,'NotEffectivelyVax (hypo)'!DO61,'NotEffectivelyVax (hypo)'!DR61,'NotEffectivelyVax (hypo)'!DU61,'NotEffectivelyVax (hypo)'!DX61,'NotEffectivelyVax (hypo)'!EA61,'NotEffectivelyVax (hypo)'!ED61,'NotEffectivelyVax (hypo)'!EG61,'NotEffectivelyVax (hypo)'!EJ61,'NotEffectivelyVax (hypo)'!EM61,'NotEffectivelyVax (hypo)'!EP61,'NotEffectivelyVax (hypo)'!ES61,'NotEffectivelyVax (hypo)'!EV61,'NotEffectivelyVax (hypo)'!EY61,'NotEffectivelyVax (hypo)'!FB61,'NotEffectivelyVax (hypo)'!FE61,'NotEffectivelyVax (hypo)'!FH61,'NotEffectivelyVax (hypo)'!FK61,'NotEffectivelyVax (hypo)'!FN61,'NotEffectivelyVax (hypo)'!FQ61,'NotEffectivelyVax (hypo)'!FT61,'NotEffectivelyVax (hypo)'!FW61,'NotEffectivelyVax (hypo)'!FZ61)</f>
        <v>#VALUE!</v>
      </c>
      <c r="Y61" s="142" t="e">
        <f t="shared" si="2"/>
        <v>#VALUE!</v>
      </c>
      <c r="Z61" s="142" t="e">
        <f>IF(Export!M59&lt;&gt;"",W61*Export!K59*(1/Export!M59),W61*Export!K59)</f>
        <v>#VALUE!</v>
      </c>
      <c r="AA61" s="139" t="e">
        <f>Y61*Export!J59</f>
        <v>#VALUE!</v>
      </c>
      <c r="AC61" s="143" t="e">
        <f t="shared" si="3"/>
        <v>#VALUE!</v>
      </c>
      <c r="AD61" s="144" t="e">
        <f t="shared" si="18"/>
        <v>#VALUE!</v>
      </c>
      <c r="AE61" s="144" t="e">
        <f t="shared" si="4"/>
        <v>#VALUE!</v>
      </c>
      <c r="AF61" s="144" t="e">
        <f t="shared" si="5"/>
        <v>#VALUE!</v>
      </c>
      <c r="AG61" s="144" t="e">
        <f t="shared" si="6"/>
        <v>#VALUE!</v>
      </c>
      <c r="AH61" s="145"/>
      <c r="AI61" s="145"/>
      <c r="AJ61" s="145"/>
      <c r="AK61" s="145"/>
      <c r="AL61" s="146"/>
      <c r="AM61" s="150"/>
      <c r="AN61" s="150"/>
      <c r="AO61" s="150"/>
      <c r="AP61" s="150"/>
      <c r="AQ61" s="151"/>
    </row>
    <row r="62" spans="1:43" x14ac:dyDescent="0.35">
      <c r="A62" s="130">
        <f>EffectivelyVax!B61</f>
        <v>4</v>
      </c>
      <c r="B62" s="131" t="str">
        <f>EffectivelyVax!C61</f>
        <v/>
      </c>
      <c r="C62" s="132" t="str">
        <f>Export!N60</f>
        <v/>
      </c>
      <c r="D62" s="133" t="str">
        <f>Export!C60</f>
        <v/>
      </c>
      <c r="E62" s="133" t="e">
        <f>Export!C60*Export!L60</f>
        <v>#VALUE!</v>
      </c>
      <c r="F62" s="133" t="e">
        <f t="shared" si="17"/>
        <v>#VALUE!</v>
      </c>
      <c r="G62" s="133" t="e">
        <f>IF(Export!M60&lt;&gt;"",D62*Export!K60*(1/Export!M60),D62*Export!K60)</f>
        <v>#VALUE!</v>
      </c>
      <c r="H62" s="133" t="e">
        <f>F62*Export!J60</f>
        <v>#VALUE!</v>
      </c>
      <c r="I62" s="161" t="e">
        <f t="shared" si="16"/>
        <v>#VALUE!</v>
      </c>
      <c r="J62" s="134" t="e">
        <f t="shared" si="8"/>
        <v>#VALUE!</v>
      </c>
      <c r="K62" s="135" t="e">
        <f t="shared" si="9"/>
        <v>#VALUE!</v>
      </c>
      <c r="L62" s="117" t="str">
        <f>Export!B60</f>
        <v/>
      </c>
      <c r="M62" s="115" t="e">
        <f>C62*L62*HelperFunctions!G$59</f>
        <v>#VALUE!</v>
      </c>
      <c r="N62" s="116" t="e">
        <f>C62*L62*(1-HelperFunctions!G$59)</f>
        <v>#VALUE!</v>
      </c>
      <c r="O62" s="136" t="e">
        <f t="shared" si="14"/>
        <v>#DIV/0!</v>
      </c>
      <c r="P62" s="137">
        <f>SUM(EffectivelyVax!D61:BK61)</f>
        <v>0</v>
      </c>
      <c r="Q62" s="138" t="e">
        <f t="shared" si="11"/>
        <v>#DIV/0!</v>
      </c>
      <c r="R62" s="138" t="e">
        <f t="shared" si="12"/>
        <v>#DIV/0!</v>
      </c>
      <c r="S62" s="137" t="e">
        <f t="shared" si="1"/>
        <v>#DIV/0!</v>
      </c>
      <c r="T62" s="138" t="e">
        <f>IF(Export!M60&lt;&gt;"",Q62*Export!K60*(1/Export!M60),Q62*Export!K60)</f>
        <v>#DIV/0!</v>
      </c>
      <c r="U62" s="139" t="e">
        <f>S62*Export!J60</f>
        <v>#DIV/0!</v>
      </c>
      <c r="V62" s="140" t="e">
        <f>SUM('NotEffectivelyVax (hypo)'!F62,'NotEffectivelyVax (hypo)'!I62,'NotEffectivelyVax (hypo)'!L62,'NotEffectivelyVax (hypo)'!O62,'NotEffectivelyVax (hypo)'!R62,'NotEffectivelyVax (hypo)'!U62,'NotEffectivelyVax (hypo)'!X62,'NotEffectivelyVax (hypo)'!AA62,'NotEffectivelyVax (hypo)'!AD62,'NotEffectivelyVax (hypo)'!AG62,'NotEffectivelyVax (hypo)'!AJ62,'NotEffectivelyVax (hypo)'!AM62,'NotEffectivelyVax (hypo)'!AP62,'NotEffectivelyVax (hypo)'!AS62,'NotEffectivelyVax (hypo)'!AV62,'NotEffectivelyVax (hypo)'!AY62,'NotEffectivelyVax (hypo)'!BB62,'NotEffectivelyVax (hypo)'!BE62,'NotEffectivelyVax (hypo)'!BH62,'NotEffectivelyVax (hypo)'!BK62,'NotEffectivelyVax (hypo)'!BN62,'NotEffectivelyVax (hypo)'!BQ62,'NotEffectivelyVax (hypo)'!BT62,'NotEffectivelyVax (hypo)'!BW62,'NotEffectivelyVax (hypo)'!BZ62,'NotEffectivelyVax (hypo)'!CC62,'NotEffectivelyVax (hypo)'!CF62,'NotEffectivelyVax (hypo)'!CI62,'NotEffectivelyVax (hypo)'!CL62,'NotEffectivelyVax (hypo)'!CO62,'NotEffectivelyVax (hypo)'!CR62,'NotEffectivelyVax (hypo)'!CU62,'NotEffectivelyVax (hypo)'!CX62,'NotEffectivelyVax (hypo)'!DA62,'NotEffectivelyVax (hypo)'!DD62,'NotEffectivelyVax (hypo)'!DG62,'NotEffectivelyVax (hypo)'!DJ62,'NotEffectivelyVax (hypo)'!DM62,'NotEffectivelyVax (hypo)'!DQ62,'NotEffectivelyVax (hypo)'!DP62,'NotEffectivelyVax (hypo)'!DS62,'NotEffectivelyVax (hypo)'!DV62,'NotEffectivelyVax (hypo)'!DY62,'NotEffectivelyVax (hypo)'!EB62,'NotEffectivelyVax (hypo)'!EE62,'NotEffectivelyVax (hypo)'!EH62,'NotEffectivelyVax (hypo)'!EK62,'NotEffectivelyVax (hypo)'!EN62,'NotEffectivelyVax (hypo)'!EQ62,'NotEffectivelyVax (hypo)'!ET62,'NotEffectivelyVax (hypo)'!EW62,'NotEffectivelyVax (hypo)'!EZ62,'NotEffectivelyVax (hypo)'!FC62,'NotEffectivelyVax (hypo)'!FF62,'NotEffectivelyVax (hypo)'!FI62,'NotEffectivelyVax (hypo)'!FL62,'NotEffectivelyVax (hypo)'!FO62,'NotEffectivelyVax (hypo)'!FR62,'NotEffectivelyVax (hypo)'!FU62,'NotEffectivelyVax (hypo)'!FX62,'NotEffectivelyVax (hypo)'!GA62)</f>
        <v>#VALUE!</v>
      </c>
      <c r="W62" s="141" t="e">
        <f>SUM('NotEffectivelyVax (hypo)'!D62,'NotEffectivelyVax (hypo)'!G62,'NotEffectivelyVax (hypo)'!J62,'NotEffectivelyVax (hypo)'!M62,'NotEffectivelyVax (hypo)'!P62,'NotEffectivelyVax (hypo)'!S62,'NotEffectivelyVax (hypo)'!V62,'NotEffectivelyVax (hypo)'!Y62,'NotEffectivelyVax (hypo)'!AB62,'NotEffectivelyVax (hypo)'!AE62,'NotEffectivelyVax (hypo)'!AH62,'NotEffectivelyVax (hypo)'!AK62,'NotEffectivelyVax (hypo)'!AN62,'NotEffectivelyVax (hypo)'!AQ62,'NotEffectivelyVax (hypo)'!AT62,'NotEffectivelyVax (hypo)'!AW62,'NotEffectivelyVax (hypo)'!AZ62,'NotEffectivelyVax (hypo)'!BC62,'NotEffectivelyVax (hypo)'!BF62,'NotEffectivelyVax (hypo)'!BI62,'NotEffectivelyVax (hypo)'!BL62,'NotEffectivelyVax (hypo)'!BO62,'NotEffectivelyVax (hypo)'!BR62,'NotEffectivelyVax (hypo)'!BU62,'NotEffectivelyVax (hypo)'!BX62,'NotEffectivelyVax (hypo)'!CA62,'NotEffectivelyVax (hypo)'!CD62,'NotEffectivelyVax (hypo)'!CG62,'NotEffectivelyVax (hypo)'!CJ62,'NotEffectivelyVax (hypo)'!CM62,'NotEffectivelyVax (hypo)'!CP62,'NotEffectivelyVax (hypo)'!CS62,'NotEffectivelyVax (hypo)'!CV62,'NotEffectivelyVax (hypo)'!CY62,'NotEffectivelyVax (hypo)'!DB62,'NotEffectivelyVax (hypo)'!DE62,'NotEffectivelyVax (hypo)'!DH62,'NotEffectivelyVax (hypo)'!DK62,'NotEffectivelyVax (hypo)'!DN62,'NotEffectivelyVax (hypo)'!DQ62,'NotEffectivelyVax (hypo)'!DT62,'NotEffectivelyVax (hypo)'!DW62,'NotEffectivelyVax (hypo)'!DZ62,'NotEffectivelyVax (hypo)'!EC62,'NotEffectivelyVax (hypo)'!EF62,'NotEffectivelyVax (hypo)'!EI62,'NotEffectivelyVax (hypo)'!EL62,'NotEffectivelyVax (hypo)'!EO62,'NotEffectivelyVax (hypo)'!ER62,'NotEffectivelyVax (hypo)'!EU62,'NotEffectivelyVax (hypo)'!EX62,'NotEffectivelyVax (hypo)'!FA62,'NotEffectivelyVax (hypo)'!FD62,'NotEffectivelyVax (hypo)'!FG62,'NotEffectivelyVax (hypo)'!FJ62,'NotEffectivelyVax (hypo)'!FM62,'NotEffectivelyVax (hypo)'!FP62,'NotEffectivelyVax (hypo)'!FS62,'NotEffectivelyVax (hypo)'!FV62,'NotEffectivelyVax (hypo)'!FY62)</f>
        <v>#VALUE!</v>
      </c>
      <c r="X62" s="141" t="e">
        <f>SUM('NotEffectivelyVax (hypo)'!E62,'NotEffectivelyVax (hypo)'!H62,'NotEffectivelyVax (hypo)'!K62,'NotEffectivelyVax (hypo)'!N62,'NotEffectivelyVax (hypo)'!Q62,'NotEffectivelyVax (hypo)'!T62,'NotEffectivelyVax (hypo)'!Z62,'NotEffectivelyVax (hypo)'!W62,'NotEffectivelyVax (hypo)'!AC62,'NotEffectivelyVax (hypo)'!AF62,'NotEffectivelyVax (hypo)'!AI62,'NotEffectivelyVax (hypo)'!AL62,'NotEffectivelyVax (hypo)'!AO62,'NotEffectivelyVax (hypo)'!AR62,'NotEffectivelyVax (hypo)'!AU62,'NotEffectivelyVax (hypo)'!AX62,'NotEffectivelyVax (hypo)'!BA62,'NotEffectivelyVax (hypo)'!BD62,'NotEffectivelyVax (hypo)'!BG62,'NotEffectivelyVax (hypo)'!BJ62,'NotEffectivelyVax (hypo)'!BM62,'NotEffectivelyVax (hypo)'!BP62,'NotEffectivelyVax (hypo)'!BS62,'NotEffectivelyVax (hypo)'!BV62,'NotEffectivelyVax (hypo)'!BY62,'NotEffectivelyVax (hypo)'!CB62,'NotEffectivelyVax (hypo)'!CE62,'NotEffectivelyVax (hypo)'!CH62,'NotEffectivelyVax (hypo)'!CK62,'NotEffectivelyVax (hypo)'!CN62,'NotEffectivelyVax (hypo)'!CQ62,'NotEffectivelyVax (hypo)'!CT62,'NotEffectivelyVax (hypo)'!CW62,'NotEffectivelyVax (hypo)'!CZ62,'NotEffectivelyVax (hypo)'!DC62,'NotEffectivelyVax (hypo)'!DF62,'NotEffectivelyVax (hypo)'!DI62,'NotEffectivelyVax (hypo)'!DL62,'NotEffectivelyVax (hypo)'!DO62,'NotEffectivelyVax (hypo)'!DR62,'NotEffectivelyVax (hypo)'!DU62,'NotEffectivelyVax (hypo)'!DX62,'NotEffectivelyVax (hypo)'!EA62,'NotEffectivelyVax (hypo)'!ED62,'NotEffectivelyVax (hypo)'!EG62,'NotEffectivelyVax (hypo)'!EJ62,'NotEffectivelyVax (hypo)'!EM62,'NotEffectivelyVax (hypo)'!EP62,'NotEffectivelyVax (hypo)'!ES62,'NotEffectivelyVax (hypo)'!EV62,'NotEffectivelyVax (hypo)'!EY62,'NotEffectivelyVax (hypo)'!FB62,'NotEffectivelyVax (hypo)'!FE62,'NotEffectivelyVax (hypo)'!FH62,'NotEffectivelyVax (hypo)'!FK62,'NotEffectivelyVax (hypo)'!FN62,'NotEffectivelyVax (hypo)'!FQ62,'NotEffectivelyVax (hypo)'!FT62,'NotEffectivelyVax (hypo)'!FW62,'NotEffectivelyVax (hypo)'!FZ62)</f>
        <v>#VALUE!</v>
      </c>
      <c r="Y62" s="142" t="e">
        <f t="shared" si="2"/>
        <v>#VALUE!</v>
      </c>
      <c r="Z62" s="142" t="e">
        <f>IF(Export!M60&lt;&gt;"",W62*Export!K60*(1/Export!M60),W62*Export!K60)</f>
        <v>#VALUE!</v>
      </c>
      <c r="AA62" s="139" t="e">
        <f>Y62*Export!J60</f>
        <v>#VALUE!</v>
      </c>
      <c r="AC62" s="143" t="e">
        <f t="shared" si="3"/>
        <v>#VALUE!</v>
      </c>
      <c r="AD62" s="144" t="e">
        <f t="shared" si="18"/>
        <v>#VALUE!</v>
      </c>
      <c r="AE62" s="144" t="e">
        <f t="shared" si="4"/>
        <v>#VALUE!</v>
      </c>
      <c r="AF62" s="144" t="e">
        <f t="shared" si="5"/>
        <v>#VALUE!</v>
      </c>
      <c r="AG62" s="144" t="e">
        <f t="shared" si="6"/>
        <v>#VALUE!</v>
      </c>
      <c r="AH62" s="145"/>
      <c r="AI62" s="145"/>
      <c r="AJ62" s="145"/>
      <c r="AK62" s="145"/>
      <c r="AL62" s="146"/>
      <c r="AM62" s="150"/>
      <c r="AN62" s="150"/>
      <c r="AO62" s="150"/>
      <c r="AP62" s="150"/>
      <c r="AQ62" s="151"/>
    </row>
    <row r="63" spans="1:43" ht="15.75" customHeight="1" x14ac:dyDescent="0.35">
      <c r="A63" s="95">
        <f>EffectivelyVax!B62</f>
        <v>4</v>
      </c>
      <c r="B63" s="96" t="str">
        <f>EffectivelyVax!C62</f>
        <v/>
      </c>
      <c r="C63" s="97" t="str">
        <f>Export!N61</f>
        <v/>
      </c>
      <c r="D63" s="98" t="str">
        <f>Export!C61</f>
        <v/>
      </c>
      <c r="E63" s="98" t="e">
        <f>Export!C61*Export!L61</f>
        <v>#VALUE!</v>
      </c>
      <c r="F63" s="98" t="e">
        <f t="shared" si="17"/>
        <v>#VALUE!</v>
      </c>
      <c r="G63" s="98" t="e">
        <f>IF(Export!M61&lt;&gt;"",D63*Export!K61*(1/Export!M61),D63*Export!K61)</f>
        <v>#VALUE!</v>
      </c>
      <c r="H63" s="98" t="e">
        <f>F63*Export!J61</f>
        <v>#VALUE!</v>
      </c>
      <c r="I63" s="98" t="e">
        <f t="shared" si="16"/>
        <v>#VALUE!</v>
      </c>
      <c r="J63" s="99" t="e">
        <f t="shared" si="8"/>
        <v>#VALUE!</v>
      </c>
      <c r="K63" s="100" t="e">
        <f t="shared" si="9"/>
        <v>#VALUE!</v>
      </c>
      <c r="L63" s="101" t="str">
        <f>Export!B61</f>
        <v/>
      </c>
      <c r="M63" s="102" t="e">
        <f>C63*L63*HelperFunctions!G$59</f>
        <v>#VALUE!</v>
      </c>
      <c r="N63" s="103" t="e">
        <f>C63*L63*(1-HelperFunctions!G$59)</f>
        <v>#VALUE!</v>
      </c>
      <c r="O63" s="136" t="e">
        <f t="shared" si="14"/>
        <v>#DIV/0!</v>
      </c>
      <c r="P63" s="105">
        <f>SUM(EffectivelyVax!D62:BK62)</f>
        <v>0</v>
      </c>
      <c r="Q63" s="106" t="e">
        <f t="shared" si="11"/>
        <v>#DIV/0!</v>
      </c>
      <c r="R63" s="106" t="e">
        <f t="shared" si="12"/>
        <v>#DIV/0!</v>
      </c>
      <c r="S63" s="105" t="e">
        <f t="shared" si="1"/>
        <v>#DIV/0!</v>
      </c>
      <c r="T63" s="106" t="e">
        <f>IF(Export!M61&lt;&gt;"",Q63*Export!K61*(1/Export!M61),Q63*Export!K61)</f>
        <v>#DIV/0!</v>
      </c>
      <c r="U63" s="107" t="e">
        <f>S63*Export!J61</f>
        <v>#DIV/0!</v>
      </c>
      <c r="V63" s="108" t="e">
        <f>SUM('NotEffectivelyVax (hypo)'!F63,'NotEffectivelyVax (hypo)'!I63,'NotEffectivelyVax (hypo)'!L63,'NotEffectivelyVax (hypo)'!O63,'NotEffectivelyVax (hypo)'!R63,'NotEffectivelyVax (hypo)'!U63,'NotEffectivelyVax (hypo)'!X63,'NotEffectivelyVax (hypo)'!AA63,'NotEffectivelyVax (hypo)'!AD63,'NotEffectivelyVax (hypo)'!AG63,'NotEffectivelyVax (hypo)'!AJ63,'NotEffectivelyVax (hypo)'!AM63,'NotEffectivelyVax (hypo)'!AP63,'NotEffectivelyVax (hypo)'!AS63,'NotEffectivelyVax (hypo)'!AV63,'NotEffectivelyVax (hypo)'!AY63,'NotEffectivelyVax (hypo)'!BB63,'NotEffectivelyVax (hypo)'!BE63,'NotEffectivelyVax (hypo)'!BH63,'NotEffectivelyVax (hypo)'!BK63,'NotEffectivelyVax (hypo)'!BN63,'NotEffectivelyVax (hypo)'!BQ63,'NotEffectivelyVax (hypo)'!BT63,'NotEffectivelyVax (hypo)'!BW63,'NotEffectivelyVax (hypo)'!BZ63,'NotEffectivelyVax (hypo)'!CC63,'NotEffectivelyVax (hypo)'!CF63,'NotEffectivelyVax (hypo)'!CI63,'NotEffectivelyVax (hypo)'!CL63,'NotEffectivelyVax (hypo)'!CO63,'NotEffectivelyVax (hypo)'!CR63,'NotEffectivelyVax (hypo)'!CU63,'NotEffectivelyVax (hypo)'!CX63,'NotEffectivelyVax (hypo)'!DA63,'NotEffectivelyVax (hypo)'!DD63,'NotEffectivelyVax (hypo)'!DG63,'NotEffectivelyVax (hypo)'!DJ63,'NotEffectivelyVax (hypo)'!DM63,'NotEffectivelyVax (hypo)'!DQ63,'NotEffectivelyVax (hypo)'!DP63,'NotEffectivelyVax (hypo)'!DS63,'NotEffectivelyVax (hypo)'!DV63,'NotEffectivelyVax (hypo)'!DY63,'NotEffectivelyVax (hypo)'!EB63,'NotEffectivelyVax (hypo)'!EE63,'NotEffectivelyVax (hypo)'!EH63,'NotEffectivelyVax (hypo)'!EK63,'NotEffectivelyVax (hypo)'!EN63,'NotEffectivelyVax (hypo)'!EQ63,'NotEffectivelyVax (hypo)'!ET63,'NotEffectivelyVax (hypo)'!EW63,'NotEffectivelyVax (hypo)'!EZ63,'NotEffectivelyVax (hypo)'!FC63,'NotEffectivelyVax (hypo)'!FF63,'NotEffectivelyVax (hypo)'!FI63,'NotEffectivelyVax (hypo)'!FL63,'NotEffectivelyVax (hypo)'!FO63,'NotEffectivelyVax (hypo)'!FR63,'NotEffectivelyVax (hypo)'!FU63,'NotEffectivelyVax (hypo)'!FX63,'NotEffectivelyVax (hypo)'!GA63)</f>
        <v>#VALUE!</v>
      </c>
      <c r="W63" s="109" t="e">
        <f>SUM('NotEffectivelyVax (hypo)'!D63,'NotEffectivelyVax (hypo)'!G63,'NotEffectivelyVax (hypo)'!J63,'NotEffectivelyVax (hypo)'!M63,'NotEffectivelyVax (hypo)'!P63,'NotEffectivelyVax (hypo)'!S63,'NotEffectivelyVax (hypo)'!V63,'NotEffectivelyVax (hypo)'!Y63,'NotEffectivelyVax (hypo)'!AB63,'NotEffectivelyVax (hypo)'!AE63,'NotEffectivelyVax (hypo)'!AH63,'NotEffectivelyVax (hypo)'!AK63,'NotEffectivelyVax (hypo)'!AN63,'NotEffectivelyVax (hypo)'!AQ63,'NotEffectivelyVax (hypo)'!AT63,'NotEffectivelyVax (hypo)'!AW63,'NotEffectivelyVax (hypo)'!AZ63,'NotEffectivelyVax (hypo)'!BC63,'NotEffectivelyVax (hypo)'!BF63,'NotEffectivelyVax (hypo)'!BI63,'NotEffectivelyVax (hypo)'!BL63,'NotEffectivelyVax (hypo)'!BO63,'NotEffectivelyVax (hypo)'!BR63,'NotEffectivelyVax (hypo)'!BU63,'NotEffectivelyVax (hypo)'!BX63,'NotEffectivelyVax (hypo)'!CA63,'NotEffectivelyVax (hypo)'!CD63,'NotEffectivelyVax (hypo)'!CG63,'NotEffectivelyVax (hypo)'!CJ63,'NotEffectivelyVax (hypo)'!CM63,'NotEffectivelyVax (hypo)'!CP63,'NotEffectivelyVax (hypo)'!CS63,'NotEffectivelyVax (hypo)'!CV63,'NotEffectivelyVax (hypo)'!CY63,'NotEffectivelyVax (hypo)'!DB63,'NotEffectivelyVax (hypo)'!DE63,'NotEffectivelyVax (hypo)'!DH63,'NotEffectivelyVax (hypo)'!DK63,'NotEffectivelyVax (hypo)'!DN63,'NotEffectivelyVax (hypo)'!DQ63,'NotEffectivelyVax (hypo)'!DT63,'NotEffectivelyVax (hypo)'!DW63,'NotEffectivelyVax (hypo)'!DZ63,'NotEffectivelyVax (hypo)'!EC63,'NotEffectivelyVax (hypo)'!EF63,'NotEffectivelyVax (hypo)'!EI63,'NotEffectivelyVax (hypo)'!EL63,'NotEffectivelyVax (hypo)'!EO63,'NotEffectivelyVax (hypo)'!ER63,'NotEffectivelyVax (hypo)'!EU63,'NotEffectivelyVax (hypo)'!EX63,'NotEffectivelyVax (hypo)'!FA63,'NotEffectivelyVax (hypo)'!FD63,'NotEffectivelyVax (hypo)'!FG63,'NotEffectivelyVax (hypo)'!FJ63,'NotEffectivelyVax (hypo)'!FM63,'NotEffectivelyVax (hypo)'!FP63,'NotEffectivelyVax (hypo)'!FS63,'NotEffectivelyVax (hypo)'!FV63,'NotEffectivelyVax (hypo)'!FY63)</f>
        <v>#VALUE!</v>
      </c>
      <c r="X63" s="109" t="e">
        <f>SUM('NotEffectivelyVax (hypo)'!E63,'NotEffectivelyVax (hypo)'!H63,'NotEffectivelyVax (hypo)'!K63,'NotEffectivelyVax (hypo)'!N63,'NotEffectivelyVax (hypo)'!Q63,'NotEffectivelyVax (hypo)'!T63,'NotEffectivelyVax (hypo)'!Z63,'NotEffectivelyVax (hypo)'!W63,'NotEffectivelyVax (hypo)'!AC63,'NotEffectivelyVax (hypo)'!AF63,'NotEffectivelyVax (hypo)'!AI63,'NotEffectivelyVax (hypo)'!AL63,'NotEffectivelyVax (hypo)'!AO63,'NotEffectivelyVax (hypo)'!AR63,'NotEffectivelyVax (hypo)'!AU63,'NotEffectivelyVax (hypo)'!AX63,'NotEffectivelyVax (hypo)'!BA63,'NotEffectivelyVax (hypo)'!BD63,'NotEffectivelyVax (hypo)'!BG63,'NotEffectivelyVax (hypo)'!BJ63,'NotEffectivelyVax (hypo)'!BM63,'NotEffectivelyVax (hypo)'!BP63,'NotEffectivelyVax (hypo)'!BS63,'NotEffectivelyVax (hypo)'!BV63,'NotEffectivelyVax (hypo)'!BY63,'NotEffectivelyVax (hypo)'!CB63,'NotEffectivelyVax (hypo)'!CE63,'NotEffectivelyVax (hypo)'!CH63,'NotEffectivelyVax (hypo)'!CK63,'NotEffectivelyVax (hypo)'!CN63,'NotEffectivelyVax (hypo)'!CQ63,'NotEffectivelyVax (hypo)'!CT63,'NotEffectivelyVax (hypo)'!CW63,'NotEffectivelyVax (hypo)'!CZ63,'NotEffectivelyVax (hypo)'!DC63,'NotEffectivelyVax (hypo)'!DF63,'NotEffectivelyVax (hypo)'!DI63,'NotEffectivelyVax (hypo)'!DL63,'NotEffectivelyVax (hypo)'!DO63,'NotEffectivelyVax (hypo)'!DR63,'NotEffectivelyVax (hypo)'!DU63,'NotEffectivelyVax (hypo)'!DX63,'NotEffectivelyVax (hypo)'!EA63,'NotEffectivelyVax (hypo)'!ED63,'NotEffectivelyVax (hypo)'!EG63,'NotEffectivelyVax (hypo)'!EJ63,'NotEffectivelyVax (hypo)'!EM63,'NotEffectivelyVax (hypo)'!EP63,'NotEffectivelyVax (hypo)'!ES63,'NotEffectivelyVax (hypo)'!EV63,'NotEffectivelyVax (hypo)'!EY63,'NotEffectivelyVax (hypo)'!FB63,'NotEffectivelyVax (hypo)'!FE63,'NotEffectivelyVax (hypo)'!FH63,'NotEffectivelyVax (hypo)'!FK63,'NotEffectivelyVax (hypo)'!FN63,'NotEffectivelyVax (hypo)'!FQ63,'NotEffectivelyVax (hypo)'!FT63,'NotEffectivelyVax (hypo)'!FW63,'NotEffectivelyVax (hypo)'!FZ63)</f>
        <v>#VALUE!</v>
      </c>
      <c r="Y63" s="110" t="e">
        <f t="shared" si="2"/>
        <v>#VALUE!</v>
      </c>
      <c r="Z63" s="110" t="e">
        <f>IF(Export!M61&lt;&gt;"",W63*Export!K61*(1/Export!M61),W63*Export!K61)</f>
        <v>#VALUE!</v>
      </c>
      <c r="AA63" s="107" t="e">
        <f>Y63*Export!J61</f>
        <v>#VALUE!</v>
      </c>
      <c r="AC63" s="156" t="e">
        <f t="shared" si="3"/>
        <v>#VALUE!</v>
      </c>
      <c r="AD63" s="157" t="e">
        <f t="shared" si="18"/>
        <v>#VALUE!</v>
      </c>
      <c r="AE63" s="157" t="e">
        <f t="shared" si="4"/>
        <v>#VALUE!</v>
      </c>
      <c r="AF63" s="157" t="e">
        <f t="shared" si="5"/>
        <v>#VALUE!</v>
      </c>
      <c r="AG63" s="157" t="e">
        <f t="shared" si="6"/>
        <v>#VALUE!</v>
      </c>
      <c r="AH63" s="147" t="e">
        <f>SUM(AC52:AC63)/SUM(D52:D63)</f>
        <v>#VALUE!</v>
      </c>
      <c r="AI63" s="147" t="e">
        <f>SUM(AD52:AD63)/SUM(E52:E63)</f>
        <v>#VALUE!</v>
      </c>
      <c r="AJ63" s="112" t="e">
        <f>SUM(AE52:AE63)/SUM(G52:G63)</f>
        <v>#VALUE!</v>
      </c>
      <c r="AK63" s="112" t="e">
        <f>SUM(AF52:AF63)/SUM(H52:H63)</f>
        <v>#VALUE!</v>
      </c>
      <c r="AL63" s="111" t="e">
        <f>SUM(AG52:AG63)/SUM(F52:F63)</f>
        <v>#VALUE!</v>
      </c>
      <c r="AM63" s="148" t="e">
        <f>SUM($M52:$N63)/SUM(AC52:AC63)</f>
        <v>#VALUE!</v>
      </c>
      <c r="AN63" s="148" t="e">
        <f t="shared" ref="AN63" si="28">SUM($M52:$N63)/SUM(AD52:AD63)</f>
        <v>#VALUE!</v>
      </c>
      <c r="AO63" s="148" t="e">
        <f t="shared" ref="AO63" si="29">SUM($M52:$N63)/SUM(AE52:AE63)</f>
        <v>#VALUE!</v>
      </c>
      <c r="AP63" s="148" t="e">
        <f t="shared" ref="AP63" si="30">SUM($M52:$N63)/SUM(AF52:AF63)</f>
        <v>#VALUE!</v>
      </c>
      <c r="AQ63" s="149" t="e">
        <f>SUM($M52:$N63)/SUM(AC52:AD63)</f>
        <v>#VALUE!</v>
      </c>
    </row>
    <row r="64" spans="1:43" ht="15.75" customHeight="1" x14ac:dyDescent="0.35">
      <c r="A64" s="342" t="s">
        <v>310</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35">
      <c r="AB65" s="114"/>
    </row>
    <row r="66" spans="28:28" x14ac:dyDescent="0.35">
      <c r="AB66" s="114"/>
    </row>
  </sheetData>
  <mergeCells count="8">
    <mergeCell ref="AH2:AL2"/>
    <mergeCell ref="AM2:AQ2"/>
    <mergeCell ref="A64:B64"/>
    <mergeCell ref="A2:B2"/>
    <mergeCell ref="C2:K2"/>
    <mergeCell ref="L2:N2"/>
    <mergeCell ref="O2:AA2"/>
    <mergeCell ref="AC2:AG2"/>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B2:GA63"/>
  <sheetViews>
    <sheetView zoomScale="85" zoomScaleNormal="85" workbookViewId="0">
      <selection activeCell="I5" sqref="I5"/>
    </sheetView>
  </sheetViews>
  <sheetFormatPr defaultColWidth="10.90625" defaultRowHeight="14.5" x14ac:dyDescent="0.35"/>
  <cols>
    <col min="4" max="183" width="15.54296875" customWidth="1"/>
  </cols>
  <sheetData>
    <row r="2" spans="2:183" ht="27.65" customHeight="1" x14ac:dyDescent="0.35">
      <c r="B2" t="s">
        <v>214</v>
      </c>
      <c r="C2" t="s">
        <v>64</v>
      </c>
      <c r="D2" s="337" t="s">
        <v>217</v>
      </c>
      <c r="E2" s="338"/>
      <c r="F2" s="338"/>
      <c r="G2" s="337" t="s">
        <v>218</v>
      </c>
      <c r="H2" s="338"/>
      <c r="I2" s="338"/>
      <c r="J2" s="337" t="s">
        <v>221</v>
      </c>
      <c r="K2" s="338"/>
      <c r="L2" s="338"/>
      <c r="M2" s="337" t="s">
        <v>222</v>
      </c>
      <c r="N2" s="338"/>
      <c r="O2" s="338"/>
      <c r="P2" s="337" t="s">
        <v>223</v>
      </c>
      <c r="Q2" s="338"/>
      <c r="R2" s="338"/>
      <c r="S2" s="337" t="s">
        <v>224</v>
      </c>
      <c r="T2" s="338"/>
      <c r="U2" s="338"/>
      <c r="V2" s="337" t="s">
        <v>225</v>
      </c>
      <c r="W2" s="338"/>
      <c r="X2" s="338"/>
      <c r="Y2" s="337" t="s">
        <v>226</v>
      </c>
      <c r="Z2" s="338"/>
      <c r="AA2" s="338"/>
      <c r="AB2" s="337" t="s">
        <v>227</v>
      </c>
      <c r="AC2" s="338"/>
      <c r="AD2" s="338"/>
      <c r="AE2" s="337" t="s">
        <v>228</v>
      </c>
      <c r="AF2" s="338"/>
      <c r="AG2" s="338"/>
      <c r="AH2" s="337" t="s">
        <v>229</v>
      </c>
      <c r="AI2" s="338"/>
      <c r="AJ2" s="338"/>
      <c r="AK2" s="337" t="s">
        <v>230</v>
      </c>
      <c r="AL2" s="338"/>
      <c r="AM2" s="338"/>
      <c r="AN2" s="337" t="s">
        <v>268</v>
      </c>
      <c r="AO2" s="338"/>
      <c r="AP2" s="338"/>
      <c r="AQ2" s="337" t="s">
        <v>269</v>
      </c>
      <c r="AR2" s="338"/>
      <c r="AS2" s="338"/>
      <c r="AT2" s="337" t="s">
        <v>270</v>
      </c>
      <c r="AU2" s="338"/>
      <c r="AV2" s="338"/>
      <c r="AW2" s="337" t="s">
        <v>271</v>
      </c>
      <c r="AX2" s="338"/>
      <c r="AY2" s="338"/>
      <c r="AZ2" s="337" t="s">
        <v>272</v>
      </c>
      <c r="BA2" s="338"/>
      <c r="BB2" s="338"/>
      <c r="BC2" s="337" t="s">
        <v>273</v>
      </c>
      <c r="BD2" s="338"/>
      <c r="BE2" s="338"/>
      <c r="BF2" s="337" t="s">
        <v>274</v>
      </c>
      <c r="BG2" s="338"/>
      <c r="BH2" s="338"/>
      <c r="BI2" s="337" t="s">
        <v>275</v>
      </c>
      <c r="BJ2" s="338"/>
      <c r="BK2" s="338"/>
      <c r="BL2" s="337" t="s">
        <v>276</v>
      </c>
      <c r="BM2" s="338"/>
      <c r="BN2" s="338"/>
      <c r="BO2" s="337" t="s">
        <v>277</v>
      </c>
      <c r="BP2" s="338"/>
      <c r="BQ2" s="338"/>
      <c r="BR2" s="337" t="s">
        <v>278</v>
      </c>
      <c r="BS2" s="338"/>
      <c r="BT2" s="338"/>
      <c r="BU2" s="337" t="s">
        <v>267</v>
      </c>
      <c r="BV2" s="338"/>
      <c r="BW2" s="338"/>
      <c r="BX2" s="337" t="s">
        <v>256</v>
      </c>
      <c r="BY2" s="338"/>
      <c r="BZ2" s="338"/>
      <c r="CA2" s="337" t="s">
        <v>257</v>
      </c>
      <c r="CB2" s="338"/>
      <c r="CC2" s="338"/>
      <c r="CD2" s="337" t="s">
        <v>258</v>
      </c>
      <c r="CE2" s="338"/>
      <c r="CF2" s="338"/>
      <c r="CG2" s="337" t="s">
        <v>259</v>
      </c>
      <c r="CH2" s="338"/>
      <c r="CI2" s="338"/>
      <c r="CJ2" s="337" t="s">
        <v>260</v>
      </c>
      <c r="CK2" s="338"/>
      <c r="CL2" s="338"/>
      <c r="CM2" s="337" t="s">
        <v>261</v>
      </c>
      <c r="CN2" s="338"/>
      <c r="CO2" s="338"/>
      <c r="CP2" s="337" t="s">
        <v>262</v>
      </c>
      <c r="CQ2" s="338"/>
      <c r="CR2" s="338"/>
      <c r="CS2" s="337" t="s">
        <v>263</v>
      </c>
      <c r="CT2" s="338"/>
      <c r="CU2" s="338"/>
      <c r="CV2" s="337" t="s">
        <v>264</v>
      </c>
      <c r="CW2" s="338"/>
      <c r="CX2" s="338"/>
      <c r="CY2" s="337" t="s">
        <v>265</v>
      </c>
      <c r="CZ2" s="338"/>
      <c r="DA2" s="338"/>
      <c r="DB2" s="337" t="s">
        <v>266</v>
      </c>
      <c r="DC2" s="338"/>
      <c r="DD2" s="338"/>
      <c r="DE2" s="337" t="s">
        <v>255</v>
      </c>
      <c r="DF2" s="338"/>
      <c r="DG2" s="338"/>
      <c r="DH2" s="337" t="s">
        <v>244</v>
      </c>
      <c r="DI2" s="338"/>
      <c r="DJ2" s="338"/>
      <c r="DK2" s="337" t="s">
        <v>245</v>
      </c>
      <c r="DL2" s="338"/>
      <c r="DM2" s="338"/>
      <c r="DN2" s="337" t="s">
        <v>246</v>
      </c>
      <c r="DO2" s="338"/>
      <c r="DP2" s="338"/>
      <c r="DQ2" s="337" t="s">
        <v>247</v>
      </c>
      <c r="DR2" s="338"/>
      <c r="DS2" s="338"/>
      <c r="DT2" s="337" t="s">
        <v>248</v>
      </c>
      <c r="DU2" s="338"/>
      <c r="DV2" s="338"/>
      <c r="DW2" s="337" t="s">
        <v>249</v>
      </c>
      <c r="DX2" s="338"/>
      <c r="DY2" s="338"/>
      <c r="DZ2" s="337" t="s">
        <v>250</v>
      </c>
      <c r="EA2" s="338"/>
      <c r="EB2" s="338"/>
      <c r="EC2" s="337" t="s">
        <v>251</v>
      </c>
      <c r="ED2" s="338"/>
      <c r="EE2" s="338"/>
      <c r="EF2" s="337" t="s">
        <v>252</v>
      </c>
      <c r="EG2" s="338"/>
      <c r="EH2" s="338"/>
      <c r="EI2" s="337" t="s">
        <v>253</v>
      </c>
      <c r="EJ2" s="338"/>
      <c r="EK2" s="338"/>
      <c r="EL2" s="337" t="s">
        <v>254</v>
      </c>
      <c r="EM2" s="338"/>
      <c r="EN2" s="338"/>
      <c r="EO2" s="337" t="s">
        <v>243</v>
      </c>
      <c r="EP2" s="338"/>
      <c r="EQ2" s="338"/>
      <c r="ER2" s="337" t="s">
        <v>231</v>
      </c>
      <c r="ES2" s="338"/>
      <c r="ET2" s="338"/>
      <c r="EU2" s="337" t="s">
        <v>232</v>
      </c>
      <c r="EV2" s="338"/>
      <c r="EW2" s="338"/>
      <c r="EX2" s="337" t="s">
        <v>233</v>
      </c>
      <c r="EY2" s="338"/>
      <c r="EZ2" s="338"/>
      <c r="FA2" s="337" t="s">
        <v>234</v>
      </c>
      <c r="FB2" s="338"/>
      <c r="FC2" s="338"/>
      <c r="FD2" s="337" t="s">
        <v>235</v>
      </c>
      <c r="FE2" s="338"/>
      <c r="FF2" s="338"/>
      <c r="FG2" s="337" t="s">
        <v>236</v>
      </c>
      <c r="FH2" s="338"/>
      <c r="FI2" s="338"/>
      <c r="FJ2" s="337" t="s">
        <v>237</v>
      </c>
      <c r="FK2" s="338"/>
      <c r="FL2" s="338"/>
      <c r="FM2" s="337" t="s">
        <v>238</v>
      </c>
      <c r="FN2" s="338"/>
      <c r="FO2" s="338"/>
      <c r="FP2" s="337" t="s">
        <v>239</v>
      </c>
      <c r="FQ2" s="338"/>
      <c r="FR2" s="338"/>
      <c r="FS2" s="337" t="s">
        <v>240</v>
      </c>
      <c r="FT2" s="338"/>
      <c r="FU2" s="338"/>
      <c r="FV2" s="337" t="s">
        <v>241</v>
      </c>
      <c r="FW2" s="338"/>
      <c r="FX2" s="338"/>
      <c r="FY2" s="337" t="s">
        <v>242</v>
      </c>
      <c r="FZ2" s="338"/>
      <c r="GA2" s="338"/>
    </row>
    <row r="3" spans="2:183" ht="30" customHeight="1" x14ac:dyDescent="0.35">
      <c r="D3" s="81" t="s">
        <v>220</v>
      </c>
      <c r="E3" s="81" t="s">
        <v>219</v>
      </c>
      <c r="F3" s="81" t="s">
        <v>216</v>
      </c>
      <c r="G3" s="81" t="s">
        <v>220</v>
      </c>
      <c r="H3" s="81" t="s">
        <v>219</v>
      </c>
      <c r="I3" s="81" t="s">
        <v>216</v>
      </c>
      <c r="J3" s="81" t="s">
        <v>220</v>
      </c>
      <c r="K3" s="81" t="s">
        <v>219</v>
      </c>
      <c r="L3" s="81" t="s">
        <v>216</v>
      </c>
      <c r="M3" s="81" t="s">
        <v>220</v>
      </c>
      <c r="N3" s="81" t="s">
        <v>219</v>
      </c>
      <c r="O3" s="81" t="s">
        <v>216</v>
      </c>
      <c r="P3" s="81" t="s">
        <v>220</v>
      </c>
      <c r="Q3" s="81" t="s">
        <v>219</v>
      </c>
      <c r="R3" s="81" t="s">
        <v>216</v>
      </c>
      <c r="S3" s="81" t="s">
        <v>220</v>
      </c>
      <c r="T3" s="81" t="s">
        <v>219</v>
      </c>
      <c r="U3" s="81" t="s">
        <v>216</v>
      </c>
      <c r="V3" s="81" t="s">
        <v>220</v>
      </c>
      <c r="W3" s="81" t="s">
        <v>219</v>
      </c>
      <c r="X3" s="81" t="s">
        <v>216</v>
      </c>
      <c r="Y3" s="81" t="s">
        <v>220</v>
      </c>
      <c r="Z3" s="81" t="s">
        <v>219</v>
      </c>
      <c r="AA3" s="81" t="s">
        <v>216</v>
      </c>
      <c r="AB3" s="81" t="s">
        <v>220</v>
      </c>
      <c r="AC3" s="81" t="s">
        <v>219</v>
      </c>
      <c r="AD3" s="81" t="s">
        <v>216</v>
      </c>
      <c r="AE3" s="81" t="s">
        <v>220</v>
      </c>
      <c r="AF3" s="81" t="s">
        <v>219</v>
      </c>
      <c r="AG3" s="81" t="s">
        <v>216</v>
      </c>
      <c r="AH3" s="81" t="s">
        <v>220</v>
      </c>
      <c r="AI3" s="81" t="s">
        <v>219</v>
      </c>
      <c r="AJ3" s="81" t="s">
        <v>216</v>
      </c>
      <c r="AK3" s="81" t="s">
        <v>220</v>
      </c>
      <c r="AL3" s="81" t="s">
        <v>219</v>
      </c>
      <c r="AM3" s="81" t="s">
        <v>216</v>
      </c>
      <c r="AN3" s="81" t="s">
        <v>220</v>
      </c>
      <c r="AO3" s="81" t="s">
        <v>219</v>
      </c>
      <c r="AP3" s="81" t="s">
        <v>216</v>
      </c>
      <c r="AQ3" s="81" t="s">
        <v>220</v>
      </c>
      <c r="AR3" s="81" t="s">
        <v>219</v>
      </c>
      <c r="AS3" s="81" t="s">
        <v>216</v>
      </c>
      <c r="AT3" s="81" t="s">
        <v>220</v>
      </c>
      <c r="AU3" s="81" t="s">
        <v>219</v>
      </c>
      <c r="AV3" s="81" t="s">
        <v>216</v>
      </c>
      <c r="AW3" s="81" t="s">
        <v>220</v>
      </c>
      <c r="AX3" s="81" t="s">
        <v>219</v>
      </c>
      <c r="AY3" s="81" t="s">
        <v>216</v>
      </c>
      <c r="AZ3" s="81" t="s">
        <v>220</v>
      </c>
      <c r="BA3" s="81" t="s">
        <v>219</v>
      </c>
      <c r="BB3" s="81" t="s">
        <v>216</v>
      </c>
      <c r="BC3" s="81" t="s">
        <v>220</v>
      </c>
      <c r="BD3" s="81" t="s">
        <v>219</v>
      </c>
      <c r="BE3" s="81" t="s">
        <v>216</v>
      </c>
      <c r="BF3" s="81" t="s">
        <v>220</v>
      </c>
      <c r="BG3" s="81" t="s">
        <v>219</v>
      </c>
      <c r="BH3" s="81" t="s">
        <v>216</v>
      </c>
      <c r="BI3" s="81" t="s">
        <v>220</v>
      </c>
      <c r="BJ3" s="81" t="s">
        <v>219</v>
      </c>
      <c r="BK3" s="81" t="s">
        <v>216</v>
      </c>
      <c r="BL3" s="81" t="s">
        <v>220</v>
      </c>
      <c r="BM3" s="81" t="s">
        <v>219</v>
      </c>
      <c r="BN3" s="81" t="s">
        <v>216</v>
      </c>
      <c r="BO3" s="81" t="s">
        <v>220</v>
      </c>
      <c r="BP3" s="81" t="s">
        <v>219</v>
      </c>
      <c r="BQ3" s="81" t="s">
        <v>216</v>
      </c>
      <c r="BR3" s="81" t="s">
        <v>220</v>
      </c>
      <c r="BS3" s="81" t="s">
        <v>219</v>
      </c>
      <c r="BT3" s="81" t="s">
        <v>216</v>
      </c>
      <c r="BU3" s="81" t="s">
        <v>220</v>
      </c>
      <c r="BV3" s="81" t="s">
        <v>219</v>
      </c>
      <c r="BW3" s="81" t="s">
        <v>216</v>
      </c>
      <c r="BX3" s="81" t="s">
        <v>220</v>
      </c>
      <c r="BY3" s="81" t="s">
        <v>219</v>
      </c>
      <c r="BZ3" s="81" t="s">
        <v>216</v>
      </c>
      <c r="CA3" s="81" t="s">
        <v>220</v>
      </c>
      <c r="CB3" s="81" t="s">
        <v>219</v>
      </c>
      <c r="CC3" s="81" t="s">
        <v>216</v>
      </c>
      <c r="CD3" s="81" t="s">
        <v>220</v>
      </c>
      <c r="CE3" s="81" t="s">
        <v>219</v>
      </c>
      <c r="CF3" s="81" t="s">
        <v>216</v>
      </c>
      <c r="CG3" s="81" t="s">
        <v>220</v>
      </c>
      <c r="CH3" s="81" t="s">
        <v>219</v>
      </c>
      <c r="CI3" s="81" t="s">
        <v>216</v>
      </c>
      <c r="CJ3" s="81" t="s">
        <v>220</v>
      </c>
      <c r="CK3" s="81" t="s">
        <v>219</v>
      </c>
      <c r="CL3" s="81" t="s">
        <v>216</v>
      </c>
      <c r="CM3" s="81" t="s">
        <v>220</v>
      </c>
      <c r="CN3" s="81" t="s">
        <v>219</v>
      </c>
      <c r="CO3" s="81" t="s">
        <v>216</v>
      </c>
      <c r="CP3" s="81" t="s">
        <v>220</v>
      </c>
      <c r="CQ3" s="81" t="s">
        <v>219</v>
      </c>
      <c r="CR3" s="81" t="s">
        <v>216</v>
      </c>
      <c r="CS3" s="81" t="s">
        <v>220</v>
      </c>
      <c r="CT3" s="81" t="s">
        <v>219</v>
      </c>
      <c r="CU3" s="81" t="s">
        <v>216</v>
      </c>
      <c r="CV3" s="81" t="s">
        <v>220</v>
      </c>
      <c r="CW3" s="81" t="s">
        <v>219</v>
      </c>
      <c r="CX3" s="81" t="s">
        <v>216</v>
      </c>
      <c r="CY3" s="81" t="s">
        <v>220</v>
      </c>
      <c r="CZ3" s="81" t="s">
        <v>219</v>
      </c>
      <c r="DA3" s="81" t="s">
        <v>216</v>
      </c>
      <c r="DB3" s="81" t="s">
        <v>220</v>
      </c>
      <c r="DC3" s="81" t="s">
        <v>219</v>
      </c>
      <c r="DD3" s="81" t="s">
        <v>216</v>
      </c>
      <c r="DE3" s="81" t="s">
        <v>220</v>
      </c>
      <c r="DF3" s="81" t="s">
        <v>219</v>
      </c>
      <c r="DG3" s="81" t="s">
        <v>216</v>
      </c>
      <c r="DH3" s="81" t="s">
        <v>220</v>
      </c>
      <c r="DI3" s="81" t="s">
        <v>219</v>
      </c>
      <c r="DJ3" s="81" t="s">
        <v>216</v>
      </c>
      <c r="DK3" s="81" t="s">
        <v>220</v>
      </c>
      <c r="DL3" s="81" t="s">
        <v>219</v>
      </c>
      <c r="DM3" s="81" t="s">
        <v>216</v>
      </c>
      <c r="DN3" s="81" t="s">
        <v>220</v>
      </c>
      <c r="DO3" s="81" t="s">
        <v>219</v>
      </c>
      <c r="DP3" s="81" t="s">
        <v>216</v>
      </c>
      <c r="DQ3" s="81" t="s">
        <v>220</v>
      </c>
      <c r="DR3" s="81" t="s">
        <v>219</v>
      </c>
      <c r="DS3" s="81" t="s">
        <v>216</v>
      </c>
      <c r="DT3" s="81" t="s">
        <v>220</v>
      </c>
      <c r="DU3" s="81" t="s">
        <v>219</v>
      </c>
      <c r="DV3" s="81" t="s">
        <v>216</v>
      </c>
      <c r="DW3" s="81" t="s">
        <v>220</v>
      </c>
      <c r="DX3" s="81" t="s">
        <v>219</v>
      </c>
      <c r="DY3" s="81" t="s">
        <v>216</v>
      </c>
      <c r="DZ3" s="81" t="s">
        <v>220</v>
      </c>
      <c r="EA3" s="81" t="s">
        <v>219</v>
      </c>
      <c r="EB3" s="81" t="s">
        <v>216</v>
      </c>
      <c r="EC3" s="81" t="s">
        <v>220</v>
      </c>
      <c r="ED3" s="81" t="s">
        <v>219</v>
      </c>
      <c r="EE3" s="81" t="s">
        <v>216</v>
      </c>
      <c r="EF3" s="81" t="s">
        <v>220</v>
      </c>
      <c r="EG3" s="81" t="s">
        <v>219</v>
      </c>
      <c r="EH3" s="81" t="s">
        <v>216</v>
      </c>
      <c r="EI3" s="81" t="s">
        <v>220</v>
      </c>
      <c r="EJ3" s="81" t="s">
        <v>219</v>
      </c>
      <c r="EK3" s="81" t="s">
        <v>216</v>
      </c>
      <c r="EL3" s="81" t="s">
        <v>220</v>
      </c>
      <c r="EM3" s="81" t="s">
        <v>219</v>
      </c>
      <c r="EN3" s="81" t="s">
        <v>216</v>
      </c>
      <c r="EO3" s="81" t="s">
        <v>220</v>
      </c>
      <c r="EP3" s="81" t="s">
        <v>219</v>
      </c>
      <c r="EQ3" s="81" t="s">
        <v>216</v>
      </c>
      <c r="ER3" s="81" t="s">
        <v>220</v>
      </c>
      <c r="ES3" s="81" t="s">
        <v>219</v>
      </c>
      <c r="ET3" s="81" t="s">
        <v>216</v>
      </c>
      <c r="EU3" s="81" t="s">
        <v>220</v>
      </c>
      <c r="EV3" s="81" t="s">
        <v>219</v>
      </c>
      <c r="EW3" s="81" t="s">
        <v>216</v>
      </c>
      <c r="EX3" s="81" t="s">
        <v>220</v>
      </c>
      <c r="EY3" s="81" t="s">
        <v>219</v>
      </c>
      <c r="EZ3" s="81" t="s">
        <v>216</v>
      </c>
      <c r="FA3" s="81" t="s">
        <v>220</v>
      </c>
      <c r="FB3" s="81" t="s">
        <v>219</v>
      </c>
      <c r="FC3" s="81" t="s">
        <v>216</v>
      </c>
      <c r="FD3" s="81" t="s">
        <v>220</v>
      </c>
      <c r="FE3" s="81" t="s">
        <v>219</v>
      </c>
      <c r="FF3" s="81" t="s">
        <v>216</v>
      </c>
      <c r="FG3" s="81" t="s">
        <v>220</v>
      </c>
      <c r="FH3" s="81" t="s">
        <v>219</v>
      </c>
      <c r="FI3" s="81" t="s">
        <v>216</v>
      </c>
      <c r="FJ3" s="81" t="s">
        <v>220</v>
      </c>
      <c r="FK3" s="81" t="s">
        <v>219</v>
      </c>
      <c r="FL3" s="81" t="s">
        <v>216</v>
      </c>
      <c r="FM3" s="81" t="s">
        <v>220</v>
      </c>
      <c r="FN3" s="81" t="s">
        <v>219</v>
      </c>
      <c r="FO3" s="81" t="s">
        <v>216</v>
      </c>
      <c r="FP3" s="81" t="s">
        <v>220</v>
      </c>
      <c r="FQ3" s="81" t="s">
        <v>219</v>
      </c>
      <c r="FR3" s="81" t="s">
        <v>216</v>
      </c>
      <c r="FS3" s="81" t="s">
        <v>220</v>
      </c>
      <c r="FT3" s="81" t="s">
        <v>219</v>
      </c>
      <c r="FU3" s="81" t="s">
        <v>216</v>
      </c>
      <c r="FV3" s="81" t="s">
        <v>220</v>
      </c>
      <c r="FW3" s="81" t="s">
        <v>219</v>
      </c>
      <c r="FX3" s="81" t="s">
        <v>216</v>
      </c>
      <c r="FY3" s="81" t="s">
        <v>220</v>
      </c>
      <c r="FZ3" s="81" t="s">
        <v>219</v>
      </c>
      <c r="GA3" s="81" t="s">
        <v>216</v>
      </c>
    </row>
    <row r="4" spans="2:183" x14ac:dyDescent="0.3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F4*'Current vaccine model'!$H5*HelperFunctions!$R3</f>
        <v>#VALUE!</v>
      </c>
      <c r="E5" t="e">
        <f>F4*'Current vaccine model'!$H5*Export!$L3</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F5*'Current vaccine model'!$H6*HelperFunctions!$R4</f>
        <v>#VALUE!</v>
      </c>
      <c r="E6" t="e">
        <f>F5*'Current vaccine model'!$H6*Export!$L4</f>
        <v>#VALUE!</v>
      </c>
      <c r="F6" s="84" t="e">
        <f t="shared" ref="F6:F63" si="0">F5-D6-E6</f>
        <v>#VALUE!</v>
      </c>
      <c r="G6" t="e">
        <f>I5*'Current vaccine model'!$H6*HelperFunctions!$R3</f>
        <v>#VALUE!</v>
      </c>
      <c r="H6" t="e">
        <f>I5*'Current vaccine model'!$H6*Export!$L4</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F6*'Current vaccine model'!$H7*HelperFunctions!$R5</f>
        <v>#VALUE!</v>
      </c>
      <c r="E7" t="e">
        <f>F6*'Current vaccine model'!$H7*Export!$L5</f>
        <v>#VALUE!</v>
      </c>
      <c r="F7" s="84" t="e">
        <f t="shared" si="0"/>
        <v>#VALUE!</v>
      </c>
      <c r="G7" t="e">
        <f>I6*'Current vaccine model'!$H7*HelperFunctions!$R4</f>
        <v>#VALUE!</v>
      </c>
      <c r="H7" t="e">
        <f>I6*'Current vaccine model'!$H7*Export!$L5</f>
        <v>#VALUE!</v>
      </c>
      <c r="I7" s="84" t="e">
        <f t="shared" ref="I7:I63" si="1">I6-G7-H7</f>
        <v>#VALUE!</v>
      </c>
      <c r="J7" t="e">
        <f>L6*'Current vaccine model'!$H7*HelperFunctions!$R3</f>
        <v>#VALUE!</v>
      </c>
      <c r="K7" t="e">
        <f>L6*'Current vaccine model'!$H7*Export!$L5</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F7*'Current vaccine model'!$H8*HelperFunctions!$R6</f>
        <v>#VALUE!</v>
      </c>
      <c r="E8" t="e">
        <f>F7*'Current vaccine model'!$H8*Export!$L6</f>
        <v>#VALUE!</v>
      </c>
      <c r="F8" s="84" t="e">
        <f t="shared" si="0"/>
        <v>#VALUE!</v>
      </c>
      <c r="G8" t="e">
        <f>I7*'Current vaccine model'!$H8*HelperFunctions!$R5</f>
        <v>#VALUE!</v>
      </c>
      <c r="H8" t="e">
        <f>I7*'Current vaccine model'!$H8*Export!$L6</f>
        <v>#VALUE!</v>
      </c>
      <c r="I8" s="84" t="e">
        <f t="shared" si="1"/>
        <v>#VALUE!</v>
      </c>
      <c r="J8" t="e">
        <f>L7*'Current vaccine model'!$H8*HelperFunctions!$R4</f>
        <v>#VALUE!</v>
      </c>
      <c r="K8" t="e">
        <f>L7*'Current vaccine model'!$H8*Export!$L6</f>
        <v>#VALUE!</v>
      </c>
      <c r="L8" s="84" t="e">
        <f t="shared" ref="L8:L63" si="2">L7-J8-K8</f>
        <v>#VALUE!</v>
      </c>
      <c r="M8" t="e">
        <f>O7*'Current vaccine model'!$H8*HelperFunctions!$R3</f>
        <v>#VALUE!</v>
      </c>
      <c r="N8" t="e">
        <f>O7*'Current vaccine model'!$H8*Export!$L6</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F8*'Current vaccine model'!$H9*HelperFunctions!$R7</f>
        <v>#VALUE!</v>
      </c>
      <c r="E9" t="e">
        <f>F8*'Current vaccine model'!$H9*Export!$L7</f>
        <v>#VALUE!</v>
      </c>
      <c r="F9" s="84" t="e">
        <f t="shared" si="0"/>
        <v>#VALUE!</v>
      </c>
      <c r="G9" t="e">
        <f>I8*'Current vaccine model'!$H9*HelperFunctions!$R6</f>
        <v>#VALUE!</v>
      </c>
      <c r="H9" t="e">
        <f>I8*'Current vaccine model'!$H9*Export!$L7</f>
        <v>#VALUE!</v>
      </c>
      <c r="I9" s="84" t="e">
        <f t="shared" si="1"/>
        <v>#VALUE!</v>
      </c>
      <c r="J9" t="e">
        <f>L8*'Current vaccine model'!$H9*HelperFunctions!$R5</f>
        <v>#VALUE!</v>
      </c>
      <c r="K9" t="e">
        <f>L8*'Current vaccine model'!$H9*Export!$L7</f>
        <v>#VALUE!</v>
      </c>
      <c r="L9" s="84" t="e">
        <f t="shared" si="2"/>
        <v>#VALUE!</v>
      </c>
      <c r="M9" t="e">
        <f>O8*'Current vaccine model'!$H9*HelperFunctions!$R4</f>
        <v>#VALUE!</v>
      </c>
      <c r="N9" t="e">
        <f>O8*'Current vaccine model'!$H9*Export!$L7</f>
        <v>#VALUE!</v>
      </c>
      <c r="O9" s="84" t="e">
        <f t="shared" ref="O9:O63" si="3">O8-M9-N9</f>
        <v>#VALUE!</v>
      </c>
      <c r="P9" t="e">
        <f>R8*'Current vaccine model'!$H9*HelperFunctions!$R3</f>
        <v>#VALUE!</v>
      </c>
      <c r="Q9" t="e">
        <f>R8*'Current vaccine model'!$H9*Export!$L7</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F9*'Current vaccine model'!$H10*HelperFunctions!$R8</f>
        <v>#VALUE!</v>
      </c>
      <c r="E10" t="e">
        <f>F9*'Current vaccine model'!$H10*Export!$L8</f>
        <v>#VALUE!</v>
      </c>
      <c r="F10" s="84" t="e">
        <f t="shared" si="0"/>
        <v>#VALUE!</v>
      </c>
      <c r="G10" t="e">
        <f>I9*'Current vaccine model'!$H10*HelperFunctions!$R7</f>
        <v>#VALUE!</v>
      </c>
      <c r="H10" t="e">
        <f>I9*'Current vaccine model'!$H10*Export!$L8</f>
        <v>#VALUE!</v>
      </c>
      <c r="I10" s="84" t="e">
        <f t="shared" si="1"/>
        <v>#VALUE!</v>
      </c>
      <c r="J10" t="e">
        <f>L9*'Current vaccine model'!$H10*HelperFunctions!$R6</f>
        <v>#VALUE!</v>
      </c>
      <c r="K10" t="e">
        <f>L9*'Current vaccine model'!$H10*Export!$L8</f>
        <v>#VALUE!</v>
      </c>
      <c r="L10" s="84" t="e">
        <f t="shared" si="2"/>
        <v>#VALUE!</v>
      </c>
      <c r="M10" t="e">
        <f>O9*'Current vaccine model'!$H10*HelperFunctions!$R5</f>
        <v>#VALUE!</v>
      </c>
      <c r="N10" t="e">
        <f>O9*'Current vaccine model'!$H10*Export!$L8</f>
        <v>#VALUE!</v>
      </c>
      <c r="O10" s="84" t="e">
        <f t="shared" si="3"/>
        <v>#VALUE!</v>
      </c>
      <c r="P10" t="e">
        <f>R9*'Current vaccine model'!$H10*HelperFunctions!$R4</f>
        <v>#VALUE!</v>
      </c>
      <c r="Q10" t="e">
        <f>R9*'Current vaccine model'!$H10*Export!$L8</f>
        <v>#VALUE!</v>
      </c>
      <c r="R10" s="84" t="e">
        <f t="shared" ref="R10:R63" si="4">R9-P10-Q10</f>
        <v>#VALUE!</v>
      </c>
      <c r="S10" t="e">
        <f>U9*'Current vaccine model'!$H10*HelperFunctions!$R3</f>
        <v>#VALUE!</v>
      </c>
      <c r="T10" t="e">
        <f>U9*'Current vaccine model'!$H10*Export!$L8</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F10*'Current vaccine model'!$H11*HelperFunctions!$R9</f>
        <v>#VALUE!</v>
      </c>
      <c r="E11" t="e">
        <f>F10*'Current vaccine model'!$H11*Export!$L9</f>
        <v>#VALUE!</v>
      </c>
      <c r="F11" s="84" t="e">
        <f t="shared" si="0"/>
        <v>#VALUE!</v>
      </c>
      <c r="G11" t="e">
        <f>I10*'Current vaccine model'!$H11*HelperFunctions!$R8</f>
        <v>#VALUE!</v>
      </c>
      <c r="H11" t="e">
        <f>I10*'Current vaccine model'!$H11*Export!$L9</f>
        <v>#VALUE!</v>
      </c>
      <c r="I11" s="84" t="e">
        <f t="shared" si="1"/>
        <v>#VALUE!</v>
      </c>
      <c r="J11" t="e">
        <f>L10*'Current vaccine model'!$H11*HelperFunctions!$R7</f>
        <v>#VALUE!</v>
      </c>
      <c r="K11" t="e">
        <f>L10*'Current vaccine model'!$H11*Export!$L9</f>
        <v>#VALUE!</v>
      </c>
      <c r="L11" s="84" t="e">
        <f t="shared" si="2"/>
        <v>#VALUE!</v>
      </c>
      <c r="M11" t="e">
        <f>O10*'Current vaccine model'!$H11*HelperFunctions!$R6</f>
        <v>#VALUE!</v>
      </c>
      <c r="N11" t="e">
        <f>O10*'Current vaccine model'!$H11*Export!$L9</f>
        <v>#VALUE!</v>
      </c>
      <c r="O11" s="84" t="e">
        <f t="shared" si="3"/>
        <v>#VALUE!</v>
      </c>
      <c r="P11" t="e">
        <f>R10*'Current vaccine model'!$H11*HelperFunctions!$R5</f>
        <v>#VALUE!</v>
      </c>
      <c r="Q11" t="e">
        <f>R10*'Current vaccine model'!$H11*Export!$L9</f>
        <v>#VALUE!</v>
      </c>
      <c r="R11" s="84" t="e">
        <f t="shared" si="4"/>
        <v>#VALUE!</v>
      </c>
      <c r="S11" t="e">
        <f>U10*'Current vaccine model'!$H11*HelperFunctions!$R4</f>
        <v>#VALUE!</v>
      </c>
      <c r="T11" t="e">
        <f>U10*'Current vaccine model'!$H11*Export!$L9</f>
        <v>#VALUE!</v>
      </c>
      <c r="U11" s="84" t="e">
        <f t="shared" ref="U11:U63" si="5">U10-S11-T11</f>
        <v>#VALUE!</v>
      </c>
      <c r="V11" t="e">
        <f>X10*'Current vaccine model'!$H11*HelperFunctions!$R3</f>
        <v>#VALUE!</v>
      </c>
      <c r="W11" t="e">
        <f>X10*'Current vaccine model'!$H11*Export!$L9</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F11*'Current vaccine model'!$H12*HelperFunctions!$R10</f>
        <v>#VALUE!</v>
      </c>
      <c r="E12" t="e">
        <f>F11*'Current vaccine model'!$H12*Export!$L10</f>
        <v>#VALUE!</v>
      </c>
      <c r="F12" s="84" t="e">
        <f t="shared" si="0"/>
        <v>#VALUE!</v>
      </c>
      <c r="G12" t="e">
        <f>I11*'Current vaccine model'!$H12*HelperFunctions!$R9</f>
        <v>#VALUE!</v>
      </c>
      <c r="H12" t="e">
        <f>I11*'Current vaccine model'!$H12*Export!$L10</f>
        <v>#VALUE!</v>
      </c>
      <c r="I12" s="84" t="e">
        <f t="shared" si="1"/>
        <v>#VALUE!</v>
      </c>
      <c r="J12" t="e">
        <f>L11*'Current vaccine model'!$H12*HelperFunctions!$R8</f>
        <v>#VALUE!</v>
      </c>
      <c r="K12" t="e">
        <f>L11*'Current vaccine model'!$H12*Export!$L10</f>
        <v>#VALUE!</v>
      </c>
      <c r="L12" s="84" t="e">
        <f t="shared" si="2"/>
        <v>#VALUE!</v>
      </c>
      <c r="M12" t="e">
        <f>O11*'Current vaccine model'!$H12*HelperFunctions!$R7</f>
        <v>#VALUE!</v>
      </c>
      <c r="N12" t="e">
        <f>O11*'Current vaccine model'!$H12*Export!$L10</f>
        <v>#VALUE!</v>
      </c>
      <c r="O12" s="84" t="e">
        <f t="shared" si="3"/>
        <v>#VALUE!</v>
      </c>
      <c r="P12" t="e">
        <f>R11*'Current vaccine model'!$H12*HelperFunctions!$R6</f>
        <v>#VALUE!</v>
      </c>
      <c r="Q12" t="e">
        <f>R11*'Current vaccine model'!$H12*Export!$L10</f>
        <v>#VALUE!</v>
      </c>
      <c r="R12" s="84" t="e">
        <f t="shared" si="4"/>
        <v>#VALUE!</v>
      </c>
      <c r="S12" t="e">
        <f>U11*'Current vaccine model'!$H12*HelperFunctions!$R5</f>
        <v>#VALUE!</v>
      </c>
      <c r="T12" t="e">
        <f>U11*'Current vaccine model'!$H12*Export!$L10</f>
        <v>#VALUE!</v>
      </c>
      <c r="U12" s="84" t="e">
        <f t="shared" si="5"/>
        <v>#VALUE!</v>
      </c>
      <c r="V12" t="e">
        <f>X11*'Current vaccine model'!$H12*HelperFunctions!$R4</f>
        <v>#VALUE!</v>
      </c>
      <c r="W12" t="e">
        <f>X11*'Current vaccine model'!$H12*Export!$L10</f>
        <v>#VALUE!</v>
      </c>
      <c r="X12" s="84" t="e">
        <f t="shared" ref="X12:X63" si="6">X11-V12-W12</f>
        <v>#VALUE!</v>
      </c>
      <c r="Y12" t="e">
        <f>AA11*'Current vaccine model'!$H12*HelperFunctions!$R3</f>
        <v>#VALUE!</v>
      </c>
      <c r="Z12" t="e">
        <f>AA11*'Current vaccine model'!$H12*Export!$L10</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F12*'Current vaccine model'!$H13*HelperFunctions!$R11</f>
        <v>#VALUE!</v>
      </c>
      <c r="E13" t="e">
        <f>F12*'Current vaccine model'!$H13*Export!$L11</f>
        <v>#VALUE!</v>
      </c>
      <c r="F13" s="84" t="e">
        <f t="shared" si="0"/>
        <v>#VALUE!</v>
      </c>
      <c r="G13" t="e">
        <f>I12*'Current vaccine model'!$H13*HelperFunctions!$R10</f>
        <v>#VALUE!</v>
      </c>
      <c r="H13" t="e">
        <f>I12*'Current vaccine model'!$H13*Export!$L11</f>
        <v>#VALUE!</v>
      </c>
      <c r="I13" s="84" t="e">
        <f t="shared" si="1"/>
        <v>#VALUE!</v>
      </c>
      <c r="J13" t="e">
        <f>L12*'Current vaccine model'!$H13*HelperFunctions!$R9</f>
        <v>#VALUE!</v>
      </c>
      <c r="K13" t="e">
        <f>L12*'Current vaccine model'!$H13*Export!$L11</f>
        <v>#VALUE!</v>
      </c>
      <c r="L13" s="84" t="e">
        <f t="shared" si="2"/>
        <v>#VALUE!</v>
      </c>
      <c r="M13" t="e">
        <f>O12*'Current vaccine model'!$H13*HelperFunctions!$R8</f>
        <v>#VALUE!</v>
      </c>
      <c r="N13" t="e">
        <f>O12*'Current vaccine model'!$H13*Export!$L11</f>
        <v>#VALUE!</v>
      </c>
      <c r="O13" s="84" t="e">
        <f t="shared" si="3"/>
        <v>#VALUE!</v>
      </c>
      <c r="P13" t="e">
        <f>R12*'Current vaccine model'!$H13*HelperFunctions!$R7</f>
        <v>#VALUE!</v>
      </c>
      <c r="Q13" t="e">
        <f>R12*'Current vaccine model'!$H13*Export!$L11</f>
        <v>#VALUE!</v>
      </c>
      <c r="R13" s="84" t="e">
        <f t="shared" si="4"/>
        <v>#VALUE!</v>
      </c>
      <c r="S13" t="e">
        <f>U12*'Current vaccine model'!$H13*HelperFunctions!$R6</f>
        <v>#VALUE!</v>
      </c>
      <c r="T13" t="e">
        <f>U12*'Current vaccine model'!$H13*Export!$L11</f>
        <v>#VALUE!</v>
      </c>
      <c r="U13" s="84" t="e">
        <f t="shared" si="5"/>
        <v>#VALUE!</v>
      </c>
      <c r="V13" t="e">
        <f>X12*'Current vaccine model'!$H13*HelperFunctions!$R5</f>
        <v>#VALUE!</v>
      </c>
      <c r="W13" t="e">
        <f>X12*'Current vaccine model'!$H13*Export!$L11</f>
        <v>#VALUE!</v>
      </c>
      <c r="X13" s="84" t="e">
        <f t="shared" si="6"/>
        <v>#VALUE!</v>
      </c>
      <c r="Y13" t="e">
        <f>AA12*'Current vaccine model'!$H13*HelperFunctions!$R4</f>
        <v>#VALUE!</v>
      </c>
      <c r="Z13" t="e">
        <f>AA12*'Current vaccine model'!$H13*Export!$L11</f>
        <v>#VALUE!</v>
      </c>
      <c r="AA13" s="84" t="e">
        <f t="shared" ref="AA13:AA63" si="7">AA12-Y13-Z13</f>
        <v>#VALUE!</v>
      </c>
      <c r="AB13" t="e">
        <f>AD12*'Current vaccine model'!$H13*HelperFunctions!$R3</f>
        <v>#VALUE!</v>
      </c>
      <c r="AC13" t="e">
        <f>AD12*'Current vaccine model'!$H13*Export!$L11</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F13*'Current vaccine model'!$H14*HelperFunctions!$R12</f>
        <v>#VALUE!</v>
      </c>
      <c r="E14" t="e">
        <f>F13*'Current vaccine model'!$H14*Export!$L12</f>
        <v>#VALUE!</v>
      </c>
      <c r="F14" s="84" t="e">
        <f t="shared" si="0"/>
        <v>#VALUE!</v>
      </c>
      <c r="G14" t="e">
        <f>I13*'Current vaccine model'!$H14*HelperFunctions!$R11</f>
        <v>#VALUE!</v>
      </c>
      <c r="H14" t="e">
        <f>I13*'Current vaccine model'!$H14*Export!$L12</f>
        <v>#VALUE!</v>
      </c>
      <c r="I14" s="84" t="e">
        <f t="shared" si="1"/>
        <v>#VALUE!</v>
      </c>
      <c r="J14" t="e">
        <f>L13*'Current vaccine model'!$H14*HelperFunctions!$R10</f>
        <v>#VALUE!</v>
      </c>
      <c r="K14" t="e">
        <f>L13*'Current vaccine model'!$H14*Export!$L12</f>
        <v>#VALUE!</v>
      </c>
      <c r="L14" s="84" t="e">
        <f t="shared" si="2"/>
        <v>#VALUE!</v>
      </c>
      <c r="M14" t="e">
        <f>O13*'Current vaccine model'!$H14*HelperFunctions!$R9</f>
        <v>#VALUE!</v>
      </c>
      <c r="N14" t="e">
        <f>O13*'Current vaccine model'!$H14*Export!$L12</f>
        <v>#VALUE!</v>
      </c>
      <c r="O14" s="84" t="e">
        <f t="shared" si="3"/>
        <v>#VALUE!</v>
      </c>
      <c r="P14" t="e">
        <f>R13*'Current vaccine model'!$H14*HelperFunctions!$R8</f>
        <v>#VALUE!</v>
      </c>
      <c r="Q14" t="e">
        <f>R13*'Current vaccine model'!$H14*Export!$L12</f>
        <v>#VALUE!</v>
      </c>
      <c r="R14" s="84" t="e">
        <f t="shared" si="4"/>
        <v>#VALUE!</v>
      </c>
      <c r="S14" t="e">
        <f>U13*'Current vaccine model'!$H14*HelperFunctions!$R7</f>
        <v>#VALUE!</v>
      </c>
      <c r="T14" t="e">
        <f>U13*'Current vaccine model'!$H14*Export!$L12</f>
        <v>#VALUE!</v>
      </c>
      <c r="U14" s="84" t="e">
        <f t="shared" si="5"/>
        <v>#VALUE!</v>
      </c>
      <c r="V14" t="e">
        <f>X13*'Current vaccine model'!$H14*HelperFunctions!$R6</f>
        <v>#VALUE!</v>
      </c>
      <c r="W14" t="e">
        <f>X13*'Current vaccine model'!$H14*Export!$L12</f>
        <v>#VALUE!</v>
      </c>
      <c r="X14" s="84" t="e">
        <f t="shared" si="6"/>
        <v>#VALUE!</v>
      </c>
      <c r="Y14" t="e">
        <f>AA13*'Current vaccine model'!$H14*HelperFunctions!$R5</f>
        <v>#VALUE!</v>
      </c>
      <c r="Z14" t="e">
        <f>AA13*'Current vaccine model'!$H14*Export!$L12</f>
        <v>#VALUE!</v>
      </c>
      <c r="AA14" s="84" t="e">
        <f t="shared" si="7"/>
        <v>#VALUE!</v>
      </c>
      <c r="AB14" t="e">
        <f>AD13*'Current vaccine model'!$H14*HelperFunctions!$R4</f>
        <v>#VALUE!</v>
      </c>
      <c r="AC14" t="e">
        <f>AD13*'Current vaccine model'!$H14*Export!$L12</f>
        <v>#VALUE!</v>
      </c>
      <c r="AD14" s="84" t="e">
        <f t="shared" ref="AD14:AD63" si="8">AD13-AB14-AC14</f>
        <v>#VALUE!</v>
      </c>
      <c r="AE14" t="e">
        <f>AG13*'Current vaccine model'!$H14*HelperFunctions!$R3</f>
        <v>#VALUE!</v>
      </c>
      <c r="AF14" t="e">
        <f>AG13*'Current vaccine model'!$H14*Export!$L12</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F14*'Current vaccine model'!$H15*HelperFunctions!$R13</f>
        <v>#VALUE!</v>
      </c>
      <c r="E15" t="e">
        <f>F14*'Current vaccine model'!$H15*Export!$L13</f>
        <v>#VALUE!</v>
      </c>
      <c r="F15" s="84" t="e">
        <f t="shared" si="0"/>
        <v>#VALUE!</v>
      </c>
      <c r="G15" t="e">
        <f>I14*'Current vaccine model'!$H15*HelperFunctions!$R12</f>
        <v>#VALUE!</v>
      </c>
      <c r="H15" t="e">
        <f>I14*'Current vaccine model'!$H15*Export!$L13</f>
        <v>#VALUE!</v>
      </c>
      <c r="I15" s="84" t="e">
        <f t="shared" si="1"/>
        <v>#VALUE!</v>
      </c>
      <c r="J15" t="e">
        <f>L14*'Current vaccine model'!$H15*HelperFunctions!$R11</f>
        <v>#VALUE!</v>
      </c>
      <c r="K15" t="e">
        <f>L14*'Current vaccine model'!$H15*Export!$L13</f>
        <v>#VALUE!</v>
      </c>
      <c r="L15" s="84" t="e">
        <f t="shared" si="2"/>
        <v>#VALUE!</v>
      </c>
      <c r="M15" t="e">
        <f>O14*'Current vaccine model'!$H15*HelperFunctions!$R10</f>
        <v>#VALUE!</v>
      </c>
      <c r="N15" t="e">
        <f>O14*'Current vaccine model'!$H15*Export!$L13</f>
        <v>#VALUE!</v>
      </c>
      <c r="O15" s="84" t="e">
        <f t="shared" si="3"/>
        <v>#VALUE!</v>
      </c>
      <c r="P15" t="e">
        <f>R14*'Current vaccine model'!$H15*HelperFunctions!$R9</f>
        <v>#VALUE!</v>
      </c>
      <c r="Q15" t="e">
        <f>R14*'Current vaccine model'!$H15*Export!$L13</f>
        <v>#VALUE!</v>
      </c>
      <c r="R15" s="84" t="e">
        <f t="shared" si="4"/>
        <v>#VALUE!</v>
      </c>
      <c r="S15" t="e">
        <f>U14*'Current vaccine model'!$H15*HelperFunctions!$R8</f>
        <v>#VALUE!</v>
      </c>
      <c r="T15" t="e">
        <f>U14*'Current vaccine model'!$H15*Export!$L13</f>
        <v>#VALUE!</v>
      </c>
      <c r="U15" s="84" t="e">
        <f t="shared" si="5"/>
        <v>#VALUE!</v>
      </c>
      <c r="V15" t="e">
        <f>X14*'Current vaccine model'!$H15*HelperFunctions!$R7</f>
        <v>#VALUE!</v>
      </c>
      <c r="W15" t="e">
        <f>X14*'Current vaccine model'!$H15*Export!$L13</f>
        <v>#VALUE!</v>
      </c>
      <c r="X15" s="84" t="e">
        <f t="shared" si="6"/>
        <v>#VALUE!</v>
      </c>
      <c r="Y15" t="e">
        <f>AA14*'Current vaccine model'!$H15*HelperFunctions!$R6</f>
        <v>#VALUE!</v>
      </c>
      <c r="Z15" t="e">
        <f>AA14*'Current vaccine model'!$H15*Export!$L13</f>
        <v>#VALUE!</v>
      </c>
      <c r="AA15" s="84" t="e">
        <f t="shared" si="7"/>
        <v>#VALUE!</v>
      </c>
      <c r="AB15" t="e">
        <f>AD14*'Current vaccine model'!$H15*HelperFunctions!$R5</f>
        <v>#VALUE!</v>
      </c>
      <c r="AC15" t="e">
        <f>AD14*'Current vaccine model'!$H15*Export!$L13</f>
        <v>#VALUE!</v>
      </c>
      <c r="AD15" s="84" t="e">
        <f t="shared" si="8"/>
        <v>#VALUE!</v>
      </c>
      <c r="AE15" t="e">
        <f>AG14*'Current vaccine model'!$H15*HelperFunctions!$R4</f>
        <v>#VALUE!</v>
      </c>
      <c r="AF15" t="e">
        <f>AG14*'Current vaccine model'!$H15*Export!$L13</f>
        <v>#VALUE!</v>
      </c>
      <c r="AG15" s="84" t="e">
        <f t="shared" ref="AG15:AG63" si="9">AG14-AE15-AF15</f>
        <v>#VALUE!</v>
      </c>
      <c r="AH15" t="e">
        <f>AJ14*'Current vaccine model'!$H15*HelperFunctions!$R3</f>
        <v>#VALUE!</v>
      </c>
      <c r="AI15" t="e">
        <f>AJ14*'Current vaccine model'!$H15*Export!$L13</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F15*'Current vaccine model'!$H16*HelperFunctions!$R$14</f>
        <v>#VALUE!</v>
      </c>
      <c r="E16" t="e">
        <f>F15*'Current vaccine model'!$H16*Export!$L14</f>
        <v>#VALUE!</v>
      </c>
      <c r="F16" s="84" t="e">
        <f t="shared" si="0"/>
        <v>#VALUE!</v>
      </c>
      <c r="G16" t="e">
        <f>I15*'Current vaccine model'!$H16*HelperFunctions!$R13</f>
        <v>#VALUE!</v>
      </c>
      <c r="H16" t="e">
        <f>I15*'Current vaccine model'!$H16*Export!$L14</f>
        <v>#VALUE!</v>
      </c>
      <c r="I16" s="84" t="e">
        <f t="shared" si="1"/>
        <v>#VALUE!</v>
      </c>
      <c r="J16" t="e">
        <f>L15*'Current vaccine model'!$H16*HelperFunctions!$R12</f>
        <v>#VALUE!</v>
      </c>
      <c r="K16" t="e">
        <f>L15*'Current vaccine model'!$H16*Export!$L14</f>
        <v>#VALUE!</v>
      </c>
      <c r="L16" s="84" t="e">
        <f t="shared" si="2"/>
        <v>#VALUE!</v>
      </c>
      <c r="M16" t="e">
        <f>O15*'Current vaccine model'!$H16*HelperFunctions!$R11</f>
        <v>#VALUE!</v>
      </c>
      <c r="N16" t="e">
        <f>O15*'Current vaccine model'!$H16*Export!$L14</f>
        <v>#VALUE!</v>
      </c>
      <c r="O16" s="84" t="e">
        <f t="shared" si="3"/>
        <v>#VALUE!</v>
      </c>
      <c r="P16" t="e">
        <f>R15*'Current vaccine model'!$H16*HelperFunctions!$R10</f>
        <v>#VALUE!</v>
      </c>
      <c r="Q16" t="e">
        <f>R15*'Current vaccine model'!$H16*Export!$L14</f>
        <v>#VALUE!</v>
      </c>
      <c r="R16" s="84" t="e">
        <f t="shared" si="4"/>
        <v>#VALUE!</v>
      </c>
      <c r="S16" t="e">
        <f>U15*'Current vaccine model'!$H16*HelperFunctions!$R9</f>
        <v>#VALUE!</v>
      </c>
      <c r="T16" t="e">
        <f>U15*'Current vaccine model'!$H16*Export!$L14</f>
        <v>#VALUE!</v>
      </c>
      <c r="U16" s="84" t="e">
        <f t="shared" si="5"/>
        <v>#VALUE!</v>
      </c>
      <c r="V16" t="e">
        <f>X15*'Current vaccine model'!$H16*HelperFunctions!$R8</f>
        <v>#VALUE!</v>
      </c>
      <c r="W16" t="e">
        <f>X15*'Current vaccine model'!$H16*Export!$L14</f>
        <v>#VALUE!</v>
      </c>
      <c r="X16" s="84" t="e">
        <f t="shared" si="6"/>
        <v>#VALUE!</v>
      </c>
      <c r="Y16" t="e">
        <f>AA15*'Current vaccine model'!$H16*HelperFunctions!$R7</f>
        <v>#VALUE!</v>
      </c>
      <c r="Z16" t="e">
        <f>AA15*'Current vaccine model'!$H16*Export!$L14</f>
        <v>#VALUE!</v>
      </c>
      <c r="AA16" s="84" t="e">
        <f t="shared" si="7"/>
        <v>#VALUE!</v>
      </c>
      <c r="AB16" t="e">
        <f>AD15*'Current vaccine model'!$H16*HelperFunctions!$R6</f>
        <v>#VALUE!</v>
      </c>
      <c r="AC16" t="e">
        <f>AD15*'Current vaccine model'!$H16*Export!$L14</f>
        <v>#VALUE!</v>
      </c>
      <c r="AD16" s="84" t="e">
        <f t="shared" si="8"/>
        <v>#VALUE!</v>
      </c>
      <c r="AE16" t="e">
        <f>AG15*'Current vaccine model'!$H16*HelperFunctions!$R5</f>
        <v>#VALUE!</v>
      </c>
      <c r="AF16" t="e">
        <f>AG15*'Current vaccine model'!$H16*Export!$L14</f>
        <v>#VALUE!</v>
      </c>
      <c r="AG16" s="84" t="e">
        <f t="shared" si="9"/>
        <v>#VALUE!</v>
      </c>
      <c r="AH16" t="e">
        <f>AJ15*'Current vaccine model'!$H16*HelperFunctions!$R4</f>
        <v>#VALUE!</v>
      </c>
      <c r="AI16" t="e">
        <f>AJ15*'Current vaccine model'!$H16*Export!$L14</f>
        <v>#VALUE!</v>
      </c>
      <c r="AJ16" s="84" t="e">
        <f t="shared" ref="AJ16:AJ63" si="10">AJ15-AH16-AI16</f>
        <v>#VALUE!</v>
      </c>
      <c r="AK16" t="e">
        <f>AM15*'Current vaccine model'!$H16*HelperFunctions!$R3</f>
        <v>#VALUE!</v>
      </c>
      <c r="AL16" t="e">
        <f>AM15*'Current vaccine model'!$H16*Export!$L14</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F16*'Current vaccine model'!$H17*HelperFunctions!$R$14</f>
        <v>#VALUE!</v>
      </c>
      <c r="E17" t="e">
        <f>F16*'Current vaccine model'!$H17*Export!$L15</f>
        <v>#VALUE!</v>
      </c>
      <c r="F17" s="84" t="e">
        <f t="shared" si="0"/>
        <v>#VALUE!</v>
      </c>
      <c r="G17" t="e">
        <f>I16*'Current vaccine model'!$H17*HelperFunctions!$R$14</f>
        <v>#VALUE!</v>
      </c>
      <c r="H17" t="e">
        <f>I16*'Current vaccine model'!$H17*Export!$L15</f>
        <v>#VALUE!</v>
      </c>
      <c r="I17" s="84" t="e">
        <f t="shared" si="1"/>
        <v>#VALUE!</v>
      </c>
      <c r="J17" t="e">
        <f>L16*'Current vaccine model'!$H17*HelperFunctions!$R13</f>
        <v>#VALUE!</v>
      </c>
      <c r="K17" t="e">
        <f>L16*'Current vaccine model'!$H17*Export!$L15</f>
        <v>#VALUE!</v>
      </c>
      <c r="L17" s="84" t="e">
        <f t="shared" si="2"/>
        <v>#VALUE!</v>
      </c>
      <c r="M17" t="e">
        <f>O16*'Current vaccine model'!$H17*HelperFunctions!$R12</f>
        <v>#VALUE!</v>
      </c>
      <c r="N17" t="e">
        <f>O16*'Current vaccine model'!$H17*Export!$L15</f>
        <v>#VALUE!</v>
      </c>
      <c r="O17" s="84" t="e">
        <f t="shared" si="3"/>
        <v>#VALUE!</v>
      </c>
      <c r="P17" t="e">
        <f>R16*'Current vaccine model'!$H17*HelperFunctions!$R11</f>
        <v>#VALUE!</v>
      </c>
      <c r="Q17" t="e">
        <f>R16*'Current vaccine model'!$H17*Export!$L15</f>
        <v>#VALUE!</v>
      </c>
      <c r="R17" s="84" t="e">
        <f t="shared" si="4"/>
        <v>#VALUE!</v>
      </c>
      <c r="S17" t="e">
        <f>U16*'Current vaccine model'!$H17*HelperFunctions!$R10</f>
        <v>#VALUE!</v>
      </c>
      <c r="T17" t="e">
        <f>U16*'Current vaccine model'!$H17*Export!$L15</f>
        <v>#VALUE!</v>
      </c>
      <c r="U17" s="84" t="e">
        <f t="shared" si="5"/>
        <v>#VALUE!</v>
      </c>
      <c r="V17" t="e">
        <f>X16*'Current vaccine model'!$H17*HelperFunctions!$R9</f>
        <v>#VALUE!</v>
      </c>
      <c r="W17" t="e">
        <f>X16*'Current vaccine model'!$H17*Export!$L15</f>
        <v>#VALUE!</v>
      </c>
      <c r="X17" s="84" t="e">
        <f t="shared" si="6"/>
        <v>#VALUE!</v>
      </c>
      <c r="Y17" t="e">
        <f>AA16*'Current vaccine model'!$H17*HelperFunctions!$R8</f>
        <v>#VALUE!</v>
      </c>
      <c r="Z17" t="e">
        <f>AA16*'Current vaccine model'!$H17*Export!$L15</f>
        <v>#VALUE!</v>
      </c>
      <c r="AA17" s="84" t="e">
        <f t="shared" si="7"/>
        <v>#VALUE!</v>
      </c>
      <c r="AB17" t="e">
        <f>AD16*'Current vaccine model'!$H17*HelperFunctions!$R7</f>
        <v>#VALUE!</v>
      </c>
      <c r="AC17" t="e">
        <f>AD16*'Current vaccine model'!$H17*Export!$L15</f>
        <v>#VALUE!</v>
      </c>
      <c r="AD17" s="84" t="e">
        <f t="shared" si="8"/>
        <v>#VALUE!</v>
      </c>
      <c r="AE17" t="e">
        <f>AG16*'Current vaccine model'!$H17*HelperFunctions!$R6</f>
        <v>#VALUE!</v>
      </c>
      <c r="AF17" t="e">
        <f>AG16*'Current vaccine model'!$H17*Export!$L15</f>
        <v>#VALUE!</v>
      </c>
      <c r="AG17" s="84" t="e">
        <f t="shared" si="9"/>
        <v>#VALUE!</v>
      </c>
      <c r="AH17" t="e">
        <f>AJ16*'Current vaccine model'!$H17*HelperFunctions!$R5</f>
        <v>#VALUE!</v>
      </c>
      <c r="AI17" t="e">
        <f>AJ16*'Current vaccine model'!$H17*Export!$L15</f>
        <v>#VALUE!</v>
      </c>
      <c r="AJ17" s="84" t="e">
        <f t="shared" si="10"/>
        <v>#VALUE!</v>
      </c>
      <c r="AK17" t="e">
        <f>AM16*'Current vaccine model'!$H17*HelperFunctions!$R4</f>
        <v>#VALUE!</v>
      </c>
      <c r="AL17" t="e">
        <f>AM16*'Current vaccine model'!$H17*Export!$L15</f>
        <v>#VALUE!</v>
      </c>
      <c r="AM17" s="84" t="e">
        <f t="shared" ref="AM17:AM63" si="11">AM16-AK17-AL17</f>
        <v>#VALUE!</v>
      </c>
      <c r="AN17" t="e">
        <f>AP16*'Current vaccine model'!$H17*HelperFunctions!$R17</f>
        <v>#VALUE!</v>
      </c>
      <c r="AO17" t="e">
        <f>AP16*'Current vaccine model'!$H17*Export!$L15</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F17*'Current vaccine model'!$H18*HelperFunctions!$R$14</f>
        <v>#VALUE!</v>
      </c>
      <c r="E18" t="e">
        <f>F17*'Current vaccine model'!$H18*Export!$L16</f>
        <v>#VALUE!</v>
      </c>
      <c r="F18" s="84" t="e">
        <f t="shared" si="0"/>
        <v>#VALUE!</v>
      </c>
      <c r="G18" t="e">
        <f>I17*'Current vaccine model'!$H18*HelperFunctions!$R$14</f>
        <v>#VALUE!</v>
      </c>
      <c r="H18" t="e">
        <f>I17*'Current vaccine model'!$H18*Export!$L16</f>
        <v>#VALUE!</v>
      </c>
      <c r="I18" s="84" t="e">
        <f t="shared" si="1"/>
        <v>#VALUE!</v>
      </c>
      <c r="J18" t="e">
        <f>L17*'Current vaccine model'!$H18*HelperFunctions!$R$14</f>
        <v>#VALUE!</v>
      </c>
      <c r="K18" t="e">
        <f>L17*'Current vaccine model'!$H18*Export!$L16</f>
        <v>#VALUE!</v>
      </c>
      <c r="L18" s="84" t="e">
        <f t="shared" si="2"/>
        <v>#VALUE!</v>
      </c>
      <c r="M18" t="e">
        <f>O17*'Current vaccine model'!$H18*HelperFunctions!$R13</f>
        <v>#VALUE!</v>
      </c>
      <c r="N18" t="e">
        <f>O17*'Current vaccine model'!$H18*Export!$L16</f>
        <v>#VALUE!</v>
      </c>
      <c r="O18" s="84" t="e">
        <f t="shared" si="3"/>
        <v>#VALUE!</v>
      </c>
      <c r="P18" t="e">
        <f>R17*'Current vaccine model'!$H18*HelperFunctions!$R12</f>
        <v>#VALUE!</v>
      </c>
      <c r="Q18" t="e">
        <f>R17*'Current vaccine model'!$H18*Export!$L16</f>
        <v>#VALUE!</v>
      </c>
      <c r="R18" s="84" t="e">
        <f t="shared" si="4"/>
        <v>#VALUE!</v>
      </c>
      <c r="S18" t="e">
        <f>U17*'Current vaccine model'!$H18*HelperFunctions!$R11</f>
        <v>#VALUE!</v>
      </c>
      <c r="T18" t="e">
        <f>U17*'Current vaccine model'!$H18*Export!$L16</f>
        <v>#VALUE!</v>
      </c>
      <c r="U18" s="84" t="e">
        <f t="shared" si="5"/>
        <v>#VALUE!</v>
      </c>
      <c r="V18" t="e">
        <f>X17*'Current vaccine model'!$H18*HelperFunctions!$R10</f>
        <v>#VALUE!</v>
      </c>
      <c r="W18" t="e">
        <f>X17*'Current vaccine model'!$H18*Export!$L16</f>
        <v>#VALUE!</v>
      </c>
      <c r="X18" s="84" t="e">
        <f t="shared" si="6"/>
        <v>#VALUE!</v>
      </c>
      <c r="Y18" t="e">
        <f>AA17*'Current vaccine model'!$H18*HelperFunctions!$R9</f>
        <v>#VALUE!</v>
      </c>
      <c r="Z18" t="e">
        <f>AA17*'Current vaccine model'!$H18*Export!$L16</f>
        <v>#VALUE!</v>
      </c>
      <c r="AA18" s="84" t="e">
        <f t="shared" si="7"/>
        <v>#VALUE!</v>
      </c>
      <c r="AB18" t="e">
        <f>AD17*'Current vaccine model'!$H18*HelperFunctions!$R8</f>
        <v>#VALUE!</v>
      </c>
      <c r="AC18" t="e">
        <f>AD17*'Current vaccine model'!$H18*Export!$L16</f>
        <v>#VALUE!</v>
      </c>
      <c r="AD18" s="84" t="e">
        <f t="shared" si="8"/>
        <v>#VALUE!</v>
      </c>
      <c r="AE18" t="e">
        <f>AG17*'Current vaccine model'!$H18*HelperFunctions!$R7</f>
        <v>#VALUE!</v>
      </c>
      <c r="AF18" t="e">
        <f>AG17*'Current vaccine model'!$H18*Export!$L16</f>
        <v>#VALUE!</v>
      </c>
      <c r="AG18" s="84" t="e">
        <f t="shared" si="9"/>
        <v>#VALUE!</v>
      </c>
      <c r="AH18" t="e">
        <f>AJ17*'Current vaccine model'!$H18*HelperFunctions!$R6</f>
        <v>#VALUE!</v>
      </c>
      <c r="AI18" t="e">
        <f>AJ17*'Current vaccine model'!$H18*Export!$L16</f>
        <v>#VALUE!</v>
      </c>
      <c r="AJ18" s="84" t="e">
        <f t="shared" si="10"/>
        <v>#VALUE!</v>
      </c>
      <c r="AK18" t="e">
        <f>AM17*'Current vaccine model'!$H18*HelperFunctions!$R5</f>
        <v>#VALUE!</v>
      </c>
      <c r="AL18" t="e">
        <f>AM17*'Current vaccine model'!$H18*Export!$L16</f>
        <v>#VALUE!</v>
      </c>
      <c r="AM18" s="84" t="e">
        <f t="shared" si="11"/>
        <v>#VALUE!</v>
      </c>
      <c r="AN18" t="e">
        <f>AP17*'Current vaccine model'!$H18*HelperFunctions!$R18</f>
        <v>#VALUE!</v>
      </c>
      <c r="AO18" t="e">
        <f>AP17*'Current vaccine model'!$H18*Export!$L16</f>
        <v>#VALUE!</v>
      </c>
      <c r="AP18" s="84" t="e">
        <f t="shared" ref="AP18:AP63" si="12">AP17-AN18-AO18</f>
        <v>#VALUE!</v>
      </c>
      <c r="AQ18" t="e">
        <f>AS17*'Current vaccine model'!$H18*HelperFunctions!$R17</f>
        <v>#VALUE!</v>
      </c>
      <c r="AR18" t="e">
        <f>AS17*'Current vaccine model'!$H18*Export!$L16</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F18*'Current vaccine model'!$H19*HelperFunctions!$R$14</f>
        <v>#VALUE!</v>
      </c>
      <c r="E19" t="e">
        <f>F18*'Current vaccine model'!$H19*Export!$L17</f>
        <v>#VALUE!</v>
      </c>
      <c r="F19" s="84" t="e">
        <f t="shared" si="0"/>
        <v>#VALUE!</v>
      </c>
      <c r="G19" t="e">
        <f>I18*'Current vaccine model'!$H19*HelperFunctions!$R$14</f>
        <v>#VALUE!</v>
      </c>
      <c r="H19" t="e">
        <f>I18*'Current vaccine model'!$H19*Export!$L17</f>
        <v>#VALUE!</v>
      </c>
      <c r="I19" s="84" t="e">
        <f t="shared" si="1"/>
        <v>#VALUE!</v>
      </c>
      <c r="J19" t="e">
        <f>L18*'Current vaccine model'!$H19*HelperFunctions!$R$14</f>
        <v>#VALUE!</v>
      </c>
      <c r="K19" t="e">
        <f>L18*'Current vaccine model'!$H19*Export!$L17</f>
        <v>#VALUE!</v>
      </c>
      <c r="L19" s="84" t="e">
        <f t="shared" si="2"/>
        <v>#VALUE!</v>
      </c>
      <c r="M19" t="e">
        <f>O18*'Current vaccine model'!$H19*HelperFunctions!$R$14</f>
        <v>#VALUE!</v>
      </c>
      <c r="N19" t="e">
        <f>O18*'Current vaccine model'!$H19*Export!$L17</f>
        <v>#VALUE!</v>
      </c>
      <c r="O19" s="84" t="e">
        <f t="shared" si="3"/>
        <v>#VALUE!</v>
      </c>
      <c r="P19" t="e">
        <f>R18*'Current vaccine model'!$H19*HelperFunctions!$R13</f>
        <v>#VALUE!</v>
      </c>
      <c r="Q19" t="e">
        <f>R18*'Current vaccine model'!$H19*Export!$L17</f>
        <v>#VALUE!</v>
      </c>
      <c r="R19" s="84" t="e">
        <f t="shared" si="4"/>
        <v>#VALUE!</v>
      </c>
      <c r="S19" t="e">
        <f>U18*'Current vaccine model'!$H19*HelperFunctions!$R12</f>
        <v>#VALUE!</v>
      </c>
      <c r="T19" t="e">
        <f>U18*'Current vaccine model'!$H19*Export!$L17</f>
        <v>#VALUE!</v>
      </c>
      <c r="U19" s="84" t="e">
        <f t="shared" si="5"/>
        <v>#VALUE!</v>
      </c>
      <c r="V19" t="e">
        <f>X18*'Current vaccine model'!$H19*HelperFunctions!$R11</f>
        <v>#VALUE!</v>
      </c>
      <c r="W19" t="e">
        <f>X18*'Current vaccine model'!$H19*Export!$L17</f>
        <v>#VALUE!</v>
      </c>
      <c r="X19" s="84" t="e">
        <f t="shared" si="6"/>
        <v>#VALUE!</v>
      </c>
      <c r="Y19" t="e">
        <f>AA18*'Current vaccine model'!$H19*HelperFunctions!$R10</f>
        <v>#VALUE!</v>
      </c>
      <c r="Z19" t="e">
        <f>AA18*'Current vaccine model'!$H19*Export!$L17</f>
        <v>#VALUE!</v>
      </c>
      <c r="AA19" s="84" t="e">
        <f t="shared" si="7"/>
        <v>#VALUE!</v>
      </c>
      <c r="AB19" t="e">
        <f>AD18*'Current vaccine model'!$H19*HelperFunctions!$R9</f>
        <v>#VALUE!</v>
      </c>
      <c r="AC19" t="e">
        <f>AD18*'Current vaccine model'!$H19*Export!$L17</f>
        <v>#VALUE!</v>
      </c>
      <c r="AD19" s="84" t="e">
        <f t="shared" si="8"/>
        <v>#VALUE!</v>
      </c>
      <c r="AE19" t="e">
        <f>AG18*'Current vaccine model'!$H19*HelperFunctions!$R8</f>
        <v>#VALUE!</v>
      </c>
      <c r="AF19" t="e">
        <f>AG18*'Current vaccine model'!$H19*Export!$L17</f>
        <v>#VALUE!</v>
      </c>
      <c r="AG19" s="84" t="e">
        <f t="shared" si="9"/>
        <v>#VALUE!</v>
      </c>
      <c r="AH19" t="e">
        <f>AJ18*'Current vaccine model'!$H19*HelperFunctions!$R7</f>
        <v>#VALUE!</v>
      </c>
      <c r="AI19" t="e">
        <f>AJ18*'Current vaccine model'!$H19*Export!$L17</f>
        <v>#VALUE!</v>
      </c>
      <c r="AJ19" s="84" t="e">
        <f t="shared" si="10"/>
        <v>#VALUE!</v>
      </c>
      <c r="AK19" t="e">
        <f>AM18*'Current vaccine model'!$H19*HelperFunctions!$R6</f>
        <v>#VALUE!</v>
      </c>
      <c r="AL19" t="e">
        <f>AM18*'Current vaccine model'!$H19*Export!$L17</f>
        <v>#VALUE!</v>
      </c>
      <c r="AM19" s="84" t="e">
        <f t="shared" si="11"/>
        <v>#VALUE!</v>
      </c>
      <c r="AN19" t="e">
        <f>AP18*'Current vaccine model'!$H19*HelperFunctions!$R19</f>
        <v>#VALUE!</v>
      </c>
      <c r="AO19" t="e">
        <f>AP18*'Current vaccine model'!$H19*Export!$L17</f>
        <v>#VALUE!</v>
      </c>
      <c r="AP19" s="84" t="e">
        <f t="shared" si="12"/>
        <v>#VALUE!</v>
      </c>
      <c r="AQ19" t="e">
        <f>AS18*'Current vaccine model'!$H19*HelperFunctions!$R18</f>
        <v>#VALUE!</v>
      </c>
      <c r="AR19" t="e">
        <f>AS18*'Current vaccine model'!$H19*Export!$L17</f>
        <v>#VALUE!</v>
      </c>
      <c r="AS19" s="84" t="e">
        <f t="shared" ref="AS19:AS63" si="13">AS18-AQ19-AR19</f>
        <v>#VALUE!</v>
      </c>
      <c r="AT19" t="e">
        <f>AV18*'Current vaccine model'!$H19*HelperFunctions!$R17</f>
        <v>#VALUE!</v>
      </c>
      <c r="AU19" t="e">
        <f>AV18*'Current vaccine model'!$H19*Export!$L17</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F19*'Current vaccine model'!$H20*HelperFunctions!$R$14</f>
        <v>#VALUE!</v>
      </c>
      <c r="E20" t="e">
        <f>F19*'Current vaccine model'!$H20*Export!$L18</f>
        <v>#VALUE!</v>
      </c>
      <c r="F20" s="84" t="e">
        <f t="shared" si="0"/>
        <v>#VALUE!</v>
      </c>
      <c r="G20" t="e">
        <f>I19*'Current vaccine model'!$H20*HelperFunctions!$R$14</f>
        <v>#VALUE!</v>
      </c>
      <c r="H20" t="e">
        <f>I19*'Current vaccine model'!$H20*Export!$L18</f>
        <v>#VALUE!</v>
      </c>
      <c r="I20" s="84" t="e">
        <f t="shared" si="1"/>
        <v>#VALUE!</v>
      </c>
      <c r="J20" t="e">
        <f>L19*'Current vaccine model'!$H20*HelperFunctions!$R$14</f>
        <v>#VALUE!</v>
      </c>
      <c r="K20" t="e">
        <f>L19*'Current vaccine model'!$H20*Export!$L18</f>
        <v>#VALUE!</v>
      </c>
      <c r="L20" s="84" t="e">
        <f t="shared" si="2"/>
        <v>#VALUE!</v>
      </c>
      <c r="M20" t="e">
        <f>O19*'Current vaccine model'!$H20*HelperFunctions!$R$14</f>
        <v>#VALUE!</v>
      </c>
      <c r="N20" t="e">
        <f>O19*'Current vaccine model'!$H20*Export!$L18</f>
        <v>#VALUE!</v>
      </c>
      <c r="O20" s="84" t="e">
        <f t="shared" si="3"/>
        <v>#VALUE!</v>
      </c>
      <c r="P20" t="e">
        <f>R19*'Current vaccine model'!$H20*HelperFunctions!$R$14</f>
        <v>#VALUE!</v>
      </c>
      <c r="Q20" t="e">
        <f>R19*'Current vaccine model'!$H20*Export!$L18</f>
        <v>#VALUE!</v>
      </c>
      <c r="R20" s="84" t="e">
        <f t="shared" si="4"/>
        <v>#VALUE!</v>
      </c>
      <c r="S20" t="e">
        <f>U19*'Current vaccine model'!$H20*HelperFunctions!$R13</f>
        <v>#VALUE!</v>
      </c>
      <c r="T20" t="e">
        <f>U19*'Current vaccine model'!$H20*Export!$L18</f>
        <v>#VALUE!</v>
      </c>
      <c r="U20" s="84" t="e">
        <f t="shared" si="5"/>
        <v>#VALUE!</v>
      </c>
      <c r="V20" t="e">
        <f>X19*'Current vaccine model'!$H20*HelperFunctions!$R12</f>
        <v>#VALUE!</v>
      </c>
      <c r="W20" t="e">
        <f>X19*'Current vaccine model'!$H20*Export!$L18</f>
        <v>#VALUE!</v>
      </c>
      <c r="X20" s="84" t="e">
        <f t="shared" si="6"/>
        <v>#VALUE!</v>
      </c>
      <c r="Y20" t="e">
        <f>AA19*'Current vaccine model'!$H20*HelperFunctions!$R11</f>
        <v>#VALUE!</v>
      </c>
      <c r="Z20" t="e">
        <f>AA19*'Current vaccine model'!$H20*Export!$L18</f>
        <v>#VALUE!</v>
      </c>
      <c r="AA20" s="84" t="e">
        <f t="shared" si="7"/>
        <v>#VALUE!</v>
      </c>
      <c r="AB20" t="e">
        <f>AD19*'Current vaccine model'!$H20*HelperFunctions!$R10</f>
        <v>#VALUE!</v>
      </c>
      <c r="AC20" t="e">
        <f>AD19*'Current vaccine model'!$H20*Export!$L18</f>
        <v>#VALUE!</v>
      </c>
      <c r="AD20" s="84" t="e">
        <f t="shared" si="8"/>
        <v>#VALUE!</v>
      </c>
      <c r="AE20" t="e">
        <f>AG19*'Current vaccine model'!$H20*HelperFunctions!$R9</f>
        <v>#VALUE!</v>
      </c>
      <c r="AF20" t="e">
        <f>AG19*'Current vaccine model'!$H20*Export!$L18</f>
        <v>#VALUE!</v>
      </c>
      <c r="AG20" s="84" t="e">
        <f t="shared" si="9"/>
        <v>#VALUE!</v>
      </c>
      <c r="AH20" t="e">
        <f>AJ19*'Current vaccine model'!$H20*HelperFunctions!$R8</f>
        <v>#VALUE!</v>
      </c>
      <c r="AI20" t="e">
        <f>AJ19*'Current vaccine model'!$H20*Export!$L18</f>
        <v>#VALUE!</v>
      </c>
      <c r="AJ20" s="84" t="e">
        <f t="shared" si="10"/>
        <v>#VALUE!</v>
      </c>
      <c r="AK20" t="e">
        <f>AM19*'Current vaccine model'!$H20*HelperFunctions!$R7</f>
        <v>#VALUE!</v>
      </c>
      <c r="AL20" t="e">
        <f>AM19*'Current vaccine model'!$H20*Export!$L18</f>
        <v>#VALUE!</v>
      </c>
      <c r="AM20" s="84" t="e">
        <f t="shared" si="11"/>
        <v>#VALUE!</v>
      </c>
      <c r="AN20" t="e">
        <f>AP19*'Current vaccine model'!$H20*HelperFunctions!$R20</f>
        <v>#VALUE!</v>
      </c>
      <c r="AO20" t="e">
        <f>AP19*'Current vaccine model'!$H20*Export!$L18</f>
        <v>#VALUE!</v>
      </c>
      <c r="AP20" s="84" t="e">
        <f t="shared" si="12"/>
        <v>#VALUE!</v>
      </c>
      <c r="AQ20" t="e">
        <f>AS19*'Current vaccine model'!$H20*HelperFunctions!$R19</f>
        <v>#VALUE!</v>
      </c>
      <c r="AR20" t="e">
        <f>AS19*'Current vaccine model'!$H20*Export!$L18</f>
        <v>#VALUE!</v>
      </c>
      <c r="AS20" s="84" t="e">
        <f t="shared" si="13"/>
        <v>#VALUE!</v>
      </c>
      <c r="AT20" t="e">
        <f>AV19*'Current vaccine model'!$H20*HelperFunctions!$R18</f>
        <v>#VALUE!</v>
      </c>
      <c r="AU20" t="e">
        <f>AV19*'Current vaccine model'!$H20*Export!$L18</f>
        <v>#VALUE!</v>
      </c>
      <c r="AV20" s="84" t="e">
        <f t="shared" ref="AV20:AV63" si="14">AV19-AT20-AU20</f>
        <v>#VALUE!</v>
      </c>
      <c r="AW20" t="e">
        <f>AY19*'Current vaccine model'!$H20*HelperFunctions!$R17</f>
        <v>#VALUE!</v>
      </c>
      <c r="AX20" t="e">
        <f>AY19*'Current vaccine model'!$H20*Export!$L18</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F20*'Current vaccine model'!$H21*HelperFunctions!$R$14</f>
        <v>#VALUE!</v>
      </c>
      <c r="E21" t="e">
        <f>F20*'Current vaccine model'!$H21*Export!$L19</f>
        <v>#VALUE!</v>
      </c>
      <c r="F21" s="84" t="e">
        <f t="shared" si="0"/>
        <v>#VALUE!</v>
      </c>
      <c r="G21" t="e">
        <f>I20*'Current vaccine model'!$H21*HelperFunctions!$R$14</f>
        <v>#VALUE!</v>
      </c>
      <c r="H21" t="e">
        <f>I20*'Current vaccine model'!$H21*Export!$L19</f>
        <v>#VALUE!</v>
      </c>
      <c r="I21" s="84" t="e">
        <f t="shared" si="1"/>
        <v>#VALUE!</v>
      </c>
      <c r="J21" t="e">
        <f>L20*'Current vaccine model'!$H21*HelperFunctions!$R$14</f>
        <v>#VALUE!</v>
      </c>
      <c r="K21" t="e">
        <f>L20*'Current vaccine model'!$H21*Export!$L19</f>
        <v>#VALUE!</v>
      </c>
      <c r="L21" s="84" t="e">
        <f t="shared" si="2"/>
        <v>#VALUE!</v>
      </c>
      <c r="M21" t="e">
        <f>O20*'Current vaccine model'!$H21*HelperFunctions!$R$14</f>
        <v>#VALUE!</v>
      </c>
      <c r="N21" t="e">
        <f>O20*'Current vaccine model'!$H21*Export!$L19</f>
        <v>#VALUE!</v>
      </c>
      <c r="O21" s="84" t="e">
        <f t="shared" si="3"/>
        <v>#VALUE!</v>
      </c>
      <c r="P21" t="e">
        <f>R20*'Current vaccine model'!$H21*HelperFunctions!$R$14</f>
        <v>#VALUE!</v>
      </c>
      <c r="Q21" t="e">
        <f>R20*'Current vaccine model'!$H21*Export!$L19</f>
        <v>#VALUE!</v>
      </c>
      <c r="R21" s="84" t="e">
        <f t="shared" si="4"/>
        <v>#VALUE!</v>
      </c>
      <c r="S21" t="e">
        <f>U20*'Current vaccine model'!$H21*HelperFunctions!$R$14</f>
        <v>#VALUE!</v>
      </c>
      <c r="T21" t="e">
        <f>U20*'Current vaccine model'!$H21*Export!$L19</f>
        <v>#VALUE!</v>
      </c>
      <c r="U21" s="84" t="e">
        <f t="shared" si="5"/>
        <v>#VALUE!</v>
      </c>
      <c r="V21" t="e">
        <f>X20*'Current vaccine model'!$H21*HelperFunctions!$R13</f>
        <v>#VALUE!</v>
      </c>
      <c r="W21" t="e">
        <f>X20*'Current vaccine model'!$H21*Export!$L19</f>
        <v>#VALUE!</v>
      </c>
      <c r="X21" s="84" t="e">
        <f t="shared" si="6"/>
        <v>#VALUE!</v>
      </c>
      <c r="Y21" t="e">
        <f>AA20*'Current vaccine model'!$H21*HelperFunctions!$R12</f>
        <v>#VALUE!</v>
      </c>
      <c r="Z21" t="e">
        <f>AA20*'Current vaccine model'!$H21*Export!$L19</f>
        <v>#VALUE!</v>
      </c>
      <c r="AA21" s="84" t="e">
        <f t="shared" si="7"/>
        <v>#VALUE!</v>
      </c>
      <c r="AB21" t="e">
        <f>AD20*'Current vaccine model'!$H21*HelperFunctions!$R11</f>
        <v>#VALUE!</v>
      </c>
      <c r="AC21" t="e">
        <f>AD20*'Current vaccine model'!$H21*Export!$L19</f>
        <v>#VALUE!</v>
      </c>
      <c r="AD21" s="84" t="e">
        <f t="shared" si="8"/>
        <v>#VALUE!</v>
      </c>
      <c r="AE21" t="e">
        <f>AG20*'Current vaccine model'!$H21*HelperFunctions!$R10</f>
        <v>#VALUE!</v>
      </c>
      <c r="AF21" t="e">
        <f>AG20*'Current vaccine model'!$H21*Export!$L19</f>
        <v>#VALUE!</v>
      </c>
      <c r="AG21" s="84" t="e">
        <f t="shared" si="9"/>
        <v>#VALUE!</v>
      </c>
      <c r="AH21" t="e">
        <f>AJ20*'Current vaccine model'!$H21*HelperFunctions!$R9</f>
        <v>#VALUE!</v>
      </c>
      <c r="AI21" t="e">
        <f>AJ20*'Current vaccine model'!$H21*Export!$L19</f>
        <v>#VALUE!</v>
      </c>
      <c r="AJ21" s="84" t="e">
        <f t="shared" si="10"/>
        <v>#VALUE!</v>
      </c>
      <c r="AK21" t="e">
        <f>AM20*'Current vaccine model'!$H21*HelperFunctions!$R8</f>
        <v>#VALUE!</v>
      </c>
      <c r="AL21" t="e">
        <f>AM20*'Current vaccine model'!$H21*Export!$L19</f>
        <v>#VALUE!</v>
      </c>
      <c r="AM21" s="84" t="e">
        <f t="shared" si="11"/>
        <v>#VALUE!</v>
      </c>
      <c r="AN21" t="e">
        <f>AP20*'Current vaccine model'!$H21*HelperFunctions!$R21</f>
        <v>#VALUE!</v>
      </c>
      <c r="AO21" t="e">
        <f>AP20*'Current vaccine model'!$H21*Export!$L19</f>
        <v>#VALUE!</v>
      </c>
      <c r="AP21" s="84" t="e">
        <f t="shared" si="12"/>
        <v>#VALUE!</v>
      </c>
      <c r="AQ21" t="e">
        <f>AS20*'Current vaccine model'!$H21*HelperFunctions!$R20</f>
        <v>#VALUE!</v>
      </c>
      <c r="AR21" t="e">
        <f>AS20*'Current vaccine model'!$H21*Export!$L19</f>
        <v>#VALUE!</v>
      </c>
      <c r="AS21" s="84" t="e">
        <f t="shared" si="13"/>
        <v>#VALUE!</v>
      </c>
      <c r="AT21" t="e">
        <f>AV20*'Current vaccine model'!$H21*HelperFunctions!$R19</f>
        <v>#VALUE!</v>
      </c>
      <c r="AU21" t="e">
        <f>AV20*'Current vaccine model'!$H21*Export!$L19</f>
        <v>#VALUE!</v>
      </c>
      <c r="AV21" s="84" t="e">
        <f t="shared" si="14"/>
        <v>#VALUE!</v>
      </c>
      <c r="AW21" t="e">
        <f>AY20*'Current vaccine model'!$H21*HelperFunctions!$R18</f>
        <v>#VALUE!</v>
      </c>
      <c r="AX21" t="e">
        <f>AY20*'Current vaccine model'!$H21*Export!$L19</f>
        <v>#VALUE!</v>
      </c>
      <c r="AY21" s="84" t="e">
        <f t="shared" ref="AY21:AY63" si="15">AY20-AW21-AX21</f>
        <v>#VALUE!</v>
      </c>
      <c r="AZ21" t="e">
        <f>BB20*'Current vaccine model'!$H21*HelperFunctions!$R17</f>
        <v>#VALUE!</v>
      </c>
      <c r="BA21" t="e">
        <f>BB20*'Current vaccine model'!$H21*Export!$L19</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F21*'Current vaccine model'!$H22*HelperFunctions!$R$14</f>
        <v>#VALUE!</v>
      </c>
      <c r="E22" t="e">
        <f>F21*'Current vaccine model'!$H22*Export!$L20</f>
        <v>#VALUE!</v>
      </c>
      <c r="F22" s="84" t="e">
        <f t="shared" si="0"/>
        <v>#VALUE!</v>
      </c>
      <c r="G22" t="e">
        <f>I21*'Current vaccine model'!$H22*HelperFunctions!$R$14</f>
        <v>#VALUE!</v>
      </c>
      <c r="H22" t="e">
        <f>I21*'Current vaccine model'!$H22*Export!$L20</f>
        <v>#VALUE!</v>
      </c>
      <c r="I22" s="84" t="e">
        <f t="shared" si="1"/>
        <v>#VALUE!</v>
      </c>
      <c r="J22" t="e">
        <f>L21*'Current vaccine model'!$H22*HelperFunctions!$R$14</f>
        <v>#VALUE!</v>
      </c>
      <c r="K22" t="e">
        <f>L21*'Current vaccine model'!$H22*Export!$L20</f>
        <v>#VALUE!</v>
      </c>
      <c r="L22" s="84" t="e">
        <f t="shared" si="2"/>
        <v>#VALUE!</v>
      </c>
      <c r="M22" t="e">
        <f>O21*'Current vaccine model'!$H22*HelperFunctions!$R$14</f>
        <v>#VALUE!</v>
      </c>
      <c r="N22" t="e">
        <f>O21*'Current vaccine model'!$H22*Export!$L20</f>
        <v>#VALUE!</v>
      </c>
      <c r="O22" s="84" t="e">
        <f t="shared" si="3"/>
        <v>#VALUE!</v>
      </c>
      <c r="P22" t="e">
        <f>R21*'Current vaccine model'!$H22*HelperFunctions!$R$14</f>
        <v>#VALUE!</v>
      </c>
      <c r="Q22" t="e">
        <f>R21*'Current vaccine model'!$H22*Export!$L20</f>
        <v>#VALUE!</v>
      </c>
      <c r="R22" s="84" t="e">
        <f t="shared" si="4"/>
        <v>#VALUE!</v>
      </c>
      <c r="S22" t="e">
        <f>U21*'Current vaccine model'!$H22*HelperFunctions!$R$14</f>
        <v>#VALUE!</v>
      </c>
      <c r="T22" t="e">
        <f>U21*'Current vaccine model'!$H22*Export!$L20</f>
        <v>#VALUE!</v>
      </c>
      <c r="U22" s="84" t="e">
        <f t="shared" si="5"/>
        <v>#VALUE!</v>
      </c>
      <c r="V22" t="e">
        <f>X21*'Current vaccine model'!$H22*HelperFunctions!$R$14</f>
        <v>#VALUE!</v>
      </c>
      <c r="W22" t="e">
        <f>X21*'Current vaccine model'!$H22*Export!$L20</f>
        <v>#VALUE!</v>
      </c>
      <c r="X22" s="84" t="e">
        <f t="shared" si="6"/>
        <v>#VALUE!</v>
      </c>
      <c r="Y22" t="e">
        <f>AA21*'Current vaccine model'!$H22*HelperFunctions!$R13</f>
        <v>#VALUE!</v>
      </c>
      <c r="Z22" t="e">
        <f>AA21*'Current vaccine model'!$H22*Export!$L20</f>
        <v>#VALUE!</v>
      </c>
      <c r="AA22" s="84" t="e">
        <f t="shared" si="7"/>
        <v>#VALUE!</v>
      </c>
      <c r="AB22" t="e">
        <f>AD21*'Current vaccine model'!$H22*HelperFunctions!$R12</f>
        <v>#VALUE!</v>
      </c>
      <c r="AC22" t="e">
        <f>AD21*'Current vaccine model'!$H22*Export!$L20</f>
        <v>#VALUE!</v>
      </c>
      <c r="AD22" s="84" t="e">
        <f t="shared" si="8"/>
        <v>#VALUE!</v>
      </c>
      <c r="AE22" t="e">
        <f>AG21*'Current vaccine model'!$H22*HelperFunctions!$R11</f>
        <v>#VALUE!</v>
      </c>
      <c r="AF22" t="e">
        <f>AG21*'Current vaccine model'!$H22*Export!$L20</f>
        <v>#VALUE!</v>
      </c>
      <c r="AG22" s="84" t="e">
        <f t="shared" si="9"/>
        <v>#VALUE!</v>
      </c>
      <c r="AH22" t="e">
        <f>AJ21*'Current vaccine model'!$H22*HelperFunctions!$R10</f>
        <v>#VALUE!</v>
      </c>
      <c r="AI22" t="e">
        <f>AJ21*'Current vaccine model'!$H22*Export!$L20</f>
        <v>#VALUE!</v>
      </c>
      <c r="AJ22" s="84" t="e">
        <f t="shared" si="10"/>
        <v>#VALUE!</v>
      </c>
      <c r="AK22" t="e">
        <f>AM21*'Current vaccine model'!$H22*HelperFunctions!$R9</f>
        <v>#VALUE!</v>
      </c>
      <c r="AL22" t="e">
        <f>AM21*'Current vaccine model'!$H22*Export!$L20</f>
        <v>#VALUE!</v>
      </c>
      <c r="AM22" s="84" t="e">
        <f t="shared" si="11"/>
        <v>#VALUE!</v>
      </c>
      <c r="AN22" t="e">
        <f>AP21*'Current vaccine model'!$H22*HelperFunctions!$R22</f>
        <v>#VALUE!</v>
      </c>
      <c r="AO22" t="e">
        <f>AP21*'Current vaccine model'!$H22*Export!$L20</f>
        <v>#VALUE!</v>
      </c>
      <c r="AP22" s="84" t="e">
        <f t="shared" si="12"/>
        <v>#VALUE!</v>
      </c>
      <c r="AQ22" t="e">
        <f>AS21*'Current vaccine model'!$H22*HelperFunctions!$R21</f>
        <v>#VALUE!</v>
      </c>
      <c r="AR22" t="e">
        <f>AS21*'Current vaccine model'!$H22*Export!$L20</f>
        <v>#VALUE!</v>
      </c>
      <c r="AS22" s="84" t="e">
        <f t="shared" si="13"/>
        <v>#VALUE!</v>
      </c>
      <c r="AT22" t="e">
        <f>AV21*'Current vaccine model'!$H22*HelperFunctions!$R20</f>
        <v>#VALUE!</v>
      </c>
      <c r="AU22" t="e">
        <f>AV21*'Current vaccine model'!$H22*Export!$L20</f>
        <v>#VALUE!</v>
      </c>
      <c r="AV22" s="84" t="e">
        <f t="shared" si="14"/>
        <v>#VALUE!</v>
      </c>
      <c r="AW22" t="e">
        <f>AY21*'Current vaccine model'!$H22*HelperFunctions!$R19</f>
        <v>#VALUE!</v>
      </c>
      <c r="AX22" t="e">
        <f>AY21*'Current vaccine model'!$H22*Export!$L20</f>
        <v>#VALUE!</v>
      </c>
      <c r="AY22" s="84" t="e">
        <f t="shared" si="15"/>
        <v>#VALUE!</v>
      </c>
      <c r="AZ22" t="e">
        <f>BB21*'Current vaccine model'!$H22*HelperFunctions!$R18</f>
        <v>#VALUE!</v>
      </c>
      <c r="BA22" t="e">
        <f>BB21*'Current vaccine model'!$H22*Export!$L20</f>
        <v>#VALUE!</v>
      </c>
      <c r="BB22" s="84" t="e">
        <f t="shared" ref="BB22:BB63" si="16">BB21-AZ22-BA22</f>
        <v>#VALUE!</v>
      </c>
      <c r="BC22" t="e">
        <f>BE21*'Current vaccine model'!$H22*HelperFunctions!$R17</f>
        <v>#VALUE!</v>
      </c>
      <c r="BD22" t="e">
        <f>BE21*'Current vaccine model'!$H22*Export!$L20</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F22*'Current vaccine model'!$H23*HelperFunctions!$R$14</f>
        <v>#VALUE!</v>
      </c>
      <c r="E23" t="e">
        <f>F22*'Current vaccine model'!$H23*Export!$L21</f>
        <v>#VALUE!</v>
      </c>
      <c r="F23" s="84" t="e">
        <f t="shared" si="0"/>
        <v>#VALUE!</v>
      </c>
      <c r="G23" t="e">
        <f>I22*'Current vaccine model'!$H23*HelperFunctions!$R$14</f>
        <v>#VALUE!</v>
      </c>
      <c r="H23" t="e">
        <f>I22*'Current vaccine model'!$H23*Export!$L21</f>
        <v>#VALUE!</v>
      </c>
      <c r="I23" s="84" t="e">
        <f t="shared" si="1"/>
        <v>#VALUE!</v>
      </c>
      <c r="J23" t="e">
        <f>L22*'Current vaccine model'!$H23*HelperFunctions!$R$14</f>
        <v>#VALUE!</v>
      </c>
      <c r="K23" t="e">
        <f>L22*'Current vaccine model'!$H23*Export!$L21</f>
        <v>#VALUE!</v>
      </c>
      <c r="L23" s="84" t="e">
        <f t="shared" si="2"/>
        <v>#VALUE!</v>
      </c>
      <c r="M23" t="e">
        <f>O22*'Current vaccine model'!$H23*HelperFunctions!$R$14</f>
        <v>#VALUE!</v>
      </c>
      <c r="N23" t="e">
        <f>O22*'Current vaccine model'!$H23*Export!$L21</f>
        <v>#VALUE!</v>
      </c>
      <c r="O23" s="84" t="e">
        <f t="shared" si="3"/>
        <v>#VALUE!</v>
      </c>
      <c r="P23" t="e">
        <f>R22*'Current vaccine model'!$H23*HelperFunctions!$R$14</f>
        <v>#VALUE!</v>
      </c>
      <c r="Q23" t="e">
        <f>R22*'Current vaccine model'!$H23*Export!$L21</f>
        <v>#VALUE!</v>
      </c>
      <c r="R23" s="84" t="e">
        <f t="shared" si="4"/>
        <v>#VALUE!</v>
      </c>
      <c r="S23" t="e">
        <f>U22*'Current vaccine model'!$H23*HelperFunctions!$R$14</f>
        <v>#VALUE!</v>
      </c>
      <c r="T23" t="e">
        <f>U22*'Current vaccine model'!$H23*Export!$L21</f>
        <v>#VALUE!</v>
      </c>
      <c r="U23" s="84" t="e">
        <f t="shared" si="5"/>
        <v>#VALUE!</v>
      </c>
      <c r="V23" t="e">
        <f>X22*'Current vaccine model'!$H23*HelperFunctions!$R$14</f>
        <v>#VALUE!</v>
      </c>
      <c r="W23" t="e">
        <f>X22*'Current vaccine model'!$H23*Export!$L21</f>
        <v>#VALUE!</v>
      </c>
      <c r="X23" s="84" t="e">
        <f t="shared" si="6"/>
        <v>#VALUE!</v>
      </c>
      <c r="Y23" t="e">
        <f>AA22*'Current vaccine model'!$H23*HelperFunctions!$R$14</f>
        <v>#VALUE!</v>
      </c>
      <c r="Z23" t="e">
        <f>AA22*'Current vaccine model'!$H23*Export!$L21</f>
        <v>#VALUE!</v>
      </c>
      <c r="AA23" s="84" t="e">
        <f t="shared" si="7"/>
        <v>#VALUE!</v>
      </c>
      <c r="AB23" t="e">
        <f>AD22*'Current vaccine model'!$H23*HelperFunctions!$R13</f>
        <v>#VALUE!</v>
      </c>
      <c r="AC23" t="e">
        <f>AD22*'Current vaccine model'!$H23*Export!$L21</f>
        <v>#VALUE!</v>
      </c>
      <c r="AD23" s="84" t="e">
        <f t="shared" si="8"/>
        <v>#VALUE!</v>
      </c>
      <c r="AE23" t="e">
        <f>AG22*'Current vaccine model'!$H23*HelperFunctions!$R12</f>
        <v>#VALUE!</v>
      </c>
      <c r="AF23" t="e">
        <f>AG22*'Current vaccine model'!$H23*Export!$L21</f>
        <v>#VALUE!</v>
      </c>
      <c r="AG23" s="84" t="e">
        <f t="shared" si="9"/>
        <v>#VALUE!</v>
      </c>
      <c r="AH23" t="e">
        <f>AJ22*'Current vaccine model'!$H23*HelperFunctions!$R11</f>
        <v>#VALUE!</v>
      </c>
      <c r="AI23" t="e">
        <f>AJ22*'Current vaccine model'!$H23*Export!$L21</f>
        <v>#VALUE!</v>
      </c>
      <c r="AJ23" s="84" t="e">
        <f t="shared" si="10"/>
        <v>#VALUE!</v>
      </c>
      <c r="AK23" t="e">
        <f>AM22*'Current vaccine model'!$H23*HelperFunctions!$R10</f>
        <v>#VALUE!</v>
      </c>
      <c r="AL23" t="e">
        <f>AM22*'Current vaccine model'!$H23*Export!$L21</f>
        <v>#VALUE!</v>
      </c>
      <c r="AM23" s="84" t="e">
        <f t="shared" si="11"/>
        <v>#VALUE!</v>
      </c>
      <c r="AN23" t="e">
        <f>AP22*'Current vaccine model'!$H23*HelperFunctions!$R23</f>
        <v>#VALUE!</v>
      </c>
      <c r="AO23" t="e">
        <f>AP22*'Current vaccine model'!$H23*Export!$L21</f>
        <v>#VALUE!</v>
      </c>
      <c r="AP23" s="84" t="e">
        <f t="shared" si="12"/>
        <v>#VALUE!</v>
      </c>
      <c r="AQ23" t="e">
        <f>AS22*'Current vaccine model'!$H23*HelperFunctions!$R22</f>
        <v>#VALUE!</v>
      </c>
      <c r="AR23" t="e">
        <f>AS22*'Current vaccine model'!$H23*Export!$L21</f>
        <v>#VALUE!</v>
      </c>
      <c r="AS23" s="84" t="e">
        <f t="shared" si="13"/>
        <v>#VALUE!</v>
      </c>
      <c r="AT23" t="e">
        <f>AV22*'Current vaccine model'!$H23*HelperFunctions!$R21</f>
        <v>#VALUE!</v>
      </c>
      <c r="AU23" t="e">
        <f>AV22*'Current vaccine model'!$H23*Export!$L21</f>
        <v>#VALUE!</v>
      </c>
      <c r="AV23" s="84" t="e">
        <f t="shared" si="14"/>
        <v>#VALUE!</v>
      </c>
      <c r="AW23" t="e">
        <f>AY22*'Current vaccine model'!$H23*HelperFunctions!$R20</f>
        <v>#VALUE!</v>
      </c>
      <c r="AX23" t="e">
        <f>AY22*'Current vaccine model'!$H23*Export!$L21</f>
        <v>#VALUE!</v>
      </c>
      <c r="AY23" s="84" t="e">
        <f t="shared" si="15"/>
        <v>#VALUE!</v>
      </c>
      <c r="AZ23" t="e">
        <f>BB22*'Current vaccine model'!$H23*HelperFunctions!$R19</f>
        <v>#VALUE!</v>
      </c>
      <c r="BA23" t="e">
        <f>BB22*'Current vaccine model'!$H23*Export!$L21</f>
        <v>#VALUE!</v>
      </c>
      <c r="BB23" s="84" t="e">
        <f t="shared" si="16"/>
        <v>#VALUE!</v>
      </c>
      <c r="BC23" t="e">
        <f>BE22*'Current vaccine model'!$H23*HelperFunctions!$R18</f>
        <v>#VALUE!</v>
      </c>
      <c r="BD23" t="e">
        <f>BE22*'Current vaccine model'!$H23*Export!$L21</f>
        <v>#VALUE!</v>
      </c>
      <c r="BE23" s="84" t="e">
        <f t="shared" ref="BE23:BE63" si="17">BE22-BC23-BD23</f>
        <v>#VALUE!</v>
      </c>
      <c r="BF23" t="e">
        <f>BH22*'Current vaccine model'!$H23*HelperFunctions!$R17</f>
        <v>#VALUE!</v>
      </c>
      <c r="BG23" t="e">
        <f>BH22*'Current vaccine model'!$H23*Export!$L21</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F23*'Current vaccine model'!$H24*HelperFunctions!$R$14</f>
        <v>#VALUE!</v>
      </c>
      <c r="E24" t="e">
        <f>F23*'Current vaccine model'!$H24*Export!$L22</f>
        <v>#VALUE!</v>
      </c>
      <c r="F24" s="84" t="e">
        <f t="shared" si="0"/>
        <v>#VALUE!</v>
      </c>
      <c r="G24" t="e">
        <f>I23*'Current vaccine model'!$H24*HelperFunctions!$R$14</f>
        <v>#VALUE!</v>
      </c>
      <c r="H24" t="e">
        <f>I23*'Current vaccine model'!$H24*Export!$L22</f>
        <v>#VALUE!</v>
      </c>
      <c r="I24" s="84" t="e">
        <f t="shared" si="1"/>
        <v>#VALUE!</v>
      </c>
      <c r="J24" t="e">
        <f>L23*'Current vaccine model'!$H24*HelperFunctions!$R$14</f>
        <v>#VALUE!</v>
      </c>
      <c r="K24" t="e">
        <f>L23*'Current vaccine model'!$H24*Export!$L22</f>
        <v>#VALUE!</v>
      </c>
      <c r="L24" s="84" t="e">
        <f t="shared" si="2"/>
        <v>#VALUE!</v>
      </c>
      <c r="M24" t="e">
        <f>O23*'Current vaccine model'!$H24*HelperFunctions!$R$14</f>
        <v>#VALUE!</v>
      </c>
      <c r="N24" t="e">
        <f>O23*'Current vaccine model'!$H24*Export!$L22</f>
        <v>#VALUE!</v>
      </c>
      <c r="O24" s="84" t="e">
        <f t="shared" si="3"/>
        <v>#VALUE!</v>
      </c>
      <c r="P24" t="e">
        <f>R23*'Current vaccine model'!$H24*HelperFunctions!$R$14</f>
        <v>#VALUE!</v>
      </c>
      <c r="Q24" t="e">
        <f>R23*'Current vaccine model'!$H24*Export!$L22</f>
        <v>#VALUE!</v>
      </c>
      <c r="R24" s="84" t="e">
        <f t="shared" si="4"/>
        <v>#VALUE!</v>
      </c>
      <c r="S24" t="e">
        <f>U23*'Current vaccine model'!$H24*HelperFunctions!$R$14</f>
        <v>#VALUE!</v>
      </c>
      <c r="T24" t="e">
        <f>U23*'Current vaccine model'!$H24*Export!$L22</f>
        <v>#VALUE!</v>
      </c>
      <c r="U24" s="84" t="e">
        <f t="shared" si="5"/>
        <v>#VALUE!</v>
      </c>
      <c r="V24" t="e">
        <f>X23*'Current vaccine model'!$H24*HelperFunctions!$R$14</f>
        <v>#VALUE!</v>
      </c>
      <c r="W24" t="e">
        <f>X23*'Current vaccine model'!$H24*Export!$L22</f>
        <v>#VALUE!</v>
      </c>
      <c r="X24" s="84" t="e">
        <f t="shared" si="6"/>
        <v>#VALUE!</v>
      </c>
      <c r="Y24" t="e">
        <f>AA23*'Current vaccine model'!$H24*HelperFunctions!$R$14</f>
        <v>#VALUE!</v>
      </c>
      <c r="Z24" t="e">
        <f>AA23*'Current vaccine model'!$H24*Export!$L22</f>
        <v>#VALUE!</v>
      </c>
      <c r="AA24" s="84" t="e">
        <f t="shared" si="7"/>
        <v>#VALUE!</v>
      </c>
      <c r="AB24" t="e">
        <f>AD23*'Current vaccine model'!$H24*HelperFunctions!$R$14</f>
        <v>#VALUE!</v>
      </c>
      <c r="AC24" t="e">
        <f>AD23*'Current vaccine model'!$H24*Export!$L22</f>
        <v>#VALUE!</v>
      </c>
      <c r="AD24" s="84" t="e">
        <f t="shared" si="8"/>
        <v>#VALUE!</v>
      </c>
      <c r="AE24" t="e">
        <f>AG23*'Current vaccine model'!$H24*HelperFunctions!$R13</f>
        <v>#VALUE!</v>
      </c>
      <c r="AF24" t="e">
        <f>AG23*'Current vaccine model'!$H24*Export!$L22</f>
        <v>#VALUE!</v>
      </c>
      <c r="AG24" s="84" t="e">
        <f t="shared" si="9"/>
        <v>#VALUE!</v>
      </c>
      <c r="AH24" t="e">
        <f>AJ23*'Current vaccine model'!$H24*HelperFunctions!$R12</f>
        <v>#VALUE!</v>
      </c>
      <c r="AI24" t="e">
        <f>AJ23*'Current vaccine model'!$H24*Export!$L22</f>
        <v>#VALUE!</v>
      </c>
      <c r="AJ24" s="84" t="e">
        <f t="shared" si="10"/>
        <v>#VALUE!</v>
      </c>
      <c r="AK24" t="e">
        <f>AM23*'Current vaccine model'!$H24*HelperFunctions!$R11</f>
        <v>#VALUE!</v>
      </c>
      <c r="AL24" t="e">
        <f>AM23*'Current vaccine model'!$H24*Export!$L22</f>
        <v>#VALUE!</v>
      </c>
      <c r="AM24" s="84" t="e">
        <f t="shared" si="11"/>
        <v>#VALUE!</v>
      </c>
      <c r="AN24" t="e">
        <f>AP23*'Current vaccine model'!$H24*HelperFunctions!$R24</f>
        <v>#VALUE!</v>
      </c>
      <c r="AO24" t="e">
        <f>AP23*'Current vaccine model'!$H24*Export!$L22</f>
        <v>#VALUE!</v>
      </c>
      <c r="AP24" s="84" t="e">
        <f t="shared" si="12"/>
        <v>#VALUE!</v>
      </c>
      <c r="AQ24" t="e">
        <f>AS23*'Current vaccine model'!$H24*HelperFunctions!$R23</f>
        <v>#VALUE!</v>
      </c>
      <c r="AR24" t="e">
        <f>AS23*'Current vaccine model'!$H24*Export!$L22</f>
        <v>#VALUE!</v>
      </c>
      <c r="AS24" s="84" t="e">
        <f t="shared" si="13"/>
        <v>#VALUE!</v>
      </c>
      <c r="AT24" t="e">
        <f>AV23*'Current vaccine model'!$H24*HelperFunctions!$R22</f>
        <v>#VALUE!</v>
      </c>
      <c r="AU24" t="e">
        <f>AV23*'Current vaccine model'!$H24*Export!$L22</f>
        <v>#VALUE!</v>
      </c>
      <c r="AV24" s="84" t="e">
        <f t="shared" si="14"/>
        <v>#VALUE!</v>
      </c>
      <c r="AW24" t="e">
        <f>AY23*'Current vaccine model'!$H24*HelperFunctions!$R21</f>
        <v>#VALUE!</v>
      </c>
      <c r="AX24" t="e">
        <f>AY23*'Current vaccine model'!$H24*Export!$L22</f>
        <v>#VALUE!</v>
      </c>
      <c r="AY24" s="84" t="e">
        <f t="shared" si="15"/>
        <v>#VALUE!</v>
      </c>
      <c r="AZ24" t="e">
        <f>BB23*'Current vaccine model'!$H24*HelperFunctions!$R20</f>
        <v>#VALUE!</v>
      </c>
      <c r="BA24" t="e">
        <f>BB23*'Current vaccine model'!$H24*Export!$L22</f>
        <v>#VALUE!</v>
      </c>
      <c r="BB24" s="84" t="e">
        <f t="shared" si="16"/>
        <v>#VALUE!</v>
      </c>
      <c r="BC24" t="e">
        <f>BE23*'Current vaccine model'!$H24*HelperFunctions!$R19</f>
        <v>#VALUE!</v>
      </c>
      <c r="BD24" t="e">
        <f>BE23*'Current vaccine model'!$H24*Export!$L22</f>
        <v>#VALUE!</v>
      </c>
      <c r="BE24" s="84" t="e">
        <f t="shared" si="17"/>
        <v>#VALUE!</v>
      </c>
      <c r="BF24" t="e">
        <f>BH23*'Current vaccine model'!$H24*HelperFunctions!$R18</f>
        <v>#VALUE!</v>
      </c>
      <c r="BG24" t="e">
        <f>BH23*'Current vaccine model'!$H24*Export!$L22</f>
        <v>#VALUE!</v>
      </c>
      <c r="BH24" s="84" t="e">
        <f t="shared" ref="BH24:BH63" si="18">BH23-BF24-BG24</f>
        <v>#VALUE!</v>
      </c>
      <c r="BI24" t="e">
        <f>BK23*'Current vaccine model'!$H24*HelperFunctions!$R17</f>
        <v>#VALUE!</v>
      </c>
      <c r="BJ24" t="e">
        <f>BK23*'Current vaccine model'!$H24*Export!$L22</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F24*'Current vaccine model'!$H25*HelperFunctions!$R$14</f>
        <v>#VALUE!</v>
      </c>
      <c r="E25" t="e">
        <f>F24*'Current vaccine model'!$H25*Export!$L23</f>
        <v>#VALUE!</v>
      </c>
      <c r="F25" s="84" t="e">
        <f t="shared" si="0"/>
        <v>#VALUE!</v>
      </c>
      <c r="G25" t="e">
        <f>I24*'Current vaccine model'!$H25*HelperFunctions!$R$14</f>
        <v>#VALUE!</v>
      </c>
      <c r="H25" t="e">
        <f>I24*'Current vaccine model'!$H25*Export!$L23</f>
        <v>#VALUE!</v>
      </c>
      <c r="I25" s="84" t="e">
        <f t="shared" si="1"/>
        <v>#VALUE!</v>
      </c>
      <c r="J25" t="e">
        <f>L24*'Current vaccine model'!$H25*HelperFunctions!$R$14</f>
        <v>#VALUE!</v>
      </c>
      <c r="K25" t="e">
        <f>L24*'Current vaccine model'!$H25*Export!$L23</f>
        <v>#VALUE!</v>
      </c>
      <c r="L25" s="84" t="e">
        <f t="shared" si="2"/>
        <v>#VALUE!</v>
      </c>
      <c r="M25" t="e">
        <f>O24*'Current vaccine model'!$H25*HelperFunctions!$R$14</f>
        <v>#VALUE!</v>
      </c>
      <c r="N25" t="e">
        <f>O24*'Current vaccine model'!$H25*Export!$L23</f>
        <v>#VALUE!</v>
      </c>
      <c r="O25" s="84" t="e">
        <f t="shared" si="3"/>
        <v>#VALUE!</v>
      </c>
      <c r="P25" t="e">
        <f>R24*'Current vaccine model'!$H25*HelperFunctions!$R$14</f>
        <v>#VALUE!</v>
      </c>
      <c r="Q25" t="e">
        <f>R24*'Current vaccine model'!$H25*Export!$L23</f>
        <v>#VALUE!</v>
      </c>
      <c r="R25" s="84" t="e">
        <f t="shared" si="4"/>
        <v>#VALUE!</v>
      </c>
      <c r="S25" t="e">
        <f>U24*'Current vaccine model'!$H25*HelperFunctions!$R$14</f>
        <v>#VALUE!</v>
      </c>
      <c r="T25" t="e">
        <f>U24*'Current vaccine model'!$H25*Export!$L23</f>
        <v>#VALUE!</v>
      </c>
      <c r="U25" s="84" t="e">
        <f t="shared" si="5"/>
        <v>#VALUE!</v>
      </c>
      <c r="V25" t="e">
        <f>X24*'Current vaccine model'!$H25*HelperFunctions!$R$14</f>
        <v>#VALUE!</v>
      </c>
      <c r="W25" t="e">
        <f>X24*'Current vaccine model'!$H25*Export!$L23</f>
        <v>#VALUE!</v>
      </c>
      <c r="X25" s="84" t="e">
        <f t="shared" si="6"/>
        <v>#VALUE!</v>
      </c>
      <c r="Y25" t="e">
        <f>AA24*'Current vaccine model'!$H25*HelperFunctions!$R$14</f>
        <v>#VALUE!</v>
      </c>
      <c r="Z25" t="e">
        <f>AA24*'Current vaccine model'!$H25*Export!$L23</f>
        <v>#VALUE!</v>
      </c>
      <c r="AA25" s="84" t="e">
        <f t="shared" si="7"/>
        <v>#VALUE!</v>
      </c>
      <c r="AB25" t="e">
        <f>AD24*'Current vaccine model'!$H25*HelperFunctions!$R$14</f>
        <v>#VALUE!</v>
      </c>
      <c r="AC25" t="e">
        <f>AD24*'Current vaccine model'!$H25*Export!$L23</f>
        <v>#VALUE!</v>
      </c>
      <c r="AD25" s="84" t="e">
        <f t="shared" si="8"/>
        <v>#VALUE!</v>
      </c>
      <c r="AE25" t="e">
        <f>AG24*'Current vaccine model'!$H25*HelperFunctions!$R$14</f>
        <v>#VALUE!</v>
      </c>
      <c r="AF25" t="e">
        <f>AG24*'Current vaccine model'!$H25*Export!$L23</f>
        <v>#VALUE!</v>
      </c>
      <c r="AG25" s="84" t="e">
        <f t="shared" si="9"/>
        <v>#VALUE!</v>
      </c>
      <c r="AH25" t="e">
        <f>AJ24*'Current vaccine model'!$H25*HelperFunctions!$R13</f>
        <v>#VALUE!</v>
      </c>
      <c r="AI25" t="e">
        <f>AJ24*'Current vaccine model'!$H25*Export!$L23</f>
        <v>#VALUE!</v>
      </c>
      <c r="AJ25" s="84" t="e">
        <f t="shared" si="10"/>
        <v>#VALUE!</v>
      </c>
      <c r="AK25" t="e">
        <f>AM24*'Current vaccine model'!$H25*HelperFunctions!$R12</f>
        <v>#VALUE!</v>
      </c>
      <c r="AL25" t="e">
        <f>AM24*'Current vaccine model'!$H25*Export!$L23</f>
        <v>#VALUE!</v>
      </c>
      <c r="AM25" s="84" t="e">
        <f t="shared" si="11"/>
        <v>#VALUE!</v>
      </c>
      <c r="AN25" t="e">
        <f>AP24*'Current vaccine model'!$H25*HelperFunctions!$R25</f>
        <v>#VALUE!</v>
      </c>
      <c r="AO25" t="e">
        <f>AP24*'Current vaccine model'!$H25*Export!$L23</f>
        <v>#VALUE!</v>
      </c>
      <c r="AP25" s="84" t="e">
        <f t="shared" si="12"/>
        <v>#VALUE!</v>
      </c>
      <c r="AQ25" t="e">
        <f>AS24*'Current vaccine model'!$H25*HelperFunctions!$R24</f>
        <v>#VALUE!</v>
      </c>
      <c r="AR25" t="e">
        <f>AS24*'Current vaccine model'!$H25*Export!$L23</f>
        <v>#VALUE!</v>
      </c>
      <c r="AS25" s="84" t="e">
        <f t="shared" si="13"/>
        <v>#VALUE!</v>
      </c>
      <c r="AT25" t="e">
        <f>AV24*'Current vaccine model'!$H25*HelperFunctions!$R23</f>
        <v>#VALUE!</v>
      </c>
      <c r="AU25" t="e">
        <f>AV24*'Current vaccine model'!$H25*Export!$L23</f>
        <v>#VALUE!</v>
      </c>
      <c r="AV25" s="84" t="e">
        <f t="shared" si="14"/>
        <v>#VALUE!</v>
      </c>
      <c r="AW25" t="e">
        <f>AY24*'Current vaccine model'!$H25*HelperFunctions!$R22</f>
        <v>#VALUE!</v>
      </c>
      <c r="AX25" t="e">
        <f>AY24*'Current vaccine model'!$H25*Export!$L23</f>
        <v>#VALUE!</v>
      </c>
      <c r="AY25" s="84" t="e">
        <f t="shared" si="15"/>
        <v>#VALUE!</v>
      </c>
      <c r="AZ25" t="e">
        <f>BB24*'Current vaccine model'!$H25*HelperFunctions!$R21</f>
        <v>#VALUE!</v>
      </c>
      <c r="BA25" t="e">
        <f>BB24*'Current vaccine model'!$H25*Export!$L23</f>
        <v>#VALUE!</v>
      </c>
      <c r="BB25" s="84" t="e">
        <f t="shared" si="16"/>
        <v>#VALUE!</v>
      </c>
      <c r="BC25" t="e">
        <f>BE24*'Current vaccine model'!$H25*HelperFunctions!$R20</f>
        <v>#VALUE!</v>
      </c>
      <c r="BD25" t="e">
        <f>BE24*'Current vaccine model'!$H25*Export!$L23</f>
        <v>#VALUE!</v>
      </c>
      <c r="BE25" s="84" t="e">
        <f t="shared" si="17"/>
        <v>#VALUE!</v>
      </c>
      <c r="BF25" t="e">
        <f>BH24*'Current vaccine model'!$H25*HelperFunctions!$R19</f>
        <v>#VALUE!</v>
      </c>
      <c r="BG25" t="e">
        <f>BH24*'Current vaccine model'!$H25*Export!$L23</f>
        <v>#VALUE!</v>
      </c>
      <c r="BH25" s="84" t="e">
        <f t="shared" si="18"/>
        <v>#VALUE!</v>
      </c>
      <c r="BI25" t="e">
        <f>BK24*'Current vaccine model'!$H25*HelperFunctions!$R18</f>
        <v>#VALUE!</v>
      </c>
      <c r="BJ25" t="e">
        <f>BK24*'Current vaccine model'!$H25*Export!$L23</f>
        <v>#VALUE!</v>
      </c>
      <c r="BK25" s="84" t="e">
        <f t="shared" ref="BK25:BK63" si="19">BK24-BI25-BJ25</f>
        <v>#VALUE!</v>
      </c>
      <c r="BL25" t="e">
        <f>BN24*'Current vaccine model'!$H25*HelperFunctions!$R17</f>
        <v>#VALUE!</v>
      </c>
      <c r="BM25" t="e">
        <f>BN24*'Current vaccine model'!$H25*Export!$L23</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F25*'Current vaccine model'!$H26*HelperFunctions!$R$14</f>
        <v>#VALUE!</v>
      </c>
      <c r="E26" t="e">
        <f>F25*'Current vaccine model'!$H26*Export!$L24</f>
        <v>#VALUE!</v>
      </c>
      <c r="F26" s="84" t="e">
        <f t="shared" si="0"/>
        <v>#VALUE!</v>
      </c>
      <c r="G26" t="e">
        <f>I25*'Current vaccine model'!$H26*HelperFunctions!$R$14</f>
        <v>#VALUE!</v>
      </c>
      <c r="H26" t="e">
        <f>I25*'Current vaccine model'!$H26*Export!$L24</f>
        <v>#VALUE!</v>
      </c>
      <c r="I26" s="84" t="e">
        <f t="shared" si="1"/>
        <v>#VALUE!</v>
      </c>
      <c r="J26" t="e">
        <f>L25*'Current vaccine model'!$H26*HelperFunctions!$R$14</f>
        <v>#VALUE!</v>
      </c>
      <c r="K26" t="e">
        <f>L25*'Current vaccine model'!$H26*Export!$L24</f>
        <v>#VALUE!</v>
      </c>
      <c r="L26" s="84" t="e">
        <f t="shared" si="2"/>
        <v>#VALUE!</v>
      </c>
      <c r="M26" t="e">
        <f>O25*'Current vaccine model'!$H26*HelperFunctions!$R$14</f>
        <v>#VALUE!</v>
      </c>
      <c r="N26" t="e">
        <f>O25*'Current vaccine model'!$H26*Export!$L24</f>
        <v>#VALUE!</v>
      </c>
      <c r="O26" s="84" t="e">
        <f t="shared" si="3"/>
        <v>#VALUE!</v>
      </c>
      <c r="P26" t="e">
        <f>R25*'Current vaccine model'!$H26*HelperFunctions!$R$14</f>
        <v>#VALUE!</v>
      </c>
      <c r="Q26" t="e">
        <f>R25*'Current vaccine model'!$H26*Export!$L24</f>
        <v>#VALUE!</v>
      </c>
      <c r="R26" s="84" t="e">
        <f t="shared" si="4"/>
        <v>#VALUE!</v>
      </c>
      <c r="S26" t="e">
        <f>U25*'Current vaccine model'!$H26*HelperFunctions!$R$14</f>
        <v>#VALUE!</v>
      </c>
      <c r="T26" t="e">
        <f>U25*'Current vaccine model'!$H26*Export!$L24</f>
        <v>#VALUE!</v>
      </c>
      <c r="U26" s="84" t="e">
        <f t="shared" si="5"/>
        <v>#VALUE!</v>
      </c>
      <c r="V26" t="e">
        <f>X25*'Current vaccine model'!$H26*HelperFunctions!$R$14</f>
        <v>#VALUE!</v>
      </c>
      <c r="W26" t="e">
        <f>X25*'Current vaccine model'!$H26*Export!$L24</f>
        <v>#VALUE!</v>
      </c>
      <c r="X26" s="84" t="e">
        <f t="shared" si="6"/>
        <v>#VALUE!</v>
      </c>
      <c r="Y26" t="e">
        <f>AA25*'Current vaccine model'!$H26*HelperFunctions!$R$14</f>
        <v>#VALUE!</v>
      </c>
      <c r="Z26" t="e">
        <f>AA25*'Current vaccine model'!$H26*Export!$L24</f>
        <v>#VALUE!</v>
      </c>
      <c r="AA26" s="84" t="e">
        <f t="shared" si="7"/>
        <v>#VALUE!</v>
      </c>
      <c r="AB26" t="e">
        <f>AD25*'Current vaccine model'!$H26*HelperFunctions!$R$14</f>
        <v>#VALUE!</v>
      </c>
      <c r="AC26" t="e">
        <f>AD25*'Current vaccine model'!$H26*Export!$L24</f>
        <v>#VALUE!</v>
      </c>
      <c r="AD26" s="84" t="e">
        <f t="shared" si="8"/>
        <v>#VALUE!</v>
      </c>
      <c r="AE26" t="e">
        <f>AG25*'Current vaccine model'!$H26*HelperFunctions!$R$14</f>
        <v>#VALUE!</v>
      </c>
      <c r="AF26" t="e">
        <f>AG25*'Current vaccine model'!$H26*Export!$L24</f>
        <v>#VALUE!</v>
      </c>
      <c r="AG26" s="84" t="e">
        <f t="shared" si="9"/>
        <v>#VALUE!</v>
      </c>
      <c r="AH26" t="e">
        <f>AJ25*'Current vaccine model'!$H26*HelperFunctions!$R$14</f>
        <v>#VALUE!</v>
      </c>
      <c r="AI26" t="e">
        <f>AJ25*'Current vaccine model'!$H26*Export!$L24</f>
        <v>#VALUE!</v>
      </c>
      <c r="AJ26" s="84" t="e">
        <f t="shared" si="10"/>
        <v>#VALUE!</v>
      </c>
      <c r="AK26" t="e">
        <f>AM25*'Current vaccine model'!$H26*HelperFunctions!$R13</f>
        <v>#VALUE!</v>
      </c>
      <c r="AL26" t="e">
        <f>AM25*'Current vaccine model'!$H26*Export!$L24</f>
        <v>#VALUE!</v>
      </c>
      <c r="AM26" s="84" t="e">
        <f t="shared" si="11"/>
        <v>#VALUE!</v>
      </c>
      <c r="AN26" t="e">
        <f>AP25*'Current vaccine model'!$H26*HelperFunctions!$R26</f>
        <v>#VALUE!</v>
      </c>
      <c r="AO26" t="e">
        <f>AP25*'Current vaccine model'!$H26*Export!$L24</f>
        <v>#VALUE!</v>
      </c>
      <c r="AP26" s="84" t="e">
        <f t="shared" si="12"/>
        <v>#VALUE!</v>
      </c>
      <c r="AQ26" t="e">
        <f>AS25*'Current vaccine model'!$H26*HelperFunctions!$R25</f>
        <v>#VALUE!</v>
      </c>
      <c r="AR26" t="e">
        <f>AS25*'Current vaccine model'!$H26*Export!$L24</f>
        <v>#VALUE!</v>
      </c>
      <c r="AS26" s="84" t="e">
        <f t="shared" si="13"/>
        <v>#VALUE!</v>
      </c>
      <c r="AT26" t="e">
        <f>AV25*'Current vaccine model'!$H26*HelperFunctions!$R24</f>
        <v>#VALUE!</v>
      </c>
      <c r="AU26" t="e">
        <f>AV25*'Current vaccine model'!$H26*Export!$L24</f>
        <v>#VALUE!</v>
      </c>
      <c r="AV26" s="84" t="e">
        <f t="shared" si="14"/>
        <v>#VALUE!</v>
      </c>
      <c r="AW26" t="e">
        <f>AY25*'Current vaccine model'!$H26*HelperFunctions!$R23</f>
        <v>#VALUE!</v>
      </c>
      <c r="AX26" t="e">
        <f>AY25*'Current vaccine model'!$H26*Export!$L24</f>
        <v>#VALUE!</v>
      </c>
      <c r="AY26" s="84" t="e">
        <f t="shared" si="15"/>
        <v>#VALUE!</v>
      </c>
      <c r="AZ26" t="e">
        <f>BB25*'Current vaccine model'!$H26*HelperFunctions!$R22</f>
        <v>#VALUE!</v>
      </c>
      <c r="BA26" t="e">
        <f>BB25*'Current vaccine model'!$H26*Export!$L24</f>
        <v>#VALUE!</v>
      </c>
      <c r="BB26" s="84" t="e">
        <f t="shared" si="16"/>
        <v>#VALUE!</v>
      </c>
      <c r="BC26" t="e">
        <f>BE25*'Current vaccine model'!$H26*HelperFunctions!$R21</f>
        <v>#VALUE!</v>
      </c>
      <c r="BD26" t="e">
        <f>BE25*'Current vaccine model'!$H26*Export!$L24</f>
        <v>#VALUE!</v>
      </c>
      <c r="BE26" s="84" t="e">
        <f t="shared" si="17"/>
        <v>#VALUE!</v>
      </c>
      <c r="BF26" t="e">
        <f>BH25*'Current vaccine model'!$H26*HelperFunctions!$R20</f>
        <v>#VALUE!</v>
      </c>
      <c r="BG26" t="e">
        <f>BH25*'Current vaccine model'!$H26*Export!$L24</f>
        <v>#VALUE!</v>
      </c>
      <c r="BH26" s="84" t="e">
        <f t="shared" si="18"/>
        <v>#VALUE!</v>
      </c>
      <c r="BI26" t="e">
        <f>BK25*'Current vaccine model'!$H26*HelperFunctions!$R19</f>
        <v>#VALUE!</v>
      </c>
      <c r="BJ26" t="e">
        <f>BK25*'Current vaccine model'!$H26*Export!$L24</f>
        <v>#VALUE!</v>
      </c>
      <c r="BK26" s="84" t="e">
        <f t="shared" si="19"/>
        <v>#VALUE!</v>
      </c>
      <c r="BL26" t="e">
        <f>BN25*'Current vaccine model'!$H26*HelperFunctions!$R18</f>
        <v>#VALUE!</v>
      </c>
      <c r="BM26" t="e">
        <f>BN25*'Current vaccine model'!$H26*Export!$L24</f>
        <v>#VALUE!</v>
      </c>
      <c r="BN26" s="84" t="e">
        <f t="shared" ref="BN26:BN63" si="20">BN25-BL26-BM26</f>
        <v>#VALUE!</v>
      </c>
      <c r="BO26" t="e">
        <f>BQ25*'Current vaccine model'!$H26*HelperFunctions!$R17</f>
        <v>#VALUE!</v>
      </c>
      <c r="BP26" t="e">
        <f>BQ25*'Current vaccine model'!$H26*Export!$L24</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F26*'Current vaccine model'!$H27*HelperFunctions!$R$14</f>
        <v>#VALUE!</v>
      </c>
      <c r="E27" t="e">
        <f>F26*'Current vaccine model'!$H27*Export!$L25</f>
        <v>#VALUE!</v>
      </c>
      <c r="F27" s="84" t="e">
        <f t="shared" si="0"/>
        <v>#VALUE!</v>
      </c>
      <c r="G27" t="e">
        <f>I26*'Current vaccine model'!$H27*HelperFunctions!$R$14</f>
        <v>#VALUE!</v>
      </c>
      <c r="H27" t="e">
        <f>I26*'Current vaccine model'!$H27*Export!$L25</f>
        <v>#VALUE!</v>
      </c>
      <c r="I27" s="84" t="e">
        <f t="shared" si="1"/>
        <v>#VALUE!</v>
      </c>
      <c r="J27" t="e">
        <f>L26*'Current vaccine model'!$H27*HelperFunctions!$R$14</f>
        <v>#VALUE!</v>
      </c>
      <c r="K27" t="e">
        <f>L26*'Current vaccine model'!$H27*Export!$L25</f>
        <v>#VALUE!</v>
      </c>
      <c r="L27" s="84" t="e">
        <f t="shared" si="2"/>
        <v>#VALUE!</v>
      </c>
      <c r="M27" t="e">
        <f>O26*'Current vaccine model'!$H27*HelperFunctions!$R$14</f>
        <v>#VALUE!</v>
      </c>
      <c r="N27" t="e">
        <f>O26*'Current vaccine model'!$H27*Export!$L25</f>
        <v>#VALUE!</v>
      </c>
      <c r="O27" s="84" t="e">
        <f t="shared" si="3"/>
        <v>#VALUE!</v>
      </c>
      <c r="P27" t="e">
        <f>R26*'Current vaccine model'!$H27*HelperFunctions!$R$14</f>
        <v>#VALUE!</v>
      </c>
      <c r="Q27" t="e">
        <f>R26*'Current vaccine model'!$H27*Export!$L25</f>
        <v>#VALUE!</v>
      </c>
      <c r="R27" s="84" t="e">
        <f t="shared" si="4"/>
        <v>#VALUE!</v>
      </c>
      <c r="S27" t="e">
        <f>U26*'Current vaccine model'!$H27*HelperFunctions!$R$14</f>
        <v>#VALUE!</v>
      </c>
      <c r="T27" t="e">
        <f>U26*'Current vaccine model'!$H27*Export!$L25</f>
        <v>#VALUE!</v>
      </c>
      <c r="U27" s="84" t="e">
        <f t="shared" si="5"/>
        <v>#VALUE!</v>
      </c>
      <c r="V27" t="e">
        <f>X26*'Current vaccine model'!$H27*HelperFunctions!$R$14</f>
        <v>#VALUE!</v>
      </c>
      <c r="W27" t="e">
        <f>X26*'Current vaccine model'!$H27*Export!$L25</f>
        <v>#VALUE!</v>
      </c>
      <c r="X27" s="84" t="e">
        <f t="shared" si="6"/>
        <v>#VALUE!</v>
      </c>
      <c r="Y27" t="e">
        <f>AA26*'Current vaccine model'!$H27*HelperFunctions!$R$14</f>
        <v>#VALUE!</v>
      </c>
      <c r="Z27" t="e">
        <f>AA26*'Current vaccine model'!$H27*Export!$L25</f>
        <v>#VALUE!</v>
      </c>
      <c r="AA27" s="84" t="e">
        <f t="shared" si="7"/>
        <v>#VALUE!</v>
      </c>
      <c r="AB27" t="e">
        <f>AD26*'Current vaccine model'!$H27*HelperFunctions!$R$14</f>
        <v>#VALUE!</v>
      </c>
      <c r="AC27" t="e">
        <f>AD26*'Current vaccine model'!$H27*Export!$L25</f>
        <v>#VALUE!</v>
      </c>
      <c r="AD27" s="84" t="e">
        <f t="shared" si="8"/>
        <v>#VALUE!</v>
      </c>
      <c r="AE27" t="e">
        <f>AG26*'Current vaccine model'!$H27*HelperFunctions!$R$14</f>
        <v>#VALUE!</v>
      </c>
      <c r="AF27" t="e">
        <f>AG26*'Current vaccine model'!$H27*Export!$L25</f>
        <v>#VALUE!</v>
      </c>
      <c r="AG27" s="84" t="e">
        <f t="shared" si="9"/>
        <v>#VALUE!</v>
      </c>
      <c r="AH27" t="e">
        <f>AJ26*'Current vaccine model'!$H27*HelperFunctions!$R$14</f>
        <v>#VALUE!</v>
      </c>
      <c r="AI27" t="e">
        <f>AJ26*'Current vaccine model'!$H27*Export!$L25</f>
        <v>#VALUE!</v>
      </c>
      <c r="AJ27" s="84" t="e">
        <f t="shared" si="10"/>
        <v>#VALUE!</v>
      </c>
      <c r="AK27" t="e">
        <f>AM26*'Current vaccine model'!$H27*HelperFunctions!$R$14</f>
        <v>#VALUE!</v>
      </c>
      <c r="AL27" t="e">
        <f>AM26*'Current vaccine model'!$H27*Export!$L25</f>
        <v>#VALUE!</v>
      </c>
      <c r="AM27" s="84" t="e">
        <f t="shared" si="11"/>
        <v>#VALUE!</v>
      </c>
      <c r="AN27" t="e">
        <f>AP26*'Current vaccine model'!$H27*HelperFunctions!$R27</f>
        <v>#VALUE!</v>
      </c>
      <c r="AO27" t="e">
        <f>AP26*'Current vaccine model'!$H27*Export!$L25</f>
        <v>#VALUE!</v>
      </c>
      <c r="AP27" s="84" t="e">
        <f t="shared" si="12"/>
        <v>#VALUE!</v>
      </c>
      <c r="AQ27" t="e">
        <f>AS26*'Current vaccine model'!$H27*HelperFunctions!$R26</f>
        <v>#VALUE!</v>
      </c>
      <c r="AR27" t="e">
        <f>AS26*'Current vaccine model'!$H27*Export!$L25</f>
        <v>#VALUE!</v>
      </c>
      <c r="AS27" s="84" t="e">
        <f t="shared" si="13"/>
        <v>#VALUE!</v>
      </c>
      <c r="AT27" t="e">
        <f>AV26*'Current vaccine model'!$H27*HelperFunctions!$R25</f>
        <v>#VALUE!</v>
      </c>
      <c r="AU27" t="e">
        <f>AV26*'Current vaccine model'!$H27*Export!$L25</f>
        <v>#VALUE!</v>
      </c>
      <c r="AV27" s="84" t="e">
        <f t="shared" si="14"/>
        <v>#VALUE!</v>
      </c>
      <c r="AW27" t="e">
        <f>AY26*'Current vaccine model'!$H27*HelperFunctions!$R24</f>
        <v>#VALUE!</v>
      </c>
      <c r="AX27" t="e">
        <f>AY26*'Current vaccine model'!$H27*Export!$L25</f>
        <v>#VALUE!</v>
      </c>
      <c r="AY27" s="84" t="e">
        <f t="shared" si="15"/>
        <v>#VALUE!</v>
      </c>
      <c r="AZ27" t="e">
        <f>BB26*'Current vaccine model'!$H27*HelperFunctions!$R23</f>
        <v>#VALUE!</v>
      </c>
      <c r="BA27" t="e">
        <f>BB26*'Current vaccine model'!$H27*Export!$L25</f>
        <v>#VALUE!</v>
      </c>
      <c r="BB27" s="84" t="e">
        <f t="shared" si="16"/>
        <v>#VALUE!</v>
      </c>
      <c r="BC27" t="e">
        <f>BE26*'Current vaccine model'!$H27*HelperFunctions!$R22</f>
        <v>#VALUE!</v>
      </c>
      <c r="BD27" t="e">
        <f>BE26*'Current vaccine model'!$H27*Export!$L25</f>
        <v>#VALUE!</v>
      </c>
      <c r="BE27" s="84" t="e">
        <f t="shared" si="17"/>
        <v>#VALUE!</v>
      </c>
      <c r="BF27" t="e">
        <f>BH26*'Current vaccine model'!$H27*HelperFunctions!$R21</f>
        <v>#VALUE!</v>
      </c>
      <c r="BG27" t="e">
        <f>BH26*'Current vaccine model'!$H27*Export!$L25</f>
        <v>#VALUE!</v>
      </c>
      <c r="BH27" s="84" t="e">
        <f t="shared" si="18"/>
        <v>#VALUE!</v>
      </c>
      <c r="BI27" t="e">
        <f>BK26*'Current vaccine model'!$H27*HelperFunctions!$R20</f>
        <v>#VALUE!</v>
      </c>
      <c r="BJ27" t="e">
        <f>BK26*'Current vaccine model'!$H27*Export!$L25</f>
        <v>#VALUE!</v>
      </c>
      <c r="BK27" s="84" t="e">
        <f t="shared" si="19"/>
        <v>#VALUE!</v>
      </c>
      <c r="BL27" t="e">
        <f>BN26*'Current vaccine model'!$H27*HelperFunctions!$R19</f>
        <v>#VALUE!</v>
      </c>
      <c r="BM27" t="e">
        <f>BN26*'Current vaccine model'!$H27*Export!$L25</f>
        <v>#VALUE!</v>
      </c>
      <c r="BN27" s="84" t="e">
        <f t="shared" si="20"/>
        <v>#VALUE!</v>
      </c>
      <c r="BO27" t="e">
        <f>BQ26*'Current vaccine model'!$H27*HelperFunctions!$R18</f>
        <v>#VALUE!</v>
      </c>
      <c r="BP27" t="e">
        <f>BQ26*'Current vaccine model'!$H27*Export!$L25</f>
        <v>#VALUE!</v>
      </c>
      <c r="BQ27" s="84" t="e">
        <f t="shared" ref="BQ27:BQ63" si="21">BQ26-BO27-BP27</f>
        <v>#VALUE!</v>
      </c>
      <c r="BR27" t="e">
        <f>BT26*'Current vaccine model'!$H27*HelperFunctions!$R17</f>
        <v>#VALUE!</v>
      </c>
      <c r="BS27" t="e">
        <f>BT26*'Current vaccine model'!$H27*Export!$L25</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F27*'Current vaccine model'!$H28*HelperFunctions!$R$14</f>
        <v>#VALUE!</v>
      </c>
      <c r="E28" t="e">
        <f>F27*'Current vaccine model'!$H28*Export!$L26</f>
        <v>#VALUE!</v>
      </c>
      <c r="F28" s="84" t="e">
        <f t="shared" si="0"/>
        <v>#VALUE!</v>
      </c>
      <c r="G28" t="e">
        <f>I27*'Current vaccine model'!$H28*HelperFunctions!$R$14</f>
        <v>#VALUE!</v>
      </c>
      <c r="H28" t="e">
        <f>I27*'Current vaccine model'!$H28*Export!$L26</f>
        <v>#VALUE!</v>
      </c>
      <c r="I28" s="84" t="e">
        <f t="shared" si="1"/>
        <v>#VALUE!</v>
      </c>
      <c r="J28" t="e">
        <f>L27*'Current vaccine model'!$H28*HelperFunctions!$R$14</f>
        <v>#VALUE!</v>
      </c>
      <c r="K28" t="e">
        <f>L27*'Current vaccine model'!$H28*Export!$L26</f>
        <v>#VALUE!</v>
      </c>
      <c r="L28" s="84" t="e">
        <f t="shared" si="2"/>
        <v>#VALUE!</v>
      </c>
      <c r="M28" t="e">
        <f>O27*'Current vaccine model'!$H28*HelperFunctions!$R$14</f>
        <v>#VALUE!</v>
      </c>
      <c r="N28" t="e">
        <f>O27*'Current vaccine model'!$H28*Export!$L26</f>
        <v>#VALUE!</v>
      </c>
      <c r="O28" s="84" t="e">
        <f t="shared" si="3"/>
        <v>#VALUE!</v>
      </c>
      <c r="P28" t="e">
        <f>R27*'Current vaccine model'!$H28*HelperFunctions!$R$14</f>
        <v>#VALUE!</v>
      </c>
      <c r="Q28" t="e">
        <f>R27*'Current vaccine model'!$H28*Export!$L26</f>
        <v>#VALUE!</v>
      </c>
      <c r="R28" s="84" t="e">
        <f t="shared" si="4"/>
        <v>#VALUE!</v>
      </c>
      <c r="S28" t="e">
        <f>U27*'Current vaccine model'!$H28*HelperFunctions!$R$14</f>
        <v>#VALUE!</v>
      </c>
      <c r="T28" t="e">
        <f>U27*'Current vaccine model'!$H28*Export!$L26</f>
        <v>#VALUE!</v>
      </c>
      <c r="U28" s="84" t="e">
        <f t="shared" si="5"/>
        <v>#VALUE!</v>
      </c>
      <c r="V28" t="e">
        <f>X27*'Current vaccine model'!$H28*HelperFunctions!$R$14</f>
        <v>#VALUE!</v>
      </c>
      <c r="W28" t="e">
        <f>X27*'Current vaccine model'!$H28*Export!$L26</f>
        <v>#VALUE!</v>
      </c>
      <c r="X28" s="84" t="e">
        <f t="shared" si="6"/>
        <v>#VALUE!</v>
      </c>
      <c r="Y28" t="e">
        <f>AA27*'Current vaccine model'!$H28*HelperFunctions!$R$14</f>
        <v>#VALUE!</v>
      </c>
      <c r="Z28" t="e">
        <f>AA27*'Current vaccine model'!$H28*Export!$L26</f>
        <v>#VALUE!</v>
      </c>
      <c r="AA28" s="84" t="e">
        <f t="shared" si="7"/>
        <v>#VALUE!</v>
      </c>
      <c r="AB28" t="e">
        <f>AD27*'Current vaccine model'!$H28*HelperFunctions!$R$14</f>
        <v>#VALUE!</v>
      </c>
      <c r="AC28" t="e">
        <f>AD27*'Current vaccine model'!$H28*Export!$L26</f>
        <v>#VALUE!</v>
      </c>
      <c r="AD28" s="84" t="e">
        <f t="shared" si="8"/>
        <v>#VALUE!</v>
      </c>
      <c r="AE28" t="e">
        <f>AG27*'Current vaccine model'!$H28*HelperFunctions!$R$14</f>
        <v>#VALUE!</v>
      </c>
      <c r="AF28" t="e">
        <f>AG27*'Current vaccine model'!$H28*Export!$L26</f>
        <v>#VALUE!</v>
      </c>
      <c r="AG28" s="84" t="e">
        <f t="shared" si="9"/>
        <v>#VALUE!</v>
      </c>
      <c r="AH28" t="e">
        <f>AJ27*'Current vaccine model'!$H28*HelperFunctions!$R$14</f>
        <v>#VALUE!</v>
      </c>
      <c r="AI28" t="e">
        <f>AJ27*'Current vaccine model'!$H28*Export!$L26</f>
        <v>#VALUE!</v>
      </c>
      <c r="AJ28" s="84" t="e">
        <f t="shared" si="10"/>
        <v>#VALUE!</v>
      </c>
      <c r="AK28" t="e">
        <f>AM27*'Current vaccine model'!$H28*HelperFunctions!$R$14</f>
        <v>#VALUE!</v>
      </c>
      <c r="AL28" t="e">
        <f>AM27*'Current vaccine model'!$H28*Export!$L26</f>
        <v>#VALUE!</v>
      </c>
      <c r="AM28" s="84" t="e">
        <f t="shared" si="11"/>
        <v>#VALUE!</v>
      </c>
      <c r="AN28" t="e">
        <f>AP27*'Current vaccine model'!$H28*HelperFunctions!$R$28</f>
        <v>#VALUE!</v>
      </c>
      <c r="AO28" t="e">
        <f>AP27*'Current vaccine model'!$H28*Export!$L26</f>
        <v>#VALUE!</v>
      </c>
      <c r="AP28" s="84" t="e">
        <f t="shared" si="12"/>
        <v>#VALUE!</v>
      </c>
      <c r="AQ28" t="e">
        <f>AS27*'Current vaccine model'!$H28*HelperFunctions!$R27</f>
        <v>#VALUE!</v>
      </c>
      <c r="AR28" t="e">
        <f>AS27*'Current vaccine model'!$H28*Export!$L26</f>
        <v>#VALUE!</v>
      </c>
      <c r="AS28" s="84" t="e">
        <f t="shared" si="13"/>
        <v>#VALUE!</v>
      </c>
      <c r="AT28" t="e">
        <f>AV27*'Current vaccine model'!$H28*HelperFunctions!$R26</f>
        <v>#VALUE!</v>
      </c>
      <c r="AU28" t="e">
        <f>AV27*'Current vaccine model'!$H28*Export!$L26</f>
        <v>#VALUE!</v>
      </c>
      <c r="AV28" s="84" t="e">
        <f t="shared" si="14"/>
        <v>#VALUE!</v>
      </c>
      <c r="AW28" t="e">
        <f>AY27*'Current vaccine model'!$H28*HelperFunctions!$R25</f>
        <v>#VALUE!</v>
      </c>
      <c r="AX28" t="e">
        <f>AY27*'Current vaccine model'!$H28*Export!$L26</f>
        <v>#VALUE!</v>
      </c>
      <c r="AY28" s="84" t="e">
        <f t="shared" si="15"/>
        <v>#VALUE!</v>
      </c>
      <c r="AZ28" t="e">
        <f>BB27*'Current vaccine model'!$H28*HelperFunctions!$R24</f>
        <v>#VALUE!</v>
      </c>
      <c r="BA28" t="e">
        <f>BB27*'Current vaccine model'!$H28*Export!$L26</f>
        <v>#VALUE!</v>
      </c>
      <c r="BB28" s="84" t="e">
        <f t="shared" si="16"/>
        <v>#VALUE!</v>
      </c>
      <c r="BC28" t="e">
        <f>BE27*'Current vaccine model'!$H28*HelperFunctions!$R23</f>
        <v>#VALUE!</v>
      </c>
      <c r="BD28" t="e">
        <f>BE27*'Current vaccine model'!$H28*Export!$L26</f>
        <v>#VALUE!</v>
      </c>
      <c r="BE28" s="84" t="e">
        <f t="shared" si="17"/>
        <v>#VALUE!</v>
      </c>
      <c r="BF28" t="e">
        <f>BH27*'Current vaccine model'!$H28*HelperFunctions!$R22</f>
        <v>#VALUE!</v>
      </c>
      <c r="BG28" t="e">
        <f>BH27*'Current vaccine model'!$H28*Export!$L26</f>
        <v>#VALUE!</v>
      </c>
      <c r="BH28" s="84" t="e">
        <f t="shared" si="18"/>
        <v>#VALUE!</v>
      </c>
      <c r="BI28" t="e">
        <f>BK27*'Current vaccine model'!$H28*HelperFunctions!$R21</f>
        <v>#VALUE!</v>
      </c>
      <c r="BJ28" t="e">
        <f>BK27*'Current vaccine model'!$H28*Export!$L26</f>
        <v>#VALUE!</v>
      </c>
      <c r="BK28" s="84" t="e">
        <f t="shared" si="19"/>
        <v>#VALUE!</v>
      </c>
      <c r="BL28" t="e">
        <f>BN27*'Current vaccine model'!$H28*HelperFunctions!$R20</f>
        <v>#VALUE!</v>
      </c>
      <c r="BM28" t="e">
        <f>BN27*'Current vaccine model'!$H28*Export!$L26</f>
        <v>#VALUE!</v>
      </c>
      <c r="BN28" s="84" t="e">
        <f t="shared" si="20"/>
        <v>#VALUE!</v>
      </c>
      <c r="BO28" t="e">
        <f>BQ27*'Current vaccine model'!$H28*HelperFunctions!$R19</f>
        <v>#VALUE!</v>
      </c>
      <c r="BP28" t="e">
        <f>BQ27*'Current vaccine model'!$H28*Export!$L26</f>
        <v>#VALUE!</v>
      </c>
      <c r="BQ28" s="84" t="e">
        <f t="shared" si="21"/>
        <v>#VALUE!</v>
      </c>
      <c r="BR28" t="e">
        <f>BT27*'Current vaccine model'!$H28*HelperFunctions!$R18</f>
        <v>#VALUE!</v>
      </c>
      <c r="BS28" t="e">
        <f>BT27*'Current vaccine model'!$H28*Export!$L26</f>
        <v>#VALUE!</v>
      </c>
      <c r="BT28" s="84" t="e">
        <f t="shared" ref="BT28:BT63" si="22">BT27-BR28-BS28</f>
        <v>#VALUE!</v>
      </c>
      <c r="BU28" t="e">
        <f>BW27*'Current vaccine model'!$H28*HelperFunctions!$R17</f>
        <v>#VALUE!</v>
      </c>
      <c r="BV28" t="e">
        <f>BW27*'Current vaccine model'!$H28*Export!$L26</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F28*'Current vaccine model'!$H29*HelperFunctions!$R$14</f>
        <v>#VALUE!</v>
      </c>
      <c r="E29" t="e">
        <f>F28*'Current vaccine model'!$H29*Export!$L27</f>
        <v>#VALUE!</v>
      </c>
      <c r="F29" s="84" t="e">
        <f t="shared" si="0"/>
        <v>#VALUE!</v>
      </c>
      <c r="G29" t="e">
        <f>I28*'Current vaccine model'!$H29*HelperFunctions!$R$14</f>
        <v>#VALUE!</v>
      </c>
      <c r="H29" t="e">
        <f>I28*'Current vaccine model'!$H29*Export!$L27</f>
        <v>#VALUE!</v>
      </c>
      <c r="I29" s="84" t="e">
        <f t="shared" si="1"/>
        <v>#VALUE!</v>
      </c>
      <c r="J29" t="e">
        <f>L28*'Current vaccine model'!$H29*HelperFunctions!$R$14</f>
        <v>#VALUE!</v>
      </c>
      <c r="K29" t="e">
        <f>L28*'Current vaccine model'!$H29*Export!$L27</f>
        <v>#VALUE!</v>
      </c>
      <c r="L29" s="84" t="e">
        <f t="shared" si="2"/>
        <v>#VALUE!</v>
      </c>
      <c r="M29" t="e">
        <f>O28*'Current vaccine model'!$H29*HelperFunctions!$R$14</f>
        <v>#VALUE!</v>
      </c>
      <c r="N29" t="e">
        <f>O28*'Current vaccine model'!$H29*Export!$L27</f>
        <v>#VALUE!</v>
      </c>
      <c r="O29" s="84" t="e">
        <f t="shared" si="3"/>
        <v>#VALUE!</v>
      </c>
      <c r="P29" t="e">
        <f>R28*'Current vaccine model'!$H29*HelperFunctions!$R$14</f>
        <v>#VALUE!</v>
      </c>
      <c r="Q29" t="e">
        <f>R28*'Current vaccine model'!$H29*Export!$L27</f>
        <v>#VALUE!</v>
      </c>
      <c r="R29" s="84" t="e">
        <f t="shared" si="4"/>
        <v>#VALUE!</v>
      </c>
      <c r="S29" t="e">
        <f>U28*'Current vaccine model'!$H29*HelperFunctions!$R$14</f>
        <v>#VALUE!</v>
      </c>
      <c r="T29" t="e">
        <f>U28*'Current vaccine model'!$H29*Export!$L27</f>
        <v>#VALUE!</v>
      </c>
      <c r="U29" s="84" t="e">
        <f t="shared" si="5"/>
        <v>#VALUE!</v>
      </c>
      <c r="V29" t="e">
        <f>X28*'Current vaccine model'!$H29*HelperFunctions!$R$14</f>
        <v>#VALUE!</v>
      </c>
      <c r="W29" t="e">
        <f>X28*'Current vaccine model'!$H29*Export!$L27</f>
        <v>#VALUE!</v>
      </c>
      <c r="X29" s="84" t="e">
        <f t="shared" si="6"/>
        <v>#VALUE!</v>
      </c>
      <c r="Y29" t="e">
        <f>AA28*'Current vaccine model'!$H29*HelperFunctions!$R$14</f>
        <v>#VALUE!</v>
      </c>
      <c r="Z29" t="e">
        <f>AA28*'Current vaccine model'!$H29*Export!$L27</f>
        <v>#VALUE!</v>
      </c>
      <c r="AA29" s="84" t="e">
        <f t="shared" si="7"/>
        <v>#VALUE!</v>
      </c>
      <c r="AB29" t="e">
        <f>AD28*'Current vaccine model'!$H29*HelperFunctions!$R$14</f>
        <v>#VALUE!</v>
      </c>
      <c r="AC29" t="e">
        <f>AD28*'Current vaccine model'!$H29*Export!$L27</f>
        <v>#VALUE!</v>
      </c>
      <c r="AD29" s="84" t="e">
        <f t="shared" si="8"/>
        <v>#VALUE!</v>
      </c>
      <c r="AE29" t="e">
        <f>AG28*'Current vaccine model'!$H29*HelperFunctions!$R$14</f>
        <v>#VALUE!</v>
      </c>
      <c r="AF29" t="e">
        <f>AG28*'Current vaccine model'!$H29*Export!$L27</f>
        <v>#VALUE!</v>
      </c>
      <c r="AG29" s="84" t="e">
        <f t="shared" si="9"/>
        <v>#VALUE!</v>
      </c>
      <c r="AH29" t="e">
        <f>AJ28*'Current vaccine model'!$H29*HelperFunctions!$R$14</f>
        <v>#VALUE!</v>
      </c>
      <c r="AI29" t="e">
        <f>AJ28*'Current vaccine model'!$H29*Export!$L27</f>
        <v>#VALUE!</v>
      </c>
      <c r="AJ29" s="84" t="e">
        <f t="shared" si="10"/>
        <v>#VALUE!</v>
      </c>
      <c r="AK29" t="e">
        <f>AM28*'Current vaccine model'!$H29*HelperFunctions!$R$14</f>
        <v>#VALUE!</v>
      </c>
      <c r="AL29" t="e">
        <f>AM28*'Current vaccine model'!$H29*Export!$L27</f>
        <v>#VALUE!</v>
      </c>
      <c r="AM29" s="84" t="e">
        <f t="shared" si="11"/>
        <v>#VALUE!</v>
      </c>
      <c r="AN29" t="e">
        <f>AP28*'Current vaccine model'!$H29*HelperFunctions!$R$28</f>
        <v>#VALUE!</v>
      </c>
      <c r="AO29" t="e">
        <f>AP28*'Current vaccine model'!$H29*Export!$L27</f>
        <v>#VALUE!</v>
      </c>
      <c r="AP29" s="84" t="e">
        <f t="shared" si="12"/>
        <v>#VALUE!</v>
      </c>
      <c r="AQ29" t="e">
        <f>AS28*'Current vaccine model'!$H29*HelperFunctions!$R$28</f>
        <v>#VALUE!</v>
      </c>
      <c r="AR29" t="e">
        <f>AS28*'Current vaccine model'!$H29*Export!$L27</f>
        <v>#VALUE!</v>
      </c>
      <c r="AS29" s="84" t="e">
        <f t="shared" si="13"/>
        <v>#VALUE!</v>
      </c>
      <c r="AT29" t="e">
        <f>AV28*'Current vaccine model'!$H29*HelperFunctions!$R27</f>
        <v>#VALUE!</v>
      </c>
      <c r="AU29" t="e">
        <f>AV28*'Current vaccine model'!$H29*Export!$L27</f>
        <v>#VALUE!</v>
      </c>
      <c r="AV29" s="84" t="e">
        <f t="shared" si="14"/>
        <v>#VALUE!</v>
      </c>
      <c r="AW29" t="e">
        <f>AY28*'Current vaccine model'!$H29*HelperFunctions!$R26</f>
        <v>#VALUE!</v>
      </c>
      <c r="AX29" t="e">
        <f>AY28*'Current vaccine model'!$H29*Export!$L27</f>
        <v>#VALUE!</v>
      </c>
      <c r="AY29" s="84" t="e">
        <f t="shared" si="15"/>
        <v>#VALUE!</v>
      </c>
      <c r="AZ29" t="e">
        <f>BB28*'Current vaccine model'!$H29*HelperFunctions!$R25</f>
        <v>#VALUE!</v>
      </c>
      <c r="BA29" t="e">
        <f>BB28*'Current vaccine model'!$H29*Export!$L27</f>
        <v>#VALUE!</v>
      </c>
      <c r="BB29" s="84" t="e">
        <f t="shared" si="16"/>
        <v>#VALUE!</v>
      </c>
      <c r="BC29" t="e">
        <f>BE28*'Current vaccine model'!$H29*HelperFunctions!$R24</f>
        <v>#VALUE!</v>
      </c>
      <c r="BD29" t="e">
        <f>BE28*'Current vaccine model'!$H29*Export!$L27</f>
        <v>#VALUE!</v>
      </c>
      <c r="BE29" s="84" t="e">
        <f t="shared" si="17"/>
        <v>#VALUE!</v>
      </c>
      <c r="BF29" t="e">
        <f>BH28*'Current vaccine model'!$H29*HelperFunctions!$R23</f>
        <v>#VALUE!</v>
      </c>
      <c r="BG29" t="e">
        <f>BH28*'Current vaccine model'!$H29*Export!$L27</f>
        <v>#VALUE!</v>
      </c>
      <c r="BH29" s="84" t="e">
        <f t="shared" si="18"/>
        <v>#VALUE!</v>
      </c>
      <c r="BI29" t="e">
        <f>BK28*'Current vaccine model'!$H29*HelperFunctions!$R22</f>
        <v>#VALUE!</v>
      </c>
      <c r="BJ29" t="e">
        <f>BK28*'Current vaccine model'!$H29*Export!$L27</f>
        <v>#VALUE!</v>
      </c>
      <c r="BK29" s="84" t="e">
        <f t="shared" si="19"/>
        <v>#VALUE!</v>
      </c>
      <c r="BL29" t="e">
        <f>BN28*'Current vaccine model'!$H29*HelperFunctions!$R21</f>
        <v>#VALUE!</v>
      </c>
      <c r="BM29" t="e">
        <f>BN28*'Current vaccine model'!$H29*Export!$L27</f>
        <v>#VALUE!</v>
      </c>
      <c r="BN29" s="84" t="e">
        <f t="shared" si="20"/>
        <v>#VALUE!</v>
      </c>
      <c r="BO29" t="e">
        <f>BQ28*'Current vaccine model'!$H29*HelperFunctions!$R20</f>
        <v>#VALUE!</v>
      </c>
      <c r="BP29" t="e">
        <f>BQ28*'Current vaccine model'!$H29*Export!$L27</f>
        <v>#VALUE!</v>
      </c>
      <c r="BQ29" s="84" t="e">
        <f t="shared" si="21"/>
        <v>#VALUE!</v>
      </c>
      <c r="BR29" t="e">
        <f>BT28*'Current vaccine model'!$H29*HelperFunctions!$R19</f>
        <v>#VALUE!</v>
      </c>
      <c r="BS29" t="e">
        <f>BT28*'Current vaccine model'!$H29*Export!$L27</f>
        <v>#VALUE!</v>
      </c>
      <c r="BT29" s="84" t="e">
        <f t="shared" si="22"/>
        <v>#VALUE!</v>
      </c>
      <c r="BU29" t="e">
        <f>BW28*'Current vaccine model'!$H29*HelperFunctions!$R18</f>
        <v>#VALUE!</v>
      </c>
      <c r="BV29" t="e">
        <f>BW28*'Current vaccine model'!$H29*Export!$L27</f>
        <v>#VALUE!</v>
      </c>
      <c r="BW29" s="84" t="e">
        <f t="shared" ref="BW29:BW63" si="23">BW28-BU29-BV29</f>
        <v>#VALUE!</v>
      </c>
      <c r="BX29" t="e">
        <f>BZ28*'Current vaccine model'!$H29*HelperFunctions!$R31</f>
        <v>#VALUE!</v>
      </c>
      <c r="BY29" t="e">
        <f>BZ28*'Current vaccine model'!$H29*Export!$L27</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F29*'Current vaccine model'!$H30*HelperFunctions!$R$14</f>
        <v>#VALUE!</v>
      </c>
      <c r="E30" t="e">
        <f>F29*'Current vaccine model'!$H30*Export!$L28</f>
        <v>#VALUE!</v>
      </c>
      <c r="F30" s="84" t="e">
        <f t="shared" si="0"/>
        <v>#VALUE!</v>
      </c>
      <c r="G30" t="e">
        <f>I29*'Current vaccine model'!$H30*HelperFunctions!$R$14</f>
        <v>#VALUE!</v>
      </c>
      <c r="H30" t="e">
        <f>I29*'Current vaccine model'!$H30*Export!$L28</f>
        <v>#VALUE!</v>
      </c>
      <c r="I30" s="84" t="e">
        <f t="shared" si="1"/>
        <v>#VALUE!</v>
      </c>
      <c r="J30" t="e">
        <f>L29*'Current vaccine model'!$H30*HelperFunctions!$R$14</f>
        <v>#VALUE!</v>
      </c>
      <c r="K30" t="e">
        <f>L29*'Current vaccine model'!$H30*Export!$L28</f>
        <v>#VALUE!</v>
      </c>
      <c r="L30" s="84" t="e">
        <f t="shared" si="2"/>
        <v>#VALUE!</v>
      </c>
      <c r="M30" t="e">
        <f>O29*'Current vaccine model'!$H30*HelperFunctions!$R$14</f>
        <v>#VALUE!</v>
      </c>
      <c r="N30" t="e">
        <f>O29*'Current vaccine model'!$H30*Export!$L28</f>
        <v>#VALUE!</v>
      </c>
      <c r="O30" s="84" t="e">
        <f t="shared" si="3"/>
        <v>#VALUE!</v>
      </c>
      <c r="P30" t="e">
        <f>R29*'Current vaccine model'!$H30*HelperFunctions!$R$14</f>
        <v>#VALUE!</v>
      </c>
      <c r="Q30" t="e">
        <f>R29*'Current vaccine model'!$H30*Export!$L28</f>
        <v>#VALUE!</v>
      </c>
      <c r="R30" s="84" t="e">
        <f t="shared" si="4"/>
        <v>#VALUE!</v>
      </c>
      <c r="S30" t="e">
        <f>U29*'Current vaccine model'!$H30*HelperFunctions!$R$14</f>
        <v>#VALUE!</v>
      </c>
      <c r="T30" t="e">
        <f>U29*'Current vaccine model'!$H30*Export!$L28</f>
        <v>#VALUE!</v>
      </c>
      <c r="U30" s="84" t="e">
        <f t="shared" si="5"/>
        <v>#VALUE!</v>
      </c>
      <c r="V30" t="e">
        <f>X29*'Current vaccine model'!$H30*HelperFunctions!$R$14</f>
        <v>#VALUE!</v>
      </c>
      <c r="W30" t="e">
        <f>X29*'Current vaccine model'!$H30*Export!$L28</f>
        <v>#VALUE!</v>
      </c>
      <c r="X30" s="84" t="e">
        <f t="shared" si="6"/>
        <v>#VALUE!</v>
      </c>
      <c r="Y30" t="e">
        <f>AA29*'Current vaccine model'!$H30*HelperFunctions!$R$14</f>
        <v>#VALUE!</v>
      </c>
      <c r="Z30" t="e">
        <f>AA29*'Current vaccine model'!$H30*Export!$L28</f>
        <v>#VALUE!</v>
      </c>
      <c r="AA30" s="84" t="e">
        <f t="shared" si="7"/>
        <v>#VALUE!</v>
      </c>
      <c r="AB30" t="e">
        <f>AD29*'Current vaccine model'!$H30*HelperFunctions!$R$14</f>
        <v>#VALUE!</v>
      </c>
      <c r="AC30" t="e">
        <f>AD29*'Current vaccine model'!$H30*Export!$L28</f>
        <v>#VALUE!</v>
      </c>
      <c r="AD30" s="84" t="e">
        <f t="shared" si="8"/>
        <v>#VALUE!</v>
      </c>
      <c r="AE30" t="e">
        <f>AG29*'Current vaccine model'!$H30*HelperFunctions!$R$14</f>
        <v>#VALUE!</v>
      </c>
      <c r="AF30" t="e">
        <f>AG29*'Current vaccine model'!$H30*Export!$L28</f>
        <v>#VALUE!</v>
      </c>
      <c r="AG30" s="84" t="e">
        <f t="shared" si="9"/>
        <v>#VALUE!</v>
      </c>
      <c r="AH30" t="e">
        <f>AJ29*'Current vaccine model'!$H30*HelperFunctions!$R$14</f>
        <v>#VALUE!</v>
      </c>
      <c r="AI30" t="e">
        <f>AJ29*'Current vaccine model'!$H30*Export!$L28</f>
        <v>#VALUE!</v>
      </c>
      <c r="AJ30" s="84" t="e">
        <f t="shared" si="10"/>
        <v>#VALUE!</v>
      </c>
      <c r="AK30" t="e">
        <f>AM29*'Current vaccine model'!$H30*HelperFunctions!$R$14</f>
        <v>#VALUE!</v>
      </c>
      <c r="AL30" t="e">
        <f>AM29*'Current vaccine model'!$H30*Export!$L28</f>
        <v>#VALUE!</v>
      </c>
      <c r="AM30" s="84" t="e">
        <f t="shared" si="11"/>
        <v>#VALUE!</v>
      </c>
      <c r="AN30" t="e">
        <f>AP29*'Current vaccine model'!$H30*HelperFunctions!$R$28</f>
        <v>#VALUE!</v>
      </c>
      <c r="AO30" t="e">
        <f>AP29*'Current vaccine model'!$H30*Export!$L28</f>
        <v>#VALUE!</v>
      </c>
      <c r="AP30" s="84" t="e">
        <f t="shared" si="12"/>
        <v>#VALUE!</v>
      </c>
      <c r="AQ30" t="e">
        <f>AS29*'Current vaccine model'!$H30*HelperFunctions!$R$28</f>
        <v>#VALUE!</v>
      </c>
      <c r="AR30" t="e">
        <f>AS29*'Current vaccine model'!$H30*Export!$L28</f>
        <v>#VALUE!</v>
      </c>
      <c r="AS30" s="84" t="e">
        <f t="shared" si="13"/>
        <v>#VALUE!</v>
      </c>
      <c r="AT30" t="e">
        <f>AV29*'Current vaccine model'!$H30*HelperFunctions!$R$28</f>
        <v>#VALUE!</v>
      </c>
      <c r="AU30" t="e">
        <f>AV29*'Current vaccine model'!$H30*Export!$L28</f>
        <v>#VALUE!</v>
      </c>
      <c r="AV30" s="84" t="e">
        <f t="shared" si="14"/>
        <v>#VALUE!</v>
      </c>
      <c r="AW30" t="e">
        <f>AY29*'Current vaccine model'!$H30*HelperFunctions!$R27</f>
        <v>#VALUE!</v>
      </c>
      <c r="AX30" t="e">
        <f>AY29*'Current vaccine model'!$H30*Export!$L28</f>
        <v>#VALUE!</v>
      </c>
      <c r="AY30" s="84" t="e">
        <f t="shared" si="15"/>
        <v>#VALUE!</v>
      </c>
      <c r="AZ30" t="e">
        <f>BB29*'Current vaccine model'!$H30*HelperFunctions!$R26</f>
        <v>#VALUE!</v>
      </c>
      <c r="BA30" t="e">
        <f>BB29*'Current vaccine model'!$H30*Export!$L28</f>
        <v>#VALUE!</v>
      </c>
      <c r="BB30" s="84" t="e">
        <f t="shared" si="16"/>
        <v>#VALUE!</v>
      </c>
      <c r="BC30" t="e">
        <f>BE29*'Current vaccine model'!$H30*HelperFunctions!$R25</f>
        <v>#VALUE!</v>
      </c>
      <c r="BD30" t="e">
        <f>BE29*'Current vaccine model'!$H30*Export!$L28</f>
        <v>#VALUE!</v>
      </c>
      <c r="BE30" s="84" t="e">
        <f t="shared" si="17"/>
        <v>#VALUE!</v>
      </c>
      <c r="BF30" t="e">
        <f>BH29*'Current vaccine model'!$H30*HelperFunctions!$R24</f>
        <v>#VALUE!</v>
      </c>
      <c r="BG30" t="e">
        <f>BH29*'Current vaccine model'!$H30*Export!$L28</f>
        <v>#VALUE!</v>
      </c>
      <c r="BH30" s="84" t="e">
        <f t="shared" si="18"/>
        <v>#VALUE!</v>
      </c>
      <c r="BI30" t="e">
        <f>BK29*'Current vaccine model'!$H30*HelperFunctions!$R23</f>
        <v>#VALUE!</v>
      </c>
      <c r="BJ30" t="e">
        <f>BK29*'Current vaccine model'!$H30*Export!$L28</f>
        <v>#VALUE!</v>
      </c>
      <c r="BK30" s="84" t="e">
        <f t="shared" si="19"/>
        <v>#VALUE!</v>
      </c>
      <c r="BL30" t="e">
        <f>BN29*'Current vaccine model'!$H30*HelperFunctions!$R22</f>
        <v>#VALUE!</v>
      </c>
      <c r="BM30" t="e">
        <f>BN29*'Current vaccine model'!$H30*Export!$L28</f>
        <v>#VALUE!</v>
      </c>
      <c r="BN30" s="84" t="e">
        <f t="shared" si="20"/>
        <v>#VALUE!</v>
      </c>
      <c r="BO30" t="e">
        <f>BQ29*'Current vaccine model'!$H30*HelperFunctions!$R21</f>
        <v>#VALUE!</v>
      </c>
      <c r="BP30" t="e">
        <f>BQ29*'Current vaccine model'!$H30*Export!$L28</f>
        <v>#VALUE!</v>
      </c>
      <c r="BQ30" s="84" t="e">
        <f t="shared" si="21"/>
        <v>#VALUE!</v>
      </c>
      <c r="BR30" t="e">
        <f>BT29*'Current vaccine model'!$H30*HelperFunctions!$R20</f>
        <v>#VALUE!</v>
      </c>
      <c r="BS30" t="e">
        <f>BT29*'Current vaccine model'!$H30*Export!$L28</f>
        <v>#VALUE!</v>
      </c>
      <c r="BT30" s="84" t="e">
        <f t="shared" si="22"/>
        <v>#VALUE!</v>
      </c>
      <c r="BU30" t="e">
        <f>BW29*'Current vaccine model'!$H30*HelperFunctions!$R19</f>
        <v>#VALUE!</v>
      </c>
      <c r="BV30" t="e">
        <f>BW29*'Current vaccine model'!$H30*Export!$L28</f>
        <v>#VALUE!</v>
      </c>
      <c r="BW30" s="84" t="e">
        <f t="shared" si="23"/>
        <v>#VALUE!</v>
      </c>
      <c r="BX30" t="e">
        <f>BZ29*'Current vaccine model'!$H30*HelperFunctions!$R32</f>
        <v>#VALUE!</v>
      </c>
      <c r="BY30" t="e">
        <f>BZ29*'Current vaccine model'!$H30*Export!$L28</f>
        <v>#VALUE!</v>
      </c>
      <c r="BZ30" s="84" t="e">
        <f t="shared" ref="BZ30:BZ63" si="24">BZ29-BX30-BY30</f>
        <v>#VALUE!</v>
      </c>
      <c r="CA30" t="e">
        <f>CC29*'Current vaccine model'!$H30*HelperFunctions!$R31</f>
        <v>#VALUE!</v>
      </c>
      <c r="CB30" t="e">
        <f>CC29*'Current vaccine model'!$H30*Export!$L28</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F30*'Current vaccine model'!$H31*HelperFunctions!$R$14</f>
        <v>#VALUE!</v>
      </c>
      <c r="E31" t="e">
        <f>F30*'Current vaccine model'!$H31*Export!$L29</f>
        <v>#VALUE!</v>
      </c>
      <c r="F31" s="84" t="e">
        <f t="shared" si="0"/>
        <v>#VALUE!</v>
      </c>
      <c r="G31" t="e">
        <f>I30*'Current vaccine model'!$H31*HelperFunctions!$R$14</f>
        <v>#VALUE!</v>
      </c>
      <c r="H31" t="e">
        <f>I30*'Current vaccine model'!$H31*Export!$L29</f>
        <v>#VALUE!</v>
      </c>
      <c r="I31" s="84" t="e">
        <f t="shared" si="1"/>
        <v>#VALUE!</v>
      </c>
      <c r="J31" t="e">
        <f>L30*'Current vaccine model'!$H31*HelperFunctions!$R$14</f>
        <v>#VALUE!</v>
      </c>
      <c r="K31" t="e">
        <f>L30*'Current vaccine model'!$H31*Export!$L29</f>
        <v>#VALUE!</v>
      </c>
      <c r="L31" s="84" t="e">
        <f t="shared" si="2"/>
        <v>#VALUE!</v>
      </c>
      <c r="M31" t="e">
        <f>O30*'Current vaccine model'!$H31*HelperFunctions!$R$14</f>
        <v>#VALUE!</v>
      </c>
      <c r="N31" t="e">
        <f>O30*'Current vaccine model'!$H31*Export!$L29</f>
        <v>#VALUE!</v>
      </c>
      <c r="O31" s="84" t="e">
        <f t="shared" si="3"/>
        <v>#VALUE!</v>
      </c>
      <c r="P31" t="e">
        <f>R30*'Current vaccine model'!$H31*HelperFunctions!$R$14</f>
        <v>#VALUE!</v>
      </c>
      <c r="Q31" t="e">
        <f>R30*'Current vaccine model'!$H31*Export!$L29</f>
        <v>#VALUE!</v>
      </c>
      <c r="R31" s="84" t="e">
        <f t="shared" si="4"/>
        <v>#VALUE!</v>
      </c>
      <c r="S31" t="e">
        <f>U30*'Current vaccine model'!$H31*HelperFunctions!$R$14</f>
        <v>#VALUE!</v>
      </c>
      <c r="T31" t="e">
        <f>U30*'Current vaccine model'!$H31*Export!$L29</f>
        <v>#VALUE!</v>
      </c>
      <c r="U31" s="84" t="e">
        <f t="shared" si="5"/>
        <v>#VALUE!</v>
      </c>
      <c r="V31" t="e">
        <f>X30*'Current vaccine model'!$H31*HelperFunctions!$R$14</f>
        <v>#VALUE!</v>
      </c>
      <c r="W31" t="e">
        <f>X30*'Current vaccine model'!$H31*Export!$L29</f>
        <v>#VALUE!</v>
      </c>
      <c r="X31" s="84" t="e">
        <f t="shared" si="6"/>
        <v>#VALUE!</v>
      </c>
      <c r="Y31" t="e">
        <f>AA30*'Current vaccine model'!$H31*HelperFunctions!$R$14</f>
        <v>#VALUE!</v>
      </c>
      <c r="Z31" t="e">
        <f>AA30*'Current vaccine model'!$H31*Export!$L29</f>
        <v>#VALUE!</v>
      </c>
      <c r="AA31" s="84" t="e">
        <f t="shared" si="7"/>
        <v>#VALUE!</v>
      </c>
      <c r="AB31" t="e">
        <f>AD30*'Current vaccine model'!$H31*HelperFunctions!$R$14</f>
        <v>#VALUE!</v>
      </c>
      <c r="AC31" t="e">
        <f>AD30*'Current vaccine model'!$H31*Export!$L29</f>
        <v>#VALUE!</v>
      </c>
      <c r="AD31" s="84" t="e">
        <f t="shared" si="8"/>
        <v>#VALUE!</v>
      </c>
      <c r="AE31" t="e">
        <f>AG30*'Current vaccine model'!$H31*HelperFunctions!$R$14</f>
        <v>#VALUE!</v>
      </c>
      <c r="AF31" t="e">
        <f>AG30*'Current vaccine model'!$H31*Export!$L29</f>
        <v>#VALUE!</v>
      </c>
      <c r="AG31" s="84" t="e">
        <f t="shared" si="9"/>
        <v>#VALUE!</v>
      </c>
      <c r="AH31" t="e">
        <f>AJ30*'Current vaccine model'!$H31*HelperFunctions!$R$14</f>
        <v>#VALUE!</v>
      </c>
      <c r="AI31" t="e">
        <f>AJ30*'Current vaccine model'!$H31*Export!$L29</f>
        <v>#VALUE!</v>
      </c>
      <c r="AJ31" s="84" t="e">
        <f t="shared" si="10"/>
        <v>#VALUE!</v>
      </c>
      <c r="AK31" t="e">
        <f>AM30*'Current vaccine model'!$H31*HelperFunctions!$R$14</f>
        <v>#VALUE!</v>
      </c>
      <c r="AL31" t="e">
        <f>AM30*'Current vaccine model'!$H31*Export!$L29</f>
        <v>#VALUE!</v>
      </c>
      <c r="AM31" s="84" t="e">
        <f t="shared" si="11"/>
        <v>#VALUE!</v>
      </c>
      <c r="AN31" t="e">
        <f>AP30*'Current vaccine model'!$H31*HelperFunctions!$R$28</f>
        <v>#VALUE!</v>
      </c>
      <c r="AO31" t="e">
        <f>AP30*'Current vaccine model'!$H31*Export!$L29</f>
        <v>#VALUE!</v>
      </c>
      <c r="AP31" s="84" t="e">
        <f t="shared" si="12"/>
        <v>#VALUE!</v>
      </c>
      <c r="AQ31" t="e">
        <f>AS30*'Current vaccine model'!$H31*HelperFunctions!$R$28</f>
        <v>#VALUE!</v>
      </c>
      <c r="AR31" t="e">
        <f>AS30*'Current vaccine model'!$H31*Export!$L29</f>
        <v>#VALUE!</v>
      </c>
      <c r="AS31" s="84" t="e">
        <f t="shared" si="13"/>
        <v>#VALUE!</v>
      </c>
      <c r="AT31" t="e">
        <f>AV30*'Current vaccine model'!$H31*HelperFunctions!$R$28</f>
        <v>#VALUE!</v>
      </c>
      <c r="AU31" t="e">
        <f>AV30*'Current vaccine model'!$H31*Export!$L29</f>
        <v>#VALUE!</v>
      </c>
      <c r="AV31" s="84" t="e">
        <f t="shared" si="14"/>
        <v>#VALUE!</v>
      </c>
      <c r="AW31" t="e">
        <f>AY30*'Current vaccine model'!$H31*HelperFunctions!$R$28</f>
        <v>#VALUE!</v>
      </c>
      <c r="AX31" t="e">
        <f>AY30*'Current vaccine model'!$H31*Export!$L29</f>
        <v>#VALUE!</v>
      </c>
      <c r="AY31" s="84" t="e">
        <f t="shared" si="15"/>
        <v>#VALUE!</v>
      </c>
      <c r="AZ31" t="e">
        <f>BB30*'Current vaccine model'!$H31*HelperFunctions!$R27</f>
        <v>#VALUE!</v>
      </c>
      <c r="BA31" t="e">
        <f>BB30*'Current vaccine model'!$H31*Export!$L29</f>
        <v>#VALUE!</v>
      </c>
      <c r="BB31" s="84" t="e">
        <f t="shared" si="16"/>
        <v>#VALUE!</v>
      </c>
      <c r="BC31" t="e">
        <f>BE30*'Current vaccine model'!$H31*HelperFunctions!$R26</f>
        <v>#VALUE!</v>
      </c>
      <c r="BD31" t="e">
        <f>BE30*'Current vaccine model'!$H31*Export!$L29</f>
        <v>#VALUE!</v>
      </c>
      <c r="BE31" s="84" t="e">
        <f t="shared" si="17"/>
        <v>#VALUE!</v>
      </c>
      <c r="BF31" t="e">
        <f>BH30*'Current vaccine model'!$H31*HelperFunctions!$R25</f>
        <v>#VALUE!</v>
      </c>
      <c r="BG31" t="e">
        <f>BH30*'Current vaccine model'!$H31*Export!$L29</f>
        <v>#VALUE!</v>
      </c>
      <c r="BH31" s="84" t="e">
        <f t="shared" si="18"/>
        <v>#VALUE!</v>
      </c>
      <c r="BI31" t="e">
        <f>BK30*'Current vaccine model'!$H31*HelperFunctions!$R24</f>
        <v>#VALUE!</v>
      </c>
      <c r="BJ31" t="e">
        <f>BK30*'Current vaccine model'!$H31*Export!$L29</f>
        <v>#VALUE!</v>
      </c>
      <c r="BK31" s="84" t="e">
        <f t="shared" si="19"/>
        <v>#VALUE!</v>
      </c>
      <c r="BL31" t="e">
        <f>BN30*'Current vaccine model'!$H31*HelperFunctions!$R23</f>
        <v>#VALUE!</v>
      </c>
      <c r="BM31" t="e">
        <f>BN30*'Current vaccine model'!$H31*Export!$L29</f>
        <v>#VALUE!</v>
      </c>
      <c r="BN31" s="84" t="e">
        <f t="shared" si="20"/>
        <v>#VALUE!</v>
      </c>
      <c r="BO31" t="e">
        <f>BQ30*'Current vaccine model'!$H31*HelperFunctions!$R22</f>
        <v>#VALUE!</v>
      </c>
      <c r="BP31" t="e">
        <f>BQ30*'Current vaccine model'!$H31*Export!$L29</f>
        <v>#VALUE!</v>
      </c>
      <c r="BQ31" s="84" t="e">
        <f t="shared" si="21"/>
        <v>#VALUE!</v>
      </c>
      <c r="BR31" t="e">
        <f>BT30*'Current vaccine model'!$H31*HelperFunctions!$R21</f>
        <v>#VALUE!</v>
      </c>
      <c r="BS31" t="e">
        <f>BT30*'Current vaccine model'!$H31*Export!$L29</f>
        <v>#VALUE!</v>
      </c>
      <c r="BT31" s="84" t="e">
        <f t="shared" si="22"/>
        <v>#VALUE!</v>
      </c>
      <c r="BU31" t="e">
        <f>BW30*'Current vaccine model'!$H31*HelperFunctions!$R20</f>
        <v>#VALUE!</v>
      </c>
      <c r="BV31" t="e">
        <f>BW30*'Current vaccine model'!$H31*Export!$L29</f>
        <v>#VALUE!</v>
      </c>
      <c r="BW31" s="84" t="e">
        <f t="shared" si="23"/>
        <v>#VALUE!</v>
      </c>
      <c r="BX31" t="e">
        <f>BZ30*'Current vaccine model'!$H31*HelperFunctions!$R33</f>
        <v>#VALUE!</v>
      </c>
      <c r="BY31" t="e">
        <f>BZ30*'Current vaccine model'!$H31*Export!$L29</f>
        <v>#VALUE!</v>
      </c>
      <c r="BZ31" s="84" t="e">
        <f t="shared" si="24"/>
        <v>#VALUE!</v>
      </c>
      <c r="CA31" t="e">
        <f>CC30*'Current vaccine model'!$H31*HelperFunctions!$R32</f>
        <v>#VALUE!</v>
      </c>
      <c r="CB31" t="e">
        <f>CC30*'Current vaccine model'!$H31*Export!$L29</f>
        <v>#VALUE!</v>
      </c>
      <c r="CC31" s="84" t="e">
        <f t="shared" ref="CC31:CC63" si="25">CC30-CA31-CB31</f>
        <v>#VALUE!</v>
      </c>
      <c r="CD31" t="e">
        <f>CF30*'Current vaccine model'!$H31*HelperFunctions!$R31</f>
        <v>#VALUE!</v>
      </c>
      <c r="CE31" t="e">
        <f>CF30*'Current vaccine model'!$H31*Export!$L29</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F31*'Current vaccine model'!$H32*HelperFunctions!$R$14</f>
        <v>#VALUE!</v>
      </c>
      <c r="E32" t="e">
        <f>F31*'Current vaccine model'!$H32*Export!$L30</f>
        <v>#VALUE!</v>
      </c>
      <c r="F32" s="84" t="e">
        <f t="shared" si="0"/>
        <v>#VALUE!</v>
      </c>
      <c r="G32" t="e">
        <f>I31*'Current vaccine model'!$H32*HelperFunctions!$R$14</f>
        <v>#VALUE!</v>
      </c>
      <c r="H32" t="e">
        <f>I31*'Current vaccine model'!$H32*Export!$L30</f>
        <v>#VALUE!</v>
      </c>
      <c r="I32" s="84" t="e">
        <f t="shared" si="1"/>
        <v>#VALUE!</v>
      </c>
      <c r="J32" t="e">
        <f>L31*'Current vaccine model'!$H32*HelperFunctions!$R$14</f>
        <v>#VALUE!</v>
      </c>
      <c r="K32" t="e">
        <f>L31*'Current vaccine model'!$H32*Export!$L30</f>
        <v>#VALUE!</v>
      </c>
      <c r="L32" s="84" t="e">
        <f t="shared" si="2"/>
        <v>#VALUE!</v>
      </c>
      <c r="M32" t="e">
        <f>O31*'Current vaccine model'!$H32*HelperFunctions!$R$14</f>
        <v>#VALUE!</v>
      </c>
      <c r="N32" t="e">
        <f>O31*'Current vaccine model'!$H32*Export!$L30</f>
        <v>#VALUE!</v>
      </c>
      <c r="O32" s="84" t="e">
        <f t="shared" si="3"/>
        <v>#VALUE!</v>
      </c>
      <c r="P32" t="e">
        <f>R31*'Current vaccine model'!$H32*HelperFunctions!$R$14</f>
        <v>#VALUE!</v>
      </c>
      <c r="Q32" t="e">
        <f>R31*'Current vaccine model'!$H32*Export!$L30</f>
        <v>#VALUE!</v>
      </c>
      <c r="R32" s="84" t="e">
        <f t="shared" si="4"/>
        <v>#VALUE!</v>
      </c>
      <c r="S32" t="e">
        <f>U31*'Current vaccine model'!$H32*HelperFunctions!$R$14</f>
        <v>#VALUE!</v>
      </c>
      <c r="T32" t="e">
        <f>U31*'Current vaccine model'!$H32*Export!$L30</f>
        <v>#VALUE!</v>
      </c>
      <c r="U32" s="84" t="e">
        <f t="shared" si="5"/>
        <v>#VALUE!</v>
      </c>
      <c r="V32" t="e">
        <f>X31*'Current vaccine model'!$H32*HelperFunctions!$R$14</f>
        <v>#VALUE!</v>
      </c>
      <c r="W32" t="e">
        <f>X31*'Current vaccine model'!$H32*Export!$L30</f>
        <v>#VALUE!</v>
      </c>
      <c r="X32" s="84" t="e">
        <f t="shared" si="6"/>
        <v>#VALUE!</v>
      </c>
      <c r="Y32" t="e">
        <f>AA31*'Current vaccine model'!$H32*HelperFunctions!$R$14</f>
        <v>#VALUE!</v>
      </c>
      <c r="Z32" t="e">
        <f>AA31*'Current vaccine model'!$H32*Export!$L30</f>
        <v>#VALUE!</v>
      </c>
      <c r="AA32" s="84" t="e">
        <f t="shared" si="7"/>
        <v>#VALUE!</v>
      </c>
      <c r="AB32" t="e">
        <f>AD31*'Current vaccine model'!$H32*HelperFunctions!$R$14</f>
        <v>#VALUE!</v>
      </c>
      <c r="AC32" t="e">
        <f>AD31*'Current vaccine model'!$H32*Export!$L30</f>
        <v>#VALUE!</v>
      </c>
      <c r="AD32" s="84" t="e">
        <f t="shared" si="8"/>
        <v>#VALUE!</v>
      </c>
      <c r="AE32" t="e">
        <f>AG31*'Current vaccine model'!$H32*HelperFunctions!$R$14</f>
        <v>#VALUE!</v>
      </c>
      <c r="AF32" t="e">
        <f>AG31*'Current vaccine model'!$H32*Export!$L30</f>
        <v>#VALUE!</v>
      </c>
      <c r="AG32" s="84" t="e">
        <f t="shared" si="9"/>
        <v>#VALUE!</v>
      </c>
      <c r="AH32" t="e">
        <f>AJ31*'Current vaccine model'!$H32*HelperFunctions!$R$14</f>
        <v>#VALUE!</v>
      </c>
      <c r="AI32" t="e">
        <f>AJ31*'Current vaccine model'!$H32*Export!$L30</f>
        <v>#VALUE!</v>
      </c>
      <c r="AJ32" s="84" t="e">
        <f t="shared" si="10"/>
        <v>#VALUE!</v>
      </c>
      <c r="AK32" t="e">
        <f>AM31*'Current vaccine model'!$H32*HelperFunctions!$R$14</f>
        <v>#VALUE!</v>
      </c>
      <c r="AL32" t="e">
        <f>AM31*'Current vaccine model'!$H32*Export!$L30</f>
        <v>#VALUE!</v>
      </c>
      <c r="AM32" s="84" t="e">
        <f t="shared" si="11"/>
        <v>#VALUE!</v>
      </c>
      <c r="AN32" t="e">
        <f>AP31*'Current vaccine model'!$H32*HelperFunctions!$R$28</f>
        <v>#VALUE!</v>
      </c>
      <c r="AO32" t="e">
        <f>AP31*'Current vaccine model'!$H32*Export!$L30</f>
        <v>#VALUE!</v>
      </c>
      <c r="AP32" s="84" t="e">
        <f t="shared" si="12"/>
        <v>#VALUE!</v>
      </c>
      <c r="AQ32" t="e">
        <f>AS31*'Current vaccine model'!$H32*HelperFunctions!$R$28</f>
        <v>#VALUE!</v>
      </c>
      <c r="AR32" t="e">
        <f>AS31*'Current vaccine model'!$H32*Export!$L30</f>
        <v>#VALUE!</v>
      </c>
      <c r="AS32" s="84" t="e">
        <f t="shared" si="13"/>
        <v>#VALUE!</v>
      </c>
      <c r="AT32" t="e">
        <f>AV31*'Current vaccine model'!$H32*HelperFunctions!$R$28</f>
        <v>#VALUE!</v>
      </c>
      <c r="AU32" t="e">
        <f>AV31*'Current vaccine model'!$H32*Export!$L30</f>
        <v>#VALUE!</v>
      </c>
      <c r="AV32" s="84" t="e">
        <f t="shared" si="14"/>
        <v>#VALUE!</v>
      </c>
      <c r="AW32" t="e">
        <f>AY31*'Current vaccine model'!$H32*HelperFunctions!$R$28</f>
        <v>#VALUE!</v>
      </c>
      <c r="AX32" t="e">
        <f>AY31*'Current vaccine model'!$H32*Export!$L30</f>
        <v>#VALUE!</v>
      </c>
      <c r="AY32" s="84" t="e">
        <f t="shared" si="15"/>
        <v>#VALUE!</v>
      </c>
      <c r="AZ32" t="e">
        <f>BB31*'Current vaccine model'!$H32*HelperFunctions!$R$28</f>
        <v>#VALUE!</v>
      </c>
      <c r="BA32" t="e">
        <f>BB31*'Current vaccine model'!$H32*Export!$L30</f>
        <v>#VALUE!</v>
      </c>
      <c r="BB32" s="84" t="e">
        <f t="shared" si="16"/>
        <v>#VALUE!</v>
      </c>
      <c r="BC32" t="e">
        <f>BE31*'Current vaccine model'!$H32*HelperFunctions!$R27</f>
        <v>#VALUE!</v>
      </c>
      <c r="BD32" t="e">
        <f>BE31*'Current vaccine model'!$H32*Export!$L30</f>
        <v>#VALUE!</v>
      </c>
      <c r="BE32" s="84" t="e">
        <f t="shared" si="17"/>
        <v>#VALUE!</v>
      </c>
      <c r="BF32" t="e">
        <f>BH31*'Current vaccine model'!$H32*HelperFunctions!$R26</f>
        <v>#VALUE!</v>
      </c>
      <c r="BG32" t="e">
        <f>BH31*'Current vaccine model'!$H32*Export!$L30</f>
        <v>#VALUE!</v>
      </c>
      <c r="BH32" s="84" t="e">
        <f t="shared" si="18"/>
        <v>#VALUE!</v>
      </c>
      <c r="BI32" t="e">
        <f>BK31*'Current vaccine model'!$H32*HelperFunctions!$R25</f>
        <v>#VALUE!</v>
      </c>
      <c r="BJ32" t="e">
        <f>BK31*'Current vaccine model'!$H32*Export!$L30</f>
        <v>#VALUE!</v>
      </c>
      <c r="BK32" s="84" t="e">
        <f t="shared" si="19"/>
        <v>#VALUE!</v>
      </c>
      <c r="BL32" t="e">
        <f>BN31*'Current vaccine model'!$H32*HelperFunctions!$R24</f>
        <v>#VALUE!</v>
      </c>
      <c r="BM32" t="e">
        <f>BN31*'Current vaccine model'!$H32*Export!$L30</f>
        <v>#VALUE!</v>
      </c>
      <c r="BN32" s="84" t="e">
        <f t="shared" si="20"/>
        <v>#VALUE!</v>
      </c>
      <c r="BO32" t="e">
        <f>BQ31*'Current vaccine model'!$H32*HelperFunctions!$R23</f>
        <v>#VALUE!</v>
      </c>
      <c r="BP32" t="e">
        <f>BQ31*'Current vaccine model'!$H32*Export!$L30</f>
        <v>#VALUE!</v>
      </c>
      <c r="BQ32" s="84" t="e">
        <f t="shared" si="21"/>
        <v>#VALUE!</v>
      </c>
      <c r="BR32" t="e">
        <f>BT31*'Current vaccine model'!$H32*HelperFunctions!$R22</f>
        <v>#VALUE!</v>
      </c>
      <c r="BS32" t="e">
        <f>BT31*'Current vaccine model'!$H32*Export!$L30</f>
        <v>#VALUE!</v>
      </c>
      <c r="BT32" s="84" t="e">
        <f t="shared" si="22"/>
        <v>#VALUE!</v>
      </c>
      <c r="BU32" t="e">
        <f>BW31*'Current vaccine model'!$H32*HelperFunctions!$R21</f>
        <v>#VALUE!</v>
      </c>
      <c r="BV32" t="e">
        <f>BW31*'Current vaccine model'!$H32*Export!$L30</f>
        <v>#VALUE!</v>
      </c>
      <c r="BW32" s="84" t="e">
        <f t="shared" si="23"/>
        <v>#VALUE!</v>
      </c>
      <c r="BX32" t="e">
        <f>BZ31*'Current vaccine model'!$H32*HelperFunctions!$R34</f>
        <v>#VALUE!</v>
      </c>
      <c r="BY32" t="e">
        <f>BZ31*'Current vaccine model'!$H32*Export!$L30</f>
        <v>#VALUE!</v>
      </c>
      <c r="BZ32" s="84" t="e">
        <f t="shared" si="24"/>
        <v>#VALUE!</v>
      </c>
      <c r="CA32" t="e">
        <f>CC31*'Current vaccine model'!$H32*HelperFunctions!$R33</f>
        <v>#VALUE!</v>
      </c>
      <c r="CB32" t="e">
        <f>CC31*'Current vaccine model'!$H32*Export!$L30</f>
        <v>#VALUE!</v>
      </c>
      <c r="CC32" s="84" t="e">
        <f t="shared" si="25"/>
        <v>#VALUE!</v>
      </c>
      <c r="CD32" t="e">
        <f>CF31*'Current vaccine model'!$H32*HelperFunctions!$R32</f>
        <v>#VALUE!</v>
      </c>
      <c r="CE32" t="e">
        <f>CF31*'Current vaccine model'!$H32*Export!$L30</f>
        <v>#VALUE!</v>
      </c>
      <c r="CF32" s="84" t="e">
        <f t="shared" ref="CF32:CF63" si="26">CF31-CD32-CE32</f>
        <v>#VALUE!</v>
      </c>
      <c r="CG32" t="e">
        <f>CI31*'Current vaccine model'!$H32*HelperFunctions!$R31</f>
        <v>#VALUE!</v>
      </c>
      <c r="CH32" t="e">
        <f>CI31*'Current vaccine model'!$H32*Export!$L30</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F32*'Current vaccine model'!$H33*HelperFunctions!$R$14</f>
        <v>#VALUE!</v>
      </c>
      <c r="E33" t="e">
        <f>F32*'Current vaccine model'!$H33*Export!$L31</f>
        <v>#VALUE!</v>
      </c>
      <c r="F33" s="84" t="e">
        <f t="shared" si="0"/>
        <v>#VALUE!</v>
      </c>
      <c r="G33" t="e">
        <f>I32*'Current vaccine model'!$H33*HelperFunctions!$R$14</f>
        <v>#VALUE!</v>
      </c>
      <c r="H33" t="e">
        <f>I32*'Current vaccine model'!$H33*Export!$L31</f>
        <v>#VALUE!</v>
      </c>
      <c r="I33" s="84" t="e">
        <f t="shared" si="1"/>
        <v>#VALUE!</v>
      </c>
      <c r="J33" t="e">
        <f>L32*'Current vaccine model'!$H33*HelperFunctions!$R$14</f>
        <v>#VALUE!</v>
      </c>
      <c r="K33" t="e">
        <f>L32*'Current vaccine model'!$H33*Export!$L31</f>
        <v>#VALUE!</v>
      </c>
      <c r="L33" s="84" t="e">
        <f t="shared" si="2"/>
        <v>#VALUE!</v>
      </c>
      <c r="M33" t="e">
        <f>O32*'Current vaccine model'!$H33*HelperFunctions!$R$14</f>
        <v>#VALUE!</v>
      </c>
      <c r="N33" t="e">
        <f>O32*'Current vaccine model'!$H33*Export!$L31</f>
        <v>#VALUE!</v>
      </c>
      <c r="O33" s="84" t="e">
        <f t="shared" si="3"/>
        <v>#VALUE!</v>
      </c>
      <c r="P33" t="e">
        <f>R32*'Current vaccine model'!$H33*HelperFunctions!$R$14</f>
        <v>#VALUE!</v>
      </c>
      <c r="Q33" t="e">
        <f>R32*'Current vaccine model'!$H33*Export!$L31</f>
        <v>#VALUE!</v>
      </c>
      <c r="R33" s="84" t="e">
        <f t="shared" si="4"/>
        <v>#VALUE!</v>
      </c>
      <c r="S33" t="e">
        <f>U32*'Current vaccine model'!$H33*HelperFunctions!$R$14</f>
        <v>#VALUE!</v>
      </c>
      <c r="T33" t="e">
        <f>U32*'Current vaccine model'!$H33*Export!$L31</f>
        <v>#VALUE!</v>
      </c>
      <c r="U33" s="84" t="e">
        <f t="shared" si="5"/>
        <v>#VALUE!</v>
      </c>
      <c r="V33" t="e">
        <f>X32*'Current vaccine model'!$H33*HelperFunctions!$R$14</f>
        <v>#VALUE!</v>
      </c>
      <c r="W33" t="e">
        <f>X32*'Current vaccine model'!$H33*Export!$L31</f>
        <v>#VALUE!</v>
      </c>
      <c r="X33" s="84" t="e">
        <f t="shared" si="6"/>
        <v>#VALUE!</v>
      </c>
      <c r="Y33" t="e">
        <f>AA32*'Current vaccine model'!$H33*HelperFunctions!$R$14</f>
        <v>#VALUE!</v>
      </c>
      <c r="Z33" t="e">
        <f>AA32*'Current vaccine model'!$H33*Export!$L31</f>
        <v>#VALUE!</v>
      </c>
      <c r="AA33" s="84" t="e">
        <f t="shared" si="7"/>
        <v>#VALUE!</v>
      </c>
      <c r="AB33" t="e">
        <f>AD32*'Current vaccine model'!$H33*HelperFunctions!$R$14</f>
        <v>#VALUE!</v>
      </c>
      <c r="AC33" t="e">
        <f>AD32*'Current vaccine model'!$H33*Export!$L31</f>
        <v>#VALUE!</v>
      </c>
      <c r="AD33" s="84" t="e">
        <f t="shared" si="8"/>
        <v>#VALUE!</v>
      </c>
      <c r="AE33" t="e">
        <f>AG32*'Current vaccine model'!$H33*HelperFunctions!$R$14</f>
        <v>#VALUE!</v>
      </c>
      <c r="AF33" t="e">
        <f>AG32*'Current vaccine model'!$H33*Export!$L31</f>
        <v>#VALUE!</v>
      </c>
      <c r="AG33" s="84" t="e">
        <f t="shared" si="9"/>
        <v>#VALUE!</v>
      </c>
      <c r="AH33" t="e">
        <f>AJ32*'Current vaccine model'!$H33*HelperFunctions!$R$14</f>
        <v>#VALUE!</v>
      </c>
      <c r="AI33" t="e">
        <f>AJ32*'Current vaccine model'!$H33*Export!$L31</f>
        <v>#VALUE!</v>
      </c>
      <c r="AJ33" s="84" t="e">
        <f t="shared" si="10"/>
        <v>#VALUE!</v>
      </c>
      <c r="AK33" t="e">
        <f>AM32*'Current vaccine model'!$H33*HelperFunctions!$R$14</f>
        <v>#VALUE!</v>
      </c>
      <c r="AL33" t="e">
        <f>AM32*'Current vaccine model'!$H33*Export!$L31</f>
        <v>#VALUE!</v>
      </c>
      <c r="AM33" s="84" t="e">
        <f t="shared" si="11"/>
        <v>#VALUE!</v>
      </c>
      <c r="AN33" t="e">
        <f>AP32*'Current vaccine model'!$H33*HelperFunctions!$R$28</f>
        <v>#VALUE!</v>
      </c>
      <c r="AO33" t="e">
        <f>AP32*'Current vaccine model'!$H33*Export!$L31</f>
        <v>#VALUE!</v>
      </c>
      <c r="AP33" s="84" t="e">
        <f t="shared" si="12"/>
        <v>#VALUE!</v>
      </c>
      <c r="AQ33" t="e">
        <f>AS32*'Current vaccine model'!$H33*HelperFunctions!$R$28</f>
        <v>#VALUE!</v>
      </c>
      <c r="AR33" t="e">
        <f>AS32*'Current vaccine model'!$H33*Export!$L31</f>
        <v>#VALUE!</v>
      </c>
      <c r="AS33" s="84" t="e">
        <f t="shared" si="13"/>
        <v>#VALUE!</v>
      </c>
      <c r="AT33" t="e">
        <f>AV32*'Current vaccine model'!$H33*HelperFunctions!$R$28</f>
        <v>#VALUE!</v>
      </c>
      <c r="AU33" t="e">
        <f>AV32*'Current vaccine model'!$H33*Export!$L31</f>
        <v>#VALUE!</v>
      </c>
      <c r="AV33" s="84" t="e">
        <f t="shared" si="14"/>
        <v>#VALUE!</v>
      </c>
      <c r="AW33" t="e">
        <f>AY32*'Current vaccine model'!$H33*HelperFunctions!$R$28</f>
        <v>#VALUE!</v>
      </c>
      <c r="AX33" t="e">
        <f>AY32*'Current vaccine model'!$H33*Export!$L31</f>
        <v>#VALUE!</v>
      </c>
      <c r="AY33" s="84" t="e">
        <f t="shared" si="15"/>
        <v>#VALUE!</v>
      </c>
      <c r="AZ33" t="e">
        <f>BB32*'Current vaccine model'!$H33*HelperFunctions!$R$28</f>
        <v>#VALUE!</v>
      </c>
      <c r="BA33" t="e">
        <f>BB32*'Current vaccine model'!$H33*Export!$L31</f>
        <v>#VALUE!</v>
      </c>
      <c r="BB33" s="84" t="e">
        <f t="shared" si="16"/>
        <v>#VALUE!</v>
      </c>
      <c r="BC33" t="e">
        <f>BE32*'Current vaccine model'!$H33*HelperFunctions!$R$28</f>
        <v>#VALUE!</v>
      </c>
      <c r="BD33" t="e">
        <f>BE32*'Current vaccine model'!$H33*Export!$L31</f>
        <v>#VALUE!</v>
      </c>
      <c r="BE33" s="84" t="e">
        <f t="shared" si="17"/>
        <v>#VALUE!</v>
      </c>
      <c r="BF33" t="e">
        <f>BH32*'Current vaccine model'!$H33*HelperFunctions!$R27</f>
        <v>#VALUE!</v>
      </c>
      <c r="BG33" t="e">
        <f>BH32*'Current vaccine model'!$H33*Export!$L31</f>
        <v>#VALUE!</v>
      </c>
      <c r="BH33" s="84" t="e">
        <f t="shared" si="18"/>
        <v>#VALUE!</v>
      </c>
      <c r="BI33" t="e">
        <f>BK32*'Current vaccine model'!$H33*HelperFunctions!$R26</f>
        <v>#VALUE!</v>
      </c>
      <c r="BJ33" t="e">
        <f>BK32*'Current vaccine model'!$H33*Export!$L31</f>
        <v>#VALUE!</v>
      </c>
      <c r="BK33" s="84" t="e">
        <f t="shared" si="19"/>
        <v>#VALUE!</v>
      </c>
      <c r="BL33" t="e">
        <f>BN32*'Current vaccine model'!$H33*HelperFunctions!$R25</f>
        <v>#VALUE!</v>
      </c>
      <c r="BM33" t="e">
        <f>BN32*'Current vaccine model'!$H33*Export!$L31</f>
        <v>#VALUE!</v>
      </c>
      <c r="BN33" s="84" t="e">
        <f t="shared" si="20"/>
        <v>#VALUE!</v>
      </c>
      <c r="BO33" t="e">
        <f>BQ32*'Current vaccine model'!$H33*HelperFunctions!$R24</f>
        <v>#VALUE!</v>
      </c>
      <c r="BP33" t="e">
        <f>BQ32*'Current vaccine model'!$H33*Export!$L31</f>
        <v>#VALUE!</v>
      </c>
      <c r="BQ33" s="84" t="e">
        <f t="shared" si="21"/>
        <v>#VALUE!</v>
      </c>
      <c r="BR33" t="e">
        <f>BT32*'Current vaccine model'!$H33*HelperFunctions!$R23</f>
        <v>#VALUE!</v>
      </c>
      <c r="BS33" t="e">
        <f>BT32*'Current vaccine model'!$H33*Export!$L31</f>
        <v>#VALUE!</v>
      </c>
      <c r="BT33" s="84" t="e">
        <f t="shared" si="22"/>
        <v>#VALUE!</v>
      </c>
      <c r="BU33" t="e">
        <f>BW32*'Current vaccine model'!$H33*HelperFunctions!$R22</f>
        <v>#VALUE!</v>
      </c>
      <c r="BV33" t="e">
        <f>BW32*'Current vaccine model'!$H33*Export!$L31</f>
        <v>#VALUE!</v>
      </c>
      <c r="BW33" s="84" t="e">
        <f t="shared" si="23"/>
        <v>#VALUE!</v>
      </c>
      <c r="BX33" t="e">
        <f>BZ32*'Current vaccine model'!$H33*HelperFunctions!$R35</f>
        <v>#VALUE!</v>
      </c>
      <c r="BY33" t="e">
        <f>BZ32*'Current vaccine model'!$H33*Export!$L31</f>
        <v>#VALUE!</v>
      </c>
      <c r="BZ33" s="84" t="e">
        <f t="shared" si="24"/>
        <v>#VALUE!</v>
      </c>
      <c r="CA33" t="e">
        <f>CC32*'Current vaccine model'!$H33*HelperFunctions!$R34</f>
        <v>#VALUE!</v>
      </c>
      <c r="CB33" t="e">
        <f>CC32*'Current vaccine model'!$H33*Export!$L31</f>
        <v>#VALUE!</v>
      </c>
      <c r="CC33" s="84" t="e">
        <f t="shared" si="25"/>
        <v>#VALUE!</v>
      </c>
      <c r="CD33" t="e">
        <f>CF32*'Current vaccine model'!$H33*HelperFunctions!$R33</f>
        <v>#VALUE!</v>
      </c>
      <c r="CE33" t="e">
        <f>CF32*'Current vaccine model'!$H33*Export!$L31</f>
        <v>#VALUE!</v>
      </c>
      <c r="CF33" s="84" t="e">
        <f t="shared" si="26"/>
        <v>#VALUE!</v>
      </c>
      <c r="CG33" t="e">
        <f>CI32*'Current vaccine model'!$H33*HelperFunctions!$R32</f>
        <v>#VALUE!</v>
      </c>
      <c r="CH33" t="e">
        <f>CI32*'Current vaccine model'!$H33*Export!$L31</f>
        <v>#VALUE!</v>
      </c>
      <c r="CI33" s="84" t="e">
        <f t="shared" ref="CI33:CI63" si="27">CI32-CG33-CH33</f>
        <v>#VALUE!</v>
      </c>
      <c r="CJ33" t="e">
        <f>CL32*'Current vaccine model'!$H33*HelperFunctions!$R31</f>
        <v>#VALUE!</v>
      </c>
      <c r="CK33" t="e">
        <f>CL32*'Current vaccine model'!$H33*Export!$L31</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F33*'Current vaccine model'!$H34*HelperFunctions!$R$14</f>
        <v>#VALUE!</v>
      </c>
      <c r="E34" t="e">
        <f>F33*'Current vaccine model'!$H34*Export!$L32</f>
        <v>#VALUE!</v>
      </c>
      <c r="F34" s="84" t="e">
        <f t="shared" si="0"/>
        <v>#VALUE!</v>
      </c>
      <c r="G34" t="e">
        <f>I33*'Current vaccine model'!$H34*HelperFunctions!$R$14</f>
        <v>#VALUE!</v>
      </c>
      <c r="H34" t="e">
        <f>I33*'Current vaccine model'!$H34*Export!$L32</f>
        <v>#VALUE!</v>
      </c>
      <c r="I34" s="84" t="e">
        <f t="shared" si="1"/>
        <v>#VALUE!</v>
      </c>
      <c r="J34" t="e">
        <f>L33*'Current vaccine model'!$H34*HelperFunctions!$R$14</f>
        <v>#VALUE!</v>
      </c>
      <c r="K34" t="e">
        <f>L33*'Current vaccine model'!$H34*Export!$L32</f>
        <v>#VALUE!</v>
      </c>
      <c r="L34" s="84" t="e">
        <f t="shared" si="2"/>
        <v>#VALUE!</v>
      </c>
      <c r="M34" t="e">
        <f>O33*'Current vaccine model'!$H34*HelperFunctions!$R$14</f>
        <v>#VALUE!</v>
      </c>
      <c r="N34" t="e">
        <f>O33*'Current vaccine model'!$H34*Export!$L32</f>
        <v>#VALUE!</v>
      </c>
      <c r="O34" s="84" t="e">
        <f t="shared" si="3"/>
        <v>#VALUE!</v>
      </c>
      <c r="P34" t="e">
        <f>R33*'Current vaccine model'!$H34*HelperFunctions!$R$14</f>
        <v>#VALUE!</v>
      </c>
      <c r="Q34" t="e">
        <f>R33*'Current vaccine model'!$H34*Export!$L32</f>
        <v>#VALUE!</v>
      </c>
      <c r="R34" s="84" t="e">
        <f t="shared" si="4"/>
        <v>#VALUE!</v>
      </c>
      <c r="S34" t="e">
        <f>U33*'Current vaccine model'!$H34*HelperFunctions!$R$14</f>
        <v>#VALUE!</v>
      </c>
      <c r="T34" t="e">
        <f>U33*'Current vaccine model'!$H34*Export!$L32</f>
        <v>#VALUE!</v>
      </c>
      <c r="U34" s="84" t="e">
        <f t="shared" si="5"/>
        <v>#VALUE!</v>
      </c>
      <c r="V34" t="e">
        <f>X33*'Current vaccine model'!$H34*HelperFunctions!$R$14</f>
        <v>#VALUE!</v>
      </c>
      <c r="W34" t="e">
        <f>X33*'Current vaccine model'!$H34*Export!$L32</f>
        <v>#VALUE!</v>
      </c>
      <c r="X34" s="84" t="e">
        <f t="shared" si="6"/>
        <v>#VALUE!</v>
      </c>
      <c r="Y34" t="e">
        <f>AA33*'Current vaccine model'!$H34*HelperFunctions!$R$14</f>
        <v>#VALUE!</v>
      </c>
      <c r="Z34" t="e">
        <f>AA33*'Current vaccine model'!$H34*Export!$L32</f>
        <v>#VALUE!</v>
      </c>
      <c r="AA34" s="84" t="e">
        <f t="shared" si="7"/>
        <v>#VALUE!</v>
      </c>
      <c r="AB34" t="e">
        <f>AD33*'Current vaccine model'!$H34*HelperFunctions!$R$14</f>
        <v>#VALUE!</v>
      </c>
      <c r="AC34" t="e">
        <f>AD33*'Current vaccine model'!$H34*Export!$L32</f>
        <v>#VALUE!</v>
      </c>
      <c r="AD34" s="84" t="e">
        <f t="shared" si="8"/>
        <v>#VALUE!</v>
      </c>
      <c r="AE34" t="e">
        <f>AG33*'Current vaccine model'!$H34*HelperFunctions!$R$14</f>
        <v>#VALUE!</v>
      </c>
      <c r="AF34" t="e">
        <f>AG33*'Current vaccine model'!$H34*Export!$L32</f>
        <v>#VALUE!</v>
      </c>
      <c r="AG34" s="84" t="e">
        <f t="shared" si="9"/>
        <v>#VALUE!</v>
      </c>
      <c r="AH34" t="e">
        <f>AJ33*'Current vaccine model'!$H34*HelperFunctions!$R$14</f>
        <v>#VALUE!</v>
      </c>
      <c r="AI34" t="e">
        <f>AJ33*'Current vaccine model'!$H34*Export!$L32</f>
        <v>#VALUE!</v>
      </c>
      <c r="AJ34" s="84" t="e">
        <f t="shared" si="10"/>
        <v>#VALUE!</v>
      </c>
      <c r="AK34" t="e">
        <f>AM33*'Current vaccine model'!$H34*HelperFunctions!$R$14</f>
        <v>#VALUE!</v>
      </c>
      <c r="AL34" t="e">
        <f>AM33*'Current vaccine model'!$H34*Export!$L32</f>
        <v>#VALUE!</v>
      </c>
      <c r="AM34" s="84" t="e">
        <f t="shared" si="11"/>
        <v>#VALUE!</v>
      </c>
      <c r="AN34" t="e">
        <f>AP33*'Current vaccine model'!$H34*HelperFunctions!$R$28</f>
        <v>#VALUE!</v>
      </c>
      <c r="AO34" t="e">
        <f>AP33*'Current vaccine model'!$H34*Export!$L32</f>
        <v>#VALUE!</v>
      </c>
      <c r="AP34" s="84" t="e">
        <f t="shared" si="12"/>
        <v>#VALUE!</v>
      </c>
      <c r="AQ34" t="e">
        <f>AS33*'Current vaccine model'!$H34*HelperFunctions!$R$28</f>
        <v>#VALUE!</v>
      </c>
      <c r="AR34" t="e">
        <f>AS33*'Current vaccine model'!$H34*Export!$L32</f>
        <v>#VALUE!</v>
      </c>
      <c r="AS34" s="84" t="e">
        <f t="shared" si="13"/>
        <v>#VALUE!</v>
      </c>
      <c r="AT34" t="e">
        <f>AV33*'Current vaccine model'!$H34*HelperFunctions!$R$28</f>
        <v>#VALUE!</v>
      </c>
      <c r="AU34" t="e">
        <f>AV33*'Current vaccine model'!$H34*Export!$L32</f>
        <v>#VALUE!</v>
      </c>
      <c r="AV34" s="84" t="e">
        <f t="shared" si="14"/>
        <v>#VALUE!</v>
      </c>
      <c r="AW34" t="e">
        <f>AY33*'Current vaccine model'!$H34*HelperFunctions!$R$28</f>
        <v>#VALUE!</v>
      </c>
      <c r="AX34" t="e">
        <f>AY33*'Current vaccine model'!$H34*Export!$L32</f>
        <v>#VALUE!</v>
      </c>
      <c r="AY34" s="84" t="e">
        <f t="shared" si="15"/>
        <v>#VALUE!</v>
      </c>
      <c r="AZ34" t="e">
        <f>BB33*'Current vaccine model'!$H34*HelperFunctions!$R$28</f>
        <v>#VALUE!</v>
      </c>
      <c r="BA34" t="e">
        <f>BB33*'Current vaccine model'!$H34*Export!$L32</f>
        <v>#VALUE!</v>
      </c>
      <c r="BB34" s="84" t="e">
        <f t="shared" si="16"/>
        <v>#VALUE!</v>
      </c>
      <c r="BC34" t="e">
        <f>BE33*'Current vaccine model'!$H34*HelperFunctions!$R$28</f>
        <v>#VALUE!</v>
      </c>
      <c r="BD34" t="e">
        <f>BE33*'Current vaccine model'!$H34*Export!$L32</f>
        <v>#VALUE!</v>
      </c>
      <c r="BE34" s="84" t="e">
        <f t="shared" si="17"/>
        <v>#VALUE!</v>
      </c>
      <c r="BF34" t="e">
        <f>BH33*'Current vaccine model'!$H34*HelperFunctions!$R$28</f>
        <v>#VALUE!</v>
      </c>
      <c r="BG34" t="e">
        <f>BH33*'Current vaccine model'!$H34*Export!$L32</f>
        <v>#VALUE!</v>
      </c>
      <c r="BH34" s="84" t="e">
        <f t="shared" si="18"/>
        <v>#VALUE!</v>
      </c>
      <c r="BI34" t="e">
        <f>BK33*'Current vaccine model'!$H34*HelperFunctions!$R27</f>
        <v>#VALUE!</v>
      </c>
      <c r="BJ34" t="e">
        <f>BK33*'Current vaccine model'!$H34*Export!$L32</f>
        <v>#VALUE!</v>
      </c>
      <c r="BK34" s="84" t="e">
        <f t="shared" si="19"/>
        <v>#VALUE!</v>
      </c>
      <c r="BL34" t="e">
        <f>BN33*'Current vaccine model'!$H34*HelperFunctions!$R26</f>
        <v>#VALUE!</v>
      </c>
      <c r="BM34" t="e">
        <f>BN33*'Current vaccine model'!$H34*Export!$L32</f>
        <v>#VALUE!</v>
      </c>
      <c r="BN34" s="84" t="e">
        <f t="shared" si="20"/>
        <v>#VALUE!</v>
      </c>
      <c r="BO34" t="e">
        <f>BQ33*'Current vaccine model'!$H34*HelperFunctions!$R25</f>
        <v>#VALUE!</v>
      </c>
      <c r="BP34" t="e">
        <f>BQ33*'Current vaccine model'!$H34*Export!$L32</f>
        <v>#VALUE!</v>
      </c>
      <c r="BQ34" s="84" t="e">
        <f t="shared" si="21"/>
        <v>#VALUE!</v>
      </c>
      <c r="BR34" t="e">
        <f>BT33*'Current vaccine model'!$H34*HelperFunctions!$R24</f>
        <v>#VALUE!</v>
      </c>
      <c r="BS34" t="e">
        <f>BT33*'Current vaccine model'!$H34*Export!$L32</f>
        <v>#VALUE!</v>
      </c>
      <c r="BT34" s="84" t="e">
        <f t="shared" si="22"/>
        <v>#VALUE!</v>
      </c>
      <c r="BU34" t="e">
        <f>BW33*'Current vaccine model'!$H34*HelperFunctions!$R23</f>
        <v>#VALUE!</v>
      </c>
      <c r="BV34" t="e">
        <f>BW33*'Current vaccine model'!$H34*Export!$L32</f>
        <v>#VALUE!</v>
      </c>
      <c r="BW34" s="84" t="e">
        <f t="shared" si="23"/>
        <v>#VALUE!</v>
      </c>
      <c r="BX34" t="e">
        <f>BZ33*'Current vaccine model'!$H34*HelperFunctions!$R36</f>
        <v>#VALUE!</v>
      </c>
      <c r="BY34" t="e">
        <f>BZ33*'Current vaccine model'!$H34*Export!$L32</f>
        <v>#VALUE!</v>
      </c>
      <c r="BZ34" s="84" t="e">
        <f t="shared" si="24"/>
        <v>#VALUE!</v>
      </c>
      <c r="CA34" t="e">
        <f>CC33*'Current vaccine model'!$H34*HelperFunctions!$R35</f>
        <v>#VALUE!</v>
      </c>
      <c r="CB34" t="e">
        <f>CC33*'Current vaccine model'!$H34*Export!$L32</f>
        <v>#VALUE!</v>
      </c>
      <c r="CC34" s="84" t="e">
        <f t="shared" si="25"/>
        <v>#VALUE!</v>
      </c>
      <c r="CD34" t="e">
        <f>CF33*'Current vaccine model'!$H34*HelperFunctions!$R34</f>
        <v>#VALUE!</v>
      </c>
      <c r="CE34" t="e">
        <f>CF33*'Current vaccine model'!$H34*Export!$L32</f>
        <v>#VALUE!</v>
      </c>
      <c r="CF34" s="84" t="e">
        <f t="shared" si="26"/>
        <v>#VALUE!</v>
      </c>
      <c r="CG34" t="e">
        <f>CI33*'Current vaccine model'!$H34*HelperFunctions!$R33</f>
        <v>#VALUE!</v>
      </c>
      <c r="CH34" t="e">
        <f>CI33*'Current vaccine model'!$H34*Export!$L32</f>
        <v>#VALUE!</v>
      </c>
      <c r="CI34" s="84" t="e">
        <f t="shared" si="27"/>
        <v>#VALUE!</v>
      </c>
      <c r="CJ34" t="e">
        <f>CL33*'Current vaccine model'!$H34*HelperFunctions!$R32</f>
        <v>#VALUE!</v>
      </c>
      <c r="CK34" t="e">
        <f>CL33*'Current vaccine model'!$H34*Export!$L32</f>
        <v>#VALUE!</v>
      </c>
      <c r="CL34" s="84" t="e">
        <f t="shared" ref="CL34:CL63" si="28">CL33-CJ34-CK34</f>
        <v>#VALUE!</v>
      </c>
      <c r="CM34" t="e">
        <f>CO33*'Current vaccine model'!$H34*HelperFunctions!$R31</f>
        <v>#VALUE!</v>
      </c>
      <c r="CN34" t="e">
        <f>CO33*'Current vaccine model'!$H34*Export!$L32</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F34*'Current vaccine model'!$H35*HelperFunctions!$R$14</f>
        <v>#VALUE!</v>
      </c>
      <c r="E35" t="e">
        <f>F34*'Current vaccine model'!$H35*Export!$L33</f>
        <v>#VALUE!</v>
      </c>
      <c r="F35" s="84" t="e">
        <f t="shared" si="0"/>
        <v>#VALUE!</v>
      </c>
      <c r="G35" t="e">
        <f>I34*'Current vaccine model'!$H35*HelperFunctions!$R$14</f>
        <v>#VALUE!</v>
      </c>
      <c r="H35" t="e">
        <f>I34*'Current vaccine model'!$H35*Export!$L33</f>
        <v>#VALUE!</v>
      </c>
      <c r="I35" s="84" t="e">
        <f t="shared" si="1"/>
        <v>#VALUE!</v>
      </c>
      <c r="J35" t="e">
        <f>L34*'Current vaccine model'!$H35*HelperFunctions!$R$14</f>
        <v>#VALUE!</v>
      </c>
      <c r="K35" t="e">
        <f>L34*'Current vaccine model'!$H35*Export!$L33</f>
        <v>#VALUE!</v>
      </c>
      <c r="L35" s="84" t="e">
        <f t="shared" si="2"/>
        <v>#VALUE!</v>
      </c>
      <c r="M35" t="e">
        <f>O34*'Current vaccine model'!$H35*HelperFunctions!$R$14</f>
        <v>#VALUE!</v>
      </c>
      <c r="N35" t="e">
        <f>O34*'Current vaccine model'!$H35*Export!$L33</f>
        <v>#VALUE!</v>
      </c>
      <c r="O35" s="84" t="e">
        <f t="shared" si="3"/>
        <v>#VALUE!</v>
      </c>
      <c r="P35" t="e">
        <f>R34*'Current vaccine model'!$H35*HelperFunctions!$R$14</f>
        <v>#VALUE!</v>
      </c>
      <c r="Q35" t="e">
        <f>R34*'Current vaccine model'!$H35*Export!$L33</f>
        <v>#VALUE!</v>
      </c>
      <c r="R35" s="84" t="e">
        <f t="shared" si="4"/>
        <v>#VALUE!</v>
      </c>
      <c r="S35" t="e">
        <f>U34*'Current vaccine model'!$H35*HelperFunctions!$R$14</f>
        <v>#VALUE!</v>
      </c>
      <c r="T35" t="e">
        <f>U34*'Current vaccine model'!$H35*Export!$L33</f>
        <v>#VALUE!</v>
      </c>
      <c r="U35" s="84" t="e">
        <f t="shared" si="5"/>
        <v>#VALUE!</v>
      </c>
      <c r="V35" t="e">
        <f>X34*'Current vaccine model'!$H35*HelperFunctions!$R$14</f>
        <v>#VALUE!</v>
      </c>
      <c r="W35" t="e">
        <f>X34*'Current vaccine model'!$H35*Export!$L33</f>
        <v>#VALUE!</v>
      </c>
      <c r="X35" s="84" t="e">
        <f t="shared" si="6"/>
        <v>#VALUE!</v>
      </c>
      <c r="Y35" t="e">
        <f>AA34*'Current vaccine model'!$H35*HelperFunctions!$R$14</f>
        <v>#VALUE!</v>
      </c>
      <c r="Z35" t="e">
        <f>AA34*'Current vaccine model'!$H35*Export!$L33</f>
        <v>#VALUE!</v>
      </c>
      <c r="AA35" s="84" t="e">
        <f t="shared" si="7"/>
        <v>#VALUE!</v>
      </c>
      <c r="AB35" t="e">
        <f>AD34*'Current vaccine model'!$H35*HelperFunctions!$R$14</f>
        <v>#VALUE!</v>
      </c>
      <c r="AC35" t="e">
        <f>AD34*'Current vaccine model'!$H35*Export!$L33</f>
        <v>#VALUE!</v>
      </c>
      <c r="AD35" s="84" t="e">
        <f t="shared" si="8"/>
        <v>#VALUE!</v>
      </c>
      <c r="AE35" t="e">
        <f>AG34*'Current vaccine model'!$H35*HelperFunctions!$R$14</f>
        <v>#VALUE!</v>
      </c>
      <c r="AF35" t="e">
        <f>AG34*'Current vaccine model'!$H35*Export!$L33</f>
        <v>#VALUE!</v>
      </c>
      <c r="AG35" s="84" t="e">
        <f t="shared" si="9"/>
        <v>#VALUE!</v>
      </c>
      <c r="AH35" t="e">
        <f>AJ34*'Current vaccine model'!$H35*HelperFunctions!$R$14</f>
        <v>#VALUE!</v>
      </c>
      <c r="AI35" t="e">
        <f>AJ34*'Current vaccine model'!$H35*Export!$L33</f>
        <v>#VALUE!</v>
      </c>
      <c r="AJ35" s="84" t="e">
        <f t="shared" si="10"/>
        <v>#VALUE!</v>
      </c>
      <c r="AK35" t="e">
        <f>AM34*'Current vaccine model'!$H35*HelperFunctions!$R$14</f>
        <v>#VALUE!</v>
      </c>
      <c r="AL35" t="e">
        <f>AM34*'Current vaccine model'!$H35*Export!$L33</f>
        <v>#VALUE!</v>
      </c>
      <c r="AM35" s="84" t="e">
        <f t="shared" si="11"/>
        <v>#VALUE!</v>
      </c>
      <c r="AN35" t="e">
        <f>AP34*'Current vaccine model'!$H35*HelperFunctions!$R$28</f>
        <v>#VALUE!</v>
      </c>
      <c r="AO35" t="e">
        <f>AP34*'Current vaccine model'!$H35*Export!$L33</f>
        <v>#VALUE!</v>
      </c>
      <c r="AP35" s="84" t="e">
        <f t="shared" si="12"/>
        <v>#VALUE!</v>
      </c>
      <c r="AQ35" t="e">
        <f>AS34*'Current vaccine model'!$H35*HelperFunctions!$R$28</f>
        <v>#VALUE!</v>
      </c>
      <c r="AR35" t="e">
        <f>AS34*'Current vaccine model'!$H35*Export!$L33</f>
        <v>#VALUE!</v>
      </c>
      <c r="AS35" s="84" t="e">
        <f t="shared" si="13"/>
        <v>#VALUE!</v>
      </c>
      <c r="AT35" t="e">
        <f>AV34*'Current vaccine model'!$H35*HelperFunctions!$R$28</f>
        <v>#VALUE!</v>
      </c>
      <c r="AU35" t="e">
        <f>AV34*'Current vaccine model'!$H35*Export!$L33</f>
        <v>#VALUE!</v>
      </c>
      <c r="AV35" s="84" t="e">
        <f t="shared" si="14"/>
        <v>#VALUE!</v>
      </c>
      <c r="AW35" t="e">
        <f>AY34*'Current vaccine model'!$H35*HelperFunctions!$R$28</f>
        <v>#VALUE!</v>
      </c>
      <c r="AX35" t="e">
        <f>AY34*'Current vaccine model'!$H35*Export!$L33</f>
        <v>#VALUE!</v>
      </c>
      <c r="AY35" s="84" t="e">
        <f t="shared" si="15"/>
        <v>#VALUE!</v>
      </c>
      <c r="AZ35" t="e">
        <f>BB34*'Current vaccine model'!$H35*HelperFunctions!$R$28</f>
        <v>#VALUE!</v>
      </c>
      <c r="BA35" t="e">
        <f>BB34*'Current vaccine model'!$H35*Export!$L33</f>
        <v>#VALUE!</v>
      </c>
      <c r="BB35" s="84" t="e">
        <f t="shared" si="16"/>
        <v>#VALUE!</v>
      </c>
      <c r="BC35" t="e">
        <f>BE34*'Current vaccine model'!$H35*HelperFunctions!$R$28</f>
        <v>#VALUE!</v>
      </c>
      <c r="BD35" t="e">
        <f>BE34*'Current vaccine model'!$H35*Export!$L33</f>
        <v>#VALUE!</v>
      </c>
      <c r="BE35" s="84" t="e">
        <f t="shared" si="17"/>
        <v>#VALUE!</v>
      </c>
      <c r="BF35" t="e">
        <f>BH34*'Current vaccine model'!$H35*HelperFunctions!$R$28</f>
        <v>#VALUE!</v>
      </c>
      <c r="BG35" t="e">
        <f>BH34*'Current vaccine model'!$H35*Export!$L33</f>
        <v>#VALUE!</v>
      </c>
      <c r="BH35" s="84" t="e">
        <f t="shared" si="18"/>
        <v>#VALUE!</v>
      </c>
      <c r="BI35" t="e">
        <f>BK34*'Current vaccine model'!$H35*HelperFunctions!$R$28</f>
        <v>#VALUE!</v>
      </c>
      <c r="BJ35" t="e">
        <f>BK34*'Current vaccine model'!$H35*Export!$L33</f>
        <v>#VALUE!</v>
      </c>
      <c r="BK35" s="84" t="e">
        <f t="shared" si="19"/>
        <v>#VALUE!</v>
      </c>
      <c r="BL35" t="e">
        <f>BN34*'Current vaccine model'!$H35*HelperFunctions!$R27</f>
        <v>#VALUE!</v>
      </c>
      <c r="BM35" t="e">
        <f>BN34*'Current vaccine model'!$H35*Export!$L33</f>
        <v>#VALUE!</v>
      </c>
      <c r="BN35" s="84" t="e">
        <f t="shared" si="20"/>
        <v>#VALUE!</v>
      </c>
      <c r="BO35" t="e">
        <f>BQ34*'Current vaccine model'!$H35*HelperFunctions!$R26</f>
        <v>#VALUE!</v>
      </c>
      <c r="BP35" t="e">
        <f>BQ34*'Current vaccine model'!$H35*Export!$L33</f>
        <v>#VALUE!</v>
      </c>
      <c r="BQ35" s="84" t="e">
        <f t="shared" si="21"/>
        <v>#VALUE!</v>
      </c>
      <c r="BR35" t="e">
        <f>BT34*'Current vaccine model'!$H35*HelperFunctions!$R25</f>
        <v>#VALUE!</v>
      </c>
      <c r="BS35" t="e">
        <f>BT34*'Current vaccine model'!$H35*Export!$L33</f>
        <v>#VALUE!</v>
      </c>
      <c r="BT35" s="84" t="e">
        <f t="shared" si="22"/>
        <v>#VALUE!</v>
      </c>
      <c r="BU35" t="e">
        <f>BW34*'Current vaccine model'!$H35*HelperFunctions!$R24</f>
        <v>#VALUE!</v>
      </c>
      <c r="BV35" t="e">
        <f>BW34*'Current vaccine model'!$H35*Export!$L33</f>
        <v>#VALUE!</v>
      </c>
      <c r="BW35" s="84" t="e">
        <f t="shared" si="23"/>
        <v>#VALUE!</v>
      </c>
      <c r="BX35" t="e">
        <f>BZ34*'Current vaccine model'!$H35*HelperFunctions!$R37</f>
        <v>#VALUE!</v>
      </c>
      <c r="BY35" t="e">
        <f>BZ34*'Current vaccine model'!$H35*Export!$L33</f>
        <v>#VALUE!</v>
      </c>
      <c r="BZ35" s="84" t="e">
        <f t="shared" si="24"/>
        <v>#VALUE!</v>
      </c>
      <c r="CA35" t="e">
        <f>CC34*'Current vaccine model'!$H35*HelperFunctions!$R36</f>
        <v>#VALUE!</v>
      </c>
      <c r="CB35" t="e">
        <f>CC34*'Current vaccine model'!$H35*Export!$L33</f>
        <v>#VALUE!</v>
      </c>
      <c r="CC35" s="84" t="e">
        <f t="shared" si="25"/>
        <v>#VALUE!</v>
      </c>
      <c r="CD35" t="e">
        <f>CF34*'Current vaccine model'!$H35*HelperFunctions!$R35</f>
        <v>#VALUE!</v>
      </c>
      <c r="CE35" t="e">
        <f>CF34*'Current vaccine model'!$H35*Export!$L33</f>
        <v>#VALUE!</v>
      </c>
      <c r="CF35" s="84" t="e">
        <f t="shared" si="26"/>
        <v>#VALUE!</v>
      </c>
      <c r="CG35" t="e">
        <f>CI34*'Current vaccine model'!$H35*HelperFunctions!$R34</f>
        <v>#VALUE!</v>
      </c>
      <c r="CH35" t="e">
        <f>CI34*'Current vaccine model'!$H35*Export!$L33</f>
        <v>#VALUE!</v>
      </c>
      <c r="CI35" s="84" t="e">
        <f t="shared" si="27"/>
        <v>#VALUE!</v>
      </c>
      <c r="CJ35" t="e">
        <f>CL34*'Current vaccine model'!$H35*HelperFunctions!$R33</f>
        <v>#VALUE!</v>
      </c>
      <c r="CK35" t="e">
        <f>CL34*'Current vaccine model'!$H35*Export!$L33</f>
        <v>#VALUE!</v>
      </c>
      <c r="CL35" s="84" t="e">
        <f t="shared" si="28"/>
        <v>#VALUE!</v>
      </c>
      <c r="CM35" t="e">
        <f>CO34*'Current vaccine model'!$H35*HelperFunctions!$R32</f>
        <v>#VALUE!</v>
      </c>
      <c r="CN35" t="e">
        <f>CO34*'Current vaccine model'!$H35*Export!$L33</f>
        <v>#VALUE!</v>
      </c>
      <c r="CO35" s="84" t="e">
        <f t="shared" ref="CO35:CO63" si="29">CO34-CM35-CN35</f>
        <v>#VALUE!</v>
      </c>
      <c r="CP35" t="e">
        <f>CR34*'Current vaccine model'!$H35*HelperFunctions!$R31</f>
        <v>#VALUE!</v>
      </c>
      <c r="CQ35" t="e">
        <f>CR34*'Current vaccine model'!$H35*Export!$L33</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F35*'Current vaccine model'!$H36*HelperFunctions!$R$14</f>
        <v>#VALUE!</v>
      </c>
      <c r="E36" t="e">
        <f>F35*'Current vaccine model'!$H36*Export!$L34</f>
        <v>#VALUE!</v>
      </c>
      <c r="F36" s="84" t="e">
        <f t="shared" si="0"/>
        <v>#VALUE!</v>
      </c>
      <c r="G36" t="e">
        <f>I35*'Current vaccine model'!$H36*HelperFunctions!$R$14</f>
        <v>#VALUE!</v>
      </c>
      <c r="H36" t="e">
        <f>I35*'Current vaccine model'!$H36*Export!$L34</f>
        <v>#VALUE!</v>
      </c>
      <c r="I36" s="84" t="e">
        <f t="shared" si="1"/>
        <v>#VALUE!</v>
      </c>
      <c r="J36" t="e">
        <f>L35*'Current vaccine model'!$H36*HelperFunctions!$R$14</f>
        <v>#VALUE!</v>
      </c>
      <c r="K36" t="e">
        <f>L35*'Current vaccine model'!$H36*Export!$L34</f>
        <v>#VALUE!</v>
      </c>
      <c r="L36" s="84" t="e">
        <f t="shared" si="2"/>
        <v>#VALUE!</v>
      </c>
      <c r="M36" t="e">
        <f>O35*'Current vaccine model'!$H36*HelperFunctions!$R$14</f>
        <v>#VALUE!</v>
      </c>
      <c r="N36" t="e">
        <f>O35*'Current vaccine model'!$H36*Export!$L34</f>
        <v>#VALUE!</v>
      </c>
      <c r="O36" s="84" t="e">
        <f t="shared" si="3"/>
        <v>#VALUE!</v>
      </c>
      <c r="P36" t="e">
        <f>R35*'Current vaccine model'!$H36*HelperFunctions!$R$14</f>
        <v>#VALUE!</v>
      </c>
      <c r="Q36" t="e">
        <f>R35*'Current vaccine model'!$H36*Export!$L34</f>
        <v>#VALUE!</v>
      </c>
      <c r="R36" s="84" t="e">
        <f t="shared" si="4"/>
        <v>#VALUE!</v>
      </c>
      <c r="S36" t="e">
        <f>U35*'Current vaccine model'!$H36*HelperFunctions!$R$14</f>
        <v>#VALUE!</v>
      </c>
      <c r="T36" t="e">
        <f>U35*'Current vaccine model'!$H36*Export!$L34</f>
        <v>#VALUE!</v>
      </c>
      <c r="U36" s="84" t="e">
        <f t="shared" si="5"/>
        <v>#VALUE!</v>
      </c>
      <c r="V36" t="e">
        <f>X35*'Current vaccine model'!$H36*HelperFunctions!$R$14</f>
        <v>#VALUE!</v>
      </c>
      <c r="W36" t="e">
        <f>X35*'Current vaccine model'!$H36*Export!$L34</f>
        <v>#VALUE!</v>
      </c>
      <c r="X36" s="84" t="e">
        <f t="shared" si="6"/>
        <v>#VALUE!</v>
      </c>
      <c r="Y36" t="e">
        <f>AA35*'Current vaccine model'!$H36*HelperFunctions!$R$14</f>
        <v>#VALUE!</v>
      </c>
      <c r="Z36" t="e">
        <f>AA35*'Current vaccine model'!$H36*Export!$L34</f>
        <v>#VALUE!</v>
      </c>
      <c r="AA36" s="84" t="e">
        <f t="shared" si="7"/>
        <v>#VALUE!</v>
      </c>
      <c r="AB36" t="e">
        <f>AD35*'Current vaccine model'!$H36*HelperFunctions!$R$14</f>
        <v>#VALUE!</v>
      </c>
      <c r="AC36" t="e">
        <f>AD35*'Current vaccine model'!$H36*Export!$L34</f>
        <v>#VALUE!</v>
      </c>
      <c r="AD36" s="84" t="e">
        <f t="shared" si="8"/>
        <v>#VALUE!</v>
      </c>
      <c r="AE36" t="e">
        <f>AG35*'Current vaccine model'!$H36*HelperFunctions!$R$14</f>
        <v>#VALUE!</v>
      </c>
      <c r="AF36" t="e">
        <f>AG35*'Current vaccine model'!$H36*Export!$L34</f>
        <v>#VALUE!</v>
      </c>
      <c r="AG36" s="84" t="e">
        <f t="shared" si="9"/>
        <v>#VALUE!</v>
      </c>
      <c r="AH36" t="e">
        <f>AJ35*'Current vaccine model'!$H36*HelperFunctions!$R$14</f>
        <v>#VALUE!</v>
      </c>
      <c r="AI36" t="e">
        <f>AJ35*'Current vaccine model'!$H36*Export!$L34</f>
        <v>#VALUE!</v>
      </c>
      <c r="AJ36" s="84" t="e">
        <f t="shared" si="10"/>
        <v>#VALUE!</v>
      </c>
      <c r="AK36" t="e">
        <f>AM35*'Current vaccine model'!$H36*HelperFunctions!$R$14</f>
        <v>#VALUE!</v>
      </c>
      <c r="AL36" t="e">
        <f>AM35*'Current vaccine model'!$H36*Export!$L34</f>
        <v>#VALUE!</v>
      </c>
      <c r="AM36" s="84" t="e">
        <f t="shared" si="11"/>
        <v>#VALUE!</v>
      </c>
      <c r="AN36" t="e">
        <f>AP35*'Current vaccine model'!$H36*HelperFunctions!$R$28</f>
        <v>#VALUE!</v>
      </c>
      <c r="AO36" t="e">
        <f>AP35*'Current vaccine model'!$H36*Export!$L34</f>
        <v>#VALUE!</v>
      </c>
      <c r="AP36" s="84" t="e">
        <f t="shared" si="12"/>
        <v>#VALUE!</v>
      </c>
      <c r="AQ36" t="e">
        <f>AS35*'Current vaccine model'!$H36*HelperFunctions!$R$28</f>
        <v>#VALUE!</v>
      </c>
      <c r="AR36" t="e">
        <f>AS35*'Current vaccine model'!$H36*Export!$L34</f>
        <v>#VALUE!</v>
      </c>
      <c r="AS36" s="84" t="e">
        <f t="shared" si="13"/>
        <v>#VALUE!</v>
      </c>
      <c r="AT36" t="e">
        <f>AV35*'Current vaccine model'!$H36*HelperFunctions!$R$28</f>
        <v>#VALUE!</v>
      </c>
      <c r="AU36" t="e">
        <f>AV35*'Current vaccine model'!$H36*Export!$L34</f>
        <v>#VALUE!</v>
      </c>
      <c r="AV36" s="84" t="e">
        <f t="shared" si="14"/>
        <v>#VALUE!</v>
      </c>
      <c r="AW36" t="e">
        <f>AY35*'Current vaccine model'!$H36*HelperFunctions!$R$28</f>
        <v>#VALUE!</v>
      </c>
      <c r="AX36" t="e">
        <f>AY35*'Current vaccine model'!$H36*Export!$L34</f>
        <v>#VALUE!</v>
      </c>
      <c r="AY36" s="84" t="e">
        <f t="shared" si="15"/>
        <v>#VALUE!</v>
      </c>
      <c r="AZ36" t="e">
        <f>BB35*'Current vaccine model'!$H36*HelperFunctions!$R$28</f>
        <v>#VALUE!</v>
      </c>
      <c r="BA36" t="e">
        <f>BB35*'Current vaccine model'!$H36*Export!$L34</f>
        <v>#VALUE!</v>
      </c>
      <c r="BB36" s="84" t="e">
        <f t="shared" si="16"/>
        <v>#VALUE!</v>
      </c>
      <c r="BC36" t="e">
        <f>BE35*'Current vaccine model'!$H36*HelperFunctions!$R$28</f>
        <v>#VALUE!</v>
      </c>
      <c r="BD36" t="e">
        <f>BE35*'Current vaccine model'!$H36*Export!$L34</f>
        <v>#VALUE!</v>
      </c>
      <c r="BE36" s="84" t="e">
        <f t="shared" si="17"/>
        <v>#VALUE!</v>
      </c>
      <c r="BF36" t="e">
        <f>BH35*'Current vaccine model'!$H36*HelperFunctions!$R$28</f>
        <v>#VALUE!</v>
      </c>
      <c r="BG36" t="e">
        <f>BH35*'Current vaccine model'!$H36*Export!$L34</f>
        <v>#VALUE!</v>
      </c>
      <c r="BH36" s="84" t="e">
        <f t="shared" si="18"/>
        <v>#VALUE!</v>
      </c>
      <c r="BI36" t="e">
        <f>BK35*'Current vaccine model'!$H36*HelperFunctions!$R$28</f>
        <v>#VALUE!</v>
      </c>
      <c r="BJ36" t="e">
        <f>BK35*'Current vaccine model'!$H36*Export!$L34</f>
        <v>#VALUE!</v>
      </c>
      <c r="BK36" s="84" t="e">
        <f t="shared" si="19"/>
        <v>#VALUE!</v>
      </c>
      <c r="BL36" t="e">
        <f>BN35*'Current vaccine model'!$H36*HelperFunctions!$R$28</f>
        <v>#VALUE!</v>
      </c>
      <c r="BM36" t="e">
        <f>BN35*'Current vaccine model'!$H36*Export!$L34</f>
        <v>#VALUE!</v>
      </c>
      <c r="BN36" s="84" t="e">
        <f t="shared" si="20"/>
        <v>#VALUE!</v>
      </c>
      <c r="BO36" t="e">
        <f>BQ35*'Current vaccine model'!$H36*HelperFunctions!$R27</f>
        <v>#VALUE!</v>
      </c>
      <c r="BP36" t="e">
        <f>BQ35*'Current vaccine model'!$H36*Export!$L34</f>
        <v>#VALUE!</v>
      </c>
      <c r="BQ36" s="84" t="e">
        <f t="shared" si="21"/>
        <v>#VALUE!</v>
      </c>
      <c r="BR36" t="e">
        <f>BT35*'Current vaccine model'!$H36*HelperFunctions!$R26</f>
        <v>#VALUE!</v>
      </c>
      <c r="BS36" t="e">
        <f>BT35*'Current vaccine model'!$H36*Export!$L34</f>
        <v>#VALUE!</v>
      </c>
      <c r="BT36" s="84" t="e">
        <f t="shared" si="22"/>
        <v>#VALUE!</v>
      </c>
      <c r="BU36" t="e">
        <f>BW35*'Current vaccine model'!$H36*HelperFunctions!$R25</f>
        <v>#VALUE!</v>
      </c>
      <c r="BV36" t="e">
        <f>BW35*'Current vaccine model'!$H36*Export!$L34</f>
        <v>#VALUE!</v>
      </c>
      <c r="BW36" s="84" t="e">
        <f t="shared" si="23"/>
        <v>#VALUE!</v>
      </c>
      <c r="BX36" t="e">
        <f>BZ35*'Current vaccine model'!$H36*HelperFunctions!$R38</f>
        <v>#VALUE!</v>
      </c>
      <c r="BY36" t="e">
        <f>BZ35*'Current vaccine model'!$H36*Export!$L34</f>
        <v>#VALUE!</v>
      </c>
      <c r="BZ36" s="84" t="e">
        <f t="shared" si="24"/>
        <v>#VALUE!</v>
      </c>
      <c r="CA36" t="e">
        <f>CC35*'Current vaccine model'!$H36*HelperFunctions!$R37</f>
        <v>#VALUE!</v>
      </c>
      <c r="CB36" t="e">
        <f>CC35*'Current vaccine model'!$H36*Export!$L34</f>
        <v>#VALUE!</v>
      </c>
      <c r="CC36" s="84" t="e">
        <f t="shared" si="25"/>
        <v>#VALUE!</v>
      </c>
      <c r="CD36" t="e">
        <f>CF35*'Current vaccine model'!$H36*HelperFunctions!$R36</f>
        <v>#VALUE!</v>
      </c>
      <c r="CE36" t="e">
        <f>CF35*'Current vaccine model'!$H36*Export!$L34</f>
        <v>#VALUE!</v>
      </c>
      <c r="CF36" s="84" t="e">
        <f t="shared" si="26"/>
        <v>#VALUE!</v>
      </c>
      <c r="CG36" t="e">
        <f>CI35*'Current vaccine model'!$H36*HelperFunctions!$R35</f>
        <v>#VALUE!</v>
      </c>
      <c r="CH36" t="e">
        <f>CI35*'Current vaccine model'!$H36*Export!$L34</f>
        <v>#VALUE!</v>
      </c>
      <c r="CI36" s="84" t="e">
        <f t="shared" si="27"/>
        <v>#VALUE!</v>
      </c>
      <c r="CJ36" t="e">
        <f>CL35*'Current vaccine model'!$H36*HelperFunctions!$R34</f>
        <v>#VALUE!</v>
      </c>
      <c r="CK36" t="e">
        <f>CL35*'Current vaccine model'!$H36*Export!$L34</f>
        <v>#VALUE!</v>
      </c>
      <c r="CL36" s="84" t="e">
        <f t="shared" si="28"/>
        <v>#VALUE!</v>
      </c>
      <c r="CM36" t="e">
        <f>CO35*'Current vaccine model'!$H36*HelperFunctions!$R33</f>
        <v>#VALUE!</v>
      </c>
      <c r="CN36" t="e">
        <f>CO35*'Current vaccine model'!$H36*Export!$L34</f>
        <v>#VALUE!</v>
      </c>
      <c r="CO36" s="84" t="e">
        <f t="shared" si="29"/>
        <v>#VALUE!</v>
      </c>
      <c r="CP36" t="e">
        <f>CR35*'Current vaccine model'!$H36*HelperFunctions!$R32</f>
        <v>#VALUE!</v>
      </c>
      <c r="CQ36" t="e">
        <f>CR35*'Current vaccine model'!$H36*Export!$L34</f>
        <v>#VALUE!</v>
      </c>
      <c r="CR36" s="84" t="e">
        <f t="shared" ref="CR36:CR63" si="30">CR35-CP36-CQ36</f>
        <v>#VALUE!</v>
      </c>
      <c r="CS36" t="e">
        <f>CU35*'Current vaccine model'!$H36*HelperFunctions!$R31</f>
        <v>#VALUE!</v>
      </c>
      <c r="CT36" t="e">
        <f>CU35*'Current vaccine model'!$H36*Export!$L34</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F36*'Current vaccine model'!$H37*HelperFunctions!$R$14</f>
        <v>#VALUE!</v>
      </c>
      <c r="E37" t="e">
        <f>F36*'Current vaccine model'!$H37*Export!$L35</f>
        <v>#VALUE!</v>
      </c>
      <c r="F37" s="84" t="e">
        <f t="shared" si="0"/>
        <v>#VALUE!</v>
      </c>
      <c r="G37" t="e">
        <f>I36*'Current vaccine model'!$H37*HelperFunctions!$R$14</f>
        <v>#VALUE!</v>
      </c>
      <c r="H37" t="e">
        <f>I36*'Current vaccine model'!$H37*Export!$L35</f>
        <v>#VALUE!</v>
      </c>
      <c r="I37" s="84" t="e">
        <f t="shared" si="1"/>
        <v>#VALUE!</v>
      </c>
      <c r="J37" t="e">
        <f>L36*'Current vaccine model'!$H37*HelperFunctions!$R$14</f>
        <v>#VALUE!</v>
      </c>
      <c r="K37" t="e">
        <f>L36*'Current vaccine model'!$H37*Export!$L35</f>
        <v>#VALUE!</v>
      </c>
      <c r="L37" s="84" t="e">
        <f t="shared" si="2"/>
        <v>#VALUE!</v>
      </c>
      <c r="M37" t="e">
        <f>O36*'Current vaccine model'!$H37*HelperFunctions!$R$14</f>
        <v>#VALUE!</v>
      </c>
      <c r="N37" t="e">
        <f>O36*'Current vaccine model'!$H37*Export!$L35</f>
        <v>#VALUE!</v>
      </c>
      <c r="O37" s="84" t="e">
        <f t="shared" si="3"/>
        <v>#VALUE!</v>
      </c>
      <c r="P37" t="e">
        <f>R36*'Current vaccine model'!$H37*HelperFunctions!$R$14</f>
        <v>#VALUE!</v>
      </c>
      <c r="Q37" t="e">
        <f>R36*'Current vaccine model'!$H37*Export!$L35</f>
        <v>#VALUE!</v>
      </c>
      <c r="R37" s="84" t="e">
        <f t="shared" si="4"/>
        <v>#VALUE!</v>
      </c>
      <c r="S37" t="e">
        <f>U36*'Current vaccine model'!$H37*HelperFunctions!$R$14</f>
        <v>#VALUE!</v>
      </c>
      <c r="T37" t="e">
        <f>U36*'Current vaccine model'!$H37*Export!$L35</f>
        <v>#VALUE!</v>
      </c>
      <c r="U37" s="84" t="e">
        <f t="shared" si="5"/>
        <v>#VALUE!</v>
      </c>
      <c r="V37" t="e">
        <f>X36*'Current vaccine model'!$H37*HelperFunctions!$R$14</f>
        <v>#VALUE!</v>
      </c>
      <c r="W37" t="e">
        <f>X36*'Current vaccine model'!$H37*Export!$L35</f>
        <v>#VALUE!</v>
      </c>
      <c r="X37" s="84" t="e">
        <f t="shared" si="6"/>
        <v>#VALUE!</v>
      </c>
      <c r="Y37" t="e">
        <f>AA36*'Current vaccine model'!$H37*HelperFunctions!$R$14</f>
        <v>#VALUE!</v>
      </c>
      <c r="Z37" t="e">
        <f>AA36*'Current vaccine model'!$H37*Export!$L35</f>
        <v>#VALUE!</v>
      </c>
      <c r="AA37" s="84" t="e">
        <f t="shared" si="7"/>
        <v>#VALUE!</v>
      </c>
      <c r="AB37" t="e">
        <f>AD36*'Current vaccine model'!$H37*HelperFunctions!$R$14</f>
        <v>#VALUE!</v>
      </c>
      <c r="AC37" t="e">
        <f>AD36*'Current vaccine model'!$H37*Export!$L35</f>
        <v>#VALUE!</v>
      </c>
      <c r="AD37" s="84" t="e">
        <f t="shared" si="8"/>
        <v>#VALUE!</v>
      </c>
      <c r="AE37" t="e">
        <f>AG36*'Current vaccine model'!$H37*HelperFunctions!$R$14</f>
        <v>#VALUE!</v>
      </c>
      <c r="AF37" t="e">
        <f>AG36*'Current vaccine model'!$H37*Export!$L35</f>
        <v>#VALUE!</v>
      </c>
      <c r="AG37" s="84" t="e">
        <f t="shared" si="9"/>
        <v>#VALUE!</v>
      </c>
      <c r="AH37" t="e">
        <f>AJ36*'Current vaccine model'!$H37*HelperFunctions!$R$14</f>
        <v>#VALUE!</v>
      </c>
      <c r="AI37" t="e">
        <f>AJ36*'Current vaccine model'!$H37*Export!$L35</f>
        <v>#VALUE!</v>
      </c>
      <c r="AJ37" s="84" t="e">
        <f t="shared" si="10"/>
        <v>#VALUE!</v>
      </c>
      <c r="AK37" t="e">
        <f>AM36*'Current vaccine model'!$H37*HelperFunctions!$R$14</f>
        <v>#VALUE!</v>
      </c>
      <c r="AL37" t="e">
        <f>AM36*'Current vaccine model'!$H37*Export!$L35</f>
        <v>#VALUE!</v>
      </c>
      <c r="AM37" s="84" t="e">
        <f t="shared" si="11"/>
        <v>#VALUE!</v>
      </c>
      <c r="AN37" t="e">
        <f>AP36*'Current vaccine model'!$H37*HelperFunctions!$R$28</f>
        <v>#VALUE!</v>
      </c>
      <c r="AO37" t="e">
        <f>AP36*'Current vaccine model'!$H37*Export!$L35</f>
        <v>#VALUE!</v>
      </c>
      <c r="AP37" s="84" t="e">
        <f t="shared" si="12"/>
        <v>#VALUE!</v>
      </c>
      <c r="AQ37" t="e">
        <f>AS36*'Current vaccine model'!$H37*HelperFunctions!$R$28</f>
        <v>#VALUE!</v>
      </c>
      <c r="AR37" t="e">
        <f>AS36*'Current vaccine model'!$H37*Export!$L35</f>
        <v>#VALUE!</v>
      </c>
      <c r="AS37" s="84" t="e">
        <f t="shared" si="13"/>
        <v>#VALUE!</v>
      </c>
      <c r="AT37" t="e">
        <f>AV36*'Current vaccine model'!$H37*HelperFunctions!$R$28</f>
        <v>#VALUE!</v>
      </c>
      <c r="AU37" t="e">
        <f>AV36*'Current vaccine model'!$H37*Export!$L35</f>
        <v>#VALUE!</v>
      </c>
      <c r="AV37" s="84" t="e">
        <f t="shared" si="14"/>
        <v>#VALUE!</v>
      </c>
      <c r="AW37" t="e">
        <f>AY36*'Current vaccine model'!$H37*HelperFunctions!$R$28</f>
        <v>#VALUE!</v>
      </c>
      <c r="AX37" t="e">
        <f>AY36*'Current vaccine model'!$H37*Export!$L35</f>
        <v>#VALUE!</v>
      </c>
      <c r="AY37" s="84" t="e">
        <f t="shared" si="15"/>
        <v>#VALUE!</v>
      </c>
      <c r="AZ37" t="e">
        <f>BB36*'Current vaccine model'!$H37*HelperFunctions!$R$28</f>
        <v>#VALUE!</v>
      </c>
      <c r="BA37" t="e">
        <f>BB36*'Current vaccine model'!$H37*Export!$L35</f>
        <v>#VALUE!</v>
      </c>
      <c r="BB37" s="84" t="e">
        <f t="shared" si="16"/>
        <v>#VALUE!</v>
      </c>
      <c r="BC37" t="e">
        <f>BE36*'Current vaccine model'!$H37*HelperFunctions!$R$28</f>
        <v>#VALUE!</v>
      </c>
      <c r="BD37" t="e">
        <f>BE36*'Current vaccine model'!$H37*Export!$L35</f>
        <v>#VALUE!</v>
      </c>
      <c r="BE37" s="84" t="e">
        <f t="shared" si="17"/>
        <v>#VALUE!</v>
      </c>
      <c r="BF37" t="e">
        <f>BH36*'Current vaccine model'!$H37*HelperFunctions!$R$28</f>
        <v>#VALUE!</v>
      </c>
      <c r="BG37" t="e">
        <f>BH36*'Current vaccine model'!$H37*Export!$L35</f>
        <v>#VALUE!</v>
      </c>
      <c r="BH37" s="84" t="e">
        <f t="shared" si="18"/>
        <v>#VALUE!</v>
      </c>
      <c r="BI37" t="e">
        <f>BK36*'Current vaccine model'!$H37*HelperFunctions!$R$28</f>
        <v>#VALUE!</v>
      </c>
      <c r="BJ37" t="e">
        <f>BK36*'Current vaccine model'!$H37*Export!$L35</f>
        <v>#VALUE!</v>
      </c>
      <c r="BK37" s="84" t="e">
        <f t="shared" si="19"/>
        <v>#VALUE!</v>
      </c>
      <c r="BL37" t="e">
        <f>BN36*'Current vaccine model'!$H37*HelperFunctions!$R$28</f>
        <v>#VALUE!</v>
      </c>
      <c r="BM37" t="e">
        <f>BN36*'Current vaccine model'!$H37*Export!$L35</f>
        <v>#VALUE!</v>
      </c>
      <c r="BN37" s="84" t="e">
        <f t="shared" si="20"/>
        <v>#VALUE!</v>
      </c>
      <c r="BO37" t="e">
        <f>BQ36*'Current vaccine model'!$H37*HelperFunctions!$R$28</f>
        <v>#VALUE!</v>
      </c>
      <c r="BP37" t="e">
        <f>BQ36*'Current vaccine model'!$H37*Export!$L35</f>
        <v>#VALUE!</v>
      </c>
      <c r="BQ37" s="84" t="e">
        <f t="shared" si="21"/>
        <v>#VALUE!</v>
      </c>
      <c r="BR37" t="e">
        <f>BT36*'Current vaccine model'!$H37*HelperFunctions!$R27</f>
        <v>#VALUE!</v>
      </c>
      <c r="BS37" t="e">
        <f>BT36*'Current vaccine model'!$H37*Export!$L35</f>
        <v>#VALUE!</v>
      </c>
      <c r="BT37" s="84" t="e">
        <f t="shared" si="22"/>
        <v>#VALUE!</v>
      </c>
      <c r="BU37" t="e">
        <f>BW36*'Current vaccine model'!$H37*HelperFunctions!$R26</f>
        <v>#VALUE!</v>
      </c>
      <c r="BV37" t="e">
        <f>BW36*'Current vaccine model'!$H37*Export!$L35</f>
        <v>#VALUE!</v>
      </c>
      <c r="BW37" s="84" t="e">
        <f t="shared" si="23"/>
        <v>#VALUE!</v>
      </c>
      <c r="BX37" t="e">
        <f>BZ36*'Current vaccine model'!$H37*HelperFunctions!$R39</f>
        <v>#VALUE!</v>
      </c>
      <c r="BY37" t="e">
        <f>BZ36*'Current vaccine model'!$H37*Export!$L35</f>
        <v>#VALUE!</v>
      </c>
      <c r="BZ37" s="84" t="e">
        <f t="shared" si="24"/>
        <v>#VALUE!</v>
      </c>
      <c r="CA37" t="e">
        <f>CC36*'Current vaccine model'!$H37*HelperFunctions!$R38</f>
        <v>#VALUE!</v>
      </c>
      <c r="CB37" t="e">
        <f>CC36*'Current vaccine model'!$H37*Export!$L35</f>
        <v>#VALUE!</v>
      </c>
      <c r="CC37" s="84" t="e">
        <f t="shared" si="25"/>
        <v>#VALUE!</v>
      </c>
      <c r="CD37" t="e">
        <f>CF36*'Current vaccine model'!$H37*HelperFunctions!$R37</f>
        <v>#VALUE!</v>
      </c>
      <c r="CE37" t="e">
        <f>CF36*'Current vaccine model'!$H37*Export!$L35</f>
        <v>#VALUE!</v>
      </c>
      <c r="CF37" s="84" t="e">
        <f t="shared" si="26"/>
        <v>#VALUE!</v>
      </c>
      <c r="CG37" t="e">
        <f>CI36*'Current vaccine model'!$H37*HelperFunctions!$R36</f>
        <v>#VALUE!</v>
      </c>
      <c r="CH37" t="e">
        <f>CI36*'Current vaccine model'!$H37*Export!$L35</f>
        <v>#VALUE!</v>
      </c>
      <c r="CI37" s="84" t="e">
        <f t="shared" si="27"/>
        <v>#VALUE!</v>
      </c>
      <c r="CJ37" t="e">
        <f>CL36*'Current vaccine model'!$H37*HelperFunctions!$R35</f>
        <v>#VALUE!</v>
      </c>
      <c r="CK37" t="e">
        <f>CL36*'Current vaccine model'!$H37*Export!$L35</f>
        <v>#VALUE!</v>
      </c>
      <c r="CL37" s="84" t="e">
        <f t="shared" si="28"/>
        <v>#VALUE!</v>
      </c>
      <c r="CM37" t="e">
        <f>CO36*'Current vaccine model'!$H37*HelperFunctions!$R34</f>
        <v>#VALUE!</v>
      </c>
      <c r="CN37" t="e">
        <f>CO36*'Current vaccine model'!$H37*Export!$L35</f>
        <v>#VALUE!</v>
      </c>
      <c r="CO37" s="84" t="e">
        <f t="shared" si="29"/>
        <v>#VALUE!</v>
      </c>
      <c r="CP37" t="e">
        <f>CR36*'Current vaccine model'!$H37*HelperFunctions!$R33</f>
        <v>#VALUE!</v>
      </c>
      <c r="CQ37" t="e">
        <f>CR36*'Current vaccine model'!$H37*Export!$L35</f>
        <v>#VALUE!</v>
      </c>
      <c r="CR37" s="84" t="e">
        <f t="shared" si="30"/>
        <v>#VALUE!</v>
      </c>
      <c r="CS37" t="e">
        <f>CU36*'Current vaccine model'!$H37*HelperFunctions!$R32</f>
        <v>#VALUE!</v>
      </c>
      <c r="CT37" t="e">
        <f>CU36*'Current vaccine model'!$H37*Export!$L35</f>
        <v>#VALUE!</v>
      </c>
      <c r="CU37" s="84" t="e">
        <f t="shared" ref="CU37:CU63" si="31">CU36-CS37-CT37</f>
        <v>#VALUE!</v>
      </c>
      <c r="CV37" t="e">
        <f>CX36*'Current vaccine model'!$H37*HelperFunctions!$R31</f>
        <v>#VALUE!</v>
      </c>
      <c r="CW37" t="e">
        <f>CX36*'Current vaccine model'!$H37*Export!$L35</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F37*'Current vaccine model'!$H38*HelperFunctions!$R$14</f>
        <v>#VALUE!</v>
      </c>
      <c r="E38" t="e">
        <f>F37*'Current vaccine model'!$H38*Export!$L36</f>
        <v>#VALUE!</v>
      </c>
      <c r="F38" s="84" t="e">
        <f t="shared" si="0"/>
        <v>#VALUE!</v>
      </c>
      <c r="G38" t="e">
        <f>I37*'Current vaccine model'!$H38*HelperFunctions!$R$14</f>
        <v>#VALUE!</v>
      </c>
      <c r="H38" t="e">
        <f>I37*'Current vaccine model'!$H38*Export!$L36</f>
        <v>#VALUE!</v>
      </c>
      <c r="I38" s="84" t="e">
        <f t="shared" si="1"/>
        <v>#VALUE!</v>
      </c>
      <c r="J38" t="e">
        <f>L37*'Current vaccine model'!$H38*HelperFunctions!$R$14</f>
        <v>#VALUE!</v>
      </c>
      <c r="K38" t="e">
        <f>L37*'Current vaccine model'!$H38*Export!$L36</f>
        <v>#VALUE!</v>
      </c>
      <c r="L38" s="84" t="e">
        <f t="shared" si="2"/>
        <v>#VALUE!</v>
      </c>
      <c r="M38" t="e">
        <f>O37*'Current vaccine model'!$H38*HelperFunctions!$R$14</f>
        <v>#VALUE!</v>
      </c>
      <c r="N38" t="e">
        <f>O37*'Current vaccine model'!$H38*Export!$L36</f>
        <v>#VALUE!</v>
      </c>
      <c r="O38" s="84" t="e">
        <f t="shared" si="3"/>
        <v>#VALUE!</v>
      </c>
      <c r="P38" t="e">
        <f>R37*'Current vaccine model'!$H38*HelperFunctions!$R$14</f>
        <v>#VALUE!</v>
      </c>
      <c r="Q38" t="e">
        <f>R37*'Current vaccine model'!$H38*Export!$L36</f>
        <v>#VALUE!</v>
      </c>
      <c r="R38" s="84" t="e">
        <f t="shared" si="4"/>
        <v>#VALUE!</v>
      </c>
      <c r="S38" t="e">
        <f>U37*'Current vaccine model'!$H38*HelperFunctions!$R$14</f>
        <v>#VALUE!</v>
      </c>
      <c r="T38" t="e">
        <f>U37*'Current vaccine model'!$H38*Export!$L36</f>
        <v>#VALUE!</v>
      </c>
      <c r="U38" s="84" t="e">
        <f t="shared" si="5"/>
        <v>#VALUE!</v>
      </c>
      <c r="V38" t="e">
        <f>X37*'Current vaccine model'!$H38*HelperFunctions!$R$14</f>
        <v>#VALUE!</v>
      </c>
      <c r="W38" t="e">
        <f>X37*'Current vaccine model'!$H38*Export!$L36</f>
        <v>#VALUE!</v>
      </c>
      <c r="X38" s="84" t="e">
        <f t="shared" si="6"/>
        <v>#VALUE!</v>
      </c>
      <c r="Y38" t="e">
        <f>AA37*'Current vaccine model'!$H38*HelperFunctions!$R$14</f>
        <v>#VALUE!</v>
      </c>
      <c r="Z38" t="e">
        <f>AA37*'Current vaccine model'!$H38*Export!$L36</f>
        <v>#VALUE!</v>
      </c>
      <c r="AA38" s="84" t="e">
        <f t="shared" si="7"/>
        <v>#VALUE!</v>
      </c>
      <c r="AB38" t="e">
        <f>AD37*'Current vaccine model'!$H38*HelperFunctions!$R$14</f>
        <v>#VALUE!</v>
      </c>
      <c r="AC38" t="e">
        <f>AD37*'Current vaccine model'!$H38*Export!$L36</f>
        <v>#VALUE!</v>
      </c>
      <c r="AD38" s="84" t="e">
        <f t="shared" si="8"/>
        <v>#VALUE!</v>
      </c>
      <c r="AE38" t="e">
        <f>AG37*'Current vaccine model'!$H38*HelperFunctions!$R$14</f>
        <v>#VALUE!</v>
      </c>
      <c r="AF38" t="e">
        <f>AG37*'Current vaccine model'!$H38*Export!$L36</f>
        <v>#VALUE!</v>
      </c>
      <c r="AG38" s="84" t="e">
        <f t="shared" si="9"/>
        <v>#VALUE!</v>
      </c>
      <c r="AH38" t="e">
        <f>AJ37*'Current vaccine model'!$H38*HelperFunctions!$R$14</f>
        <v>#VALUE!</v>
      </c>
      <c r="AI38" t="e">
        <f>AJ37*'Current vaccine model'!$H38*Export!$L36</f>
        <v>#VALUE!</v>
      </c>
      <c r="AJ38" s="84" t="e">
        <f t="shared" si="10"/>
        <v>#VALUE!</v>
      </c>
      <c r="AK38" t="e">
        <f>AM37*'Current vaccine model'!$H38*HelperFunctions!$R$14</f>
        <v>#VALUE!</v>
      </c>
      <c r="AL38" t="e">
        <f>AM37*'Current vaccine model'!$H38*Export!$L36</f>
        <v>#VALUE!</v>
      </c>
      <c r="AM38" s="84" t="e">
        <f t="shared" si="11"/>
        <v>#VALUE!</v>
      </c>
      <c r="AN38" t="e">
        <f>AP37*'Current vaccine model'!$H38*HelperFunctions!$R$28</f>
        <v>#VALUE!</v>
      </c>
      <c r="AO38" t="e">
        <f>AP37*'Current vaccine model'!$H38*Export!$L36</f>
        <v>#VALUE!</v>
      </c>
      <c r="AP38" s="84" t="e">
        <f t="shared" si="12"/>
        <v>#VALUE!</v>
      </c>
      <c r="AQ38" t="e">
        <f>AS37*'Current vaccine model'!$H38*HelperFunctions!$R$28</f>
        <v>#VALUE!</v>
      </c>
      <c r="AR38" t="e">
        <f>AS37*'Current vaccine model'!$H38*Export!$L36</f>
        <v>#VALUE!</v>
      </c>
      <c r="AS38" s="84" t="e">
        <f t="shared" si="13"/>
        <v>#VALUE!</v>
      </c>
      <c r="AT38" t="e">
        <f>AV37*'Current vaccine model'!$H38*HelperFunctions!$R$28</f>
        <v>#VALUE!</v>
      </c>
      <c r="AU38" t="e">
        <f>AV37*'Current vaccine model'!$H38*Export!$L36</f>
        <v>#VALUE!</v>
      </c>
      <c r="AV38" s="84" t="e">
        <f t="shared" si="14"/>
        <v>#VALUE!</v>
      </c>
      <c r="AW38" t="e">
        <f>AY37*'Current vaccine model'!$H38*HelperFunctions!$R$28</f>
        <v>#VALUE!</v>
      </c>
      <c r="AX38" t="e">
        <f>AY37*'Current vaccine model'!$H38*Export!$L36</f>
        <v>#VALUE!</v>
      </c>
      <c r="AY38" s="84" t="e">
        <f t="shared" si="15"/>
        <v>#VALUE!</v>
      </c>
      <c r="AZ38" t="e">
        <f>BB37*'Current vaccine model'!$H38*HelperFunctions!$R$28</f>
        <v>#VALUE!</v>
      </c>
      <c r="BA38" t="e">
        <f>BB37*'Current vaccine model'!$H38*Export!$L36</f>
        <v>#VALUE!</v>
      </c>
      <c r="BB38" s="84" t="e">
        <f t="shared" si="16"/>
        <v>#VALUE!</v>
      </c>
      <c r="BC38" t="e">
        <f>BE37*'Current vaccine model'!$H38*HelperFunctions!$R$28</f>
        <v>#VALUE!</v>
      </c>
      <c r="BD38" t="e">
        <f>BE37*'Current vaccine model'!$H38*Export!$L36</f>
        <v>#VALUE!</v>
      </c>
      <c r="BE38" s="84" t="e">
        <f t="shared" si="17"/>
        <v>#VALUE!</v>
      </c>
      <c r="BF38" t="e">
        <f>BH37*'Current vaccine model'!$H38*HelperFunctions!$R$28</f>
        <v>#VALUE!</v>
      </c>
      <c r="BG38" t="e">
        <f>BH37*'Current vaccine model'!$H38*Export!$L36</f>
        <v>#VALUE!</v>
      </c>
      <c r="BH38" s="84" t="e">
        <f t="shared" si="18"/>
        <v>#VALUE!</v>
      </c>
      <c r="BI38" t="e">
        <f>BK37*'Current vaccine model'!$H38*HelperFunctions!$R$28</f>
        <v>#VALUE!</v>
      </c>
      <c r="BJ38" t="e">
        <f>BK37*'Current vaccine model'!$H38*Export!$L36</f>
        <v>#VALUE!</v>
      </c>
      <c r="BK38" s="84" t="e">
        <f t="shared" si="19"/>
        <v>#VALUE!</v>
      </c>
      <c r="BL38" t="e">
        <f>BN37*'Current vaccine model'!$H38*HelperFunctions!$R$28</f>
        <v>#VALUE!</v>
      </c>
      <c r="BM38" t="e">
        <f>BN37*'Current vaccine model'!$H38*Export!$L36</f>
        <v>#VALUE!</v>
      </c>
      <c r="BN38" s="84" t="e">
        <f t="shared" si="20"/>
        <v>#VALUE!</v>
      </c>
      <c r="BO38" t="e">
        <f>BQ37*'Current vaccine model'!$H38*HelperFunctions!$R$28</f>
        <v>#VALUE!</v>
      </c>
      <c r="BP38" t="e">
        <f>BQ37*'Current vaccine model'!$H38*Export!$L36</f>
        <v>#VALUE!</v>
      </c>
      <c r="BQ38" s="84" t="e">
        <f t="shared" si="21"/>
        <v>#VALUE!</v>
      </c>
      <c r="BR38" t="e">
        <f>BT37*'Current vaccine model'!$H38*HelperFunctions!$R$28</f>
        <v>#VALUE!</v>
      </c>
      <c r="BS38" t="e">
        <f>BT37*'Current vaccine model'!$H38*Export!$L36</f>
        <v>#VALUE!</v>
      </c>
      <c r="BT38" s="84" t="e">
        <f t="shared" si="22"/>
        <v>#VALUE!</v>
      </c>
      <c r="BU38" t="e">
        <f>BW37*'Current vaccine model'!$H38*HelperFunctions!$R27</f>
        <v>#VALUE!</v>
      </c>
      <c r="BV38" t="e">
        <f>BW37*'Current vaccine model'!$H38*Export!$L36</f>
        <v>#VALUE!</v>
      </c>
      <c r="BW38" s="84" t="e">
        <f t="shared" si="23"/>
        <v>#VALUE!</v>
      </c>
      <c r="BX38" t="e">
        <f>BZ37*'Current vaccine model'!$H38*HelperFunctions!$R40</f>
        <v>#VALUE!</v>
      </c>
      <c r="BY38" t="e">
        <f>BZ37*'Current vaccine model'!$H38*Export!$L36</f>
        <v>#VALUE!</v>
      </c>
      <c r="BZ38" s="84" t="e">
        <f t="shared" si="24"/>
        <v>#VALUE!</v>
      </c>
      <c r="CA38" t="e">
        <f>CC37*'Current vaccine model'!$H38*HelperFunctions!$R39</f>
        <v>#VALUE!</v>
      </c>
      <c r="CB38" t="e">
        <f>CC37*'Current vaccine model'!$H38*Export!$L36</f>
        <v>#VALUE!</v>
      </c>
      <c r="CC38" s="84" t="e">
        <f t="shared" si="25"/>
        <v>#VALUE!</v>
      </c>
      <c r="CD38" t="e">
        <f>CF37*'Current vaccine model'!$H38*HelperFunctions!$R38</f>
        <v>#VALUE!</v>
      </c>
      <c r="CE38" t="e">
        <f>CF37*'Current vaccine model'!$H38*Export!$L36</f>
        <v>#VALUE!</v>
      </c>
      <c r="CF38" s="84" t="e">
        <f t="shared" si="26"/>
        <v>#VALUE!</v>
      </c>
      <c r="CG38" t="e">
        <f>CI37*'Current vaccine model'!$H38*HelperFunctions!$R37</f>
        <v>#VALUE!</v>
      </c>
      <c r="CH38" t="e">
        <f>CI37*'Current vaccine model'!$H38*Export!$L36</f>
        <v>#VALUE!</v>
      </c>
      <c r="CI38" s="84" t="e">
        <f t="shared" si="27"/>
        <v>#VALUE!</v>
      </c>
      <c r="CJ38" t="e">
        <f>CL37*'Current vaccine model'!$H38*HelperFunctions!$R36</f>
        <v>#VALUE!</v>
      </c>
      <c r="CK38" t="e">
        <f>CL37*'Current vaccine model'!$H38*Export!$L36</f>
        <v>#VALUE!</v>
      </c>
      <c r="CL38" s="84" t="e">
        <f t="shared" si="28"/>
        <v>#VALUE!</v>
      </c>
      <c r="CM38" t="e">
        <f>CO37*'Current vaccine model'!$H38*HelperFunctions!$R35</f>
        <v>#VALUE!</v>
      </c>
      <c r="CN38" t="e">
        <f>CO37*'Current vaccine model'!$H38*Export!$L36</f>
        <v>#VALUE!</v>
      </c>
      <c r="CO38" s="84" t="e">
        <f t="shared" si="29"/>
        <v>#VALUE!</v>
      </c>
      <c r="CP38" t="e">
        <f>CR37*'Current vaccine model'!$H38*HelperFunctions!$R34</f>
        <v>#VALUE!</v>
      </c>
      <c r="CQ38" t="e">
        <f>CR37*'Current vaccine model'!$H38*Export!$L36</f>
        <v>#VALUE!</v>
      </c>
      <c r="CR38" s="84" t="e">
        <f t="shared" si="30"/>
        <v>#VALUE!</v>
      </c>
      <c r="CS38" t="e">
        <f>CU37*'Current vaccine model'!$H38*HelperFunctions!$R33</f>
        <v>#VALUE!</v>
      </c>
      <c r="CT38" t="e">
        <f>CU37*'Current vaccine model'!$H38*Export!$L36</f>
        <v>#VALUE!</v>
      </c>
      <c r="CU38" s="84" t="e">
        <f t="shared" si="31"/>
        <v>#VALUE!</v>
      </c>
      <c r="CV38" t="e">
        <f>CX37*'Current vaccine model'!$H38*HelperFunctions!$R32</f>
        <v>#VALUE!</v>
      </c>
      <c r="CW38" t="e">
        <f>CX37*'Current vaccine model'!$H38*Export!$L36</f>
        <v>#VALUE!</v>
      </c>
      <c r="CX38" s="84" t="e">
        <f t="shared" ref="CX38:CX63" si="32">CX37-CV38-CW38</f>
        <v>#VALUE!</v>
      </c>
      <c r="CY38" t="e">
        <f>DA37*'Current vaccine model'!$H38*HelperFunctions!$R31</f>
        <v>#VALUE!</v>
      </c>
      <c r="CZ38" t="e">
        <f>DA37*'Current vaccine model'!$H38*Export!$L36</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F38*'Current vaccine model'!$H39*HelperFunctions!$R$14</f>
        <v>#VALUE!</v>
      </c>
      <c r="E39" t="e">
        <f>F38*'Current vaccine model'!$H39*Export!$L37</f>
        <v>#VALUE!</v>
      </c>
      <c r="F39" s="84" t="e">
        <f t="shared" si="0"/>
        <v>#VALUE!</v>
      </c>
      <c r="G39" t="e">
        <f>I38*'Current vaccine model'!$H39*HelperFunctions!$R$14</f>
        <v>#VALUE!</v>
      </c>
      <c r="H39" t="e">
        <f>I38*'Current vaccine model'!$H39*Export!$L37</f>
        <v>#VALUE!</v>
      </c>
      <c r="I39" s="84" t="e">
        <f t="shared" si="1"/>
        <v>#VALUE!</v>
      </c>
      <c r="J39" t="e">
        <f>L38*'Current vaccine model'!$H39*HelperFunctions!$R$14</f>
        <v>#VALUE!</v>
      </c>
      <c r="K39" t="e">
        <f>L38*'Current vaccine model'!$H39*Export!$L37</f>
        <v>#VALUE!</v>
      </c>
      <c r="L39" s="84" t="e">
        <f t="shared" si="2"/>
        <v>#VALUE!</v>
      </c>
      <c r="M39" t="e">
        <f>O38*'Current vaccine model'!$H39*HelperFunctions!$R$14</f>
        <v>#VALUE!</v>
      </c>
      <c r="N39" t="e">
        <f>O38*'Current vaccine model'!$H39*Export!$L37</f>
        <v>#VALUE!</v>
      </c>
      <c r="O39" s="84" t="e">
        <f t="shared" si="3"/>
        <v>#VALUE!</v>
      </c>
      <c r="P39" t="e">
        <f>R38*'Current vaccine model'!$H39*HelperFunctions!$R$14</f>
        <v>#VALUE!</v>
      </c>
      <c r="Q39" t="e">
        <f>R38*'Current vaccine model'!$H39*Export!$L37</f>
        <v>#VALUE!</v>
      </c>
      <c r="R39" s="84" t="e">
        <f t="shared" si="4"/>
        <v>#VALUE!</v>
      </c>
      <c r="S39" t="e">
        <f>U38*'Current vaccine model'!$H39*HelperFunctions!$R$14</f>
        <v>#VALUE!</v>
      </c>
      <c r="T39" t="e">
        <f>U38*'Current vaccine model'!$H39*Export!$L37</f>
        <v>#VALUE!</v>
      </c>
      <c r="U39" s="84" t="e">
        <f t="shared" si="5"/>
        <v>#VALUE!</v>
      </c>
      <c r="V39" t="e">
        <f>X38*'Current vaccine model'!$H39*HelperFunctions!$R$14</f>
        <v>#VALUE!</v>
      </c>
      <c r="W39" t="e">
        <f>X38*'Current vaccine model'!$H39*Export!$L37</f>
        <v>#VALUE!</v>
      </c>
      <c r="X39" s="84" t="e">
        <f t="shared" si="6"/>
        <v>#VALUE!</v>
      </c>
      <c r="Y39" t="e">
        <f>AA38*'Current vaccine model'!$H39*HelperFunctions!$R$14</f>
        <v>#VALUE!</v>
      </c>
      <c r="Z39" t="e">
        <f>AA38*'Current vaccine model'!$H39*Export!$L37</f>
        <v>#VALUE!</v>
      </c>
      <c r="AA39" s="84" t="e">
        <f t="shared" si="7"/>
        <v>#VALUE!</v>
      </c>
      <c r="AB39" t="e">
        <f>AD38*'Current vaccine model'!$H39*HelperFunctions!$R$14</f>
        <v>#VALUE!</v>
      </c>
      <c r="AC39" t="e">
        <f>AD38*'Current vaccine model'!$H39*Export!$L37</f>
        <v>#VALUE!</v>
      </c>
      <c r="AD39" s="84" t="e">
        <f t="shared" si="8"/>
        <v>#VALUE!</v>
      </c>
      <c r="AE39" t="e">
        <f>AG38*'Current vaccine model'!$H39*HelperFunctions!$R$14</f>
        <v>#VALUE!</v>
      </c>
      <c r="AF39" t="e">
        <f>AG38*'Current vaccine model'!$H39*Export!$L37</f>
        <v>#VALUE!</v>
      </c>
      <c r="AG39" s="84" t="e">
        <f t="shared" si="9"/>
        <v>#VALUE!</v>
      </c>
      <c r="AH39" t="e">
        <f>AJ38*'Current vaccine model'!$H39*HelperFunctions!$R$14</f>
        <v>#VALUE!</v>
      </c>
      <c r="AI39" t="e">
        <f>AJ38*'Current vaccine model'!$H39*Export!$L37</f>
        <v>#VALUE!</v>
      </c>
      <c r="AJ39" s="84" t="e">
        <f t="shared" si="10"/>
        <v>#VALUE!</v>
      </c>
      <c r="AK39" t="e">
        <f>AM38*'Current vaccine model'!$H39*HelperFunctions!$R$14</f>
        <v>#VALUE!</v>
      </c>
      <c r="AL39" t="e">
        <f>AM38*'Current vaccine model'!$H39*Export!$L37</f>
        <v>#VALUE!</v>
      </c>
      <c r="AM39" s="84" t="e">
        <f t="shared" si="11"/>
        <v>#VALUE!</v>
      </c>
      <c r="AN39" t="e">
        <f>AP38*'Current vaccine model'!$H39*HelperFunctions!$R$28</f>
        <v>#VALUE!</v>
      </c>
      <c r="AO39" t="e">
        <f>AP38*'Current vaccine model'!$H39*Export!$L37</f>
        <v>#VALUE!</v>
      </c>
      <c r="AP39" s="84" t="e">
        <f t="shared" si="12"/>
        <v>#VALUE!</v>
      </c>
      <c r="AQ39" t="e">
        <f>AS38*'Current vaccine model'!$H39*HelperFunctions!$R$28</f>
        <v>#VALUE!</v>
      </c>
      <c r="AR39" t="e">
        <f>AS38*'Current vaccine model'!$H39*Export!$L37</f>
        <v>#VALUE!</v>
      </c>
      <c r="AS39" s="84" t="e">
        <f t="shared" si="13"/>
        <v>#VALUE!</v>
      </c>
      <c r="AT39" t="e">
        <f>AV38*'Current vaccine model'!$H39*HelperFunctions!$R$28</f>
        <v>#VALUE!</v>
      </c>
      <c r="AU39" t="e">
        <f>AV38*'Current vaccine model'!$H39*Export!$L37</f>
        <v>#VALUE!</v>
      </c>
      <c r="AV39" s="84" t="e">
        <f t="shared" si="14"/>
        <v>#VALUE!</v>
      </c>
      <c r="AW39" t="e">
        <f>AY38*'Current vaccine model'!$H39*HelperFunctions!$R$28</f>
        <v>#VALUE!</v>
      </c>
      <c r="AX39" t="e">
        <f>AY38*'Current vaccine model'!$H39*Export!$L37</f>
        <v>#VALUE!</v>
      </c>
      <c r="AY39" s="84" t="e">
        <f t="shared" si="15"/>
        <v>#VALUE!</v>
      </c>
      <c r="AZ39" t="e">
        <f>BB38*'Current vaccine model'!$H39*HelperFunctions!$R$28</f>
        <v>#VALUE!</v>
      </c>
      <c r="BA39" t="e">
        <f>BB38*'Current vaccine model'!$H39*Export!$L37</f>
        <v>#VALUE!</v>
      </c>
      <c r="BB39" s="84" t="e">
        <f t="shared" si="16"/>
        <v>#VALUE!</v>
      </c>
      <c r="BC39" t="e">
        <f>BE38*'Current vaccine model'!$H39*HelperFunctions!$R$28</f>
        <v>#VALUE!</v>
      </c>
      <c r="BD39" t="e">
        <f>BE38*'Current vaccine model'!$H39*Export!$L37</f>
        <v>#VALUE!</v>
      </c>
      <c r="BE39" s="84" t="e">
        <f t="shared" si="17"/>
        <v>#VALUE!</v>
      </c>
      <c r="BF39" t="e">
        <f>BH38*'Current vaccine model'!$H39*HelperFunctions!$R$28</f>
        <v>#VALUE!</v>
      </c>
      <c r="BG39" t="e">
        <f>BH38*'Current vaccine model'!$H39*Export!$L37</f>
        <v>#VALUE!</v>
      </c>
      <c r="BH39" s="84" t="e">
        <f t="shared" si="18"/>
        <v>#VALUE!</v>
      </c>
      <c r="BI39" t="e">
        <f>BK38*'Current vaccine model'!$H39*HelperFunctions!$R$28</f>
        <v>#VALUE!</v>
      </c>
      <c r="BJ39" t="e">
        <f>BK38*'Current vaccine model'!$H39*Export!$L37</f>
        <v>#VALUE!</v>
      </c>
      <c r="BK39" s="84" t="e">
        <f t="shared" si="19"/>
        <v>#VALUE!</v>
      </c>
      <c r="BL39" t="e">
        <f>BN38*'Current vaccine model'!$H39*HelperFunctions!$R$28</f>
        <v>#VALUE!</v>
      </c>
      <c r="BM39" t="e">
        <f>BN38*'Current vaccine model'!$H39*Export!$L37</f>
        <v>#VALUE!</v>
      </c>
      <c r="BN39" s="84" t="e">
        <f t="shared" si="20"/>
        <v>#VALUE!</v>
      </c>
      <c r="BO39" t="e">
        <f>BQ38*'Current vaccine model'!$H39*HelperFunctions!$R$28</f>
        <v>#VALUE!</v>
      </c>
      <c r="BP39" t="e">
        <f>BQ38*'Current vaccine model'!$H39*Export!$L37</f>
        <v>#VALUE!</v>
      </c>
      <c r="BQ39" s="84" t="e">
        <f t="shared" si="21"/>
        <v>#VALUE!</v>
      </c>
      <c r="BR39" t="e">
        <f>BT38*'Current vaccine model'!$H39*HelperFunctions!$R$28</f>
        <v>#VALUE!</v>
      </c>
      <c r="BS39" t="e">
        <f>BT38*'Current vaccine model'!$H39*Export!$L37</f>
        <v>#VALUE!</v>
      </c>
      <c r="BT39" s="84" t="e">
        <f t="shared" si="22"/>
        <v>#VALUE!</v>
      </c>
      <c r="BU39" t="e">
        <f>BW38*'Current vaccine model'!$H39*HelperFunctions!$R$28</f>
        <v>#VALUE!</v>
      </c>
      <c r="BV39" t="e">
        <f>BW38*'Current vaccine model'!$H39*Export!$L37</f>
        <v>#VALUE!</v>
      </c>
      <c r="BW39" s="84" t="e">
        <f t="shared" si="23"/>
        <v>#VALUE!</v>
      </c>
      <c r="BX39" t="e">
        <f>BZ38*'Current vaccine model'!$H39*HelperFunctions!$R41</f>
        <v>#VALUE!</v>
      </c>
      <c r="BY39" t="e">
        <f>BZ38*'Current vaccine model'!$H39*Export!$L37</f>
        <v>#VALUE!</v>
      </c>
      <c r="BZ39" s="84" t="e">
        <f t="shared" si="24"/>
        <v>#VALUE!</v>
      </c>
      <c r="CA39" t="e">
        <f>CC38*'Current vaccine model'!$H39*HelperFunctions!$R40</f>
        <v>#VALUE!</v>
      </c>
      <c r="CB39" t="e">
        <f>CC38*'Current vaccine model'!$H39*Export!$L37</f>
        <v>#VALUE!</v>
      </c>
      <c r="CC39" s="84" t="e">
        <f t="shared" si="25"/>
        <v>#VALUE!</v>
      </c>
      <c r="CD39" t="e">
        <f>CF38*'Current vaccine model'!$H39*HelperFunctions!$R39</f>
        <v>#VALUE!</v>
      </c>
      <c r="CE39" t="e">
        <f>CF38*'Current vaccine model'!$H39*Export!$L37</f>
        <v>#VALUE!</v>
      </c>
      <c r="CF39" s="84" t="e">
        <f t="shared" si="26"/>
        <v>#VALUE!</v>
      </c>
      <c r="CG39" t="e">
        <f>CI38*'Current vaccine model'!$H39*HelperFunctions!$R38</f>
        <v>#VALUE!</v>
      </c>
      <c r="CH39" t="e">
        <f>CI38*'Current vaccine model'!$H39*Export!$L37</f>
        <v>#VALUE!</v>
      </c>
      <c r="CI39" s="84" t="e">
        <f t="shared" si="27"/>
        <v>#VALUE!</v>
      </c>
      <c r="CJ39" t="e">
        <f>CL38*'Current vaccine model'!$H39*HelperFunctions!$R37</f>
        <v>#VALUE!</v>
      </c>
      <c r="CK39" t="e">
        <f>CL38*'Current vaccine model'!$H39*Export!$L37</f>
        <v>#VALUE!</v>
      </c>
      <c r="CL39" s="84" t="e">
        <f t="shared" si="28"/>
        <v>#VALUE!</v>
      </c>
      <c r="CM39" t="e">
        <f>CO38*'Current vaccine model'!$H39*HelperFunctions!$R36</f>
        <v>#VALUE!</v>
      </c>
      <c r="CN39" t="e">
        <f>CO38*'Current vaccine model'!$H39*Export!$L37</f>
        <v>#VALUE!</v>
      </c>
      <c r="CO39" s="84" t="e">
        <f t="shared" si="29"/>
        <v>#VALUE!</v>
      </c>
      <c r="CP39" t="e">
        <f>CR38*'Current vaccine model'!$H39*HelperFunctions!$R35</f>
        <v>#VALUE!</v>
      </c>
      <c r="CQ39" t="e">
        <f>CR38*'Current vaccine model'!$H39*Export!$L37</f>
        <v>#VALUE!</v>
      </c>
      <c r="CR39" s="84" t="e">
        <f t="shared" si="30"/>
        <v>#VALUE!</v>
      </c>
      <c r="CS39" t="e">
        <f>CU38*'Current vaccine model'!$H39*HelperFunctions!$R34</f>
        <v>#VALUE!</v>
      </c>
      <c r="CT39" t="e">
        <f>CU38*'Current vaccine model'!$H39*Export!$L37</f>
        <v>#VALUE!</v>
      </c>
      <c r="CU39" s="84" t="e">
        <f t="shared" si="31"/>
        <v>#VALUE!</v>
      </c>
      <c r="CV39" t="e">
        <f>CX38*'Current vaccine model'!$H39*HelperFunctions!$R33</f>
        <v>#VALUE!</v>
      </c>
      <c r="CW39" t="e">
        <f>CX38*'Current vaccine model'!$H39*Export!$L37</f>
        <v>#VALUE!</v>
      </c>
      <c r="CX39" s="84" t="e">
        <f t="shared" si="32"/>
        <v>#VALUE!</v>
      </c>
      <c r="CY39" t="e">
        <f>DA38*'Current vaccine model'!$H39*HelperFunctions!$R32</f>
        <v>#VALUE!</v>
      </c>
      <c r="CZ39" t="e">
        <f>DA38*'Current vaccine model'!$H39*Export!$L37</f>
        <v>#VALUE!</v>
      </c>
      <c r="DA39" s="84" t="e">
        <f t="shared" ref="DA39:DA63" si="33">DA38-CY39-CZ39</f>
        <v>#VALUE!</v>
      </c>
      <c r="DB39" t="e">
        <f>DD38*'Current vaccine model'!$H39*HelperFunctions!$R31</f>
        <v>#VALUE!</v>
      </c>
      <c r="DC39" t="e">
        <f>DD38*'Current vaccine model'!$H39*Export!$L37</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F39*'Current vaccine model'!$H40*HelperFunctions!$R$14</f>
        <v>#VALUE!</v>
      </c>
      <c r="E40" t="e">
        <f>F39*'Current vaccine model'!$H40*Export!$L38</f>
        <v>#VALUE!</v>
      </c>
      <c r="F40" s="84" t="e">
        <f t="shared" si="0"/>
        <v>#VALUE!</v>
      </c>
      <c r="G40" t="e">
        <f>I39*'Current vaccine model'!$H40*HelperFunctions!$R$14</f>
        <v>#VALUE!</v>
      </c>
      <c r="H40" t="e">
        <f>I39*'Current vaccine model'!$H40*Export!$L38</f>
        <v>#VALUE!</v>
      </c>
      <c r="I40" s="84" t="e">
        <f t="shared" si="1"/>
        <v>#VALUE!</v>
      </c>
      <c r="J40" t="e">
        <f>L39*'Current vaccine model'!$H40*HelperFunctions!$R$14</f>
        <v>#VALUE!</v>
      </c>
      <c r="K40" t="e">
        <f>L39*'Current vaccine model'!$H40*Export!$L38</f>
        <v>#VALUE!</v>
      </c>
      <c r="L40" s="84" t="e">
        <f t="shared" si="2"/>
        <v>#VALUE!</v>
      </c>
      <c r="M40" t="e">
        <f>O39*'Current vaccine model'!$H40*HelperFunctions!$R$14</f>
        <v>#VALUE!</v>
      </c>
      <c r="N40" t="e">
        <f>O39*'Current vaccine model'!$H40*Export!$L38</f>
        <v>#VALUE!</v>
      </c>
      <c r="O40" s="84" t="e">
        <f t="shared" si="3"/>
        <v>#VALUE!</v>
      </c>
      <c r="P40" t="e">
        <f>R39*'Current vaccine model'!$H40*HelperFunctions!$R$14</f>
        <v>#VALUE!</v>
      </c>
      <c r="Q40" t="e">
        <f>R39*'Current vaccine model'!$H40*Export!$L38</f>
        <v>#VALUE!</v>
      </c>
      <c r="R40" s="84" t="e">
        <f t="shared" si="4"/>
        <v>#VALUE!</v>
      </c>
      <c r="S40" t="e">
        <f>U39*'Current vaccine model'!$H40*HelperFunctions!$R$14</f>
        <v>#VALUE!</v>
      </c>
      <c r="T40" t="e">
        <f>U39*'Current vaccine model'!$H40*Export!$L38</f>
        <v>#VALUE!</v>
      </c>
      <c r="U40" s="84" t="e">
        <f t="shared" si="5"/>
        <v>#VALUE!</v>
      </c>
      <c r="V40" t="e">
        <f>X39*'Current vaccine model'!$H40*HelperFunctions!$R$14</f>
        <v>#VALUE!</v>
      </c>
      <c r="W40" t="e">
        <f>X39*'Current vaccine model'!$H40*Export!$L38</f>
        <v>#VALUE!</v>
      </c>
      <c r="X40" s="84" t="e">
        <f t="shared" si="6"/>
        <v>#VALUE!</v>
      </c>
      <c r="Y40" t="e">
        <f>AA39*'Current vaccine model'!$H40*HelperFunctions!$R$14</f>
        <v>#VALUE!</v>
      </c>
      <c r="Z40" t="e">
        <f>AA39*'Current vaccine model'!$H40*Export!$L38</f>
        <v>#VALUE!</v>
      </c>
      <c r="AA40" s="84" t="e">
        <f t="shared" si="7"/>
        <v>#VALUE!</v>
      </c>
      <c r="AB40" t="e">
        <f>AD39*'Current vaccine model'!$H40*HelperFunctions!$R$14</f>
        <v>#VALUE!</v>
      </c>
      <c r="AC40" t="e">
        <f>AD39*'Current vaccine model'!$H40*Export!$L38</f>
        <v>#VALUE!</v>
      </c>
      <c r="AD40" s="84" t="e">
        <f t="shared" si="8"/>
        <v>#VALUE!</v>
      </c>
      <c r="AE40" t="e">
        <f>AG39*'Current vaccine model'!$H40*HelperFunctions!$R$14</f>
        <v>#VALUE!</v>
      </c>
      <c r="AF40" t="e">
        <f>AG39*'Current vaccine model'!$H40*Export!$L38</f>
        <v>#VALUE!</v>
      </c>
      <c r="AG40" s="84" t="e">
        <f t="shared" si="9"/>
        <v>#VALUE!</v>
      </c>
      <c r="AH40" t="e">
        <f>AJ39*'Current vaccine model'!$H40*HelperFunctions!$R$14</f>
        <v>#VALUE!</v>
      </c>
      <c r="AI40" t="e">
        <f>AJ39*'Current vaccine model'!$H40*Export!$L38</f>
        <v>#VALUE!</v>
      </c>
      <c r="AJ40" s="84" t="e">
        <f t="shared" si="10"/>
        <v>#VALUE!</v>
      </c>
      <c r="AK40" t="e">
        <f>AM39*'Current vaccine model'!$H40*HelperFunctions!$R$14</f>
        <v>#VALUE!</v>
      </c>
      <c r="AL40" t="e">
        <f>AM39*'Current vaccine model'!$H40*Export!$L38</f>
        <v>#VALUE!</v>
      </c>
      <c r="AM40" s="84" t="e">
        <f t="shared" si="11"/>
        <v>#VALUE!</v>
      </c>
      <c r="AN40" t="e">
        <f>AP39*'Current vaccine model'!$H40*HelperFunctions!$R$28</f>
        <v>#VALUE!</v>
      </c>
      <c r="AO40" t="e">
        <f>AP39*'Current vaccine model'!$H40*Export!$L38</f>
        <v>#VALUE!</v>
      </c>
      <c r="AP40" s="84" t="e">
        <f t="shared" si="12"/>
        <v>#VALUE!</v>
      </c>
      <c r="AQ40" t="e">
        <f>AS39*'Current vaccine model'!$H40*HelperFunctions!$R$28</f>
        <v>#VALUE!</v>
      </c>
      <c r="AR40" t="e">
        <f>AS39*'Current vaccine model'!$H40*Export!$L38</f>
        <v>#VALUE!</v>
      </c>
      <c r="AS40" s="84" t="e">
        <f t="shared" si="13"/>
        <v>#VALUE!</v>
      </c>
      <c r="AT40" t="e">
        <f>AV39*'Current vaccine model'!$H40*HelperFunctions!$R$28</f>
        <v>#VALUE!</v>
      </c>
      <c r="AU40" t="e">
        <f>AV39*'Current vaccine model'!$H40*Export!$L38</f>
        <v>#VALUE!</v>
      </c>
      <c r="AV40" s="84" t="e">
        <f t="shared" si="14"/>
        <v>#VALUE!</v>
      </c>
      <c r="AW40" t="e">
        <f>AY39*'Current vaccine model'!$H40*HelperFunctions!$R$28</f>
        <v>#VALUE!</v>
      </c>
      <c r="AX40" t="e">
        <f>AY39*'Current vaccine model'!$H40*Export!$L38</f>
        <v>#VALUE!</v>
      </c>
      <c r="AY40" s="84" t="e">
        <f t="shared" si="15"/>
        <v>#VALUE!</v>
      </c>
      <c r="AZ40" t="e">
        <f>BB39*'Current vaccine model'!$H40*HelperFunctions!$R$28</f>
        <v>#VALUE!</v>
      </c>
      <c r="BA40" t="e">
        <f>BB39*'Current vaccine model'!$H40*Export!$L38</f>
        <v>#VALUE!</v>
      </c>
      <c r="BB40" s="84" t="e">
        <f t="shared" si="16"/>
        <v>#VALUE!</v>
      </c>
      <c r="BC40" t="e">
        <f>BE39*'Current vaccine model'!$H40*HelperFunctions!$R$28</f>
        <v>#VALUE!</v>
      </c>
      <c r="BD40" t="e">
        <f>BE39*'Current vaccine model'!$H40*Export!$L38</f>
        <v>#VALUE!</v>
      </c>
      <c r="BE40" s="84" t="e">
        <f t="shared" si="17"/>
        <v>#VALUE!</v>
      </c>
      <c r="BF40" t="e">
        <f>BH39*'Current vaccine model'!$H40*HelperFunctions!$R$28</f>
        <v>#VALUE!</v>
      </c>
      <c r="BG40" t="e">
        <f>BH39*'Current vaccine model'!$H40*Export!$L38</f>
        <v>#VALUE!</v>
      </c>
      <c r="BH40" s="84" t="e">
        <f t="shared" si="18"/>
        <v>#VALUE!</v>
      </c>
      <c r="BI40" t="e">
        <f>BK39*'Current vaccine model'!$H40*HelperFunctions!$R$28</f>
        <v>#VALUE!</v>
      </c>
      <c r="BJ40" t="e">
        <f>BK39*'Current vaccine model'!$H40*Export!$L38</f>
        <v>#VALUE!</v>
      </c>
      <c r="BK40" s="84" t="e">
        <f t="shared" si="19"/>
        <v>#VALUE!</v>
      </c>
      <c r="BL40" t="e">
        <f>BN39*'Current vaccine model'!$H40*HelperFunctions!$R$28</f>
        <v>#VALUE!</v>
      </c>
      <c r="BM40" t="e">
        <f>BN39*'Current vaccine model'!$H40*Export!$L38</f>
        <v>#VALUE!</v>
      </c>
      <c r="BN40" s="84" t="e">
        <f t="shared" si="20"/>
        <v>#VALUE!</v>
      </c>
      <c r="BO40" t="e">
        <f>BQ39*'Current vaccine model'!$H40*HelperFunctions!$R$28</f>
        <v>#VALUE!</v>
      </c>
      <c r="BP40" t="e">
        <f>BQ39*'Current vaccine model'!$H40*Export!$L38</f>
        <v>#VALUE!</v>
      </c>
      <c r="BQ40" s="84" t="e">
        <f t="shared" si="21"/>
        <v>#VALUE!</v>
      </c>
      <c r="BR40" t="e">
        <f>BT39*'Current vaccine model'!$H40*HelperFunctions!$R$28</f>
        <v>#VALUE!</v>
      </c>
      <c r="BS40" t="e">
        <f>BT39*'Current vaccine model'!$H40*Export!$L38</f>
        <v>#VALUE!</v>
      </c>
      <c r="BT40" s="84" t="e">
        <f t="shared" si="22"/>
        <v>#VALUE!</v>
      </c>
      <c r="BU40" t="e">
        <f>BW39*'Current vaccine model'!$H40*HelperFunctions!$R$28</f>
        <v>#VALUE!</v>
      </c>
      <c r="BV40" t="e">
        <f>BW39*'Current vaccine model'!$H40*Export!$L38</f>
        <v>#VALUE!</v>
      </c>
      <c r="BW40" s="84" t="e">
        <f t="shared" si="23"/>
        <v>#VALUE!</v>
      </c>
      <c r="BX40" t="e">
        <f>BZ39*'Current vaccine model'!$H40*HelperFunctions!$R$42</f>
        <v>#VALUE!</v>
      </c>
      <c r="BY40" t="e">
        <f>BZ39*'Current vaccine model'!$H40*Export!$L38</f>
        <v>#VALUE!</v>
      </c>
      <c r="BZ40" s="84" t="e">
        <f t="shared" si="24"/>
        <v>#VALUE!</v>
      </c>
      <c r="CA40" t="e">
        <f>CC39*'Current vaccine model'!$H40*HelperFunctions!$R41</f>
        <v>#VALUE!</v>
      </c>
      <c r="CB40" t="e">
        <f>CC39*'Current vaccine model'!$H40*Export!$L38</f>
        <v>#VALUE!</v>
      </c>
      <c r="CC40" s="84" t="e">
        <f t="shared" si="25"/>
        <v>#VALUE!</v>
      </c>
      <c r="CD40" t="e">
        <f>CF39*'Current vaccine model'!$H40*HelperFunctions!$R40</f>
        <v>#VALUE!</v>
      </c>
      <c r="CE40" t="e">
        <f>CF39*'Current vaccine model'!$H40*Export!$L38</f>
        <v>#VALUE!</v>
      </c>
      <c r="CF40" s="84" t="e">
        <f t="shared" si="26"/>
        <v>#VALUE!</v>
      </c>
      <c r="CG40" t="e">
        <f>CI39*'Current vaccine model'!$H40*HelperFunctions!$R39</f>
        <v>#VALUE!</v>
      </c>
      <c r="CH40" t="e">
        <f>CI39*'Current vaccine model'!$H40*Export!$L38</f>
        <v>#VALUE!</v>
      </c>
      <c r="CI40" s="84" t="e">
        <f t="shared" si="27"/>
        <v>#VALUE!</v>
      </c>
      <c r="CJ40" t="e">
        <f>CL39*'Current vaccine model'!$H40*HelperFunctions!$R38</f>
        <v>#VALUE!</v>
      </c>
      <c r="CK40" t="e">
        <f>CL39*'Current vaccine model'!$H40*Export!$L38</f>
        <v>#VALUE!</v>
      </c>
      <c r="CL40" s="84" t="e">
        <f t="shared" si="28"/>
        <v>#VALUE!</v>
      </c>
      <c r="CM40" t="e">
        <f>CO39*'Current vaccine model'!$H40*HelperFunctions!$R37</f>
        <v>#VALUE!</v>
      </c>
      <c r="CN40" t="e">
        <f>CO39*'Current vaccine model'!$H40*Export!$L38</f>
        <v>#VALUE!</v>
      </c>
      <c r="CO40" s="84" t="e">
        <f t="shared" si="29"/>
        <v>#VALUE!</v>
      </c>
      <c r="CP40" t="e">
        <f>CR39*'Current vaccine model'!$H40*HelperFunctions!$R36</f>
        <v>#VALUE!</v>
      </c>
      <c r="CQ40" t="e">
        <f>CR39*'Current vaccine model'!$H40*Export!$L38</f>
        <v>#VALUE!</v>
      </c>
      <c r="CR40" s="84" t="e">
        <f t="shared" si="30"/>
        <v>#VALUE!</v>
      </c>
      <c r="CS40" t="e">
        <f>CU39*'Current vaccine model'!$H40*HelperFunctions!$R35</f>
        <v>#VALUE!</v>
      </c>
      <c r="CT40" t="e">
        <f>CU39*'Current vaccine model'!$H40*Export!$L38</f>
        <v>#VALUE!</v>
      </c>
      <c r="CU40" s="84" t="e">
        <f t="shared" si="31"/>
        <v>#VALUE!</v>
      </c>
      <c r="CV40" t="e">
        <f>CX39*'Current vaccine model'!$H40*HelperFunctions!$R34</f>
        <v>#VALUE!</v>
      </c>
      <c r="CW40" t="e">
        <f>CX39*'Current vaccine model'!$H40*Export!$L38</f>
        <v>#VALUE!</v>
      </c>
      <c r="CX40" s="84" t="e">
        <f t="shared" si="32"/>
        <v>#VALUE!</v>
      </c>
      <c r="CY40" t="e">
        <f>DA39*'Current vaccine model'!$H40*HelperFunctions!$R33</f>
        <v>#VALUE!</v>
      </c>
      <c r="CZ40" t="e">
        <f>DA39*'Current vaccine model'!$H40*Export!$L38</f>
        <v>#VALUE!</v>
      </c>
      <c r="DA40" s="84" t="e">
        <f t="shared" si="33"/>
        <v>#VALUE!</v>
      </c>
      <c r="DB40" t="e">
        <f>DD39*'Current vaccine model'!$H40*HelperFunctions!$R32</f>
        <v>#VALUE!</v>
      </c>
      <c r="DC40" t="e">
        <f>DD39*'Current vaccine model'!$H40*Export!$L38</f>
        <v>#VALUE!</v>
      </c>
      <c r="DD40" s="84" t="e">
        <f t="shared" ref="DD40:DD63" si="34">DD39-DB40-DC40</f>
        <v>#VALUE!</v>
      </c>
      <c r="DE40" t="e">
        <f>DG39*'Current vaccine model'!$H40*HelperFunctions!$R31</f>
        <v>#VALUE!</v>
      </c>
      <c r="DF40" t="e">
        <f>DG39*'Current vaccine model'!$H40*Export!$L38</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F40*'Current vaccine model'!$H41*HelperFunctions!$R$14</f>
        <v>#VALUE!</v>
      </c>
      <c r="E41" t="e">
        <f>F40*'Current vaccine model'!$H41*Export!$L39</f>
        <v>#VALUE!</v>
      </c>
      <c r="F41" s="84" t="e">
        <f t="shared" si="0"/>
        <v>#VALUE!</v>
      </c>
      <c r="G41" t="e">
        <f>I40*'Current vaccine model'!$H41*HelperFunctions!$R$14</f>
        <v>#VALUE!</v>
      </c>
      <c r="H41" t="e">
        <f>I40*'Current vaccine model'!$H41*Export!$L39</f>
        <v>#VALUE!</v>
      </c>
      <c r="I41" s="84" t="e">
        <f t="shared" si="1"/>
        <v>#VALUE!</v>
      </c>
      <c r="J41" t="e">
        <f>L40*'Current vaccine model'!$H41*HelperFunctions!$R$14</f>
        <v>#VALUE!</v>
      </c>
      <c r="K41" t="e">
        <f>L40*'Current vaccine model'!$H41*Export!$L39</f>
        <v>#VALUE!</v>
      </c>
      <c r="L41" s="84" t="e">
        <f t="shared" si="2"/>
        <v>#VALUE!</v>
      </c>
      <c r="M41" t="e">
        <f>O40*'Current vaccine model'!$H41*HelperFunctions!$R$14</f>
        <v>#VALUE!</v>
      </c>
      <c r="N41" t="e">
        <f>O40*'Current vaccine model'!$H41*Export!$L39</f>
        <v>#VALUE!</v>
      </c>
      <c r="O41" s="84" t="e">
        <f t="shared" si="3"/>
        <v>#VALUE!</v>
      </c>
      <c r="P41" t="e">
        <f>R40*'Current vaccine model'!$H41*HelperFunctions!$R$14</f>
        <v>#VALUE!</v>
      </c>
      <c r="Q41" t="e">
        <f>R40*'Current vaccine model'!$H41*Export!$L39</f>
        <v>#VALUE!</v>
      </c>
      <c r="R41" s="84" t="e">
        <f t="shared" si="4"/>
        <v>#VALUE!</v>
      </c>
      <c r="S41" t="e">
        <f>U40*'Current vaccine model'!$H41*HelperFunctions!$R$14</f>
        <v>#VALUE!</v>
      </c>
      <c r="T41" t="e">
        <f>U40*'Current vaccine model'!$H41*Export!$L39</f>
        <v>#VALUE!</v>
      </c>
      <c r="U41" s="84" t="e">
        <f t="shared" si="5"/>
        <v>#VALUE!</v>
      </c>
      <c r="V41" t="e">
        <f>X40*'Current vaccine model'!$H41*HelperFunctions!$R$14</f>
        <v>#VALUE!</v>
      </c>
      <c r="W41" t="e">
        <f>X40*'Current vaccine model'!$H41*Export!$L39</f>
        <v>#VALUE!</v>
      </c>
      <c r="X41" s="84" t="e">
        <f t="shared" si="6"/>
        <v>#VALUE!</v>
      </c>
      <c r="Y41" t="e">
        <f>AA40*'Current vaccine model'!$H41*HelperFunctions!$R$14</f>
        <v>#VALUE!</v>
      </c>
      <c r="Z41" t="e">
        <f>AA40*'Current vaccine model'!$H41*Export!$L39</f>
        <v>#VALUE!</v>
      </c>
      <c r="AA41" s="84" t="e">
        <f t="shared" si="7"/>
        <v>#VALUE!</v>
      </c>
      <c r="AB41" t="e">
        <f>AD40*'Current vaccine model'!$H41*HelperFunctions!$R$14</f>
        <v>#VALUE!</v>
      </c>
      <c r="AC41" t="e">
        <f>AD40*'Current vaccine model'!$H41*Export!$L39</f>
        <v>#VALUE!</v>
      </c>
      <c r="AD41" s="84" t="e">
        <f t="shared" si="8"/>
        <v>#VALUE!</v>
      </c>
      <c r="AE41" t="e">
        <f>AG40*'Current vaccine model'!$H41*HelperFunctions!$R$14</f>
        <v>#VALUE!</v>
      </c>
      <c r="AF41" t="e">
        <f>AG40*'Current vaccine model'!$H41*Export!$L39</f>
        <v>#VALUE!</v>
      </c>
      <c r="AG41" s="84" t="e">
        <f t="shared" si="9"/>
        <v>#VALUE!</v>
      </c>
      <c r="AH41" t="e">
        <f>AJ40*'Current vaccine model'!$H41*HelperFunctions!$R$14</f>
        <v>#VALUE!</v>
      </c>
      <c r="AI41" t="e">
        <f>AJ40*'Current vaccine model'!$H41*Export!$L39</f>
        <v>#VALUE!</v>
      </c>
      <c r="AJ41" s="84" t="e">
        <f t="shared" si="10"/>
        <v>#VALUE!</v>
      </c>
      <c r="AK41" t="e">
        <f>AM40*'Current vaccine model'!$H41*HelperFunctions!$R$14</f>
        <v>#VALUE!</v>
      </c>
      <c r="AL41" t="e">
        <f>AM40*'Current vaccine model'!$H41*Export!$L39</f>
        <v>#VALUE!</v>
      </c>
      <c r="AM41" s="84" t="e">
        <f t="shared" si="11"/>
        <v>#VALUE!</v>
      </c>
      <c r="AN41" t="e">
        <f>AP40*'Current vaccine model'!$H41*HelperFunctions!$R$28</f>
        <v>#VALUE!</v>
      </c>
      <c r="AO41" t="e">
        <f>AP40*'Current vaccine model'!$H41*Export!$L39</f>
        <v>#VALUE!</v>
      </c>
      <c r="AP41" s="84" t="e">
        <f t="shared" si="12"/>
        <v>#VALUE!</v>
      </c>
      <c r="AQ41" t="e">
        <f>AS40*'Current vaccine model'!$H41*HelperFunctions!$R$28</f>
        <v>#VALUE!</v>
      </c>
      <c r="AR41" t="e">
        <f>AS40*'Current vaccine model'!$H41*Export!$L39</f>
        <v>#VALUE!</v>
      </c>
      <c r="AS41" s="84" t="e">
        <f t="shared" si="13"/>
        <v>#VALUE!</v>
      </c>
      <c r="AT41" t="e">
        <f>AV40*'Current vaccine model'!$H41*HelperFunctions!$R$28</f>
        <v>#VALUE!</v>
      </c>
      <c r="AU41" t="e">
        <f>AV40*'Current vaccine model'!$H41*Export!$L39</f>
        <v>#VALUE!</v>
      </c>
      <c r="AV41" s="84" t="e">
        <f t="shared" si="14"/>
        <v>#VALUE!</v>
      </c>
      <c r="AW41" t="e">
        <f>AY40*'Current vaccine model'!$H41*HelperFunctions!$R$28</f>
        <v>#VALUE!</v>
      </c>
      <c r="AX41" t="e">
        <f>AY40*'Current vaccine model'!$H41*Export!$L39</f>
        <v>#VALUE!</v>
      </c>
      <c r="AY41" s="84" t="e">
        <f t="shared" si="15"/>
        <v>#VALUE!</v>
      </c>
      <c r="AZ41" t="e">
        <f>BB40*'Current vaccine model'!$H41*HelperFunctions!$R$28</f>
        <v>#VALUE!</v>
      </c>
      <c r="BA41" t="e">
        <f>BB40*'Current vaccine model'!$H41*Export!$L39</f>
        <v>#VALUE!</v>
      </c>
      <c r="BB41" s="84" t="e">
        <f t="shared" si="16"/>
        <v>#VALUE!</v>
      </c>
      <c r="BC41" t="e">
        <f>BE40*'Current vaccine model'!$H41*HelperFunctions!$R$28</f>
        <v>#VALUE!</v>
      </c>
      <c r="BD41" t="e">
        <f>BE40*'Current vaccine model'!$H41*Export!$L39</f>
        <v>#VALUE!</v>
      </c>
      <c r="BE41" s="84" t="e">
        <f t="shared" si="17"/>
        <v>#VALUE!</v>
      </c>
      <c r="BF41" t="e">
        <f>BH40*'Current vaccine model'!$H41*HelperFunctions!$R$28</f>
        <v>#VALUE!</v>
      </c>
      <c r="BG41" t="e">
        <f>BH40*'Current vaccine model'!$H41*Export!$L39</f>
        <v>#VALUE!</v>
      </c>
      <c r="BH41" s="84" t="e">
        <f t="shared" si="18"/>
        <v>#VALUE!</v>
      </c>
      <c r="BI41" t="e">
        <f>BK40*'Current vaccine model'!$H41*HelperFunctions!$R$28</f>
        <v>#VALUE!</v>
      </c>
      <c r="BJ41" t="e">
        <f>BK40*'Current vaccine model'!$H41*Export!$L39</f>
        <v>#VALUE!</v>
      </c>
      <c r="BK41" s="84" t="e">
        <f t="shared" si="19"/>
        <v>#VALUE!</v>
      </c>
      <c r="BL41" t="e">
        <f>BN40*'Current vaccine model'!$H41*HelperFunctions!$R$28</f>
        <v>#VALUE!</v>
      </c>
      <c r="BM41" t="e">
        <f>BN40*'Current vaccine model'!$H41*Export!$L39</f>
        <v>#VALUE!</v>
      </c>
      <c r="BN41" s="84" t="e">
        <f t="shared" si="20"/>
        <v>#VALUE!</v>
      </c>
      <c r="BO41" t="e">
        <f>BQ40*'Current vaccine model'!$H41*HelperFunctions!$R$28</f>
        <v>#VALUE!</v>
      </c>
      <c r="BP41" t="e">
        <f>BQ40*'Current vaccine model'!$H41*Export!$L39</f>
        <v>#VALUE!</v>
      </c>
      <c r="BQ41" s="84" t="e">
        <f t="shared" si="21"/>
        <v>#VALUE!</v>
      </c>
      <c r="BR41" t="e">
        <f>BT40*'Current vaccine model'!$H41*HelperFunctions!$R$28</f>
        <v>#VALUE!</v>
      </c>
      <c r="BS41" t="e">
        <f>BT40*'Current vaccine model'!$H41*Export!$L39</f>
        <v>#VALUE!</v>
      </c>
      <c r="BT41" s="84" t="e">
        <f t="shared" si="22"/>
        <v>#VALUE!</v>
      </c>
      <c r="BU41" t="e">
        <f>BW40*'Current vaccine model'!$H41*HelperFunctions!$R$28</f>
        <v>#VALUE!</v>
      </c>
      <c r="BV41" t="e">
        <f>BW40*'Current vaccine model'!$H41*Export!$L39</f>
        <v>#VALUE!</v>
      </c>
      <c r="BW41" s="84" t="e">
        <f t="shared" si="23"/>
        <v>#VALUE!</v>
      </c>
      <c r="BX41" t="e">
        <f>BZ40*'Current vaccine model'!$H41*HelperFunctions!$R$42</f>
        <v>#VALUE!</v>
      </c>
      <c r="BY41" t="e">
        <f>BZ40*'Current vaccine model'!$H41*Export!$L39</f>
        <v>#VALUE!</v>
      </c>
      <c r="BZ41" s="84" t="e">
        <f t="shared" si="24"/>
        <v>#VALUE!</v>
      </c>
      <c r="CA41" t="e">
        <f>CC40*'Current vaccine model'!$H41*HelperFunctions!$R$42</f>
        <v>#VALUE!</v>
      </c>
      <c r="CB41" t="e">
        <f>CC40*'Current vaccine model'!$H41*Export!$L39</f>
        <v>#VALUE!</v>
      </c>
      <c r="CC41" s="84" t="e">
        <f t="shared" si="25"/>
        <v>#VALUE!</v>
      </c>
      <c r="CD41" t="e">
        <f>CF40*'Current vaccine model'!$H41*HelperFunctions!$R41</f>
        <v>#VALUE!</v>
      </c>
      <c r="CE41" t="e">
        <f>CF40*'Current vaccine model'!$H41*Export!$L39</f>
        <v>#VALUE!</v>
      </c>
      <c r="CF41" s="84" t="e">
        <f t="shared" si="26"/>
        <v>#VALUE!</v>
      </c>
      <c r="CG41" t="e">
        <f>CI40*'Current vaccine model'!$H41*HelperFunctions!$R40</f>
        <v>#VALUE!</v>
      </c>
      <c r="CH41" t="e">
        <f>CI40*'Current vaccine model'!$H41*Export!$L39</f>
        <v>#VALUE!</v>
      </c>
      <c r="CI41" s="84" t="e">
        <f t="shared" si="27"/>
        <v>#VALUE!</v>
      </c>
      <c r="CJ41" t="e">
        <f>CL40*'Current vaccine model'!$H41*HelperFunctions!$R39</f>
        <v>#VALUE!</v>
      </c>
      <c r="CK41" t="e">
        <f>CL40*'Current vaccine model'!$H41*Export!$L39</f>
        <v>#VALUE!</v>
      </c>
      <c r="CL41" s="84" t="e">
        <f t="shared" si="28"/>
        <v>#VALUE!</v>
      </c>
      <c r="CM41" t="e">
        <f>CO40*'Current vaccine model'!$H41*HelperFunctions!$R38</f>
        <v>#VALUE!</v>
      </c>
      <c r="CN41" t="e">
        <f>CO40*'Current vaccine model'!$H41*Export!$L39</f>
        <v>#VALUE!</v>
      </c>
      <c r="CO41" s="84" t="e">
        <f t="shared" si="29"/>
        <v>#VALUE!</v>
      </c>
      <c r="CP41" t="e">
        <f>CR40*'Current vaccine model'!$H41*HelperFunctions!$R37</f>
        <v>#VALUE!</v>
      </c>
      <c r="CQ41" t="e">
        <f>CR40*'Current vaccine model'!$H41*Export!$L39</f>
        <v>#VALUE!</v>
      </c>
      <c r="CR41" s="84" t="e">
        <f t="shared" si="30"/>
        <v>#VALUE!</v>
      </c>
      <c r="CS41" t="e">
        <f>CU40*'Current vaccine model'!$H41*HelperFunctions!$R36</f>
        <v>#VALUE!</v>
      </c>
      <c r="CT41" t="e">
        <f>CU40*'Current vaccine model'!$H41*Export!$L39</f>
        <v>#VALUE!</v>
      </c>
      <c r="CU41" s="84" t="e">
        <f t="shared" si="31"/>
        <v>#VALUE!</v>
      </c>
      <c r="CV41" t="e">
        <f>CX40*'Current vaccine model'!$H41*HelperFunctions!$R35</f>
        <v>#VALUE!</v>
      </c>
      <c r="CW41" t="e">
        <f>CX40*'Current vaccine model'!$H41*Export!$L39</f>
        <v>#VALUE!</v>
      </c>
      <c r="CX41" s="84" t="e">
        <f t="shared" si="32"/>
        <v>#VALUE!</v>
      </c>
      <c r="CY41" t="e">
        <f>DA40*'Current vaccine model'!$H41*HelperFunctions!$R34</f>
        <v>#VALUE!</v>
      </c>
      <c r="CZ41" t="e">
        <f>DA40*'Current vaccine model'!$H41*Export!$L39</f>
        <v>#VALUE!</v>
      </c>
      <c r="DA41" s="84" t="e">
        <f t="shared" si="33"/>
        <v>#VALUE!</v>
      </c>
      <c r="DB41" t="e">
        <f>DD40*'Current vaccine model'!$H41*HelperFunctions!$R33</f>
        <v>#VALUE!</v>
      </c>
      <c r="DC41" t="e">
        <f>DD40*'Current vaccine model'!$H41*Export!$L39</f>
        <v>#VALUE!</v>
      </c>
      <c r="DD41" s="84" t="e">
        <f t="shared" si="34"/>
        <v>#VALUE!</v>
      </c>
      <c r="DE41" t="e">
        <f>DG40*'Current vaccine model'!$H41*HelperFunctions!$R32</f>
        <v>#VALUE!</v>
      </c>
      <c r="DF41" t="e">
        <f>DG40*'Current vaccine model'!$H41*Export!$L39</f>
        <v>#VALUE!</v>
      </c>
      <c r="DG41" s="84" t="e">
        <f t="shared" ref="DG41:DG63" si="35">DG40-DE41-DF41</f>
        <v>#VALUE!</v>
      </c>
      <c r="DH41" t="e">
        <f>DJ40*'Current vaccine model'!$H41*HelperFunctions!$R45</f>
        <v>#VALUE!</v>
      </c>
      <c r="DI41" t="e">
        <f>DJ40*'Current vaccine model'!$H41*Export!$L39</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F41*'Current vaccine model'!$H42*HelperFunctions!$R$14</f>
        <v>#VALUE!</v>
      </c>
      <c r="E42" t="e">
        <f>F41*'Current vaccine model'!$H42*Export!$L40</f>
        <v>#VALUE!</v>
      </c>
      <c r="F42" s="84" t="e">
        <f t="shared" si="0"/>
        <v>#VALUE!</v>
      </c>
      <c r="G42" t="e">
        <f>I41*'Current vaccine model'!$H42*HelperFunctions!$R$14</f>
        <v>#VALUE!</v>
      </c>
      <c r="H42" t="e">
        <f>I41*'Current vaccine model'!$H42*Export!$L40</f>
        <v>#VALUE!</v>
      </c>
      <c r="I42" s="84" t="e">
        <f t="shared" si="1"/>
        <v>#VALUE!</v>
      </c>
      <c r="J42" t="e">
        <f>L41*'Current vaccine model'!$H42*HelperFunctions!$R$14</f>
        <v>#VALUE!</v>
      </c>
      <c r="K42" t="e">
        <f>L41*'Current vaccine model'!$H42*Export!$L40</f>
        <v>#VALUE!</v>
      </c>
      <c r="L42" s="84" t="e">
        <f t="shared" si="2"/>
        <v>#VALUE!</v>
      </c>
      <c r="M42" t="e">
        <f>O41*'Current vaccine model'!$H42*HelperFunctions!$R$14</f>
        <v>#VALUE!</v>
      </c>
      <c r="N42" t="e">
        <f>O41*'Current vaccine model'!$H42*Export!$L40</f>
        <v>#VALUE!</v>
      </c>
      <c r="O42" s="84" t="e">
        <f t="shared" si="3"/>
        <v>#VALUE!</v>
      </c>
      <c r="P42" t="e">
        <f>R41*'Current vaccine model'!$H42*HelperFunctions!$R$14</f>
        <v>#VALUE!</v>
      </c>
      <c r="Q42" t="e">
        <f>R41*'Current vaccine model'!$H42*Export!$L40</f>
        <v>#VALUE!</v>
      </c>
      <c r="R42" s="84" t="e">
        <f t="shared" si="4"/>
        <v>#VALUE!</v>
      </c>
      <c r="S42" t="e">
        <f>U41*'Current vaccine model'!$H42*HelperFunctions!$R$14</f>
        <v>#VALUE!</v>
      </c>
      <c r="T42" t="e">
        <f>U41*'Current vaccine model'!$H42*Export!$L40</f>
        <v>#VALUE!</v>
      </c>
      <c r="U42" s="84" t="e">
        <f t="shared" si="5"/>
        <v>#VALUE!</v>
      </c>
      <c r="V42" t="e">
        <f>X41*'Current vaccine model'!$H42*HelperFunctions!$R$14</f>
        <v>#VALUE!</v>
      </c>
      <c r="W42" t="e">
        <f>X41*'Current vaccine model'!$H42*Export!$L40</f>
        <v>#VALUE!</v>
      </c>
      <c r="X42" s="84" t="e">
        <f t="shared" si="6"/>
        <v>#VALUE!</v>
      </c>
      <c r="Y42" t="e">
        <f>AA41*'Current vaccine model'!$H42*HelperFunctions!$R$14</f>
        <v>#VALUE!</v>
      </c>
      <c r="Z42" t="e">
        <f>AA41*'Current vaccine model'!$H42*Export!$L40</f>
        <v>#VALUE!</v>
      </c>
      <c r="AA42" s="84" t="e">
        <f t="shared" si="7"/>
        <v>#VALUE!</v>
      </c>
      <c r="AB42" t="e">
        <f>AD41*'Current vaccine model'!$H42*HelperFunctions!$R$14</f>
        <v>#VALUE!</v>
      </c>
      <c r="AC42" t="e">
        <f>AD41*'Current vaccine model'!$H42*Export!$L40</f>
        <v>#VALUE!</v>
      </c>
      <c r="AD42" s="84" t="e">
        <f t="shared" si="8"/>
        <v>#VALUE!</v>
      </c>
      <c r="AE42" t="e">
        <f>AG41*'Current vaccine model'!$H42*HelperFunctions!$R$14</f>
        <v>#VALUE!</v>
      </c>
      <c r="AF42" t="e">
        <f>AG41*'Current vaccine model'!$H42*Export!$L40</f>
        <v>#VALUE!</v>
      </c>
      <c r="AG42" s="84" t="e">
        <f t="shared" si="9"/>
        <v>#VALUE!</v>
      </c>
      <c r="AH42" t="e">
        <f>AJ41*'Current vaccine model'!$H42*HelperFunctions!$R$14</f>
        <v>#VALUE!</v>
      </c>
      <c r="AI42" t="e">
        <f>AJ41*'Current vaccine model'!$H42*Export!$L40</f>
        <v>#VALUE!</v>
      </c>
      <c r="AJ42" s="84" t="e">
        <f t="shared" si="10"/>
        <v>#VALUE!</v>
      </c>
      <c r="AK42" t="e">
        <f>AM41*'Current vaccine model'!$H42*HelperFunctions!$R$14</f>
        <v>#VALUE!</v>
      </c>
      <c r="AL42" t="e">
        <f>AM41*'Current vaccine model'!$H42*Export!$L40</f>
        <v>#VALUE!</v>
      </c>
      <c r="AM42" s="84" t="e">
        <f t="shared" si="11"/>
        <v>#VALUE!</v>
      </c>
      <c r="AN42" t="e">
        <f>AP41*'Current vaccine model'!$H42*HelperFunctions!$R$28</f>
        <v>#VALUE!</v>
      </c>
      <c r="AO42" t="e">
        <f>AP41*'Current vaccine model'!$H42*Export!$L40</f>
        <v>#VALUE!</v>
      </c>
      <c r="AP42" s="84" t="e">
        <f t="shared" si="12"/>
        <v>#VALUE!</v>
      </c>
      <c r="AQ42" t="e">
        <f>AS41*'Current vaccine model'!$H42*HelperFunctions!$R$28</f>
        <v>#VALUE!</v>
      </c>
      <c r="AR42" t="e">
        <f>AS41*'Current vaccine model'!$H42*Export!$L40</f>
        <v>#VALUE!</v>
      </c>
      <c r="AS42" s="84" t="e">
        <f t="shared" si="13"/>
        <v>#VALUE!</v>
      </c>
      <c r="AT42" t="e">
        <f>AV41*'Current vaccine model'!$H42*HelperFunctions!$R$28</f>
        <v>#VALUE!</v>
      </c>
      <c r="AU42" t="e">
        <f>AV41*'Current vaccine model'!$H42*Export!$L40</f>
        <v>#VALUE!</v>
      </c>
      <c r="AV42" s="84" t="e">
        <f t="shared" si="14"/>
        <v>#VALUE!</v>
      </c>
      <c r="AW42" t="e">
        <f>AY41*'Current vaccine model'!$H42*HelperFunctions!$R$28</f>
        <v>#VALUE!</v>
      </c>
      <c r="AX42" t="e">
        <f>AY41*'Current vaccine model'!$H42*Export!$L40</f>
        <v>#VALUE!</v>
      </c>
      <c r="AY42" s="84" t="e">
        <f t="shared" si="15"/>
        <v>#VALUE!</v>
      </c>
      <c r="AZ42" t="e">
        <f>BB41*'Current vaccine model'!$H42*HelperFunctions!$R$28</f>
        <v>#VALUE!</v>
      </c>
      <c r="BA42" t="e">
        <f>BB41*'Current vaccine model'!$H42*Export!$L40</f>
        <v>#VALUE!</v>
      </c>
      <c r="BB42" s="84" t="e">
        <f t="shared" si="16"/>
        <v>#VALUE!</v>
      </c>
      <c r="BC42" t="e">
        <f>BE41*'Current vaccine model'!$H42*HelperFunctions!$R$28</f>
        <v>#VALUE!</v>
      </c>
      <c r="BD42" t="e">
        <f>BE41*'Current vaccine model'!$H42*Export!$L40</f>
        <v>#VALUE!</v>
      </c>
      <c r="BE42" s="84" t="e">
        <f t="shared" si="17"/>
        <v>#VALUE!</v>
      </c>
      <c r="BF42" t="e">
        <f>BH41*'Current vaccine model'!$H42*HelperFunctions!$R$28</f>
        <v>#VALUE!</v>
      </c>
      <c r="BG42" t="e">
        <f>BH41*'Current vaccine model'!$H42*Export!$L40</f>
        <v>#VALUE!</v>
      </c>
      <c r="BH42" s="84" t="e">
        <f t="shared" si="18"/>
        <v>#VALUE!</v>
      </c>
      <c r="BI42" t="e">
        <f>BK41*'Current vaccine model'!$H42*HelperFunctions!$R$28</f>
        <v>#VALUE!</v>
      </c>
      <c r="BJ42" t="e">
        <f>BK41*'Current vaccine model'!$H42*Export!$L40</f>
        <v>#VALUE!</v>
      </c>
      <c r="BK42" s="84" t="e">
        <f t="shared" si="19"/>
        <v>#VALUE!</v>
      </c>
      <c r="BL42" t="e">
        <f>BN41*'Current vaccine model'!$H42*HelperFunctions!$R$28</f>
        <v>#VALUE!</v>
      </c>
      <c r="BM42" t="e">
        <f>BN41*'Current vaccine model'!$H42*Export!$L40</f>
        <v>#VALUE!</v>
      </c>
      <c r="BN42" s="84" t="e">
        <f t="shared" si="20"/>
        <v>#VALUE!</v>
      </c>
      <c r="BO42" t="e">
        <f>BQ41*'Current vaccine model'!$H42*HelperFunctions!$R$28</f>
        <v>#VALUE!</v>
      </c>
      <c r="BP42" t="e">
        <f>BQ41*'Current vaccine model'!$H42*Export!$L40</f>
        <v>#VALUE!</v>
      </c>
      <c r="BQ42" s="84" t="e">
        <f t="shared" si="21"/>
        <v>#VALUE!</v>
      </c>
      <c r="BR42" t="e">
        <f>BT41*'Current vaccine model'!$H42*HelperFunctions!$R$28</f>
        <v>#VALUE!</v>
      </c>
      <c r="BS42" t="e">
        <f>BT41*'Current vaccine model'!$H42*Export!$L40</f>
        <v>#VALUE!</v>
      </c>
      <c r="BT42" s="84" t="e">
        <f t="shared" si="22"/>
        <v>#VALUE!</v>
      </c>
      <c r="BU42" t="e">
        <f>BW41*'Current vaccine model'!$H42*HelperFunctions!$R$28</f>
        <v>#VALUE!</v>
      </c>
      <c r="BV42" t="e">
        <f>BW41*'Current vaccine model'!$H42*Export!$L40</f>
        <v>#VALUE!</v>
      </c>
      <c r="BW42" s="84" t="e">
        <f t="shared" si="23"/>
        <v>#VALUE!</v>
      </c>
      <c r="BX42" t="e">
        <f>BZ41*'Current vaccine model'!$H42*HelperFunctions!$R$42</f>
        <v>#VALUE!</v>
      </c>
      <c r="BY42" t="e">
        <f>BZ41*'Current vaccine model'!$H42*Export!$L40</f>
        <v>#VALUE!</v>
      </c>
      <c r="BZ42" s="84" t="e">
        <f t="shared" si="24"/>
        <v>#VALUE!</v>
      </c>
      <c r="CA42" t="e">
        <f>CC41*'Current vaccine model'!$H42*HelperFunctions!$R$42</f>
        <v>#VALUE!</v>
      </c>
      <c r="CB42" t="e">
        <f>CC41*'Current vaccine model'!$H42*Export!$L40</f>
        <v>#VALUE!</v>
      </c>
      <c r="CC42" s="84" t="e">
        <f t="shared" si="25"/>
        <v>#VALUE!</v>
      </c>
      <c r="CD42" t="e">
        <f>CF41*'Current vaccine model'!$H42*HelperFunctions!$R$42</f>
        <v>#VALUE!</v>
      </c>
      <c r="CE42" t="e">
        <f>CF41*'Current vaccine model'!$H42*Export!$L40</f>
        <v>#VALUE!</v>
      </c>
      <c r="CF42" s="84" t="e">
        <f t="shared" si="26"/>
        <v>#VALUE!</v>
      </c>
      <c r="CG42" t="e">
        <f>CI41*'Current vaccine model'!$H42*HelperFunctions!$R41</f>
        <v>#VALUE!</v>
      </c>
      <c r="CH42" t="e">
        <f>CI41*'Current vaccine model'!$H42*Export!$L40</f>
        <v>#VALUE!</v>
      </c>
      <c r="CI42" s="84" t="e">
        <f t="shared" si="27"/>
        <v>#VALUE!</v>
      </c>
      <c r="CJ42" t="e">
        <f>CL41*'Current vaccine model'!$H42*HelperFunctions!$R40</f>
        <v>#VALUE!</v>
      </c>
      <c r="CK42" t="e">
        <f>CL41*'Current vaccine model'!$H42*Export!$L40</f>
        <v>#VALUE!</v>
      </c>
      <c r="CL42" s="84" t="e">
        <f t="shared" si="28"/>
        <v>#VALUE!</v>
      </c>
      <c r="CM42" t="e">
        <f>CO41*'Current vaccine model'!$H42*HelperFunctions!$R39</f>
        <v>#VALUE!</v>
      </c>
      <c r="CN42" t="e">
        <f>CO41*'Current vaccine model'!$H42*Export!$L40</f>
        <v>#VALUE!</v>
      </c>
      <c r="CO42" s="84" t="e">
        <f t="shared" si="29"/>
        <v>#VALUE!</v>
      </c>
      <c r="CP42" t="e">
        <f>CR41*'Current vaccine model'!$H42*HelperFunctions!$R38</f>
        <v>#VALUE!</v>
      </c>
      <c r="CQ42" t="e">
        <f>CR41*'Current vaccine model'!$H42*Export!$L40</f>
        <v>#VALUE!</v>
      </c>
      <c r="CR42" s="84" t="e">
        <f t="shared" si="30"/>
        <v>#VALUE!</v>
      </c>
      <c r="CS42" t="e">
        <f>CU41*'Current vaccine model'!$H42*HelperFunctions!$R37</f>
        <v>#VALUE!</v>
      </c>
      <c r="CT42" t="e">
        <f>CU41*'Current vaccine model'!$H42*Export!$L40</f>
        <v>#VALUE!</v>
      </c>
      <c r="CU42" s="84" t="e">
        <f t="shared" si="31"/>
        <v>#VALUE!</v>
      </c>
      <c r="CV42" t="e">
        <f>CX41*'Current vaccine model'!$H42*HelperFunctions!$R36</f>
        <v>#VALUE!</v>
      </c>
      <c r="CW42" t="e">
        <f>CX41*'Current vaccine model'!$H42*Export!$L40</f>
        <v>#VALUE!</v>
      </c>
      <c r="CX42" s="84" t="e">
        <f t="shared" si="32"/>
        <v>#VALUE!</v>
      </c>
      <c r="CY42" t="e">
        <f>DA41*'Current vaccine model'!$H42*HelperFunctions!$R35</f>
        <v>#VALUE!</v>
      </c>
      <c r="CZ42" t="e">
        <f>DA41*'Current vaccine model'!$H42*Export!$L40</f>
        <v>#VALUE!</v>
      </c>
      <c r="DA42" s="84" t="e">
        <f t="shared" si="33"/>
        <v>#VALUE!</v>
      </c>
      <c r="DB42" t="e">
        <f>DD41*'Current vaccine model'!$H42*HelperFunctions!$R34</f>
        <v>#VALUE!</v>
      </c>
      <c r="DC42" t="e">
        <f>DD41*'Current vaccine model'!$H42*Export!$L40</f>
        <v>#VALUE!</v>
      </c>
      <c r="DD42" s="84" t="e">
        <f t="shared" si="34"/>
        <v>#VALUE!</v>
      </c>
      <c r="DE42" t="e">
        <f>DG41*'Current vaccine model'!$H42*HelperFunctions!$R33</f>
        <v>#VALUE!</v>
      </c>
      <c r="DF42" t="e">
        <f>DG41*'Current vaccine model'!$H42*Export!$L40</f>
        <v>#VALUE!</v>
      </c>
      <c r="DG42" s="84" t="e">
        <f t="shared" si="35"/>
        <v>#VALUE!</v>
      </c>
      <c r="DH42" t="e">
        <f>DJ41*'Current vaccine model'!$H42*HelperFunctions!$R46</f>
        <v>#VALUE!</v>
      </c>
      <c r="DI42" t="e">
        <f>DJ41*'Current vaccine model'!$H42*Export!$L40</f>
        <v>#VALUE!</v>
      </c>
      <c r="DJ42" s="84" t="e">
        <f t="shared" ref="DJ42:DJ63" si="36">DJ41-DH42-DI42</f>
        <v>#VALUE!</v>
      </c>
      <c r="DK42" t="e">
        <f>DM41*'Current vaccine model'!$H42*HelperFunctions!$R45</f>
        <v>#VALUE!</v>
      </c>
      <c r="DL42" t="e">
        <f>DM41*'Current vaccine model'!$H42*Export!$L40</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F42*'Current vaccine model'!$H43*HelperFunctions!$R$14</f>
        <v>#VALUE!</v>
      </c>
      <c r="E43" t="e">
        <f>F42*'Current vaccine model'!$H43*Export!$L41</f>
        <v>#VALUE!</v>
      </c>
      <c r="F43" s="84" t="e">
        <f t="shared" si="0"/>
        <v>#VALUE!</v>
      </c>
      <c r="G43" t="e">
        <f>I42*'Current vaccine model'!$H43*HelperFunctions!$R$14</f>
        <v>#VALUE!</v>
      </c>
      <c r="H43" t="e">
        <f>I42*'Current vaccine model'!$H43*Export!$L41</f>
        <v>#VALUE!</v>
      </c>
      <c r="I43" s="84" t="e">
        <f t="shared" si="1"/>
        <v>#VALUE!</v>
      </c>
      <c r="J43" t="e">
        <f>L42*'Current vaccine model'!$H43*HelperFunctions!$R$14</f>
        <v>#VALUE!</v>
      </c>
      <c r="K43" t="e">
        <f>L42*'Current vaccine model'!$H43*Export!$L41</f>
        <v>#VALUE!</v>
      </c>
      <c r="L43" s="84" t="e">
        <f t="shared" si="2"/>
        <v>#VALUE!</v>
      </c>
      <c r="M43" t="e">
        <f>O42*'Current vaccine model'!$H43*HelperFunctions!$R$14</f>
        <v>#VALUE!</v>
      </c>
      <c r="N43" t="e">
        <f>O42*'Current vaccine model'!$H43*Export!$L41</f>
        <v>#VALUE!</v>
      </c>
      <c r="O43" s="84" t="e">
        <f t="shared" si="3"/>
        <v>#VALUE!</v>
      </c>
      <c r="P43" t="e">
        <f>R42*'Current vaccine model'!$H43*HelperFunctions!$R$14</f>
        <v>#VALUE!</v>
      </c>
      <c r="Q43" t="e">
        <f>R42*'Current vaccine model'!$H43*Export!$L41</f>
        <v>#VALUE!</v>
      </c>
      <c r="R43" s="84" t="e">
        <f t="shared" si="4"/>
        <v>#VALUE!</v>
      </c>
      <c r="S43" t="e">
        <f>U42*'Current vaccine model'!$H43*HelperFunctions!$R$14</f>
        <v>#VALUE!</v>
      </c>
      <c r="T43" t="e">
        <f>U42*'Current vaccine model'!$H43*Export!$L41</f>
        <v>#VALUE!</v>
      </c>
      <c r="U43" s="84" t="e">
        <f t="shared" si="5"/>
        <v>#VALUE!</v>
      </c>
      <c r="V43" t="e">
        <f>X42*'Current vaccine model'!$H43*HelperFunctions!$R$14</f>
        <v>#VALUE!</v>
      </c>
      <c r="W43" t="e">
        <f>X42*'Current vaccine model'!$H43*Export!$L41</f>
        <v>#VALUE!</v>
      </c>
      <c r="X43" s="84" t="e">
        <f t="shared" si="6"/>
        <v>#VALUE!</v>
      </c>
      <c r="Y43" t="e">
        <f>AA42*'Current vaccine model'!$H43*HelperFunctions!$R$14</f>
        <v>#VALUE!</v>
      </c>
      <c r="Z43" t="e">
        <f>AA42*'Current vaccine model'!$H43*Export!$L41</f>
        <v>#VALUE!</v>
      </c>
      <c r="AA43" s="84" t="e">
        <f t="shared" si="7"/>
        <v>#VALUE!</v>
      </c>
      <c r="AB43" t="e">
        <f>AD42*'Current vaccine model'!$H43*HelperFunctions!$R$14</f>
        <v>#VALUE!</v>
      </c>
      <c r="AC43" t="e">
        <f>AD42*'Current vaccine model'!$H43*Export!$L41</f>
        <v>#VALUE!</v>
      </c>
      <c r="AD43" s="84" t="e">
        <f t="shared" si="8"/>
        <v>#VALUE!</v>
      </c>
      <c r="AE43" t="e">
        <f>AG42*'Current vaccine model'!$H43*HelperFunctions!$R$14</f>
        <v>#VALUE!</v>
      </c>
      <c r="AF43" t="e">
        <f>AG42*'Current vaccine model'!$H43*Export!$L41</f>
        <v>#VALUE!</v>
      </c>
      <c r="AG43" s="84" t="e">
        <f t="shared" si="9"/>
        <v>#VALUE!</v>
      </c>
      <c r="AH43" t="e">
        <f>AJ42*'Current vaccine model'!$H43*HelperFunctions!$R$14</f>
        <v>#VALUE!</v>
      </c>
      <c r="AI43" t="e">
        <f>AJ42*'Current vaccine model'!$H43*Export!$L41</f>
        <v>#VALUE!</v>
      </c>
      <c r="AJ43" s="84" t="e">
        <f t="shared" si="10"/>
        <v>#VALUE!</v>
      </c>
      <c r="AK43" t="e">
        <f>AM42*'Current vaccine model'!$H43*HelperFunctions!$R$14</f>
        <v>#VALUE!</v>
      </c>
      <c r="AL43" t="e">
        <f>AM42*'Current vaccine model'!$H43*Export!$L41</f>
        <v>#VALUE!</v>
      </c>
      <c r="AM43" s="84" t="e">
        <f t="shared" si="11"/>
        <v>#VALUE!</v>
      </c>
      <c r="AN43" t="e">
        <f>AP42*'Current vaccine model'!$H43*HelperFunctions!$R$28</f>
        <v>#VALUE!</v>
      </c>
      <c r="AO43" t="e">
        <f>AP42*'Current vaccine model'!$H43*Export!$L41</f>
        <v>#VALUE!</v>
      </c>
      <c r="AP43" s="84" t="e">
        <f t="shared" si="12"/>
        <v>#VALUE!</v>
      </c>
      <c r="AQ43" t="e">
        <f>AS42*'Current vaccine model'!$H43*HelperFunctions!$R$28</f>
        <v>#VALUE!</v>
      </c>
      <c r="AR43" t="e">
        <f>AS42*'Current vaccine model'!$H43*Export!$L41</f>
        <v>#VALUE!</v>
      </c>
      <c r="AS43" s="84" t="e">
        <f t="shared" si="13"/>
        <v>#VALUE!</v>
      </c>
      <c r="AT43" t="e">
        <f>AV42*'Current vaccine model'!$H43*HelperFunctions!$R$28</f>
        <v>#VALUE!</v>
      </c>
      <c r="AU43" t="e">
        <f>AV42*'Current vaccine model'!$H43*Export!$L41</f>
        <v>#VALUE!</v>
      </c>
      <c r="AV43" s="84" t="e">
        <f t="shared" si="14"/>
        <v>#VALUE!</v>
      </c>
      <c r="AW43" t="e">
        <f>AY42*'Current vaccine model'!$H43*HelperFunctions!$R$28</f>
        <v>#VALUE!</v>
      </c>
      <c r="AX43" t="e">
        <f>AY42*'Current vaccine model'!$H43*Export!$L41</f>
        <v>#VALUE!</v>
      </c>
      <c r="AY43" s="84" t="e">
        <f t="shared" si="15"/>
        <v>#VALUE!</v>
      </c>
      <c r="AZ43" t="e">
        <f>BB42*'Current vaccine model'!$H43*HelperFunctions!$R$28</f>
        <v>#VALUE!</v>
      </c>
      <c r="BA43" t="e">
        <f>BB42*'Current vaccine model'!$H43*Export!$L41</f>
        <v>#VALUE!</v>
      </c>
      <c r="BB43" s="84" t="e">
        <f t="shared" si="16"/>
        <v>#VALUE!</v>
      </c>
      <c r="BC43" t="e">
        <f>BE42*'Current vaccine model'!$H43*HelperFunctions!$R$28</f>
        <v>#VALUE!</v>
      </c>
      <c r="BD43" t="e">
        <f>BE42*'Current vaccine model'!$H43*Export!$L41</f>
        <v>#VALUE!</v>
      </c>
      <c r="BE43" s="84" t="e">
        <f t="shared" si="17"/>
        <v>#VALUE!</v>
      </c>
      <c r="BF43" t="e">
        <f>BH42*'Current vaccine model'!$H43*HelperFunctions!$R$28</f>
        <v>#VALUE!</v>
      </c>
      <c r="BG43" t="e">
        <f>BH42*'Current vaccine model'!$H43*Export!$L41</f>
        <v>#VALUE!</v>
      </c>
      <c r="BH43" s="84" t="e">
        <f t="shared" si="18"/>
        <v>#VALUE!</v>
      </c>
      <c r="BI43" t="e">
        <f>BK42*'Current vaccine model'!$H43*HelperFunctions!$R$28</f>
        <v>#VALUE!</v>
      </c>
      <c r="BJ43" t="e">
        <f>BK42*'Current vaccine model'!$H43*Export!$L41</f>
        <v>#VALUE!</v>
      </c>
      <c r="BK43" s="84" t="e">
        <f t="shared" si="19"/>
        <v>#VALUE!</v>
      </c>
      <c r="BL43" t="e">
        <f>BN42*'Current vaccine model'!$H43*HelperFunctions!$R$28</f>
        <v>#VALUE!</v>
      </c>
      <c r="BM43" t="e">
        <f>BN42*'Current vaccine model'!$H43*Export!$L41</f>
        <v>#VALUE!</v>
      </c>
      <c r="BN43" s="84" t="e">
        <f t="shared" si="20"/>
        <v>#VALUE!</v>
      </c>
      <c r="BO43" t="e">
        <f>BQ42*'Current vaccine model'!$H43*HelperFunctions!$R$28</f>
        <v>#VALUE!</v>
      </c>
      <c r="BP43" t="e">
        <f>BQ42*'Current vaccine model'!$H43*Export!$L41</f>
        <v>#VALUE!</v>
      </c>
      <c r="BQ43" s="84" t="e">
        <f t="shared" si="21"/>
        <v>#VALUE!</v>
      </c>
      <c r="BR43" t="e">
        <f>BT42*'Current vaccine model'!$H43*HelperFunctions!$R$28</f>
        <v>#VALUE!</v>
      </c>
      <c r="BS43" t="e">
        <f>BT42*'Current vaccine model'!$H43*Export!$L41</f>
        <v>#VALUE!</v>
      </c>
      <c r="BT43" s="84" t="e">
        <f t="shared" si="22"/>
        <v>#VALUE!</v>
      </c>
      <c r="BU43" t="e">
        <f>BW42*'Current vaccine model'!$H43*HelperFunctions!$R$28</f>
        <v>#VALUE!</v>
      </c>
      <c r="BV43" t="e">
        <f>BW42*'Current vaccine model'!$H43*Export!$L41</f>
        <v>#VALUE!</v>
      </c>
      <c r="BW43" s="84" t="e">
        <f t="shared" si="23"/>
        <v>#VALUE!</v>
      </c>
      <c r="BX43" t="e">
        <f>BZ42*'Current vaccine model'!$H43*HelperFunctions!$R$42</f>
        <v>#VALUE!</v>
      </c>
      <c r="BY43" t="e">
        <f>BZ42*'Current vaccine model'!$H43*Export!$L41</f>
        <v>#VALUE!</v>
      </c>
      <c r="BZ43" s="84" t="e">
        <f t="shared" si="24"/>
        <v>#VALUE!</v>
      </c>
      <c r="CA43" t="e">
        <f>CC42*'Current vaccine model'!$H43*HelperFunctions!$R$42</f>
        <v>#VALUE!</v>
      </c>
      <c r="CB43" t="e">
        <f>CC42*'Current vaccine model'!$H43*Export!$L41</f>
        <v>#VALUE!</v>
      </c>
      <c r="CC43" s="84" t="e">
        <f t="shared" si="25"/>
        <v>#VALUE!</v>
      </c>
      <c r="CD43" t="e">
        <f>CF42*'Current vaccine model'!$H43*HelperFunctions!$R$42</f>
        <v>#VALUE!</v>
      </c>
      <c r="CE43" t="e">
        <f>CF42*'Current vaccine model'!$H43*Export!$L41</f>
        <v>#VALUE!</v>
      </c>
      <c r="CF43" s="84" t="e">
        <f t="shared" si="26"/>
        <v>#VALUE!</v>
      </c>
      <c r="CG43" t="e">
        <f>CI42*'Current vaccine model'!$H43*HelperFunctions!$R$42</f>
        <v>#VALUE!</v>
      </c>
      <c r="CH43" t="e">
        <f>CI42*'Current vaccine model'!$H43*Export!$L41</f>
        <v>#VALUE!</v>
      </c>
      <c r="CI43" s="84" t="e">
        <f t="shared" si="27"/>
        <v>#VALUE!</v>
      </c>
      <c r="CJ43" t="e">
        <f>CL42*'Current vaccine model'!$H43*HelperFunctions!$R41</f>
        <v>#VALUE!</v>
      </c>
      <c r="CK43" t="e">
        <f>CL42*'Current vaccine model'!$H43*Export!$L41</f>
        <v>#VALUE!</v>
      </c>
      <c r="CL43" s="84" t="e">
        <f t="shared" si="28"/>
        <v>#VALUE!</v>
      </c>
      <c r="CM43" t="e">
        <f>CO42*'Current vaccine model'!$H43*HelperFunctions!$R40</f>
        <v>#VALUE!</v>
      </c>
      <c r="CN43" t="e">
        <f>CO42*'Current vaccine model'!$H43*Export!$L41</f>
        <v>#VALUE!</v>
      </c>
      <c r="CO43" s="84" t="e">
        <f t="shared" si="29"/>
        <v>#VALUE!</v>
      </c>
      <c r="CP43" t="e">
        <f>CR42*'Current vaccine model'!$H43*HelperFunctions!$R39</f>
        <v>#VALUE!</v>
      </c>
      <c r="CQ43" t="e">
        <f>CR42*'Current vaccine model'!$H43*Export!$L41</f>
        <v>#VALUE!</v>
      </c>
      <c r="CR43" s="84" t="e">
        <f t="shared" si="30"/>
        <v>#VALUE!</v>
      </c>
      <c r="CS43" t="e">
        <f>CU42*'Current vaccine model'!$H43*HelperFunctions!$R38</f>
        <v>#VALUE!</v>
      </c>
      <c r="CT43" t="e">
        <f>CU42*'Current vaccine model'!$H43*Export!$L41</f>
        <v>#VALUE!</v>
      </c>
      <c r="CU43" s="84" t="e">
        <f t="shared" si="31"/>
        <v>#VALUE!</v>
      </c>
      <c r="CV43" t="e">
        <f>CX42*'Current vaccine model'!$H43*HelperFunctions!$R37</f>
        <v>#VALUE!</v>
      </c>
      <c r="CW43" t="e">
        <f>CX42*'Current vaccine model'!$H43*Export!$L41</f>
        <v>#VALUE!</v>
      </c>
      <c r="CX43" s="84" t="e">
        <f t="shared" si="32"/>
        <v>#VALUE!</v>
      </c>
      <c r="CY43" t="e">
        <f>DA42*'Current vaccine model'!$H43*HelperFunctions!$R36</f>
        <v>#VALUE!</v>
      </c>
      <c r="CZ43" t="e">
        <f>DA42*'Current vaccine model'!$H43*Export!$L41</f>
        <v>#VALUE!</v>
      </c>
      <c r="DA43" s="84" t="e">
        <f t="shared" si="33"/>
        <v>#VALUE!</v>
      </c>
      <c r="DB43" t="e">
        <f>DD42*'Current vaccine model'!$H43*HelperFunctions!$R35</f>
        <v>#VALUE!</v>
      </c>
      <c r="DC43" t="e">
        <f>DD42*'Current vaccine model'!$H43*Export!$L41</f>
        <v>#VALUE!</v>
      </c>
      <c r="DD43" s="84" t="e">
        <f t="shared" si="34"/>
        <v>#VALUE!</v>
      </c>
      <c r="DE43" t="e">
        <f>DG42*'Current vaccine model'!$H43*HelperFunctions!$R34</f>
        <v>#VALUE!</v>
      </c>
      <c r="DF43" t="e">
        <f>DG42*'Current vaccine model'!$H43*Export!$L41</f>
        <v>#VALUE!</v>
      </c>
      <c r="DG43" s="84" t="e">
        <f t="shared" si="35"/>
        <v>#VALUE!</v>
      </c>
      <c r="DH43" t="e">
        <f>DJ42*'Current vaccine model'!$H43*HelperFunctions!$R47</f>
        <v>#VALUE!</v>
      </c>
      <c r="DI43" t="e">
        <f>DJ42*'Current vaccine model'!$H43*Export!$L41</f>
        <v>#VALUE!</v>
      </c>
      <c r="DJ43" s="84" t="e">
        <f t="shared" si="36"/>
        <v>#VALUE!</v>
      </c>
      <c r="DK43" t="e">
        <f>DM42*'Current vaccine model'!$H43*HelperFunctions!$R46</f>
        <v>#VALUE!</v>
      </c>
      <c r="DL43" t="e">
        <f>DM42*'Current vaccine model'!$H43*Export!$L41</f>
        <v>#VALUE!</v>
      </c>
      <c r="DM43" s="84" t="e">
        <f t="shared" ref="DM43:DM63" si="37">DM42-DK43-DL43</f>
        <v>#VALUE!</v>
      </c>
      <c r="DN43" t="e">
        <f>DP42*'Current vaccine model'!$H43*HelperFunctions!$R45</f>
        <v>#VALUE!</v>
      </c>
      <c r="DO43" t="e">
        <f>DP42*'Current vaccine model'!$H43*Export!$L41</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F43*'Current vaccine model'!$H44*HelperFunctions!$R$14</f>
        <v>#VALUE!</v>
      </c>
      <c r="E44" t="e">
        <f>F43*'Current vaccine model'!$H44*Export!$L42</f>
        <v>#VALUE!</v>
      </c>
      <c r="F44" s="84" t="e">
        <f t="shared" si="0"/>
        <v>#VALUE!</v>
      </c>
      <c r="G44" t="e">
        <f>I43*'Current vaccine model'!$H44*HelperFunctions!$R$14</f>
        <v>#VALUE!</v>
      </c>
      <c r="H44" t="e">
        <f>I43*'Current vaccine model'!$H44*Export!$L42</f>
        <v>#VALUE!</v>
      </c>
      <c r="I44" s="84" t="e">
        <f t="shared" si="1"/>
        <v>#VALUE!</v>
      </c>
      <c r="J44" t="e">
        <f>L43*'Current vaccine model'!$H44*HelperFunctions!$R$14</f>
        <v>#VALUE!</v>
      </c>
      <c r="K44" t="e">
        <f>L43*'Current vaccine model'!$H44*Export!$L42</f>
        <v>#VALUE!</v>
      </c>
      <c r="L44" s="84" t="e">
        <f t="shared" si="2"/>
        <v>#VALUE!</v>
      </c>
      <c r="M44" t="e">
        <f>O43*'Current vaccine model'!$H44*HelperFunctions!$R$14</f>
        <v>#VALUE!</v>
      </c>
      <c r="N44" t="e">
        <f>O43*'Current vaccine model'!$H44*Export!$L42</f>
        <v>#VALUE!</v>
      </c>
      <c r="O44" s="84" t="e">
        <f t="shared" si="3"/>
        <v>#VALUE!</v>
      </c>
      <c r="P44" t="e">
        <f>R43*'Current vaccine model'!$H44*HelperFunctions!$R$14</f>
        <v>#VALUE!</v>
      </c>
      <c r="Q44" t="e">
        <f>R43*'Current vaccine model'!$H44*Export!$L42</f>
        <v>#VALUE!</v>
      </c>
      <c r="R44" s="84" t="e">
        <f t="shared" si="4"/>
        <v>#VALUE!</v>
      </c>
      <c r="S44" t="e">
        <f>U43*'Current vaccine model'!$H44*HelperFunctions!$R$14</f>
        <v>#VALUE!</v>
      </c>
      <c r="T44" t="e">
        <f>U43*'Current vaccine model'!$H44*Export!$L42</f>
        <v>#VALUE!</v>
      </c>
      <c r="U44" s="84" t="e">
        <f t="shared" si="5"/>
        <v>#VALUE!</v>
      </c>
      <c r="V44" t="e">
        <f>X43*'Current vaccine model'!$H44*HelperFunctions!$R$14</f>
        <v>#VALUE!</v>
      </c>
      <c r="W44" t="e">
        <f>X43*'Current vaccine model'!$H44*Export!$L42</f>
        <v>#VALUE!</v>
      </c>
      <c r="X44" s="84" t="e">
        <f t="shared" si="6"/>
        <v>#VALUE!</v>
      </c>
      <c r="Y44" t="e">
        <f>AA43*'Current vaccine model'!$H44*HelperFunctions!$R$14</f>
        <v>#VALUE!</v>
      </c>
      <c r="Z44" t="e">
        <f>AA43*'Current vaccine model'!$H44*Export!$L42</f>
        <v>#VALUE!</v>
      </c>
      <c r="AA44" s="84" t="e">
        <f t="shared" si="7"/>
        <v>#VALUE!</v>
      </c>
      <c r="AB44" t="e">
        <f>AD43*'Current vaccine model'!$H44*HelperFunctions!$R$14</f>
        <v>#VALUE!</v>
      </c>
      <c r="AC44" t="e">
        <f>AD43*'Current vaccine model'!$H44*Export!$L42</f>
        <v>#VALUE!</v>
      </c>
      <c r="AD44" s="84" t="e">
        <f t="shared" si="8"/>
        <v>#VALUE!</v>
      </c>
      <c r="AE44" t="e">
        <f>AG43*'Current vaccine model'!$H44*HelperFunctions!$R$14</f>
        <v>#VALUE!</v>
      </c>
      <c r="AF44" t="e">
        <f>AG43*'Current vaccine model'!$H44*Export!$L42</f>
        <v>#VALUE!</v>
      </c>
      <c r="AG44" s="84" t="e">
        <f t="shared" si="9"/>
        <v>#VALUE!</v>
      </c>
      <c r="AH44" t="e">
        <f>AJ43*'Current vaccine model'!$H44*HelperFunctions!$R$14</f>
        <v>#VALUE!</v>
      </c>
      <c r="AI44" t="e">
        <f>AJ43*'Current vaccine model'!$H44*Export!$L42</f>
        <v>#VALUE!</v>
      </c>
      <c r="AJ44" s="84" t="e">
        <f t="shared" si="10"/>
        <v>#VALUE!</v>
      </c>
      <c r="AK44" t="e">
        <f>AM43*'Current vaccine model'!$H44*HelperFunctions!$R$14</f>
        <v>#VALUE!</v>
      </c>
      <c r="AL44" t="e">
        <f>AM43*'Current vaccine model'!$H44*Export!$L42</f>
        <v>#VALUE!</v>
      </c>
      <c r="AM44" s="84" t="e">
        <f t="shared" si="11"/>
        <v>#VALUE!</v>
      </c>
      <c r="AN44" t="e">
        <f>AP43*'Current vaccine model'!$H44*HelperFunctions!$R$28</f>
        <v>#VALUE!</v>
      </c>
      <c r="AO44" t="e">
        <f>AP43*'Current vaccine model'!$H44*Export!$L42</f>
        <v>#VALUE!</v>
      </c>
      <c r="AP44" s="84" t="e">
        <f t="shared" si="12"/>
        <v>#VALUE!</v>
      </c>
      <c r="AQ44" t="e">
        <f>AS43*'Current vaccine model'!$H44*HelperFunctions!$R$28</f>
        <v>#VALUE!</v>
      </c>
      <c r="AR44" t="e">
        <f>AS43*'Current vaccine model'!$H44*Export!$L42</f>
        <v>#VALUE!</v>
      </c>
      <c r="AS44" s="84" t="e">
        <f t="shared" si="13"/>
        <v>#VALUE!</v>
      </c>
      <c r="AT44" t="e">
        <f>AV43*'Current vaccine model'!$H44*HelperFunctions!$R$28</f>
        <v>#VALUE!</v>
      </c>
      <c r="AU44" t="e">
        <f>AV43*'Current vaccine model'!$H44*Export!$L42</f>
        <v>#VALUE!</v>
      </c>
      <c r="AV44" s="84" t="e">
        <f t="shared" si="14"/>
        <v>#VALUE!</v>
      </c>
      <c r="AW44" t="e">
        <f>AY43*'Current vaccine model'!$H44*HelperFunctions!$R$28</f>
        <v>#VALUE!</v>
      </c>
      <c r="AX44" t="e">
        <f>AY43*'Current vaccine model'!$H44*Export!$L42</f>
        <v>#VALUE!</v>
      </c>
      <c r="AY44" s="84" t="e">
        <f t="shared" si="15"/>
        <v>#VALUE!</v>
      </c>
      <c r="AZ44" t="e">
        <f>BB43*'Current vaccine model'!$H44*HelperFunctions!$R$28</f>
        <v>#VALUE!</v>
      </c>
      <c r="BA44" t="e">
        <f>BB43*'Current vaccine model'!$H44*Export!$L42</f>
        <v>#VALUE!</v>
      </c>
      <c r="BB44" s="84" t="e">
        <f t="shared" si="16"/>
        <v>#VALUE!</v>
      </c>
      <c r="BC44" t="e">
        <f>BE43*'Current vaccine model'!$H44*HelperFunctions!$R$28</f>
        <v>#VALUE!</v>
      </c>
      <c r="BD44" t="e">
        <f>BE43*'Current vaccine model'!$H44*Export!$L42</f>
        <v>#VALUE!</v>
      </c>
      <c r="BE44" s="84" t="e">
        <f t="shared" si="17"/>
        <v>#VALUE!</v>
      </c>
      <c r="BF44" t="e">
        <f>BH43*'Current vaccine model'!$H44*HelperFunctions!$R$28</f>
        <v>#VALUE!</v>
      </c>
      <c r="BG44" t="e">
        <f>BH43*'Current vaccine model'!$H44*Export!$L42</f>
        <v>#VALUE!</v>
      </c>
      <c r="BH44" s="84" t="e">
        <f t="shared" si="18"/>
        <v>#VALUE!</v>
      </c>
      <c r="BI44" t="e">
        <f>BK43*'Current vaccine model'!$H44*HelperFunctions!$R$28</f>
        <v>#VALUE!</v>
      </c>
      <c r="BJ44" t="e">
        <f>BK43*'Current vaccine model'!$H44*Export!$L42</f>
        <v>#VALUE!</v>
      </c>
      <c r="BK44" s="84" t="e">
        <f t="shared" si="19"/>
        <v>#VALUE!</v>
      </c>
      <c r="BL44" t="e">
        <f>BN43*'Current vaccine model'!$H44*HelperFunctions!$R$28</f>
        <v>#VALUE!</v>
      </c>
      <c r="BM44" t="e">
        <f>BN43*'Current vaccine model'!$H44*Export!$L42</f>
        <v>#VALUE!</v>
      </c>
      <c r="BN44" s="84" t="e">
        <f t="shared" si="20"/>
        <v>#VALUE!</v>
      </c>
      <c r="BO44" t="e">
        <f>BQ43*'Current vaccine model'!$H44*HelperFunctions!$R$28</f>
        <v>#VALUE!</v>
      </c>
      <c r="BP44" t="e">
        <f>BQ43*'Current vaccine model'!$H44*Export!$L42</f>
        <v>#VALUE!</v>
      </c>
      <c r="BQ44" s="84" t="e">
        <f t="shared" si="21"/>
        <v>#VALUE!</v>
      </c>
      <c r="BR44" t="e">
        <f>BT43*'Current vaccine model'!$H44*HelperFunctions!$R$28</f>
        <v>#VALUE!</v>
      </c>
      <c r="BS44" t="e">
        <f>BT43*'Current vaccine model'!$H44*Export!$L42</f>
        <v>#VALUE!</v>
      </c>
      <c r="BT44" s="84" t="e">
        <f t="shared" si="22"/>
        <v>#VALUE!</v>
      </c>
      <c r="BU44" t="e">
        <f>BW43*'Current vaccine model'!$H44*HelperFunctions!$R$28</f>
        <v>#VALUE!</v>
      </c>
      <c r="BV44" t="e">
        <f>BW43*'Current vaccine model'!$H44*Export!$L42</f>
        <v>#VALUE!</v>
      </c>
      <c r="BW44" s="84" t="e">
        <f t="shared" si="23"/>
        <v>#VALUE!</v>
      </c>
      <c r="BX44" t="e">
        <f>BZ43*'Current vaccine model'!$H44*HelperFunctions!$R$42</f>
        <v>#VALUE!</v>
      </c>
      <c r="BY44" t="e">
        <f>BZ43*'Current vaccine model'!$H44*Export!$L42</f>
        <v>#VALUE!</v>
      </c>
      <c r="BZ44" s="84" t="e">
        <f t="shared" si="24"/>
        <v>#VALUE!</v>
      </c>
      <c r="CA44" t="e">
        <f>CC43*'Current vaccine model'!$H44*HelperFunctions!$R$42</f>
        <v>#VALUE!</v>
      </c>
      <c r="CB44" t="e">
        <f>CC43*'Current vaccine model'!$H44*Export!$L42</f>
        <v>#VALUE!</v>
      </c>
      <c r="CC44" s="84" t="e">
        <f t="shared" si="25"/>
        <v>#VALUE!</v>
      </c>
      <c r="CD44" t="e">
        <f>CF43*'Current vaccine model'!$H44*HelperFunctions!$R$42</f>
        <v>#VALUE!</v>
      </c>
      <c r="CE44" t="e">
        <f>CF43*'Current vaccine model'!$H44*Export!$L42</f>
        <v>#VALUE!</v>
      </c>
      <c r="CF44" s="84" t="e">
        <f t="shared" si="26"/>
        <v>#VALUE!</v>
      </c>
      <c r="CG44" t="e">
        <f>CI43*'Current vaccine model'!$H44*HelperFunctions!$R$42</f>
        <v>#VALUE!</v>
      </c>
      <c r="CH44" t="e">
        <f>CI43*'Current vaccine model'!$H44*Export!$L42</f>
        <v>#VALUE!</v>
      </c>
      <c r="CI44" s="84" t="e">
        <f t="shared" si="27"/>
        <v>#VALUE!</v>
      </c>
      <c r="CJ44" t="e">
        <f>CL43*'Current vaccine model'!$H44*HelperFunctions!$R$42</f>
        <v>#VALUE!</v>
      </c>
      <c r="CK44" t="e">
        <f>CL43*'Current vaccine model'!$H44*Export!$L42</f>
        <v>#VALUE!</v>
      </c>
      <c r="CL44" s="84" t="e">
        <f t="shared" si="28"/>
        <v>#VALUE!</v>
      </c>
      <c r="CM44" t="e">
        <f>CO43*'Current vaccine model'!$H44*HelperFunctions!$R41</f>
        <v>#VALUE!</v>
      </c>
      <c r="CN44" t="e">
        <f>CO43*'Current vaccine model'!$H44*Export!$L42</f>
        <v>#VALUE!</v>
      </c>
      <c r="CO44" s="84" t="e">
        <f t="shared" si="29"/>
        <v>#VALUE!</v>
      </c>
      <c r="CP44" t="e">
        <f>CR43*'Current vaccine model'!$H44*HelperFunctions!$R40</f>
        <v>#VALUE!</v>
      </c>
      <c r="CQ44" t="e">
        <f>CR43*'Current vaccine model'!$H44*Export!$L42</f>
        <v>#VALUE!</v>
      </c>
      <c r="CR44" s="84" t="e">
        <f t="shared" si="30"/>
        <v>#VALUE!</v>
      </c>
      <c r="CS44" t="e">
        <f>CU43*'Current vaccine model'!$H44*HelperFunctions!$R39</f>
        <v>#VALUE!</v>
      </c>
      <c r="CT44" t="e">
        <f>CU43*'Current vaccine model'!$H44*Export!$L42</f>
        <v>#VALUE!</v>
      </c>
      <c r="CU44" s="84" t="e">
        <f t="shared" si="31"/>
        <v>#VALUE!</v>
      </c>
      <c r="CV44" t="e">
        <f>CX43*'Current vaccine model'!$H44*HelperFunctions!$R38</f>
        <v>#VALUE!</v>
      </c>
      <c r="CW44" t="e">
        <f>CX43*'Current vaccine model'!$H44*Export!$L42</f>
        <v>#VALUE!</v>
      </c>
      <c r="CX44" s="84" t="e">
        <f t="shared" si="32"/>
        <v>#VALUE!</v>
      </c>
      <c r="CY44" t="e">
        <f>DA43*'Current vaccine model'!$H44*HelperFunctions!$R37</f>
        <v>#VALUE!</v>
      </c>
      <c r="CZ44" t="e">
        <f>DA43*'Current vaccine model'!$H44*Export!$L42</f>
        <v>#VALUE!</v>
      </c>
      <c r="DA44" s="84" t="e">
        <f t="shared" si="33"/>
        <v>#VALUE!</v>
      </c>
      <c r="DB44" t="e">
        <f>DD43*'Current vaccine model'!$H44*HelperFunctions!$R36</f>
        <v>#VALUE!</v>
      </c>
      <c r="DC44" t="e">
        <f>DD43*'Current vaccine model'!$H44*Export!$L42</f>
        <v>#VALUE!</v>
      </c>
      <c r="DD44" s="84" t="e">
        <f t="shared" si="34"/>
        <v>#VALUE!</v>
      </c>
      <c r="DE44" t="e">
        <f>DG43*'Current vaccine model'!$H44*HelperFunctions!$R35</f>
        <v>#VALUE!</v>
      </c>
      <c r="DF44" t="e">
        <f>DG43*'Current vaccine model'!$H44*Export!$L42</f>
        <v>#VALUE!</v>
      </c>
      <c r="DG44" s="84" t="e">
        <f t="shared" si="35"/>
        <v>#VALUE!</v>
      </c>
      <c r="DH44" t="e">
        <f>DJ43*'Current vaccine model'!$H44*HelperFunctions!$R48</f>
        <v>#VALUE!</v>
      </c>
      <c r="DI44" t="e">
        <f>DJ43*'Current vaccine model'!$H44*Export!$L42</f>
        <v>#VALUE!</v>
      </c>
      <c r="DJ44" s="84" t="e">
        <f t="shared" si="36"/>
        <v>#VALUE!</v>
      </c>
      <c r="DK44" t="e">
        <f>DM43*'Current vaccine model'!$H44*HelperFunctions!$R47</f>
        <v>#VALUE!</v>
      </c>
      <c r="DL44" t="e">
        <f>DM43*'Current vaccine model'!$H44*Export!$L42</f>
        <v>#VALUE!</v>
      </c>
      <c r="DM44" s="84" t="e">
        <f t="shared" si="37"/>
        <v>#VALUE!</v>
      </c>
      <c r="DN44" t="e">
        <f>DP43*'Current vaccine model'!$H44*HelperFunctions!$R46</f>
        <v>#VALUE!</v>
      </c>
      <c r="DO44" t="e">
        <f>DP43*'Current vaccine model'!$H44*Export!$L42</f>
        <v>#VALUE!</v>
      </c>
      <c r="DP44" s="84" t="e">
        <f t="shared" ref="DP44:DP63" si="38">DP43-DN44-DO44</f>
        <v>#VALUE!</v>
      </c>
      <c r="DQ44" t="e">
        <f>DS43*'Current vaccine model'!$H44*HelperFunctions!$R45</f>
        <v>#VALUE!</v>
      </c>
      <c r="DR44" t="e">
        <f>DS43*'Current vaccine model'!$H44*Export!$L42</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F44*'Current vaccine model'!$H45*HelperFunctions!$R$14</f>
        <v>#VALUE!</v>
      </c>
      <c r="E45" t="e">
        <f>F44*'Current vaccine model'!$H45*Export!$L43</f>
        <v>#VALUE!</v>
      </c>
      <c r="F45" s="84" t="e">
        <f t="shared" si="0"/>
        <v>#VALUE!</v>
      </c>
      <c r="G45" t="e">
        <f>I44*'Current vaccine model'!$H45*HelperFunctions!$R$14</f>
        <v>#VALUE!</v>
      </c>
      <c r="H45" t="e">
        <f>I44*'Current vaccine model'!$H45*Export!$L43</f>
        <v>#VALUE!</v>
      </c>
      <c r="I45" s="84" t="e">
        <f t="shared" si="1"/>
        <v>#VALUE!</v>
      </c>
      <c r="J45" t="e">
        <f>L44*'Current vaccine model'!$H45*HelperFunctions!$R$14</f>
        <v>#VALUE!</v>
      </c>
      <c r="K45" t="e">
        <f>L44*'Current vaccine model'!$H45*Export!$L43</f>
        <v>#VALUE!</v>
      </c>
      <c r="L45" s="84" t="e">
        <f t="shared" si="2"/>
        <v>#VALUE!</v>
      </c>
      <c r="M45" t="e">
        <f>O44*'Current vaccine model'!$H45*HelperFunctions!$R$14</f>
        <v>#VALUE!</v>
      </c>
      <c r="N45" t="e">
        <f>O44*'Current vaccine model'!$H45*Export!$L43</f>
        <v>#VALUE!</v>
      </c>
      <c r="O45" s="84" t="e">
        <f t="shared" si="3"/>
        <v>#VALUE!</v>
      </c>
      <c r="P45" t="e">
        <f>R44*'Current vaccine model'!$H45*HelperFunctions!$R$14</f>
        <v>#VALUE!</v>
      </c>
      <c r="Q45" t="e">
        <f>R44*'Current vaccine model'!$H45*Export!$L43</f>
        <v>#VALUE!</v>
      </c>
      <c r="R45" s="84" t="e">
        <f t="shared" si="4"/>
        <v>#VALUE!</v>
      </c>
      <c r="S45" t="e">
        <f>U44*'Current vaccine model'!$H45*HelperFunctions!$R$14</f>
        <v>#VALUE!</v>
      </c>
      <c r="T45" t="e">
        <f>U44*'Current vaccine model'!$H45*Export!$L43</f>
        <v>#VALUE!</v>
      </c>
      <c r="U45" s="84" t="e">
        <f t="shared" si="5"/>
        <v>#VALUE!</v>
      </c>
      <c r="V45" t="e">
        <f>X44*'Current vaccine model'!$H45*HelperFunctions!$R$14</f>
        <v>#VALUE!</v>
      </c>
      <c r="W45" t="e">
        <f>X44*'Current vaccine model'!$H45*Export!$L43</f>
        <v>#VALUE!</v>
      </c>
      <c r="X45" s="84" t="e">
        <f t="shared" si="6"/>
        <v>#VALUE!</v>
      </c>
      <c r="Y45" t="e">
        <f>AA44*'Current vaccine model'!$H45*HelperFunctions!$R$14</f>
        <v>#VALUE!</v>
      </c>
      <c r="Z45" t="e">
        <f>AA44*'Current vaccine model'!$H45*Export!$L43</f>
        <v>#VALUE!</v>
      </c>
      <c r="AA45" s="84" t="e">
        <f t="shared" si="7"/>
        <v>#VALUE!</v>
      </c>
      <c r="AB45" t="e">
        <f>AD44*'Current vaccine model'!$H45*HelperFunctions!$R$14</f>
        <v>#VALUE!</v>
      </c>
      <c r="AC45" t="e">
        <f>AD44*'Current vaccine model'!$H45*Export!$L43</f>
        <v>#VALUE!</v>
      </c>
      <c r="AD45" s="84" t="e">
        <f t="shared" si="8"/>
        <v>#VALUE!</v>
      </c>
      <c r="AE45" t="e">
        <f>AG44*'Current vaccine model'!$H45*HelperFunctions!$R$14</f>
        <v>#VALUE!</v>
      </c>
      <c r="AF45" t="e">
        <f>AG44*'Current vaccine model'!$H45*Export!$L43</f>
        <v>#VALUE!</v>
      </c>
      <c r="AG45" s="84" t="e">
        <f t="shared" si="9"/>
        <v>#VALUE!</v>
      </c>
      <c r="AH45" t="e">
        <f>AJ44*'Current vaccine model'!$H45*HelperFunctions!$R$14</f>
        <v>#VALUE!</v>
      </c>
      <c r="AI45" t="e">
        <f>AJ44*'Current vaccine model'!$H45*Export!$L43</f>
        <v>#VALUE!</v>
      </c>
      <c r="AJ45" s="84" t="e">
        <f t="shared" si="10"/>
        <v>#VALUE!</v>
      </c>
      <c r="AK45" t="e">
        <f>AM44*'Current vaccine model'!$H45*HelperFunctions!$R$14</f>
        <v>#VALUE!</v>
      </c>
      <c r="AL45" t="e">
        <f>AM44*'Current vaccine model'!$H45*Export!$L43</f>
        <v>#VALUE!</v>
      </c>
      <c r="AM45" s="84" t="e">
        <f t="shared" si="11"/>
        <v>#VALUE!</v>
      </c>
      <c r="AN45" t="e">
        <f>AP44*'Current vaccine model'!$H45*HelperFunctions!$R$28</f>
        <v>#VALUE!</v>
      </c>
      <c r="AO45" t="e">
        <f>AP44*'Current vaccine model'!$H45*Export!$L43</f>
        <v>#VALUE!</v>
      </c>
      <c r="AP45" s="84" t="e">
        <f t="shared" si="12"/>
        <v>#VALUE!</v>
      </c>
      <c r="AQ45" t="e">
        <f>AS44*'Current vaccine model'!$H45*HelperFunctions!$R$28</f>
        <v>#VALUE!</v>
      </c>
      <c r="AR45" t="e">
        <f>AS44*'Current vaccine model'!$H45*Export!$L43</f>
        <v>#VALUE!</v>
      </c>
      <c r="AS45" s="84" t="e">
        <f t="shared" si="13"/>
        <v>#VALUE!</v>
      </c>
      <c r="AT45" t="e">
        <f>AV44*'Current vaccine model'!$H45*HelperFunctions!$R$28</f>
        <v>#VALUE!</v>
      </c>
      <c r="AU45" t="e">
        <f>AV44*'Current vaccine model'!$H45*Export!$L43</f>
        <v>#VALUE!</v>
      </c>
      <c r="AV45" s="84" t="e">
        <f t="shared" si="14"/>
        <v>#VALUE!</v>
      </c>
      <c r="AW45" t="e">
        <f>AY44*'Current vaccine model'!$H45*HelperFunctions!$R$28</f>
        <v>#VALUE!</v>
      </c>
      <c r="AX45" t="e">
        <f>AY44*'Current vaccine model'!$H45*Export!$L43</f>
        <v>#VALUE!</v>
      </c>
      <c r="AY45" s="84" t="e">
        <f t="shared" si="15"/>
        <v>#VALUE!</v>
      </c>
      <c r="AZ45" t="e">
        <f>BB44*'Current vaccine model'!$H45*HelperFunctions!$R$28</f>
        <v>#VALUE!</v>
      </c>
      <c r="BA45" t="e">
        <f>BB44*'Current vaccine model'!$H45*Export!$L43</f>
        <v>#VALUE!</v>
      </c>
      <c r="BB45" s="84" t="e">
        <f t="shared" si="16"/>
        <v>#VALUE!</v>
      </c>
      <c r="BC45" t="e">
        <f>BE44*'Current vaccine model'!$H45*HelperFunctions!$R$28</f>
        <v>#VALUE!</v>
      </c>
      <c r="BD45" t="e">
        <f>BE44*'Current vaccine model'!$H45*Export!$L43</f>
        <v>#VALUE!</v>
      </c>
      <c r="BE45" s="84" t="e">
        <f t="shared" si="17"/>
        <v>#VALUE!</v>
      </c>
      <c r="BF45" t="e">
        <f>BH44*'Current vaccine model'!$H45*HelperFunctions!$R$28</f>
        <v>#VALUE!</v>
      </c>
      <c r="BG45" t="e">
        <f>BH44*'Current vaccine model'!$H45*Export!$L43</f>
        <v>#VALUE!</v>
      </c>
      <c r="BH45" s="84" t="e">
        <f t="shared" si="18"/>
        <v>#VALUE!</v>
      </c>
      <c r="BI45" t="e">
        <f>BK44*'Current vaccine model'!$H45*HelperFunctions!$R$28</f>
        <v>#VALUE!</v>
      </c>
      <c r="BJ45" t="e">
        <f>BK44*'Current vaccine model'!$H45*Export!$L43</f>
        <v>#VALUE!</v>
      </c>
      <c r="BK45" s="84" t="e">
        <f t="shared" si="19"/>
        <v>#VALUE!</v>
      </c>
      <c r="BL45" t="e">
        <f>BN44*'Current vaccine model'!$H45*HelperFunctions!$R$28</f>
        <v>#VALUE!</v>
      </c>
      <c r="BM45" t="e">
        <f>BN44*'Current vaccine model'!$H45*Export!$L43</f>
        <v>#VALUE!</v>
      </c>
      <c r="BN45" s="84" t="e">
        <f t="shared" si="20"/>
        <v>#VALUE!</v>
      </c>
      <c r="BO45" t="e">
        <f>BQ44*'Current vaccine model'!$H45*HelperFunctions!$R$28</f>
        <v>#VALUE!</v>
      </c>
      <c r="BP45" t="e">
        <f>BQ44*'Current vaccine model'!$H45*Export!$L43</f>
        <v>#VALUE!</v>
      </c>
      <c r="BQ45" s="84" t="e">
        <f t="shared" si="21"/>
        <v>#VALUE!</v>
      </c>
      <c r="BR45" t="e">
        <f>BT44*'Current vaccine model'!$H45*HelperFunctions!$R$28</f>
        <v>#VALUE!</v>
      </c>
      <c r="BS45" t="e">
        <f>BT44*'Current vaccine model'!$H45*Export!$L43</f>
        <v>#VALUE!</v>
      </c>
      <c r="BT45" s="84" t="e">
        <f t="shared" si="22"/>
        <v>#VALUE!</v>
      </c>
      <c r="BU45" t="e">
        <f>BW44*'Current vaccine model'!$H45*HelperFunctions!$R$28</f>
        <v>#VALUE!</v>
      </c>
      <c r="BV45" t="e">
        <f>BW44*'Current vaccine model'!$H45*Export!$L43</f>
        <v>#VALUE!</v>
      </c>
      <c r="BW45" s="84" t="e">
        <f t="shared" si="23"/>
        <v>#VALUE!</v>
      </c>
      <c r="BX45" t="e">
        <f>BZ44*'Current vaccine model'!$H45*HelperFunctions!$R$42</f>
        <v>#VALUE!</v>
      </c>
      <c r="BY45" t="e">
        <f>BZ44*'Current vaccine model'!$H45*Export!$L43</f>
        <v>#VALUE!</v>
      </c>
      <c r="BZ45" s="84" t="e">
        <f t="shared" si="24"/>
        <v>#VALUE!</v>
      </c>
      <c r="CA45" t="e">
        <f>CC44*'Current vaccine model'!$H45*HelperFunctions!$R$42</f>
        <v>#VALUE!</v>
      </c>
      <c r="CB45" t="e">
        <f>CC44*'Current vaccine model'!$H45*Export!$L43</f>
        <v>#VALUE!</v>
      </c>
      <c r="CC45" s="84" t="e">
        <f t="shared" si="25"/>
        <v>#VALUE!</v>
      </c>
      <c r="CD45" t="e">
        <f>CF44*'Current vaccine model'!$H45*HelperFunctions!$R$42</f>
        <v>#VALUE!</v>
      </c>
      <c r="CE45" t="e">
        <f>CF44*'Current vaccine model'!$H45*Export!$L43</f>
        <v>#VALUE!</v>
      </c>
      <c r="CF45" s="84" t="e">
        <f t="shared" si="26"/>
        <v>#VALUE!</v>
      </c>
      <c r="CG45" t="e">
        <f>CI44*'Current vaccine model'!$H45*HelperFunctions!$R$42</f>
        <v>#VALUE!</v>
      </c>
      <c r="CH45" t="e">
        <f>CI44*'Current vaccine model'!$H45*Export!$L43</f>
        <v>#VALUE!</v>
      </c>
      <c r="CI45" s="84" t="e">
        <f t="shared" si="27"/>
        <v>#VALUE!</v>
      </c>
      <c r="CJ45" t="e">
        <f>CL44*'Current vaccine model'!$H45*HelperFunctions!$R$42</f>
        <v>#VALUE!</v>
      </c>
      <c r="CK45" t="e">
        <f>CL44*'Current vaccine model'!$H45*Export!$L43</f>
        <v>#VALUE!</v>
      </c>
      <c r="CL45" s="84" t="e">
        <f t="shared" si="28"/>
        <v>#VALUE!</v>
      </c>
      <c r="CM45" t="e">
        <f>CO44*'Current vaccine model'!$H45*HelperFunctions!$R$42</f>
        <v>#VALUE!</v>
      </c>
      <c r="CN45" t="e">
        <f>CO44*'Current vaccine model'!$H45*Export!$L43</f>
        <v>#VALUE!</v>
      </c>
      <c r="CO45" s="84" t="e">
        <f t="shared" si="29"/>
        <v>#VALUE!</v>
      </c>
      <c r="CP45" t="e">
        <f>CR44*'Current vaccine model'!$H45*HelperFunctions!$R41</f>
        <v>#VALUE!</v>
      </c>
      <c r="CQ45" t="e">
        <f>CR44*'Current vaccine model'!$H45*Export!$L43</f>
        <v>#VALUE!</v>
      </c>
      <c r="CR45" s="84" t="e">
        <f t="shared" si="30"/>
        <v>#VALUE!</v>
      </c>
      <c r="CS45" t="e">
        <f>CU44*'Current vaccine model'!$H45*HelperFunctions!$R40</f>
        <v>#VALUE!</v>
      </c>
      <c r="CT45" t="e">
        <f>CU44*'Current vaccine model'!$H45*Export!$L43</f>
        <v>#VALUE!</v>
      </c>
      <c r="CU45" s="84" t="e">
        <f t="shared" si="31"/>
        <v>#VALUE!</v>
      </c>
      <c r="CV45" t="e">
        <f>CX44*'Current vaccine model'!$H45*HelperFunctions!$R39</f>
        <v>#VALUE!</v>
      </c>
      <c r="CW45" t="e">
        <f>CX44*'Current vaccine model'!$H45*Export!$L43</f>
        <v>#VALUE!</v>
      </c>
      <c r="CX45" s="84" t="e">
        <f t="shared" si="32"/>
        <v>#VALUE!</v>
      </c>
      <c r="CY45" t="e">
        <f>DA44*'Current vaccine model'!$H45*HelperFunctions!$R38</f>
        <v>#VALUE!</v>
      </c>
      <c r="CZ45" t="e">
        <f>DA44*'Current vaccine model'!$H45*Export!$L43</f>
        <v>#VALUE!</v>
      </c>
      <c r="DA45" s="84" t="e">
        <f t="shared" si="33"/>
        <v>#VALUE!</v>
      </c>
      <c r="DB45" t="e">
        <f>DD44*'Current vaccine model'!$H45*HelperFunctions!$R37</f>
        <v>#VALUE!</v>
      </c>
      <c r="DC45" t="e">
        <f>DD44*'Current vaccine model'!$H45*Export!$L43</f>
        <v>#VALUE!</v>
      </c>
      <c r="DD45" s="84" t="e">
        <f t="shared" si="34"/>
        <v>#VALUE!</v>
      </c>
      <c r="DE45" t="e">
        <f>DG44*'Current vaccine model'!$H45*HelperFunctions!$R36</f>
        <v>#VALUE!</v>
      </c>
      <c r="DF45" t="e">
        <f>DG44*'Current vaccine model'!$H45*Export!$L43</f>
        <v>#VALUE!</v>
      </c>
      <c r="DG45" s="84" t="e">
        <f t="shared" si="35"/>
        <v>#VALUE!</v>
      </c>
      <c r="DH45" t="e">
        <f>DJ44*'Current vaccine model'!$H45*HelperFunctions!$R49</f>
        <v>#VALUE!</v>
      </c>
      <c r="DI45" t="e">
        <f>DJ44*'Current vaccine model'!$H45*Export!$L43</f>
        <v>#VALUE!</v>
      </c>
      <c r="DJ45" s="84" t="e">
        <f t="shared" si="36"/>
        <v>#VALUE!</v>
      </c>
      <c r="DK45" t="e">
        <f>DM44*'Current vaccine model'!$H45*HelperFunctions!$R48</f>
        <v>#VALUE!</v>
      </c>
      <c r="DL45" t="e">
        <f>DM44*'Current vaccine model'!$H45*Export!$L43</f>
        <v>#VALUE!</v>
      </c>
      <c r="DM45" s="84" t="e">
        <f t="shared" si="37"/>
        <v>#VALUE!</v>
      </c>
      <c r="DN45" t="e">
        <f>DP44*'Current vaccine model'!$H45*HelperFunctions!$R47</f>
        <v>#VALUE!</v>
      </c>
      <c r="DO45" t="e">
        <f>DP44*'Current vaccine model'!$H45*Export!$L43</f>
        <v>#VALUE!</v>
      </c>
      <c r="DP45" s="84" t="e">
        <f t="shared" si="38"/>
        <v>#VALUE!</v>
      </c>
      <c r="DQ45" t="e">
        <f>DS44*'Current vaccine model'!$H45*HelperFunctions!$R46</f>
        <v>#VALUE!</v>
      </c>
      <c r="DR45" t="e">
        <f>DS44*'Current vaccine model'!$H45*Export!$L43</f>
        <v>#VALUE!</v>
      </c>
      <c r="DS45" s="84" t="e">
        <f t="shared" ref="DS45:DS63" si="39">DS44-DQ45-DR45</f>
        <v>#VALUE!</v>
      </c>
      <c r="DT45" t="e">
        <f>DV44*'Current vaccine model'!$H45*HelperFunctions!$R45</f>
        <v>#VALUE!</v>
      </c>
      <c r="DU45" t="e">
        <f>DV44*'Current vaccine model'!$H45*Export!$L43</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F45*'Current vaccine model'!$H46*HelperFunctions!$R$14</f>
        <v>#VALUE!</v>
      </c>
      <c r="E46" t="e">
        <f>F45*'Current vaccine model'!$H46*Export!$L44</f>
        <v>#VALUE!</v>
      </c>
      <c r="F46" s="84" t="e">
        <f t="shared" si="0"/>
        <v>#VALUE!</v>
      </c>
      <c r="G46" t="e">
        <f>I45*'Current vaccine model'!$H46*HelperFunctions!$R$14</f>
        <v>#VALUE!</v>
      </c>
      <c r="H46" t="e">
        <f>I45*'Current vaccine model'!$H46*Export!$L44</f>
        <v>#VALUE!</v>
      </c>
      <c r="I46" s="84" t="e">
        <f t="shared" si="1"/>
        <v>#VALUE!</v>
      </c>
      <c r="J46" t="e">
        <f>L45*'Current vaccine model'!$H46*HelperFunctions!$R$14</f>
        <v>#VALUE!</v>
      </c>
      <c r="K46" t="e">
        <f>L45*'Current vaccine model'!$H46*Export!$L44</f>
        <v>#VALUE!</v>
      </c>
      <c r="L46" s="84" t="e">
        <f t="shared" si="2"/>
        <v>#VALUE!</v>
      </c>
      <c r="M46" t="e">
        <f>O45*'Current vaccine model'!$H46*HelperFunctions!$R$14</f>
        <v>#VALUE!</v>
      </c>
      <c r="N46" t="e">
        <f>O45*'Current vaccine model'!$H46*Export!$L44</f>
        <v>#VALUE!</v>
      </c>
      <c r="O46" s="84" t="e">
        <f t="shared" si="3"/>
        <v>#VALUE!</v>
      </c>
      <c r="P46" t="e">
        <f>R45*'Current vaccine model'!$H46*HelperFunctions!$R$14</f>
        <v>#VALUE!</v>
      </c>
      <c r="Q46" t="e">
        <f>R45*'Current vaccine model'!$H46*Export!$L44</f>
        <v>#VALUE!</v>
      </c>
      <c r="R46" s="84" t="e">
        <f t="shared" si="4"/>
        <v>#VALUE!</v>
      </c>
      <c r="S46" t="e">
        <f>U45*'Current vaccine model'!$H46*HelperFunctions!$R$14</f>
        <v>#VALUE!</v>
      </c>
      <c r="T46" t="e">
        <f>U45*'Current vaccine model'!$H46*Export!$L44</f>
        <v>#VALUE!</v>
      </c>
      <c r="U46" s="84" t="e">
        <f t="shared" si="5"/>
        <v>#VALUE!</v>
      </c>
      <c r="V46" t="e">
        <f>X45*'Current vaccine model'!$H46*HelperFunctions!$R$14</f>
        <v>#VALUE!</v>
      </c>
      <c r="W46" t="e">
        <f>X45*'Current vaccine model'!$H46*Export!$L44</f>
        <v>#VALUE!</v>
      </c>
      <c r="X46" s="84" t="e">
        <f t="shared" si="6"/>
        <v>#VALUE!</v>
      </c>
      <c r="Y46" t="e">
        <f>AA45*'Current vaccine model'!$H46*HelperFunctions!$R$14</f>
        <v>#VALUE!</v>
      </c>
      <c r="Z46" t="e">
        <f>AA45*'Current vaccine model'!$H46*Export!$L44</f>
        <v>#VALUE!</v>
      </c>
      <c r="AA46" s="84" t="e">
        <f t="shared" si="7"/>
        <v>#VALUE!</v>
      </c>
      <c r="AB46" t="e">
        <f>AD45*'Current vaccine model'!$H46*HelperFunctions!$R$14</f>
        <v>#VALUE!</v>
      </c>
      <c r="AC46" t="e">
        <f>AD45*'Current vaccine model'!$H46*Export!$L44</f>
        <v>#VALUE!</v>
      </c>
      <c r="AD46" s="84" t="e">
        <f t="shared" si="8"/>
        <v>#VALUE!</v>
      </c>
      <c r="AE46" t="e">
        <f>AG45*'Current vaccine model'!$H46*HelperFunctions!$R$14</f>
        <v>#VALUE!</v>
      </c>
      <c r="AF46" t="e">
        <f>AG45*'Current vaccine model'!$H46*Export!$L44</f>
        <v>#VALUE!</v>
      </c>
      <c r="AG46" s="84" t="e">
        <f t="shared" si="9"/>
        <v>#VALUE!</v>
      </c>
      <c r="AH46" t="e">
        <f>AJ45*'Current vaccine model'!$H46*HelperFunctions!$R$14</f>
        <v>#VALUE!</v>
      </c>
      <c r="AI46" t="e">
        <f>AJ45*'Current vaccine model'!$H46*Export!$L44</f>
        <v>#VALUE!</v>
      </c>
      <c r="AJ46" s="84" t="e">
        <f t="shared" si="10"/>
        <v>#VALUE!</v>
      </c>
      <c r="AK46" t="e">
        <f>AM45*'Current vaccine model'!$H46*HelperFunctions!$R$14</f>
        <v>#VALUE!</v>
      </c>
      <c r="AL46" t="e">
        <f>AM45*'Current vaccine model'!$H46*Export!$L44</f>
        <v>#VALUE!</v>
      </c>
      <c r="AM46" s="84" t="e">
        <f t="shared" si="11"/>
        <v>#VALUE!</v>
      </c>
      <c r="AN46" t="e">
        <f>AP45*'Current vaccine model'!$H46*HelperFunctions!$R$28</f>
        <v>#VALUE!</v>
      </c>
      <c r="AO46" t="e">
        <f>AP45*'Current vaccine model'!$H46*Export!$L44</f>
        <v>#VALUE!</v>
      </c>
      <c r="AP46" s="84" t="e">
        <f t="shared" si="12"/>
        <v>#VALUE!</v>
      </c>
      <c r="AQ46" t="e">
        <f>AS45*'Current vaccine model'!$H46*HelperFunctions!$R$28</f>
        <v>#VALUE!</v>
      </c>
      <c r="AR46" t="e">
        <f>AS45*'Current vaccine model'!$H46*Export!$L44</f>
        <v>#VALUE!</v>
      </c>
      <c r="AS46" s="84" t="e">
        <f t="shared" si="13"/>
        <v>#VALUE!</v>
      </c>
      <c r="AT46" t="e">
        <f>AV45*'Current vaccine model'!$H46*HelperFunctions!$R$28</f>
        <v>#VALUE!</v>
      </c>
      <c r="AU46" t="e">
        <f>AV45*'Current vaccine model'!$H46*Export!$L44</f>
        <v>#VALUE!</v>
      </c>
      <c r="AV46" s="84" t="e">
        <f t="shared" si="14"/>
        <v>#VALUE!</v>
      </c>
      <c r="AW46" t="e">
        <f>AY45*'Current vaccine model'!$H46*HelperFunctions!$R$28</f>
        <v>#VALUE!</v>
      </c>
      <c r="AX46" t="e">
        <f>AY45*'Current vaccine model'!$H46*Export!$L44</f>
        <v>#VALUE!</v>
      </c>
      <c r="AY46" s="84" t="e">
        <f t="shared" si="15"/>
        <v>#VALUE!</v>
      </c>
      <c r="AZ46" t="e">
        <f>BB45*'Current vaccine model'!$H46*HelperFunctions!$R$28</f>
        <v>#VALUE!</v>
      </c>
      <c r="BA46" t="e">
        <f>BB45*'Current vaccine model'!$H46*Export!$L44</f>
        <v>#VALUE!</v>
      </c>
      <c r="BB46" s="84" t="e">
        <f t="shared" si="16"/>
        <v>#VALUE!</v>
      </c>
      <c r="BC46" t="e">
        <f>BE45*'Current vaccine model'!$H46*HelperFunctions!$R$28</f>
        <v>#VALUE!</v>
      </c>
      <c r="BD46" t="e">
        <f>BE45*'Current vaccine model'!$H46*Export!$L44</f>
        <v>#VALUE!</v>
      </c>
      <c r="BE46" s="84" t="e">
        <f t="shared" si="17"/>
        <v>#VALUE!</v>
      </c>
      <c r="BF46" t="e">
        <f>BH45*'Current vaccine model'!$H46*HelperFunctions!$R$28</f>
        <v>#VALUE!</v>
      </c>
      <c r="BG46" t="e">
        <f>BH45*'Current vaccine model'!$H46*Export!$L44</f>
        <v>#VALUE!</v>
      </c>
      <c r="BH46" s="84" t="e">
        <f t="shared" si="18"/>
        <v>#VALUE!</v>
      </c>
      <c r="BI46" t="e">
        <f>BK45*'Current vaccine model'!$H46*HelperFunctions!$R$28</f>
        <v>#VALUE!</v>
      </c>
      <c r="BJ46" t="e">
        <f>BK45*'Current vaccine model'!$H46*Export!$L44</f>
        <v>#VALUE!</v>
      </c>
      <c r="BK46" s="84" t="e">
        <f t="shared" si="19"/>
        <v>#VALUE!</v>
      </c>
      <c r="BL46" t="e">
        <f>BN45*'Current vaccine model'!$H46*HelperFunctions!$R$28</f>
        <v>#VALUE!</v>
      </c>
      <c r="BM46" t="e">
        <f>BN45*'Current vaccine model'!$H46*Export!$L44</f>
        <v>#VALUE!</v>
      </c>
      <c r="BN46" s="84" t="e">
        <f t="shared" si="20"/>
        <v>#VALUE!</v>
      </c>
      <c r="BO46" t="e">
        <f>BQ45*'Current vaccine model'!$H46*HelperFunctions!$R$28</f>
        <v>#VALUE!</v>
      </c>
      <c r="BP46" t="e">
        <f>BQ45*'Current vaccine model'!$H46*Export!$L44</f>
        <v>#VALUE!</v>
      </c>
      <c r="BQ46" s="84" t="e">
        <f t="shared" si="21"/>
        <v>#VALUE!</v>
      </c>
      <c r="BR46" t="e">
        <f>BT45*'Current vaccine model'!$H46*HelperFunctions!$R$28</f>
        <v>#VALUE!</v>
      </c>
      <c r="BS46" t="e">
        <f>BT45*'Current vaccine model'!$H46*Export!$L44</f>
        <v>#VALUE!</v>
      </c>
      <c r="BT46" s="84" t="e">
        <f t="shared" si="22"/>
        <v>#VALUE!</v>
      </c>
      <c r="BU46" t="e">
        <f>BW45*'Current vaccine model'!$H46*HelperFunctions!$R$28</f>
        <v>#VALUE!</v>
      </c>
      <c r="BV46" t="e">
        <f>BW45*'Current vaccine model'!$H46*Export!$L44</f>
        <v>#VALUE!</v>
      </c>
      <c r="BW46" s="84" t="e">
        <f t="shared" si="23"/>
        <v>#VALUE!</v>
      </c>
      <c r="BX46" t="e">
        <f>BZ45*'Current vaccine model'!$H46*HelperFunctions!$R$42</f>
        <v>#VALUE!</v>
      </c>
      <c r="BY46" t="e">
        <f>BZ45*'Current vaccine model'!$H46*Export!$L44</f>
        <v>#VALUE!</v>
      </c>
      <c r="BZ46" s="84" t="e">
        <f t="shared" si="24"/>
        <v>#VALUE!</v>
      </c>
      <c r="CA46" t="e">
        <f>CC45*'Current vaccine model'!$H46*HelperFunctions!$R$42</f>
        <v>#VALUE!</v>
      </c>
      <c r="CB46" t="e">
        <f>CC45*'Current vaccine model'!$H46*Export!$L44</f>
        <v>#VALUE!</v>
      </c>
      <c r="CC46" s="84" t="e">
        <f t="shared" si="25"/>
        <v>#VALUE!</v>
      </c>
      <c r="CD46" t="e">
        <f>CF45*'Current vaccine model'!$H46*HelperFunctions!$R$42</f>
        <v>#VALUE!</v>
      </c>
      <c r="CE46" t="e">
        <f>CF45*'Current vaccine model'!$H46*Export!$L44</f>
        <v>#VALUE!</v>
      </c>
      <c r="CF46" s="84" t="e">
        <f t="shared" si="26"/>
        <v>#VALUE!</v>
      </c>
      <c r="CG46" t="e">
        <f>CI45*'Current vaccine model'!$H46*HelperFunctions!$R$42</f>
        <v>#VALUE!</v>
      </c>
      <c r="CH46" t="e">
        <f>CI45*'Current vaccine model'!$H46*Export!$L44</f>
        <v>#VALUE!</v>
      </c>
      <c r="CI46" s="84" t="e">
        <f t="shared" si="27"/>
        <v>#VALUE!</v>
      </c>
      <c r="CJ46" t="e">
        <f>CL45*'Current vaccine model'!$H46*HelperFunctions!$R$42</f>
        <v>#VALUE!</v>
      </c>
      <c r="CK46" t="e">
        <f>CL45*'Current vaccine model'!$H46*Export!$L44</f>
        <v>#VALUE!</v>
      </c>
      <c r="CL46" s="84" t="e">
        <f t="shared" si="28"/>
        <v>#VALUE!</v>
      </c>
      <c r="CM46" t="e">
        <f>CO45*'Current vaccine model'!$H46*HelperFunctions!$R$42</f>
        <v>#VALUE!</v>
      </c>
      <c r="CN46" t="e">
        <f>CO45*'Current vaccine model'!$H46*Export!$L44</f>
        <v>#VALUE!</v>
      </c>
      <c r="CO46" s="84" t="e">
        <f t="shared" si="29"/>
        <v>#VALUE!</v>
      </c>
      <c r="CP46" t="e">
        <f>CR45*'Current vaccine model'!$H46*HelperFunctions!$R$42</f>
        <v>#VALUE!</v>
      </c>
      <c r="CQ46" t="e">
        <f>CR45*'Current vaccine model'!$H46*Export!$L44</f>
        <v>#VALUE!</v>
      </c>
      <c r="CR46" s="84" t="e">
        <f t="shared" si="30"/>
        <v>#VALUE!</v>
      </c>
      <c r="CS46" t="e">
        <f>CU45*'Current vaccine model'!$H46*HelperFunctions!$R41</f>
        <v>#VALUE!</v>
      </c>
      <c r="CT46" t="e">
        <f>CU45*'Current vaccine model'!$H46*Export!$L44</f>
        <v>#VALUE!</v>
      </c>
      <c r="CU46" s="84" t="e">
        <f t="shared" si="31"/>
        <v>#VALUE!</v>
      </c>
      <c r="CV46" t="e">
        <f>CX45*'Current vaccine model'!$H46*HelperFunctions!$R40</f>
        <v>#VALUE!</v>
      </c>
      <c r="CW46" t="e">
        <f>CX45*'Current vaccine model'!$H46*Export!$L44</f>
        <v>#VALUE!</v>
      </c>
      <c r="CX46" s="84" t="e">
        <f t="shared" si="32"/>
        <v>#VALUE!</v>
      </c>
      <c r="CY46" t="e">
        <f>DA45*'Current vaccine model'!$H46*HelperFunctions!$R39</f>
        <v>#VALUE!</v>
      </c>
      <c r="CZ46" t="e">
        <f>DA45*'Current vaccine model'!$H46*Export!$L44</f>
        <v>#VALUE!</v>
      </c>
      <c r="DA46" s="84" t="e">
        <f t="shared" si="33"/>
        <v>#VALUE!</v>
      </c>
      <c r="DB46" t="e">
        <f>DD45*'Current vaccine model'!$H46*HelperFunctions!$R38</f>
        <v>#VALUE!</v>
      </c>
      <c r="DC46" t="e">
        <f>DD45*'Current vaccine model'!$H46*Export!$L44</f>
        <v>#VALUE!</v>
      </c>
      <c r="DD46" s="84" t="e">
        <f t="shared" si="34"/>
        <v>#VALUE!</v>
      </c>
      <c r="DE46" t="e">
        <f>DG45*'Current vaccine model'!$H46*HelperFunctions!$R37</f>
        <v>#VALUE!</v>
      </c>
      <c r="DF46" t="e">
        <f>DG45*'Current vaccine model'!$H46*Export!$L44</f>
        <v>#VALUE!</v>
      </c>
      <c r="DG46" s="84" t="e">
        <f t="shared" si="35"/>
        <v>#VALUE!</v>
      </c>
      <c r="DH46" t="e">
        <f>DJ45*'Current vaccine model'!$H46*HelperFunctions!$R50</f>
        <v>#VALUE!</v>
      </c>
      <c r="DI46" t="e">
        <f>DJ45*'Current vaccine model'!$H46*Export!$L44</f>
        <v>#VALUE!</v>
      </c>
      <c r="DJ46" s="84" t="e">
        <f t="shared" si="36"/>
        <v>#VALUE!</v>
      </c>
      <c r="DK46" t="e">
        <f>DM45*'Current vaccine model'!$H46*HelperFunctions!$R49</f>
        <v>#VALUE!</v>
      </c>
      <c r="DL46" t="e">
        <f>DM45*'Current vaccine model'!$H46*Export!$L44</f>
        <v>#VALUE!</v>
      </c>
      <c r="DM46" s="84" t="e">
        <f t="shared" si="37"/>
        <v>#VALUE!</v>
      </c>
      <c r="DN46" t="e">
        <f>DP45*'Current vaccine model'!$H46*HelperFunctions!$R48</f>
        <v>#VALUE!</v>
      </c>
      <c r="DO46" t="e">
        <f>DP45*'Current vaccine model'!$H46*Export!$L44</f>
        <v>#VALUE!</v>
      </c>
      <c r="DP46" s="84" t="e">
        <f t="shared" si="38"/>
        <v>#VALUE!</v>
      </c>
      <c r="DQ46" t="e">
        <f>DS45*'Current vaccine model'!$H46*HelperFunctions!$R47</f>
        <v>#VALUE!</v>
      </c>
      <c r="DR46" t="e">
        <f>DS45*'Current vaccine model'!$H46*Export!$L44</f>
        <v>#VALUE!</v>
      </c>
      <c r="DS46" s="84" t="e">
        <f t="shared" si="39"/>
        <v>#VALUE!</v>
      </c>
      <c r="DT46" t="e">
        <f>DV45*'Current vaccine model'!$H46*HelperFunctions!$R46</f>
        <v>#VALUE!</v>
      </c>
      <c r="DU46" t="e">
        <f>DV45*'Current vaccine model'!$H46*Export!$L44</f>
        <v>#VALUE!</v>
      </c>
      <c r="DV46" s="84" t="e">
        <f t="shared" ref="DV46:DV63" si="40">DV45-DT46-DU46</f>
        <v>#VALUE!</v>
      </c>
      <c r="DW46" t="e">
        <f>DY45*'Current vaccine model'!$H46*HelperFunctions!$R45</f>
        <v>#VALUE!</v>
      </c>
      <c r="DX46" t="e">
        <f>DY45*'Current vaccine model'!$H46*Export!$L44</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F46*'Current vaccine model'!$H47*HelperFunctions!$R$14</f>
        <v>#VALUE!</v>
      </c>
      <c r="E47" t="e">
        <f>F46*'Current vaccine model'!$H47*Export!$L45</f>
        <v>#VALUE!</v>
      </c>
      <c r="F47" s="84" t="e">
        <f t="shared" si="0"/>
        <v>#VALUE!</v>
      </c>
      <c r="G47" t="e">
        <f>I46*'Current vaccine model'!$H47*HelperFunctions!$R$14</f>
        <v>#VALUE!</v>
      </c>
      <c r="H47" t="e">
        <f>I46*'Current vaccine model'!$H47*Export!$L45</f>
        <v>#VALUE!</v>
      </c>
      <c r="I47" s="84" t="e">
        <f t="shared" si="1"/>
        <v>#VALUE!</v>
      </c>
      <c r="J47" t="e">
        <f>L46*'Current vaccine model'!$H47*HelperFunctions!$R$14</f>
        <v>#VALUE!</v>
      </c>
      <c r="K47" t="e">
        <f>L46*'Current vaccine model'!$H47*Export!$L45</f>
        <v>#VALUE!</v>
      </c>
      <c r="L47" s="84" t="e">
        <f t="shared" si="2"/>
        <v>#VALUE!</v>
      </c>
      <c r="M47" t="e">
        <f>O46*'Current vaccine model'!$H47*HelperFunctions!$R$14</f>
        <v>#VALUE!</v>
      </c>
      <c r="N47" t="e">
        <f>O46*'Current vaccine model'!$H47*Export!$L45</f>
        <v>#VALUE!</v>
      </c>
      <c r="O47" s="84" t="e">
        <f t="shared" si="3"/>
        <v>#VALUE!</v>
      </c>
      <c r="P47" t="e">
        <f>R46*'Current vaccine model'!$H47*HelperFunctions!$R$14</f>
        <v>#VALUE!</v>
      </c>
      <c r="Q47" t="e">
        <f>R46*'Current vaccine model'!$H47*Export!$L45</f>
        <v>#VALUE!</v>
      </c>
      <c r="R47" s="84" t="e">
        <f t="shared" si="4"/>
        <v>#VALUE!</v>
      </c>
      <c r="S47" t="e">
        <f>U46*'Current vaccine model'!$H47*HelperFunctions!$R$14</f>
        <v>#VALUE!</v>
      </c>
      <c r="T47" t="e">
        <f>U46*'Current vaccine model'!$H47*Export!$L45</f>
        <v>#VALUE!</v>
      </c>
      <c r="U47" s="84" t="e">
        <f t="shared" si="5"/>
        <v>#VALUE!</v>
      </c>
      <c r="V47" t="e">
        <f>X46*'Current vaccine model'!$H47*HelperFunctions!$R$14</f>
        <v>#VALUE!</v>
      </c>
      <c r="W47" t="e">
        <f>X46*'Current vaccine model'!$H47*Export!$L45</f>
        <v>#VALUE!</v>
      </c>
      <c r="X47" s="84" t="e">
        <f t="shared" si="6"/>
        <v>#VALUE!</v>
      </c>
      <c r="Y47" t="e">
        <f>AA46*'Current vaccine model'!$H47*HelperFunctions!$R$14</f>
        <v>#VALUE!</v>
      </c>
      <c r="Z47" t="e">
        <f>AA46*'Current vaccine model'!$H47*Export!$L45</f>
        <v>#VALUE!</v>
      </c>
      <c r="AA47" s="84" t="e">
        <f t="shared" si="7"/>
        <v>#VALUE!</v>
      </c>
      <c r="AB47" t="e">
        <f>AD46*'Current vaccine model'!$H47*HelperFunctions!$R$14</f>
        <v>#VALUE!</v>
      </c>
      <c r="AC47" t="e">
        <f>AD46*'Current vaccine model'!$H47*Export!$L45</f>
        <v>#VALUE!</v>
      </c>
      <c r="AD47" s="84" t="e">
        <f t="shared" si="8"/>
        <v>#VALUE!</v>
      </c>
      <c r="AE47" t="e">
        <f>AG46*'Current vaccine model'!$H47*HelperFunctions!$R$14</f>
        <v>#VALUE!</v>
      </c>
      <c r="AF47" t="e">
        <f>AG46*'Current vaccine model'!$H47*Export!$L45</f>
        <v>#VALUE!</v>
      </c>
      <c r="AG47" s="84" t="e">
        <f t="shared" si="9"/>
        <v>#VALUE!</v>
      </c>
      <c r="AH47" t="e">
        <f>AJ46*'Current vaccine model'!$H47*HelperFunctions!$R$14</f>
        <v>#VALUE!</v>
      </c>
      <c r="AI47" t="e">
        <f>AJ46*'Current vaccine model'!$H47*Export!$L45</f>
        <v>#VALUE!</v>
      </c>
      <c r="AJ47" s="84" t="e">
        <f t="shared" si="10"/>
        <v>#VALUE!</v>
      </c>
      <c r="AK47" t="e">
        <f>AM46*'Current vaccine model'!$H47*HelperFunctions!$R$14</f>
        <v>#VALUE!</v>
      </c>
      <c r="AL47" t="e">
        <f>AM46*'Current vaccine model'!$H47*Export!$L45</f>
        <v>#VALUE!</v>
      </c>
      <c r="AM47" s="84" t="e">
        <f t="shared" si="11"/>
        <v>#VALUE!</v>
      </c>
      <c r="AN47" t="e">
        <f>AP46*'Current vaccine model'!$H47*HelperFunctions!$R$28</f>
        <v>#VALUE!</v>
      </c>
      <c r="AO47" t="e">
        <f>AP46*'Current vaccine model'!$H47*Export!$L45</f>
        <v>#VALUE!</v>
      </c>
      <c r="AP47" s="84" t="e">
        <f t="shared" si="12"/>
        <v>#VALUE!</v>
      </c>
      <c r="AQ47" t="e">
        <f>AS46*'Current vaccine model'!$H47*HelperFunctions!$R$28</f>
        <v>#VALUE!</v>
      </c>
      <c r="AR47" t="e">
        <f>AS46*'Current vaccine model'!$H47*Export!$L45</f>
        <v>#VALUE!</v>
      </c>
      <c r="AS47" s="84" t="e">
        <f t="shared" si="13"/>
        <v>#VALUE!</v>
      </c>
      <c r="AT47" t="e">
        <f>AV46*'Current vaccine model'!$H47*HelperFunctions!$R$28</f>
        <v>#VALUE!</v>
      </c>
      <c r="AU47" t="e">
        <f>AV46*'Current vaccine model'!$H47*Export!$L45</f>
        <v>#VALUE!</v>
      </c>
      <c r="AV47" s="84" t="e">
        <f t="shared" si="14"/>
        <v>#VALUE!</v>
      </c>
      <c r="AW47" t="e">
        <f>AY46*'Current vaccine model'!$H47*HelperFunctions!$R$28</f>
        <v>#VALUE!</v>
      </c>
      <c r="AX47" t="e">
        <f>AY46*'Current vaccine model'!$H47*Export!$L45</f>
        <v>#VALUE!</v>
      </c>
      <c r="AY47" s="84" t="e">
        <f t="shared" si="15"/>
        <v>#VALUE!</v>
      </c>
      <c r="AZ47" t="e">
        <f>BB46*'Current vaccine model'!$H47*HelperFunctions!$R$28</f>
        <v>#VALUE!</v>
      </c>
      <c r="BA47" t="e">
        <f>BB46*'Current vaccine model'!$H47*Export!$L45</f>
        <v>#VALUE!</v>
      </c>
      <c r="BB47" s="84" t="e">
        <f t="shared" si="16"/>
        <v>#VALUE!</v>
      </c>
      <c r="BC47" t="e">
        <f>BE46*'Current vaccine model'!$H47*HelperFunctions!$R$28</f>
        <v>#VALUE!</v>
      </c>
      <c r="BD47" t="e">
        <f>BE46*'Current vaccine model'!$H47*Export!$L45</f>
        <v>#VALUE!</v>
      </c>
      <c r="BE47" s="84" t="e">
        <f t="shared" si="17"/>
        <v>#VALUE!</v>
      </c>
      <c r="BF47" t="e">
        <f>BH46*'Current vaccine model'!$H47*HelperFunctions!$R$28</f>
        <v>#VALUE!</v>
      </c>
      <c r="BG47" t="e">
        <f>BH46*'Current vaccine model'!$H47*Export!$L45</f>
        <v>#VALUE!</v>
      </c>
      <c r="BH47" s="84" t="e">
        <f t="shared" si="18"/>
        <v>#VALUE!</v>
      </c>
      <c r="BI47" t="e">
        <f>BK46*'Current vaccine model'!$H47*HelperFunctions!$R$28</f>
        <v>#VALUE!</v>
      </c>
      <c r="BJ47" t="e">
        <f>BK46*'Current vaccine model'!$H47*Export!$L45</f>
        <v>#VALUE!</v>
      </c>
      <c r="BK47" s="84" t="e">
        <f t="shared" si="19"/>
        <v>#VALUE!</v>
      </c>
      <c r="BL47" t="e">
        <f>BN46*'Current vaccine model'!$H47*HelperFunctions!$R$28</f>
        <v>#VALUE!</v>
      </c>
      <c r="BM47" t="e">
        <f>BN46*'Current vaccine model'!$H47*Export!$L45</f>
        <v>#VALUE!</v>
      </c>
      <c r="BN47" s="84" t="e">
        <f t="shared" si="20"/>
        <v>#VALUE!</v>
      </c>
      <c r="BO47" t="e">
        <f>BQ46*'Current vaccine model'!$H47*HelperFunctions!$R$28</f>
        <v>#VALUE!</v>
      </c>
      <c r="BP47" t="e">
        <f>BQ46*'Current vaccine model'!$H47*Export!$L45</f>
        <v>#VALUE!</v>
      </c>
      <c r="BQ47" s="84" t="e">
        <f t="shared" si="21"/>
        <v>#VALUE!</v>
      </c>
      <c r="BR47" t="e">
        <f>BT46*'Current vaccine model'!$H47*HelperFunctions!$R$28</f>
        <v>#VALUE!</v>
      </c>
      <c r="BS47" t="e">
        <f>BT46*'Current vaccine model'!$H47*Export!$L45</f>
        <v>#VALUE!</v>
      </c>
      <c r="BT47" s="84" t="e">
        <f t="shared" si="22"/>
        <v>#VALUE!</v>
      </c>
      <c r="BU47" t="e">
        <f>BW46*'Current vaccine model'!$H47*HelperFunctions!$R$28</f>
        <v>#VALUE!</v>
      </c>
      <c r="BV47" t="e">
        <f>BW46*'Current vaccine model'!$H47*Export!$L45</f>
        <v>#VALUE!</v>
      </c>
      <c r="BW47" s="84" t="e">
        <f t="shared" si="23"/>
        <v>#VALUE!</v>
      </c>
      <c r="BX47" t="e">
        <f>BZ46*'Current vaccine model'!$H47*HelperFunctions!$R$42</f>
        <v>#VALUE!</v>
      </c>
      <c r="BY47" t="e">
        <f>BZ46*'Current vaccine model'!$H47*Export!$L45</f>
        <v>#VALUE!</v>
      </c>
      <c r="BZ47" s="84" t="e">
        <f t="shared" si="24"/>
        <v>#VALUE!</v>
      </c>
      <c r="CA47" t="e">
        <f>CC46*'Current vaccine model'!$H47*HelperFunctions!$R$42</f>
        <v>#VALUE!</v>
      </c>
      <c r="CB47" t="e">
        <f>CC46*'Current vaccine model'!$H47*Export!$L45</f>
        <v>#VALUE!</v>
      </c>
      <c r="CC47" s="84" t="e">
        <f t="shared" si="25"/>
        <v>#VALUE!</v>
      </c>
      <c r="CD47" t="e">
        <f>CF46*'Current vaccine model'!$H47*HelperFunctions!$R$42</f>
        <v>#VALUE!</v>
      </c>
      <c r="CE47" t="e">
        <f>CF46*'Current vaccine model'!$H47*Export!$L45</f>
        <v>#VALUE!</v>
      </c>
      <c r="CF47" s="84" t="e">
        <f t="shared" si="26"/>
        <v>#VALUE!</v>
      </c>
      <c r="CG47" t="e">
        <f>CI46*'Current vaccine model'!$H47*HelperFunctions!$R$42</f>
        <v>#VALUE!</v>
      </c>
      <c r="CH47" t="e">
        <f>CI46*'Current vaccine model'!$H47*Export!$L45</f>
        <v>#VALUE!</v>
      </c>
      <c r="CI47" s="84" t="e">
        <f t="shared" si="27"/>
        <v>#VALUE!</v>
      </c>
      <c r="CJ47" t="e">
        <f>CL46*'Current vaccine model'!$H47*HelperFunctions!$R$42</f>
        <v>#VALUE!</v>
      </c>
      <c r="CK47" t="e">
        <f>CL46*'Current vaccine model'!$H47*Export!$L45</f>
        <v>#VALUE!</v>
      </c>
      <c r="CL47" s="84" t="e">
        <f t="shared" si="28"/>
        <v>#VALUE!</v>
      </c>
      <c r="CM47" t="e">
        <f>CO46*'Current vaccine model'!$H47*HelperFunctions!$R$42</f>
        <v>#VALUE!</v>
      </c>
      <c r="CN47" t="e">
        <f>CO46*'Current vaccine model'!$H47*Export!$L45</f>
        <v>#VALUE!</v>
      </c>
      <c r="CO47" s="84" t="e">
        <f t="shared" si="29"/>
        <v>#VALUE!</v>
      </c>
      <c r="CP47" t="e">
        <f>CR46*'Current vaccine model'!$H47*HelperFunctions!$R$42</f>
        <v>#VALUE!</v>
      </c>
      <c r="CQ47" t="e">
        <f>CR46*'Current vaccine model'!$H47*Export!$L45</f>
        <v>#VALUE!</v>
      </c>
      <c r="CR47" s="84" t="e">
        <f t="shared" si="30"/>
        <v>#VALUE!</v>
      </c>
      <c r="CS47" t="e">
        <f>CU46*'Current vaccine model'!$H47*HelperFunctions!$R$42</f>
        <v>#VALUE!</v>
      </c>
      <c r="CT47" t="e">
        <f>CU46*'Current vaccine model'!$H47*Export!$L45</f>
        <v>#VALUE!</v>
      </c>
      <c r="CU47" s="84" t="e">
        <f t="shared" si="31"/>
        <v>#VALUE!</v>
      </c>
      <c r="CV47" t="e">
        <f>CX46*'Current vaccine model'!$H47*HelperFunctions!$R41</f>
        <v>#VALUE!</v>
      </c>
      <c r="CW47" t="e">
        <f>CX46*'Current vaccine model'!$H47*Export!$L45</f>
        <v>#VALUE!</v>
      </c>
      <c r="CX47" s="84" t="e">
        <f t="shared" si="32"/>
        <v>#VALUE!</v>
      </c>
      <c r="CY47" t="e">
        <f>DA46*'Current vaccine model'!$H47*HelperFunctions!$R40</f>
        <v>#VALUE!</v>
      </c>
      <c r="CZ47" t="e">
        <f>DA46*'Current vaccine model'!$H47*Export!$L45</f>
        <v>#VALUE!</v>
      </c>
      <c r="DA47" s="84" t="e">
        <f t="shared" si="33"/>
        <v>#VALUE!</v>
      </c>
      <c r="DB47" t="e">
        <f>DD46*'Current vaccine model'!$H47*HelperFunctions!$R39</f>
        <v>#VALUE!</v>
      </c>
      <c r="DC47" t="e">
        <f>DD46*'Current vaccine model'!$H47*Export!$L45</f>
        <v>#VALUE!</v>
      </c>
      <c r="DD47" s="84" t="e">
        <f t="shared" si="34"/>
        <v>#VALUE!</v>
      </c>
      <c r="DE47" t="e">
        <f>DG46*'Current vaccine model'!$H47*HelperFunctions!$R38</f>
        <v>#VALUE!</v>
      </c>
      <c r="DF47" t="e">
        <f>DG46*'Current vaccine model'!$H47*Export!$L45</f>
        <v>#VALUE!</v>
      </c>
      <c r="DG47" s="84" t="e">
        <f t="shared" si="35"/>
        <v>#VALUE!</v>
      </c>
      <c r="DH47" t="e">
        <f>DJ46*'Current vaccine model'!$H47*HelperFunctions!$R51</f>
        <v>#VALUE!</v>
      </c>
      <c r="DI47" t="e">
        <f>DJ46*'Current vaccine model'!$H47*Export!$L45</f>
        <v>#VALUE!</v>
      </c>
      <c r="DJ47" s="84" t="e">
        <f t="shared" si="36"/>
        <v>#VALUE!</v>
      </c>
      <c r="DK47" t="e">
        <f>DM46*'Current vaccine model'!$H47*HelperFunctions!$R50</f>
        <v>#VALUE!</v>
      </c>
      <c r="DL47" t="e">
        <f>DM46*'Current vaccine model'!$H47*Export!$L45</f>
        <v>#VALUE!</v>
      </c>
      <c r="DM47" s="84" t="e">
        <f t="shared" si="37"/>
        <v>#VALUE!</v>
      </c>
      <c r="DN47" t="e">
        <f>DP46*'Current vaccine model'!$H47*HelperFunctions!$R49</f>
        <v>#VALUE!</v>
      </c>
      <c r="DO47" t="e">
        <f>DP46*'Current vaccine model'!$H47*Export!$L45</f>
        <v>#VALUE!</v>
      </c>
      <c r="DP47" s="84" t="e">
        <f t="shared" si="38"/>
        <v>#VALUE!</v>
      </c>
      <c r="DQ47" t="e">
        <f>DS46*'Current vaccine model'!$H47*HelperFunctions!$R48</f>
        <v>#VALUE!</v>
      </c>
      <c r="DR47" t="e">
        <f>DS46*'Current vaccine model'!$H47*Export!$L45</f>
        <v>#VALUE!</v>
      </c>
      <c r="DS47" s="84" t="e">
        <f t="shared" si="39"/>
        <v>#VALUE!</v>
      </c>
      <c r="DT47" t="e">
        <f>DV46*'Current vaccine model'!$H47*HelperFunctions!$R47</f>
        <v>#VALUE!</v>
      </c>
      <c r="DU47" t="e">
        <f>DV46*'Current vaccine model'!$H47*Export!$L45</f>
        <v>#VALUE!</v>
      </c>
      <c r="DV47" s="84" t="e">
        <f t="shared" si="40"/>
        <v>#VALUE!</v>
      </c>
      <c r="DW47" t="e">
        <f>DY46*'Current vaccine model'!$H47*HelperFunctions!$R46</f>
        <v>#VALUE!</v>
      </c>
      <c r="DX47" t="e">
        <f>DY46*'Current vaccine model'!$H47*Export!$L45</f>
        <v>#VALUE!</v>
      </c>
      <c r="DY47" s="84" t="e">
        <f t="shared" ref="DY47:DY63" si="41">DY46-DW47-DX47</f>
        <v>#VALUE!</v>
      </c>
      <c r="DZ47" t="e">
        <f>EB46*'Current vaccine model'!$H47*HelperFunctions!$R45</f>
        <v>#VALUE!</v>
      </c>
      <c r="EA47" t="e">
        <f>EB46*'Current vaccine model'!$H47*Export!$L45</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F47*'Current vaccine model'!$H48*HelperFunctions!$R$14</f>
        <v>#VALUE!</v>
      </c>
      <c r="E48" t="e">
        <f>F47*'Current vaccine model'!$H48*Export!$L46</f>
        <v>#VALUE!</v>
      </c>
      <c r="F48" s="84" t="e">
        <f t="shared" si="0"/>
        <v>#VALUE!</v>
      </c>
      <c r="G48" t="e">
        <f>I47*'Current vaccine model'!$H48*HelperFunctions!$R$14</f>
        <v>#VALUE!</v>
      </c>
      <c r="H48" t="e">
        <f>I47*'Current vaccine model'!$H48*Export!$L46</f>
        <v>#VALUE!</v>
      </c>
      <c r="I48" s="84" t="e">
        <f t="shared" si="1"/>
        <v>#VALUE!</v>
      </c>
      <c r="J48" t="e">
        <f>L47*'Current vaccine model'!$H48*HelperFunctions!$R$14</f>
        <v>#VALUE!</v>
      </c>
      <c r="K48" t="e">
        <f>L47*'Current vaccine model'!$H48*Export!$L46</f>
        <v>#VALUE!</v>
      </c>
      <c r="L48" s="84" t="e">
        <f t="shared" si="2"/>
        <v>#VALUE!</v>
      </c>
      <c r="M48" t="e">
        <f>O47*'Current vaccine model'!$H48*HelperFunctions!$R$14</f>
        <v>#VALUE!</v>
      </c>
      <c r="N48" t="e">
        <f>O47*'Current vaccine model'!$H48*Export!$L46</f>
        <v>#VALUE!</v>
      </c>
      <c r="O48" s="84" t="e">
        <f t="shared" si="3"/>
        <v>#VALUE!</v>
      </c>
      <c r="P48" t="e">
        <f>R47*'Current vaccine model'!$H48*HelperFunctions!$R$14</f>
        <v>#VALUE!</v>
      </c>
      <c r="Q48" t="e">
        <f>R47*'Current vaccine model'!$H48*Export!$L46</f>
        <v>#VALUE!</v>
      </c>
      <c r="R48" s="84" t="e">
        <f t="shared" si="4"/>
        <v>#VALUE!</v>
      </c>
      <c r="S48" t="e">
        <f>U47*'Current vaccine model'!$H48*HelperFunctions!$R$14</f>
        <v>#VALUE!</v>
      </c>
      <c r="T48" t="e">
        <f>U47*'Current vaccine model'!$H48*Export!$L46</f>
        <v>#VALUE!</v>
      </c>
      <c r="U48" s="84" t="e">
        <f t="shared" si="5"/>
        <v>#VALUE!</v>
      </c>
      <c r="V48" t="e">
        <f>X47*'Current vaccine model'!$H48*HelperFunctions!$R$14</f>
        <v>#VALUE!</v>
      </c>
      <c r="W48" t="e">
        <f>X47*'Current vaccine model'!$H48*Export!$L46</f>
        <v>#VALUE!</v>
      </c>
      <c r="X48" s="84" t="e">
        <f t="shared" si="6"/>
        <v>#VALUE!</v>
      </c>
      <c r="Y48" t="e">
        <f>AA47*'Current vaccine model'!$H48*HelperFunctions!$R$14</f>
        <v>#VALUE!</v>
      </c>
      <c r="Z48" t="e">
        <f>AA47*'Current vaccine model'!$H48*Export!$L46</f>
        <v>#VALUE!</v>
      </c>
      <c r="AA48" s="84" t="e">
        <f t="shared" si="7"/>
        <v>#VALUE!</v>
      </c>
      <c r="AB48" t="e">
        <f>AD47*'Current vaccine model'!$H48*HelperFunctions!$R$14</f>
        <v>#VALUE!</v>
      </c>
      <c r="AC48" t="e">
        <f>AD47*'Current vaccine model'!$H48*Export!$L46</f>
        <v>#VALUE!</v>
      </c>
      <c r="AD48" s="84" t="e">
        <f t="shared" si="8"/>
        <v>#VALUE!</v>
      </c>
      <c r="AE48" t="e">
        <f>AG47*'Current vaccine model'!$H48*HelperFunctions!$R$14</f>
        <v>#VALUE!</v>
      </c>
      <c r="AF48" t="e">
        <f>AG47*'Current vaccine model'!$H48*Export!$L46</f>
        <v>#VALUE!</v>
      </c>
      <c r="AG48" s="84" t="e">
        <f t="shared" si="9"/>
        <v>#VALUE!</v>
      </c>
      <c r="AH48" t="e">
        <f>AJ47*'Current vaccine model'!$H48*HelperFunctions!$R$14</f>
        <v>#VALUE!</v>
      </c>
      <c r="AI48" t="e">
        <f>AJ47*'Current vaccine model'!$H48*Export!$L46</f>
        <v>#VALUE!</v>
      </c>
      <c r="AJ48" s="84" t="e">
        <f t="shared" si="10"/>
        <v>#VALUE!</v>
      </c>
      <c r="AK48" t="e">
        <f>AM47*'Current vaccine model'!$H48*HelperFunctions!$R$14</f>
        <v>#VALUE!</v>
      </c>
      <c r="AL48" t="e">
        <f>AM47*'Current vaccine model'!$H48*Export!$L46</f>
        <v>#VALUE!</v>
      </c>
      <c r="AM48" s="84" t="e">
        <f t="shared" si="11"/>
        <v>#VALUE!</v>
      </c>
      <c r="AN48" t="e">
        <f>AP47*'Current vaccine model'!$H48*HelperFunctions!$R$28</f>
        <v>#VALUE!</v>
      </c>
      <c r="AO48" t="e">
        <f>AP47*'Current vaccine model'!$H48*Export!$L46</f>
        <v>#VALUE!</v>
      </c>
      <c r="AP48" s="84" t="e">
        <f t="shared" si="12"/>
        <v>#VALUE!</v>
      </c>
      <c r="AQ48" t="e">
        <f>AS47*'Current vaccine model'!$H48*HelperFunctions!$R$28</f>
        <v>#VALUE!</v>
      </c>
      <c r="AR48" t="e">
        <f>AS47*'Current vaccine model'!$H48*Export!$L46</f>
        <v>#VALUE!</v>
      </c>
      <c r="AS48" s="84" t="e">
        <f t="shared" si="13"/>
        <v>#VALUE!</v>
      </c>
      <c r="AT48" t="e">
        <f>AV47*'Current vaccine model'!$H48*HelperFunctions!$R$28</f>
        <v>#VALUE!</v>
      </c>
      <c r="AU48" t="e">
        <f>AV47*'Current vaccine model'!$H48*Export!$L46</f>
        <v>#VALUE!</v>
      </c>
      <c r="AV48" s="84" t="e">
        <f t="shared" si="14"/>
        <v>#VALUE!</v>
      </c>
      <c r="AW48" t="e">
        <f>AY47*'Current vaccine model'!$H48*HelperFunctions!$R$28</f>
        <v>#VALUE!</v>
      </c>
      <c r="AX48" t="e">
        <f>AY47*'Current vaccine model'!$H48*Export!$L46</f>
        <v>#VALUE!</v>
      </c>
      <c r="AY48" s="84" t="e">
        <f t="shared" si="15"/>
        <v>#VALUE!</v>
      </c>
      <c r="AZ48" t="e">
        <f>BB47*'Current vaccine model'!$H48*HelperFunctions!$R$28</f>
        <v>#VALUE!</v>
      </c>
      <c r="BA48" t="e">
        <f>BB47*'Current vaccine model'!$H48*Export!$L46</f>
        <v>#VALUE!</v>
      </c>
      <c r="BB48" s="84" t="e">
        <f t="shared" si="16"/>
        <v>#VALUE!</v>
      </c>
      <c r="BC48" t="e">
        <f>BE47*'Current vaccine model'!$H48*HelperFunctions!$R$28</f>
        <v>#VALUE!</v>
      </c>
      <c r="BD48" t="e">
        <f>BE47*'Current vaccine model'!$H48*Export!$L46</f>
        <v>#VALUE!</v>
      </c>
      <c r="BE48" s="84" t="e">
        <f t="shared" si="17"/>
        <v>#VALUE!</v>
      </c>
      <c r="BF48" t="e">
        <f>BH47*'Current vaccine model'!$H48*HelperFunctions!$R$28</f>
        <v>#VALUE!</v>
      </c>
      <c r="BG48" t="e">
        <f>BH47*'Current vaccine model'!$H48*Export!$L46</f>
        <v>#VALUE!</v>
      </c>
      <c r="BH48" s="84" t="e">
        <f t="shared" si="18"/>
        <v>#VALUE!</v>
      </c>
      <c r="BI48" t="e">
        <f>BK47*'Current vaccine model'!$H48*HelperFunctions!$R$28</f>
        <v>#VALUE!</v>
      </c>
      <c r="BJ48" t="e">
        <f>BK47*'Current vaccine model'!$H48*Export!$L46</f>
        <v>#VALUE!</v>
      </c>
      <c r="BK48" s="84" t="e">
        <f t="shared" si="19"/>
        <v>#VALUE!</v>
      </c>
      <c r="BL48" t="e">
        <f>BN47*'Current vaccine model'!$H48*HelperFunctions!$R$28</f>
        <v>#VALUE!</v>
      </c>
      <c r="BM48" t="e">
        <f>BN47*'Current vaccine model'!$H48*Export!$L46</f>
        <v>#VALUE!</v>
      </c>
      <c r="BN48" s="84" t="e">
        <f t="shared" si="20"/>
        <v>#VALUE!</v>
      </c>
      <c r="BO48" t="e">
        <f>BQ47*'Current vaccine model'!$H48*HelperFunctions!$R$28</f>
        <v>#VALUE!</v>
      </c>
      <c r="BP48" t="e">
        <f>BQ47*'Current vaccine model'!$H48*Export!$L46</f>
        <v>#VALUE!</v>
      </c>
      <c r="BQ48" s="84" t="e">
        <f t="shared" si="21"/>
        <v>#VALUE!</v>
      </c>
      <c r="BR48" t="e">
        <f>BT47*'Current vaccine model'!$H48*HelperFunctions!$R$28</f>
        <v>#VALUE!</v>
      </c>
      <c r="BS48" t="e">
        <f>BT47*'Current vaccine model'!$H48*Export!$L46</f>
        <v>#VALUE!</v>
      </c>
      <c r="BT48" s="84" t="e">
        <f t="shared" si="22"/>
        <v>#VALUE!</v>
      </c>
      <c r="BU48" t="e">
        <f>BW47*'Current vaccine model'!$H48*HelperFunctions!$R$28</f>
        <v>#VALUE!</v>
      </c>
      <c r="BV48" t="e">
        <f>BW47*'Current vaccine model'!$H48*Export!$L46</f>
        <v>#VALUE!</v>
      </c>
      <c r="BW48" s="84" t="e">
        <f t="shared" si="23"/>
        <v>#VALUE!</v>
      </c>
      <c r="BX48" t="e">
        <f>BZ47*'Current vaccine model'!$H48*HelperFunctions!$R$42</f>
        <v>#VALUE!</v>
      </c>
      <c r="BY48" t="e">
        <f>BZ47*'Current vaccine model'!$H48*Export!$L46</f>
        <v>#VALUE!</v>
      </c>
      <c r="BZ48" s="84" t="e">
        <f t="shared" si="24"/>
        <v>#VALUE!</v>
      </c>
      <c r="CA48" t="e">
        <f>CC47*'Current vaccine model'!$H48*HelperFunctions!$R$42</f>
        <v>#VALUE!</v>
      </c>
      <c r="CB48" t="e">
        <f>CC47*'Current vaccine model'!$H48*Export!$L46</f>
        <v>#VALUE!</v>
      </c>
      <c r="CC48" s="84" t="e">
        <f t="shared" si="25"/>
        <v>#VALUE!</v>
      </c>
      <c r="CD48" t="e">
        <f>CF47*'Current vaccine model'!$H48*HelperFunctions!$R$42</f>
        <v>#VALUE!</v>
      </c>
      <c r="CE48" t="e">
        <f>CF47*'Current vaccine model'!$H48*Export!$L46</f>
        <v>#VALUE!</v>
      </c>
      <c r="CF48" s="84" t="e">
        <f t="shared" si="26"/>
        <v>#VALUE!</v>
      </c>
      <c r="CG48" t="e">
        <f>CI47*'Current vaccine model'!$H48*HelperFunctions!$R$42</f>
        <v>#VALUE!</v>
      </c>
      <c r="CH48" t="e">
        <f>CI47*'Current vaccine model'!$H48*Export!$L46</f>
        <v>#VALUE!</v>
      </c>
      <c r="CI48" s="84" t="e">
        <f t="shared" si="27"/>
        <v>#VALUE!</v>
      </c>
      <c r="CJ48" t="e">
        <f>CL47*'Current vaccine model'!$H48*HelperFunctions!$R$42</f>
        <v>#VALUE!</v>
      </c>
      <c r="CK48" t="e">
        <f>CL47*'Current vaccine model'!$H48*Export!$L46</f>
        <v>#VALUE!</v>
      </c>
      <c r="CL48" s="84" t="e">
        <f t="shared" si="28"/>
        <v>#VALUE!</v>
      </c>
      <c r="CM48" t="e">
        <f>CO47*'Current vaccine model'!$H48*HelperFunctions!$R$42</f>
        <v>#VALUE!</v>
      </c>
      <c r="CN48" t="e">
        <f>CO47*'Current vaccine model'!$H48*Export!$L46</f>
        <v>#VALUE!</v>
      </c>
      <c r="CO48" s="84" t="e">
        <f t="shared" si="29"/>
        <v>#VALUE!</v>
      </c>
      <c r="CP48" t="e">
        <f>CR47*'Current vaccine model'!$H48*HelperFunctions!$R$42</f>
        <v>#VALUE!</v>
      </c>
      <c r="CQ48" t="e">
        <f>CR47*'Current vaccine model'!$H48*Export!$L46</f>
        <v>#VALUE!</v>
      </c>
      <c r="CR48" s="84" t="e">
        <f t="shared" si="30"/>
        <v>#VALUE!</v>
      </c>
      <c r="CS48" t="e">
        <f>CU47*'Current vaccine model'!$H48*HelperFunctions!$R$42</f>
        <v>#VALUE!</v>
      </c>
      <c r="CT48" t="e">
        <f>CU47*'Current vaccine model'!$H48*Export!$L46</f>
        <v>#VALUE!</v>
      </c>
      <c r="CU48" s="84" t="e">
        <f t="shared" si="31"/>
        <v>#VALUE!</v>
      </c>
      <c r="CV48" t="e">
        <f>CX47*'Current vaccine model'!$H48*HelperFunctions!$R$42</f>
        <v>#VALUE!</v>
      </c>
      <c r="CW48" t="e">
        <f>CX47*'Current vaccine model'!$H48*Export!$L46</f>
        <v>#VALUE!</v>
      </c>
      <c r="CX48" s="84" t="e">
        <f t="shared" si="32"/>
        <v>#VALUE!</v>
      </c>
      <c r="CY48" t="e">
        <f>DA47*'Current vaccine model'!$H48*HelperFunctions!$R41</f>
        <v>#VALUE!</v>
      </c>
      <c r="CZ48" t="e">
        <f>DA47*'Current vaccine model'!$H48*Export!$L46</f>
        <v>#VALUE!</v>
      </c>
      <c r="DA48" s="84" t="e">
        <f t="shared" si="33"/>
        <v>#VALUE!</v>
      </c>
      <c r="DB48" t="e">
        <f>DD47*'Current vaccine model'!$H48*HelperFunctions!$R40</f>
        <v>#VALUE!</v>
      </c>
      <c r="DC48" t="e">
        <f>DD47*'Current vaccine model'!$H48*Export!$L46</f>
        <v>#VALUE!</v>
      </c>
      <c r="DD48" s="84" t="e">
        <f t="shared" si="34"/>
        <v>#VALUE!</v>
      </c>
      <c r="DE48" t="e">
        <f>DG47*'Current vaccine model'!$H48*HelperFunctions!$R39</f>
        <v>#VALUE!</v>
      </c>
      <c r="DF48" t="e">
        <f>DG47*'Current vaccine model'!$H48*Export!$L46</f>
        <v>#VALUE!</v>
      </c>
      <c r="DG48" s="84" t="e">
        <f t="shared" si="35"/>
        <v>#VALUE!</v>
      </c>
      <c r="DH48" t="e">
        <f>DJ47*'Current vaccine model'!$H48*HelperFunctions!$R52</f>
        <v>#VALUE!</v>
      </c>
      <c r="DI48" t="e">
        <f>DJ47*'Current vaccine model'!$H48*Export!$L46</f>
        <v>#VALUE!</v>
      </c>
      <c r="DJ48" s="84" t="e">
        <f t="shared" si="36"/>
        <v>#VALUE!</v>
      </c>
      <c r="DK48" t="e">
        <f>DM47*'Current vaccine model'!$H48*HelperFunctions!$R51</f>
        <v>#VALUE!</v>
      </c>
      <c r="DL48" t="e">
        <f>DM47*'Current vaccine model'!$H48*Export!$L46</f>
        <v>#VALUE!</v>
      </c>
      <c r="DM48" s="84" t="e">
        <f t="shared" si="37"/>
        <v>#VALUE!</v>
      </c>
      <c r="DN48" t="e">
        <f>DP47*'Current vaccine model'!$H48*HelperFunctions!$R50</f>
        <v>#VALUE!</v>
      </c>
      <c r="DO48" t="e">
        <f>DP47*'Current vaccine model'!$H48*Export!$L46</f>
        <v>#VALUE!</v>
      </c>
      <c r="DP48" s="84" t="e">
        <f t="shared" si="38"/>
        <v>#VALUE!</v>
      </c>
      <c r="DQ48" t="e">
        <f>DS47*'Current vaccine model'!$H48*HelperFunctions!$R49</f>
        <v>#VALUE!</v>
      </c>
      <c r="DR48" t="e">
        <f>DS47*'Current vaccine model'!$H48*Export!$L46</f>
        <v>#VALUE!</v>
      </c>
      <c r="DS48" s="84" t="e">
        <f t="shared" si="39"/>
        <v>#VALUE!</v>
      </c>
      <c r="DT48" t="e">
        <f>DV47*'Current vaccine model'!$H48*HelperFunctions!$R48</f>
        <v>#VALUE!</v>
      </c>
      <c r="DU48" t="e">
        <f>DV47*'Current vaccine model'!$H48*Export!$L46</f>
        <v>#VALUE!</v>
      </c>
      <c r="DV48" s="84" t="e">
        <f t="shared" si="40"/>
        <v>#VALUE!</v>
      </c>
      <c r="DW48" t="e">
        <f>DY47*'Current vaccine model'!$H48*HelperFunctions!$R47</f>
        <v>#VALUE!</v>
      </c>
      <c r="DX48" t="e">
        <f>DY47*'Current vaccine model'!$H48*Export!$L46</f>
        <v>#VALUE!</v>
      </c>
      <c r="DY48" s="84" t="e">
        <f t="shared" si="41"/>
        <v>#VALUE!</v>
      </c>
      <c r="DZ48" t="e">
        <f>EB47*'Current vaccine model'!$H48*HelperFunctions!$R46</f>
        <v>#VALUE!</v>
      </c>
      <c r="EA48" t="e">
        <f>EB47*'Current vaccine model'!$H48*Export!$L46</f>
        <v>#VALUE!</v>
      </c>
      <c r="EB48" s="84" t="e">
        <f t="shared" ref="EB48:EB63" si="42">EB47-DZ48-EA48</f>
        <v>#VALUE!</v>
      </c>
      <c r="EC48" t="e">
        <f>EE47*'Current vaccine model'!$H48*HelperFunctions!$R45</f>
        <v>#VALUE!</v>
      </c>
      <c r="ED48" t="e">
        <f>EE47*'Current vaccine model'!$H48*Export!$L46</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F48*'Current vaccine model'!$H49*HelperFunctions!$R$14</f>
        <v>#VALUE!</v>
      </c>
      <c r="E49" t="e">
        <f>F48*'Current vaccine model'!$H49*Export!$L47</f>
        <v>#VALUE!</v>
      </c>
      <c r="F49" s="84" t="e">
        <f t="shared" si="0"/>
        <v>#VALUE!</v>
      </c>
      <c r="G49" t="e">
        <f>I48*'Current vaccine model'!$H49*HelperFunctions!$R$14</f>
        <v>#VALUE!</v>
      </c>
      <c r="H49" t="e">
        <f>I48*'Current vaccine model'!$H49*Export!$L47</f>
        <v>#VALUE!</v>
      </c>
      <c r="I49" s="84" t="e">
        <f t="shared" si="1"/>
        <v>#VALUE!</v>
      </c>
      <c r="J49" t="e">
        <f>L48*'Current vaccine model'!$H49*HelperFunctions!$R$14</f>
        <v>#VALUE!</v>
      </c>
      <c r="K49" t="e">
        <f>L48*'Current vaccine model'!$H49*Export!$L47</f>
        <v>#VALUE!</v>
      </c>
      <c r="L49" s="84" t="e">
        <f t="shared" si="2"/>
        <v>#VALUE!</v>
      </c>
      <c r="M49" t="e">
        <f>O48*'Current vaccine model'!$H49*HelperFunctions!$R$14</f>
        <v>#VALUE!</v>
      </c>
      <c r="N49" t="e">
        <f>O48*'Current vaccine model'!$H49*Export!$L47</f>
        <v>#VALUE!</v>
      </c>
      <c r="O49" s="84" t="e">
        <f t="shared" si="3"/>
        <v>#VALUE!</v>
      </c>
      <c r="P49" t="e">
        <f>R48*'Current vaccine model'!$H49*HelperFunctions!$R$14</f>
        <v>#VALUE!</v>
      </c>
      <c r="Q49" t="e">
        <f>R48*'Current vaccine model'!$H49*Export!$L47</f>
        <v>#VALUE!</v>
      </c>
      <c r="R49" s="84" t="e">
        <f t="shared" si="4"/>
        <v>#VALUE!</v>
      </c>
      <c r="S49" t="e">
        <f>U48*'Current vaccine model'!$H49*HelperFunctions!$R$14</f>
        <v>#VALUE!</v>
      </c>
      <c r="T49" t="e">
        <f>U48*'Current vaccine model'!$H49*Export!$L47</f>
        <v>#VALUE!</v>
      </c>
      <c r="U49" s="84" t="e">
        <f t="shared" si="5"/>
        <v>#VALUE!</v>
      </c>
      <c r="V49" t="e">
        <f>X48*'Current vaccine model'!$H49*HelperFunctions!$R$14</f>
        <v>#VALUE!</v>
      </c>
      <c r="W49" t="e">
        <f>X48*'Current vaccine model'!$H49*Export!$L47</f>
        <v>#VALUE!</v>
      </c>
      <c r="X49" s="84" t="e">
        <f t="shared" si="6"/>
        <v>#VALUE!</v>
      </c>
      <c r="Y49" t="e">
        <f>AA48*'Current vaccine model'!$H49*HelperFunctions!$R$14</f>
        <v>#VALUE!</v>
      </c>
      <c r="Z49" t="e">
        <f>AA48*'Current vaccine model'!$H49*Export!$L47</f>
        <v>#VALUE!</v>
      </c>
      <c r="AA49" s="84" t="e">
        <f t="shared" si="7"/>
        <v>#VALUE!</v>
      </c>
      <c r="AB49" t="e">
        <f>AD48*'Current vaccine model'!$H49*HelperFunctions!$R$14</f>
        <v>#VALUE!</v>
      </c>
      <c r="AC49" t="e">
        <f>AD48*'Current vaccine model'!$H49*Export!$L47</f>
        <v>#VALUE!</v>
      </c>
      <c r="AD49" s="84" t="e">
        <f t="shared" si="8"/>
        <v>#VALUE!</v>
      </c>
      <c r="AE49" t="e">
        <f>AG48*'Current vaccine model'!$H49*HelperFunctions!$R$14</f>
        <v>#VALUE!</v>
      </c>
      <c r="AF49" t="e">
        <f>AG48*'Current vaccine model'!$H49*Export!$L47</f>
        <v>#VALUE!</v>
      </c>
      <c r="AG49" s="84" t="e">
        <f t="shared" si="9"/>
        <v>#VALUE!</v>
      </c>
      <c r="AH49" t="e">
        <f>AJ48*'Current vaccine model'!$H49*HelperFunctions!$R$14</f>
        <v>#VALUE!</v>
      </c>
      <c r="AI49" t="e">
        <f>AJ48*'Current vaccine model'!$H49*Export!$L47</f>
        <v>#VALUE!</v>
      </c>
      <c r="AJ49" s="84" t="e">
        <f t="shared" si="10"/>
        <v>#VALUE!</v>
      </c>
      <c r="AK49" t="e">
        <f>AM48*'Current vaccine model'!$H49*HelperFunctions!$R$14</f>
        <v>#VALUE!</v>
      </c>
      <c r="AL49" t="e">
        <f>AM48*'Current vaccine model'!$H49*Export!$L47</f>
        <v>#VALUE!</v>
      </c>
      <c r="AM49" s="84" t="e">
        <f t="shared" si="11"/>
        <v>#VALUE!</v>
      </c>
      <c r="AN49" t="e">
        <f>AP48*'Current vaccine model'!$H49*HelperFunctions!$R$28</f>
        <v>#VALUE!</v>
      </c>
      <c r="AO49" t="e">
        <f>AP48*'Current vaccine model'!$H49*Export!$L47</f>
        <v>#VALUE!</v>
      </c>
      <c r="AP49" s="84" t="e">
        <f t="shared" si="12"/>
        <v>#VALUE!</v>
      </c>
      <c r="AQ49" t="e">
        <f>AS48*'Current vaccine model'!$H49*HelperFunctions!$R$28</f>
        <v>#VALUE!</v>
      </c>
      <c r="AR49" t="e">
        <f>AS48*'Current vaccine model'!$H49*Export!$L47</f>
        <v>#VALUE!</v>
      </c>
      <c r="AS49" s="84" t="e">
        <f t="shared" si="13"/>
        <v>#VALUE!</v>
      </c>
      <c r="AT49" t="e">
        <f>AV48*'Current vaccine model'!$H49*HelperFunctions!$R$28</f>
        <v>#VALUE!</v>
      </c>
      <c r="AU49" t="e">
        <f>AV48*'Current vaccine model'!$H49*Export!$L47</f>
        <v>#VALUE!</v>
      </c>
      <c r="AV49" s="84" t="e">
        <f t="shared" si="14"/>
        <v>#VALUE!</v>
      </c>
      <c r="AW49" t="e">
        <f>AY48*'Current vaccine model'!$H49*HelperFunctions!$R$28</f>
        <v>#VALUE!</v>
      </c>
      <c r="AX49" t="e">
        <f>AY48*'Current vaccine model'!$H49*Export!$L47</f>
        <v>#VALUE!</v>
      </c>
      <c r="AY49" s="84" t="e">
        <f t="shared" si="15"/>
        <v>#VALUE!</v>
      </c>
      <c r="AZ49" t="e">
        <f>BB48*'Current vaccine model'!$H49*HelperFunctions!$R$28</f>
        <v>#VALUE!</v>
      </c>
      <c r="BA49" t="e">
        <f>BB48*'Current vaccine model'!$H49*Export!$L47</f>
        <v>#VALUE!</v>
      </c>
      <c r="BB49" s="84" t="e">
        <f t="shared" si="16"/>
        <v>#VALUE!</v>
      </c>
      <c r="BC49" t="e">
        <f>BE48*'Current vaccine model'!$H49*HelperFunctions!$R$28</f>
        <v>#VALUE!</v>
      </c>
      <c r="BD49" t="e">
        <f>BE48*'Current vaccine model'!$H49*Export!$L47</f>
        <v>#VALUE!</v>
      </c>
      <c r="BE49" s="84" t="e">
        <f t="shared" si="17"/>
        <v>#VALUE!</v>
      </c>
      <c r="BF49" t="e">
        <f>BH48*'Current vaccine model'!$H49*HelperFunctions!$R$28</f>
        <v>#VALUE!</v>
      </c>
      <c r="BG49" t="e">
        <f>BH48*'Current vaccine model'!$H49*Export!$L47</f>
        <v>#VALUE!</v>
      </c>
      <c r="BH49" s="84" t="e">
        <f t="shared" si="18"/>
        <v>#VALUE!</v>
      </c>
      <c r="BI49" t="e">
        <f>BK48*'Current vaccine model'!$H49*HelperFunctions!$R$28</f>
        <v>#VALUE!</v>
      </c>
      <c r="BJ49" t="e">
        <f>BK48*'Current vaccine model'!$H49*Export!$L47</f>
        <v>#VALUE!</v>
      </c>
      <c r="BK49" s="84" t="e">
        <f t="shared" si="19"/>
        <v>#VALUE!</v>
      </c>
      <c r="BL49" t="e">
        <f>BN48*'Current vaccine model'!$H49*HelperFunctions!$R$28</f>
        <v>#VALUE!</v>
      </c>
      <c r="BM49" t="e">
        <f>BN48*'Current vaccine model'!$H49*Export!$L47</f>
        <v>#VALUE!</v>
      </c>
      <c r="BN49" s="84" t="e">
        <f t="shared" si="20"/>
        <v>#VALUE!</v>
      </c>
      <c r="BO49" t="e">
        <f>BQ48*'Current vaccine model'!$H49*HelperFunctions!$R$28</f>
        <v>#VALUE!</v>
      </c>
      <c r="BP49" t="e">
        <f>BQ48*'Current vaccine model'!$H49*Export!$L47</f>
        <v>#VALUE!</v>
      </c>
      <c r="BQ49" s="84" t="e">
        <f t="shared" si="21"/>
        <v>#VALUE!</v>
      </c>
      <c r="BR49" t="e">
        <f>BT48*'Current vaccine model'!$H49*HelperFunctions!$R$28</f>
        <v>#VALUE!</v>
      </c>
      <c r="BS49" t="e">
        <f>BT48*'Current vaccine model'!$H49*Export!$L47</f>
        <v>#VALUE!</v>
      </c>
      <c r="BT49" s="84" t="e">
        <f t="shared" si="22"/>
        <v>#VALUE!</v>
      </c>
      <c r="BU49" t="e">
        <f>BW48*'Current vaccine model'!$H49*HelperFunctions!$R$28</f>
        <v>#VALUE!</v>
      </c>
      <c r="BV49" t="e">
        <f>BW48*'Current vaccine model'!$H49*Export!$L47</f>
        <v>#VALUE!</v>
      </c>
      <c r="BW49" s="84" t="e">
        <f t="shared" si="23"/>
        <v>#VALUE!</v>
      </c>
      <c r="BX49" t="e">
        <f>BZ48*'Current vaccine model'!$H49*HelperFunctions!$R$42</f>
        <v>#VALUE!</v>
      </c>
      <c r="BY49" t="e">
        <f>BZ48*'Current vaccine model'!$H49*Export!$L47</f>
        <v>#VALUE!</v>
      </c>
      <c r="BZ49" s="84" t="e">
        <f t="shared" si="24"/>
        <v>#VALUE!</v>
      </c>
      <c r="CA49" t="e">
        <f>CC48*'Current vaccine model'!$H49*HelperFunctions!$R$42</f>
        <v>#VALUE!</v>
      </c>
      <c r="CB49" t="e">
        <f>CC48*'Current vaccine model'!$H49*Export!$L47</f>
        <v>#VALUE!</v>
      </c>
      <c r="CC49" s="84" t="e">
        <f t="shared" si="25"/>
        <v>#VALUE!</v>
      </c>
      <c r="CD49" t="e">
        <f>CF48*'Current vaccine model'!$H49*HelperFunctions!$R$42</f>
        <v>#VALUE!</v>
      </c>
      <c r="CE49" t="e">
        <f>CF48*'Current vaccine model'!$H49*Export!$L47</f>
        <v>#VALUE!</v>
      </c>
      <c r="CF49" s="84" t="e">
        <f t="shared" si="26"/>
        <v>#VALUE!</v>
      </c>
      <c r="CG49" t="e">
        <f>CI48*'Current vaccine model'!$H49*HelperFunctions!$R$42</f>
        <v>#VALUE!</v>
      </c>
      <c r="CH49" t="e">
        <f>CI48*'Current vaccine model'!$H49*Export!$L47</f>
        <v>#VALUE!</v>
      </c>
      <c r="CI49" s="84" t="e">
        <f t="shared" si="27"/>
        <v>#VALUE!</v>
      </c>
      <c r="CJ49" t="e">
        <f>CL48*'Current vaccine model'!$H49*HelperFunctions!$R$42</f>
        <v>#VALUE!</v>
      </c>
      <c r="CK49" t="e">
        <f>CL48*'Current vaccine model'!$H49*Export!$L47</f>
        <v>#VALUE!</v>
      </c>
      <c r="CL49" s="84" t="e">
        <f t="shared" si="28"/>
        <v>#VALUE!</v>
      </c>
      <c r="CM49" t="e">
        <f>CO48*'Current vaccine model'!$H49*HelperFunctions!$R$42</f>
        <v>#VALUE!</v>
      </c>
      <c r="CN49" t="e">
        <f>CO48*'Current vaccine model'!$H49*Export!$L47</f>
        <v>#VALUE!</v>
      </c>
      <c r="CO49" s="84" t="e">
        <f t="shared" si="29"/>
        <v>#VALUE!</v>
      </c>
      <c r="CP49" t="e">
        <f>CR48*'Current vaccine model'!$H49*HelperFunctions!$R$42</f>
        <v>#VALUE!</v>
      </c>
      <c r="CQ49" t="e">
        <f>CR48*'Current vaccine model'!$H49*Export!$L47</f>
        <v>#VALUE!</v>
      </c>
      <c r="CR49" s="84" t="e">
        <f t="shared" si="30"/>
        <v>#VALUE!</v>
      </c>
      <c r="CS49" t="e">
        <f>CU48*'Current vaccine model'!$H49*HelperFunctions!$R$42</f>
        <v>#VALUE!</v>
      </c>
      <c r="CT49" t="e">
        <f>CU48*'Current vaccine model'!$H49*Export!$L47</f>
        <v>#VALUE!</v>
      </c>
      <c r="CU49" s="84" t="e">
        <f t="shared" si="31"/>
        <v>#VALUE!</v>
      </c>
      <c r="CV49" t="e">
        <f>CX48*'Current vaccine model'!$H49*HelperFunctions!$R$42</f>
        <v>#VALUE!</v>
      </c>
      <c r="CW49" t="e">
        <f>CX48*'Current vaccine model'!$H49*Export!$L47</f>
        <v>#VALUE!</v>
      </c>
      <c r="CX49" s="84" t="e">
        <f t="shared" si="32"/>
        <v>#VALUE!</v>
      </c>
      <c r="CY49" t="e">
        <f>DA48*'Current vaccine model'!$H49*HelperFunctions!$R$42</f>
        <v>#VALUE!</v>
      </c>
      <c r="CZ49" t="e">
        <f>DA48*'Current vaccine model'!$H49*Export!$L47</f>
        <v>#VALUE!</v>
      </c>
      <c r="DA49" s="84" t="e">
        <f t="shared" si="33"/>
        <v>#VALUE!</v>
      </c>
      <c r="DB49" t="e">
        <f>DD48*'Current vaccine model'!$H49*HelperFunctions!$R41</f>
        <v>#VALUE!</v>
      </c>
      <c r="DC49" t="e">
        <f>DD48*'Current vaccine model'!$H49*Export!$L47</f>
        <v>#VALUE!</v>
      </c>
      <c r="DD49" s="84" t="e">
        <f t="shared" si="34"/>
        <v>#VALUE!</v>
      </c>
      <c r="DE49" t="e">
        <f>DG48*'Current vaccine model'!$H49*HelperFunctions!$R40</f>
        <v>#VALUE!</v>
      </c>
      <c r="DF49" t="e">
        <f>DG48*'Current vaccine model'!$H49*Export!$L47</f>
        <v>#VALUE!</v>
      </c>
      <c r="DG49" s="84" t="e">
        <f t="shared" si="35"/>
        <v>#VALUE!</v>
      </c>
      <c r="DH49" t="e">
        <f>DJ48*'Current vaccine model'!$H49*HelperFunctions!$R53</f>
        <v>#VALUE!</v>
      </c>
      <c r="DI49" t="e">
        <f>DJ48*'Current vaccine model'!$H49*Export!$L47</f>
        <v>#VALUE!</v>
      </c>
      <c r="DJ49" s="84" t="e">
        <f t="shared" si="36"/>
        <v>#VALUE!</v>
      </c>
      <c r="DK49" t="e">
        <f>DM48*'Current vaccine model'!$H49*HelperFunctions!$R52</f>
        <v>#VALUE!</v>
      </c>
      <c r="DL49" t="e">
        <f>DM48*'Current vaccine model'!$H49*Export!$L47</f>
        <v>#VALUE!</v>
      </c>
      <c r="DM49" s="84" t="e">
        <f t="shared" si="37"/>
        <v>#VALUE!</v>
      </c>
      <c r="DN49" t="e">
        <f>DP48*'Current vaccine model'!$H49*HelperFunctions!$R51</f>
        <v>#VALUE!</v>
      </c>
      <c r="DO49" t="e">
        <f>DP48*'Current vaccine model'!$H49*Export!$L47</f>
        <v>#VALUE!</v>
      </c>
      <c r="DP49" s="84" t="e">
        <f t="shared" si="38"/>
        <v>#VALUE!</v>
      </c>
      <c r="DQ49" t="e">
        <f>DS48*'Current vaccine model'!$H49*HelperFunctions!$R50</f>
        <v>#VALUE!</v>
      </c>
      <c r="DR49" t="e">
        <f>DS48*'Current vaccine model'!$H49*Export!$L47</f>
        <v>#VALUE!</v>
      </c>
      <c r="DS49" s="84" t="e">
        <f t="shared" si="39"/>
        <v>#VALUE!</v>
      </c>
      <c r="DT49" t="e">
        <f>DV48*'Current vaccine model'!$H49*HelperFunctions!$R49</f>
        <v>#VALUE!</v>
      </c>
      <c r="DU49" t="e">
        <f>DV48*'Current vaccine model'!$H49*Export!$L47</f>
        <v>#VALUE!</v>
      </c>
      <c r="DV49" s="84" t="e">
        <f t="shared" si="40"/>
        <v>#VALUE!</v>
      </c>
      <c r="DW49" t="e">
        <f>DY48*'Current vaccine model'!$H49*HelperFunctions!$R48</f>
        <v>#VALUE!</v>
      </c>
      <c r="DX49" t="e">
        <f>DY48*'Current vaccine model'!$H49*Export!$L47</f>
        <v>#VALUE!</v>
      </c>
      <c r="DY49" s="84" t="e">
        <f t="shared" si="41"/>
        <v>#VALUE!</v>
      </c>
      <c r="DZ49" t="e">
        <f>EB48*'Current vaccine model'!$H49*HelperFunctions!$R47</f>
        <v>#VALUE!</v>
      </c>
      <c r="EA49" t="e">
        <f>EB48*'Current vaccine model'!$H49*Export!$L47</f>
        <v>#VALUE!</v>
      </c>
      <c r="EB49" s="84" t="e">
        <f t="shared" si="42"/>
        <v>#VALUE!</v>
      </c>
      <c r="EC49" t="e">
        <f>EE48*'Current vaccine model'!$H49*HelperFunctions!$R46</f>
        <v>#VALUE!</v>
      </c>
      <c r="ED49" t="e">
        <f>EE48*'Current vaccine model'!$H49*Export!$L47</f>
        <v>#VALUE!</v>
      </c>
      <c r="EE49" s="84" t="e">
        <f t="shared" ref="EE49:EE63" si="43">EE48-EC49-ED49</f>
        <v>#VALUE!</v>
      </c>
      <c r="EF49" t="e">
        <f>EH48*'Current vaccine model'!$H49*HelperFunctions!$R45</f>
        <v>#VALUE!</v>
      </c>
      <c r="EG49" t="e">
        <f>EH48*'Current vaccine model'!$H49*Export!$L47</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F49*'Current vaccine model'!$H50*HelperFunctions!$R$14</f>
        <v>#VALUE!</v>
      </c>
      <c r="E50" t="e">
        <f>F49*'Current vaccine model'!$H50*Export!$L48</f>
        <v>#VALUE!</v>
      </c>
      <c r="F50" s="84" t="e">
        <f t="shared" si="0"/>
        <v>#VALUE!</v>
      </c>
      <c r="G50" t="e">
        <f>I49*'Current vaccine model'!$H50*HelperFunctions!$R$14</f>
        <v>#VALUE!</v>
      </c>
      <c r="H50" t="e">
        <f>I49*'Current vaccine model'!$H50*Export!$L48</f>
        <v>#VALUE!</v>
      </c>
      <c r="I50" s="84" t="e">
        <f t="shared" si="1"/>
        <v>#VALUE!</v>
      </c>
      <c r="J50" t="e">
        <f>L49*'Current vaccine model'!$H50*HelperFunctions!$R$14</f>
        <v>#VALUE!</v>
      </c>
      <c r="K50" t="e">
        <f>L49*'Current vaccine model'!$H50*Export!$L48</f>
        <v>#VALUE!</v>
      </c>
      <c r="L50" s="84" t="e">
        <f t="shared" si="2"/>
        <v>#VALUE!</v>
      </c>
      <c r="M50" t="e">
        <f>O49*'Current vaccine model'!$H50*HelperFunctions!$R$14</f>
        <v>#VALUE!</v>
      </c>
      <c r="N50" t="e">
        <f>O49*'Current vaccine model'!$H50*Export!$L48</f>
        <v>#VALUE!</v>
      </c>
      <c r="O50" s="84" t="e">
        <f t="shared" si="3"/>
        <v>#VALUE!</v>
      </c>
      <c r="P50" t="e">
        <f>R49*'Current vaccine model'!$H50*HelperFunctions!$R$14</f>
        <v>#VALUE!</v>
      </c>
      <c r="Q50" t="e">
        <f>R49*'Current vaccine model'!$H50*Export!$L48</f>
        <v>#VALUE!</v>
      </c>
      <c r="R50" s="84" t="e">
        <f t="shared" si="4"/>
        <v>#VALUE!</v>
      </c>
      <c r="S50" t="e">
        <f>U49*'Current vaccine model'!$H50*HelperFunctions!$R$14</f>
        <v>#VALUE!</v>
      </c>
      <c r="T50" t="e">
        <f>U49*'Current vaccine model'!$H50*Export!$L48</f>
        <v>#VALUE!</v>
      </c>
      <c r="U50" s="84" t="e">
        <f t="shared" si="5"/>
        <v>#VALUE!</v>
      </c>
      <c r="V50" t="e">
        <f>X49*'Current vaccine model'!$H50*HelperFunctions!$R$14</f>
        <v>#VALUE!</v>
      </c>
      <c r="W50" t="e">
        <f>X49*'Current vaccine model'!$H50*Export!$L48</f>
        <v>#VALUE!</v>
      </c>
      <c r="X50" s="84" t="e">
        <f t="shared" si="6"/>
        <v>#VALUE!</v>
      </c>
      <c r="Y50" t="e">
        <f>AA49*'Current vaccine model'!$H50*HelperFunctions!$R$14</f>
        <v>#VALUE!</v>
      </c>
      <c r="Z50" t="e">
        <f>AA49*'Current vaccine model'!$H50*Export!$L48</f>
        <v>#VALUE!</v>
      </c>
      <c r="AA50" s="84" t="e">
        <f t="shared" si="7"/>
        <v>#VALUE!</v>
      </c>
      <c r="AB50" t="e">
        <f>AD49*'Current vaccine model'!$H50*HelperFunctions!$R$14</f>
        <v>#VALUE!</v>
      </c>
      <c r="AC50" t="e">
        <f>AD49*'Current vaccine model'!$H50*Export!$L48</f>
        <v>#VALUE!</v>
      </c>
      <c r="AD50" s="84" t="e">
        <f t="shared" si="8"/>
        <v>#VALUE!</v>
      </c>
      <c r="AE50" t="e">
        <f>AG49*'Current vaccine model'!$H50*HelperFunctions!$R$14</f>
        <v>#VALUE!</v>
      </c>
      <c r="AF50" t="e">
        <f>AG49*'Current vaccine model'!$H50*Export!$L48</f>
        <v>#VALUE!</v>
      </c>
      <c r="AG50" s="84" t="e">
        <f t="shared" si="9"/>
        <v>#VALUE!</v>
      </c>
      <c r="AH50" t="e">
        <f>AJ49*'Current vaccine model'!$H50*HelperFunctions!$R$14</f>
        <v>#VALUE!</v>
      </c>
      <c r="AI50" t="e">
        <f>AJ49*'Current vaccine model'!$H50*Export!$L48</f>
        <v>#VALUE!</v>
      </c>
      <c r="AJ50" s="84" t="e">
        <f t="shared" si="10"/>
        <v>#VALUE!</v>
      </c>
      <c r="AK50" t="e">
        <f>AM49*'Current vaccine model'!$H50*HelperFunctions!$R$14</f>
        <v>#VALUE!</v>
      </c>
      <c r="AL50" t="e">
        <f>AM49*'Current vaccine model'!$H50*Export!$L48</f>
        <v>#VALUE!</v>
      </c>
      <c r="AM50" s="84" t="e">
        <f t="shared" si="11"/>
        <v>#VALUE!</v>
      </c>
      <c r="AN50" t="e">
        <f>AP49*'Current vaccine model'!$H50*HelperFunctions!$R$28</f>
        <v>#VALUE!</v>
      </c>
      <c r="AO50" t="e">
        <f>AP49*'Current vaccine model'!$H50*Export!$L48</f>
        <v>#VALUE!</v>
      </c>
      <c r="AP50" s="84" t="e">
        <f t="shared" si="12"/>
        <v>#VALUE!</v>
      </c>
      <c r="AQ50" t="e">
        <f>AS49*'Current vaccine model'!$H50*HelperFunctions!$R$28</f>
        <v>#VALUE!</v>
      </c>
      <c r="AR50" t="e">
        <f>AS49*'Current vaccine model'!$H50*Export!$L48</f>
        <v>#VALUE!</v>
      </c>
      <c r="AS50" s="84" t="e">
        <f t="shared" si="13"/>
        <v>#VALUE!</v>
      </c>
      <c r="AT50" t="e">
        <f>AV49*'Current vaccine model'!$H50*HelperFunctions!$R$28</f>
        <v>#VALUE!</v>
      </c>
      <c r="AU50" t="e">
        <f>AV49*'Current vaccine model'!$H50*Export!$L48</f>
        <v>#VALUE!</v>
      </c>
      <c r="AV50" s="84" t="e">
        <f t="shared" si="14"/>
        <v>#VALUE!</v>
      </c>
      <c r="AW50" t="e">
        <f>AY49*'Current vaccine model'!$H50*HelperFunctions!$R$28</f>
        <v>#VALUE!</v>
      </c>
      <c r="AX50" t="e">
        <f>AY49*'Current vaccine model'!$H50*Export!$L48</f>
        <v>#VALUE!</v>
      </c>
      <c r="AY50" s="84" t="e">
        <f t="shared" si="15"/>
        <v>#VALUE!</v>
      </c>
      <c r="AZ50" t="e">
        <f>BB49*'Current vaccine model'!$H50*HelperFunctions!$R$28</f>
        <v>#VALUE!</v>
      </c>
      <c r="BA50" t="e">
        <f>BB49*'Current vaccine model'!$H50*Export!$L48</f>
        <v>#VALUE!</v>
      </c>
      <c r="BB50" s="84" t="e">
        <f t="shared" si="16"/>
        <v>#VALUE!</v>
      </c>
      <c r="BC50" t="e">
        <f>BE49*'Current vaccine model'!$H50*HelperFunctions!$R$28</f>
        <v>#VALUE!</v>
      </c>
      <c r="BD50" t="e">
        <f>BE49*'Current vaccine model'!$H50*Export!$L48</f>
        <v>#VALUE!</v>
      </c>
      <c r="BE50" s="84" t="e">
        <f t="shared" si="17"/>
        <v>#VALUE!</v>
      </c>
      <c r="BF50" t="e">
        <f>BH49*'Current vaccine model'!$H50*HelperFunctions!$R$28</f>
        <v>#VALUE!</v>
      </c>
      <c r="BG50" t="e">
        <f>BH49*'Current vaccine model'!$H50*Export!$L48</f>
        <v>#VALUE!</v>
      </c>
      <c r="BH50" s="84" t="e">
        <f t="shared" si="18"/>
        <v>#VALUE!</v>
      </c>
      <c r="BI50" t="e">
        <f>BK49*'Current vaccine model'!$H50*HelperFunctions!$R$28</f>
        <v>#VALUE!</v>
      </c>
      <c r="BJ50" t="e">
        <f>BK49*'Current vaccine model'!$H50*Export!$L48</f>
        <v>#VALUE!</v>
      </c>
      <c r="BK50" s="84" t="e">
        <f t="shared" si="19"/>
        <v>#VALUE!</v>
      </c>
      <c r="BL50" t="e">
        <f>BN49*'Current vaccine model'!$H50*HelperFunctions!$R$28</f>
        <v>#VALUE!</v>
      </c>
      <c r="BM50" t="e">
        <f>BN49*'Current vaccine model'!$H50*Export!$L48</f>
        <v>#VALUE!</v>
      </c>
      <c r="BN50" s="84" t="e">
        <f t="shared" si="20"/>
        <v>#VALUE!</v>
      </c>
      <c r="BO50" t="e">
        <f>BQ49*'Current vaccine model'!$H50*HelperFunctions!$R$28</f>
        <v>#VALUE!</v>
      </c>
      <c r="BP50" t="e">
        <f>BQ49*'Current vaccine model'!$H50*Export!$L48</f>
        <v>#VALUE!</v>
      </c>
      <c r="BQ50" s="84" t="e">
        <f t="shared" si="21"/>
        <v>#VALUE!</v>
      </c>
      <c r="BR50" t="e">
        <f>BT49*'Current vaccine model'!$H50*HelperFunctions!$R$28</f>
        <v>#VALUE!</v>
      </c>
      <c r="BS50" t="e">
        <f>BT49*'Current vaccine model'!$H50*Export!$L48</f>
        <v>#VALUE!</v>
      </c>
      <c r="BT50" s="84" t="e">
        <f t="shared" si="22"/>
        <v>#VALUE!</v>
      </c>
      <c r="BU50" t="e">
        <f>BW49*'Current vaccine model'!$H50*HelperFunctions!$R$28</f>
        <v>#VALUE!</v>
      </c>
      <c r="BV50" t="e">
        <f>BW49*'Current vaccine model'!$H50*Export!$L48</f>
        <v>#VALUE!</v>
      </c>
      <c r="BW50" s="84" t="e">
        <f t="shared" si="23"/>
        <v>#VALUE!</v>
      </c>
      <c r="BX50" t="e">
        <f>BZ49*'Current vaccine model'!$H50*HelperFunctions!$R$42</f>
        <v>#VALUE!</v>
      </c>
      <c r="BY50" t="e">
        <f>BZ49*'Current vaccine model'!$H50*Export!$L48</f>
        <v>#VALUE!</v>
      </c>
      <c r="BZ50" s="84" t="e">
        <f t="shared" si="24"/>
        <v>#VALUE!</v>
      </c>
      <c r="CA50" t="e">
        <f>CC49*'Current vaccine model'!$H50*HelperFunctions!$R$42</f>
        <v>#VALUE!</v>
      </c>
      <c r="CB50" t="e">
        <f>CC49*'Current vaccine model'!$H50*Export!$L48</f>
        <v>#VALUE!</v>
      </c>
      <c r="CC50" s="84" t="e">
        <f t="shared" si="25"/>
        <v>#VALUE!</v>
      </c>
      <c r="CD50" t="e">
        <f>CF49*'Current vaccine model'!$H50*HelperFunctions!$R$42</f>
        <v>#VALUE!</v>
      </c>
      <c r="CE50" t="e">
        <f>CF49*'Current vaccine model'!$H50*Export!$L48</f>
        <v>#VALUE!</v>
      </c>
      <c r="CF50" s="84" t="e">
        <f t="shared" si="26"/>
        <v>#VALUE!</v>
      </c>
      <c r="CG50" t="e">
        <f>CI49*'Current vaccine model'!$H50*HelperFunctions!$R$42</f>
        <v>#VALUE!</v>
      </c>
      <c r="CH50" t="e">
        <f>CI49*'Current vaccine model'!$H50*Export!$L48</f>
        <v>#VALUE!</v>
      </c>
      <c r="CI50" s="84" t="e">
        <f t="shared" si="27"/>
        <v>#VALUE!</v>
      </c>
      <c r="CJ50" t="e">
        <f>CL49*'Current vaccine model'!$H50*HelperFunctions!$R$42</f>
        <v>#VALUE!</v>
      </c>
      <c r="CK50" t="e">
        <f>CL49*'Current vaccine model'!$H50*Export!$L48</f>
        <v>#VALUE!</v>
      </c>
      <c r="CL50" s="84" t="e">
        <f t="shared" si="28"/>
        <v>#VALUE!</v>
      </c>
      <c r="CM50" t="e">
        <f>CO49*'Current vaccine model'!$H50*HelperFunctions!$R$42</f>
        <v>#VALUE!</v>
      </c>
      <c r="CN50" t="e">
        <f>CO49*'Current vaccine model'!$H50*Export!$L48</f>
        <v>#VALUE!</v>
      </c>
      <c r="CO50" s="84" t="e">
        <f t="shared" si="29"/>
        <v>#VALUE!</v>
      </c>
      <c r="CP50" t="e">
        <f>CR49*'Current vaccine model'!$H50*HelperFunctions!$R$42</f>
        <v>#VALUE!</v>
      </c>
      <c r="CQ50" t="e">
        <f>CR49*'Current vaccine model'!$H50*Export!$L48</f>
        <v>#VALUE!</v>
      </c>
      <c r="CR50" s="84" t="e">
        <f t="shared" si="30"/>
        <v>#VALUE!</v>
      </c>
      <c r="CS50" t="e">
        <f>CU49*'Current vaccine model'!$H50*HelperFunctions!$R$42</f>
        <v>#VALUE!</v>
      </c>
      <c r="CT50" t="e">
        <f>CU49*'Current vaccine model'!$H50*Export!$L48</f>
        <v>#VALUE!</v>
      </c>
      <c r="CU50" s="84" t="e">
        <f t="shared" si="31"/>
        <v>#VALUE!</v>
      </c>
      <c r="CV50" t="e">
        <f>CX49*'Current vaccine model'!$H50*HelperFunctions!$R$42</f>
        <v>#VALUE!</v>
      </c>
      <c r="CW50" t="e">
        <f>CX49*'Current vaccine model'!$H50*Export!$L48</f>
        <v>#VALUE!</v>
      </c>
      <c r="CX50" s="84" t="e">
        <f t="shared" si="32"/>
        <v>#VALUE!</v>
      </c>
      <c r="CY50" t="e">
        <f>DA49*'Current vaccine model'!$H50*HelperFunctions!$R$42</f>
        <v>#VALUE!</v>
      </c>
      <c r="CZ50" t="e">
        <f>DA49*'Current vaccine model'!$H50*Export!$L48</f>
        <v>#VALUE!</v>
      </c>
      <c r="DA50" s="84" t="e">
        <f t="shared" si="33"/>
        <v>#VALUE!</v>
      </c>
      <c r="DB50" t="e">
        <f>DD49*'Current vaccine model'!$H50*HelperFunctions!$R$42</f>
        <v>#VALUE!</v>
      </c>
      <c r="DC50" t="e">
        <f>DD49*'Current vaccine model'!$H50*Export!$L48</f>
        <v>#VALUE!</v>
      </c>
      <c r="DD50" s="84" t="e">
        <f t="shared" si="34"/>
        <v>#VALUE!</v>
      </c>
      <c r="DE50" t="e">
        <f>DG49*'Current vaccine model'!$H50*HelperFunctions!$R41</f>
        <v>#VALUE!</v>
      </c>
      <c r="DF50" t="e">
        <f>DG49*'Current vaccine model'!$H50*Export!$L48</f>
        <v>#VALUE!</v>
      </c>
      <c r="DG50" s="84" t="e">
        <f t="shared" si="35"/>
        <v>#VALUE!</v>
      </c>
      <c r="DH50" t="e">
        <f>DJ49*'Current vaccine model'!$H50*HelperFunctions!$R54</f>
        <v>#VALUE!</v>
      </c>
      <c r="DI50" t="e">
        <f>DJ49*'Current vaccine model'!$H50*Export!$L48</f>
        <v>#VALUE!</v>
      </c>
      <c r="DJ50" s="84" t="e">
        <f t="shared" si="36"/>
        <v>#VALUE!</v>
      </c>
      <c r="DK50" t="e">
        <f>DM49*'Current vaccine model'!$H50*HelperFunctions!$R53</f>
        <v>#VALUE!</v>
      </c>
      <c r="DL50" t="e">
        <f>DM49*'Current vaccine model'!$H50*Export!$L48</f>
        <v>#VALUE!</v>
      </c>
      <c r="DM50" s="84" t="e">
        <f t="shared" si="37"/>
        <v>#VALUE!</v>
      </c>
      <c r="DN50" t="e">
        <f>DP49*'Current vaccine model'!$H50*HelperFunctions!$R52</f>
        <v>#VALUE!</v>
      </c>
      <c r="DO50" t="e">
        <f>DP49*'Current vaccine model'!$H50*Export!$L48</f>
        <v>#VALUE!</v>
      </c>
      <c r="DP50" s="84" t="e">
        <f t="shared" si="38"/>
        <v>#VALUE!</v>
      </c>
      <c r="DQ50" t="e">
        <f>DS49*'Current vaccine model'!$H50*HelperFunctions!$R51</f>
        <v>#VALUE!</v>
      </c>
      <c r="DR50" t="e">
        <f>DS49*'Current vaccine model'!$H50*Export!$L48</f>
        <v>#VALUE!</v>
      </c>
      <c r="DS50" s="84" t="e">
        <f t="shared" si="39"/>
        <v>#VALUE!</v>
      </c>
      <c r="DT50" t="e">
        <f>DV49*'Current vaccine model'!$H50*HelperFunctions!$R50</f>
        <v>#VALUE!</v>
      </c>
      <c r="DU50" t="e">
        <f>DV49*'Current vaccine model'!$H50*Export!$L48</f>
        <v>#VALUE!</v>
      </c>
      <c r="DV50" s="84" t="e">
        <f t="shared" si="40"/>
        <v>#VALUE!</v>
      </c>
      <c r="DW50" t="e">
        <f>DY49*'Current vaccine model'!$H50*HelperFunctions!$R49</f>
        <v>#VALUE!</v>
      </c>
      <c r="DX50" t="e">
        <f>DY49*'Current vaccine model'!$H50*Export!$L48</f>
        <v>#VALUE!</v>
      </c>
      <c r="DY50" s="84" t="e">
        <f t="shared" si="41"/>
        <v>#VALUE!</v>
      </c>
      <c r="DZ50" t="e">
        <f>EB49*'Current vaccine model'!$H50*HelperFunctions!$R48</f>
        <v>#VALUE!</v>
      </c>
      <c r="EA50" t="e">
        <f>EB49*'Current vaccine model'!$H50*Export!$L48</f>
        <v>#VALUE!</v>
      </c>
      <c r="EB50" s="84" t="e">
        <f t="shared" si="42"/>
        <v>#VALUE!</v>
      </c>
      <c r="EC50" t="e">
        <f>EE49*'Current vaccine model'!$H50*HelperFunctions!$R47</f>
        <v>#VALUE!</v>
      </c>
      <c r="ED50" t="e">
        <f>EE49*'Current vaccine model'!$H50*Export!$L48</f>
        <v>#VALUE!</v>
      </c>
      <c r="EE50" s="84" t="e">
        <f t="shared" si="43"/>
        <v>#VALUE!</v>
      </c>
      <c r="EF50" t="e">
        <f>EH49*'Current vaccine model'!$H50*HelperFunctions!$R46</f>
        <v>#VALUE!</v>
      </c>
      <c r="EG50" t="e">
        <f>EH49*'Current vaccine model'!$H50*Export!$L48</f>
        <v>#VALUE!</v>
      </c>
      <c r="EH50" s="84" t="e">
        <f t="shared" ref="EH50:EH63" si="44">EH49-EF50-EG50</f>
        <v>#VALUE!</v>
      </c>
      <c r="EI50" t="e">
        <f>EK49*'Current vaccine model'!$H50*HelperFunctions!$R45</f>
        <v>#VALUE!</v>
      </c>
      <c r="EJ50" t="e">
        <f>EK49*'Current vaccine model'!$H50*Export!$L48</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F50*'Current vaccine model'!$H51*HelperFunctions!$R$14</f>
        <v>#VALUE!</v>
      </c>
      <c r="E51" t="e">
        <f>F50*'Current vaccine model'!$H51*Export!$L49</f>
        <v>#VALUE!</v>
      </c>
      <c r="F51" s="84" t="e">
        <f t="shared" si="0"/>
        <v>#VALUE!</v>
      </c>
      <c r="G51" t="e">
        <f>I50*'Current vaccine model'!$H51*HelperFunctions!$R$14</f>
        <v>#VALUE!</v>
      </c>
      <c r="H51" t="e">
        <f>I50*'Current vaccine model'!$H51*Export!$L49</f>
        <v>#VALUE!</v>
      </c>
      <c r="I51" s="84" t="e">
        <f t="shared" si="1"/>
        <v>#VALUE!</v>
      </c>
      <c r="J51" t="e">
        <f>L50*'Current vaccine model'!$H51*HelperFunctions!$R$14</f>
        <v>#VALUE!</v>
      </c>
      <c r="K51" t="e">
        <f>L50*'Current vaccine model'!$H51*Export!$L49</f>
        <v>#VALUE!</v>
      </c>
      <c r="L51" s="84" t="e">
        <f t="shared" si="2"/>
        <v>#VALUE!</v>
      </c>
      <c r="M51" t="e">
        <f>O50*'Current vaccine model'!$H51*HelperFunctions!$R$14</f>
        <v>#VALUE!</v>
      </c>
      <c r="N51" t="e">
        <f>O50*'Current vaccine model'!$H51*Export!$L49</f>
        <v>#VALUE!</v>
      </c>
      <c r="O51" s="84" t="e">
        <f t="shared" si="3"/>
        <v>#VALUE!</v>
      </c>
      <c r="P51" t="e">
        <f>R50*'Current vaccine model'!$H51*HelperFunctions!$R$14</f>
        <v>#VALUE!</v>
      </c>
      <c r="Q51" t="e">
        <f>R50*'Current vaccine model'!$H51*Export!$L49</f>
        <v>#VALUE!</v>
      </c>
      <c r="R51" s="84" t="e">
        <f t="shared" si="4"/>
        <v>#VALUE!</v>
      </c>
      <c r="S51" t="e">
        <f>U50*'Current vaccine model'!$H51*HelperFunctions!$R$14</f>
        <v>#VALUE!</v>
      </c>
      <c r="T51" t="e">
        <f>U50*'Current vaccine model'!$H51*Export!$L49</f>
        <v>#VALUE!</v>
      </c>
      <c r="U51" s="84" t="e">
        <f t="shared" si="5"/>
        <v>#VALUE!</v>
      </c>
      <c r="V51" t="e">
        <f>X50*'Current vaccine model'!$H51*HelperFunctions!$R$14</f>
        <v>#VALUE!</v>
      </c>
      <c r="W51" t="e">
        <f>X50*'Current vaccine model'!$H51*Export!$L49</f>
        <v>#VALUE!</v>
      </c>
      <c r="X51" s="84" t="e">
        <f t="shared" si="6"/>
        <v>#VALUE!</v>
      </c>
      <c r="Y51" t="e">
        <f>AA50*'Current vaccine model'!$H51*HelperFunctions!$R$14</f>
        <v>#VALUE!</v>
      </c>
      <c r="Z51" t="e">
        <f>AA50*'Current vaccine model'!$H51*Export!$L49</f>
        <v>#VALUE!</v>
      </c>
      <c r="AA51" s="84" t="e">
        <f t="shared" si="7"/>
        <v>#VALUE!</v>
      </c>
      <c r="AB51" t="e">
        <f>AD50*'Current vaccine model'!$H51*HelperFunctions!$R$14</f>
        <v>#VALUE!</v>
      </c>
      <c r="AC51" t="e">
        <f>AD50*'Current vaccine model'!$H51*Export!$L49</f>
        <v>#VALUE!</v>
      </c>
      <c r="AD51" s="84" t="e">
        <f t="shared" si="8"/>
        <v>#VALUE!</v>
      </c>
      <c r="AE51" t="e">
        <f>AG50*'Current vaccine model'!$H51*HelperFunctions!$R$14</f>
        <v>#VALUE!</v>
      </c>
      <c r="AF51" t="e">
        <f>AG50*'Current vaccine model'!$H51*Export!$L49</f>
        <v>#VALUE!</v>
      </c>
      <c r="AG51" s="84" t="e">
        <f t="shared" si="9"/>
        <v>#VALUE!</v>
      </c>
      <c r="AH51" t="e">
        <f>AJ50*'Current vaccine model'!$H51*HelperFunctions!$R$14</f>
        <v>#VALUE!</v>
      </c>
      <c r="AI51" t="e">
        <f>AJ50*'Current vaccine model'!$H51*Export!$L49</f>
        <v>#VALUE!</v>
      </c>
      <c r="AJ51" s="84" t="e">
        <f t="shared" si="10"/>
        <v>#VALUE!</v>
      </c>
      <c r="AK51" t="e">
        <f>AM50*'Current vaccine model'!$H51*HelperFunctions!$R$14</f>
        <v>#VALUE!</v>
      </c>
      <c r="AL51" t="e">
        <f>AM50*'Current vaccine model'!$H51*Export!$L49</f>
        <v>#VALUE!</v>
      </c>
      <c r="AM51" s="84" t="e">
        <f t="shared" si="11"/>
        <v>#VALUE!</v>
      </c>
      <c r="AN51" t="e">
        <f>AP50*'Current vaccine model'!$H51*HelperFunctions!$R$28</f>
        <v>#VALUE!</v>
      </c>
      <c r="AO51" t="e">
        <f>AP50*'Current vaccine model'!$H51*Export!$L49</f>
        <v>#VALUE!</v>
      </c>
      <c r="AP51" s="84" t="e">
        <f t="shared" si="12"/>
        <v>#VALUE!</v>
      </c>
      <c r="AQ51" t="e">
        <f>AS50*'Current vaccine model'!$H51*HelperFunctions!$R$28</f>
        <v>#VALUE!</v>
      </c>
      <c r="AR51" t="e">
        <f>AS50*'Current vaccine model'!$H51*Export!$L49</f>
        <v>#VALUE!</v>
      </c>
      <c r="AS51" s="84" t="e">
        <f t="shared" si="13"/>
        <v>#VALUE!</v>
      </c>
      <c r="AT51" t="e">
        <f>AV50*'Current vaccine model'!$H51*HelperFunctions!$R$28</f>
        <v>#VALUE!</v>
      </c>
      <c r="AU51" t="e">
        <f>AV50*'Current vaccine model'!$H51*Export!$L49</f>
        <v>#VALUE!</v>
      </c>
      <c r="AV51" s="84" t="e">
        <f t="shared" si="14"/>
        <v>#VALUE!</v>
      </c>
      <c r="AW51" t="e">
        <f>AY50*'Current vaccine model'!$H51*HelperFunctions!$R$28</f>
        <v>#VALUE!</v>
      </c>
      <c r="AX51" t="e">
        <f>AY50*'Current vaccine model'!$H51*Export!$L49</f>
        <v>#VALUE!</v>
      </c>
      <c r="AY51" s="84" t="e">
        <f t="shared" si="15"/>
        <v>#VALUE!</v>
      </c>
      <c r="AZ51" t="e">
        <f>BB50*'Current vaccine model'!$H51*HelperFunctions!$R$28</f>
        <v>#VALUE!</v>
      </c>
      <c r="BA51" t="e">
        <f>BB50*'Current vaccine model'!$H51*Export!$L49</f>
        <v>#VALUE!</v>
      </c>
      <c r="BB51" s="84" t="e">
        <f t="shared" si="16"/>
        <v>#VALUE!</v>
      </c>
      <c r="BC51" t="e">
        <f>BE50*'Current vaccine model'!$H51*HelperFunctions!$R$28</f>
        <v>#VALUE!</v>
      </c>
      <c r="BD51" t="e">
        <f>BE50*'Current vaccine model'!$H51*Export!$L49</f>
        <v>#VALUE!</v>
      </c>
      <c r="BE51" s="84" t="e">
        <f t="shared" si="17"/>
        <v>#VALUE!</v>
      </c>
      <c r="BF51" t="e">
        <f>BH50*'Current vaccine model'!$H51*HelperFunctions!$R$28</f>
        <v>#VALUE!</v>
      </c>
      <c r="BG51" t="e">
        <f>BH50*'Current vaccine model'!$H51*Export!$L49</f>
        <v>#VALUE!</v>
      </c>
      <c r="BH51" s="84" t="e">
        <f t="shared" si="18"/>
        <v>#VALUE!</v>
      </c>
      <c r="BI51" t="e">
        <f>BK50*'Current vaccine model'!$H51*HelperFunctions!$R$28</f>
        <v>#VALUE!</v>
      </c>
      <c r="BJ51" t="e">
        <f>BK50*'Current vaccine model'!$H51*Export!$L49</f>
        <v>#VALUE!</v>
      </c>
      <c r="BK51" s="84" t="e">
        <f t="shared" si="19"/>
        <v>#VALUE!</v>
      </c>
      <c r="BL51" t="e">
        <f>BN50*'Current vaccine model'!$H51*HelperFunctions!$R$28</f>
        <v>#VALUE!</v>
      </c>
      <c r="BM51" t="e">
        <f>BN50*'Current vaccine model'!$H51*Export!$L49</f>
        <v>#VALUE!</v>
      </c>
      <c r="BN51" s="84" t="e">
        <f t="shared" si="20"/>
        <v>#VALUE!</v>
      </c>
      <c r="BO51" t="e">
        <f>BQ50*'Current vaccine model'!$H51*HelperFunctions!$R$28</f>
        <v>#VALUE!</v>
      </c>
      <c r="BP51" t="e">
        <f>BQ50*'Current vaccine model'!$H51*Export!$L49</f>
        <v>#VALUE!</v>
      </c>
      <c r="BQ51" s="84" t="e">
        <f t="shared" si="21"/>
        <v>#VALUE!</v>
      </c>
      <c r="BR51" t="e">
        <f>BT50*'Current vaccine model'!$H51*HelperFunctions!$R$28</f>
        <v>#VALUE!</v>
      </c>
      <c r="BS51" t="e">
        <f>BT50*'Current vaccine model'!$H51*Export!$L49</f>
        <v>#VALUE!</v>
      </c>
      <c r="BT51" s="84" t="e">
        <f t="shared" si="22"/>
        <v>#VALUE!</v>
      </c>
      <c r="BU51" t="e">
        <f>BW50*'Current vaccine model'!$H51*HelperFunctions!$R$28</f>
        <v>#VALUE!</v>
      </c>
      <c r="BV51" t="e">
        <f>BW50*'Current vaccine model'!$H51*Export!$L49</f>
        <v>#VALUE!</v>
      </c>
      <c r="BW51" s="84" t="e">
        <f t="shared" si="23"/>
        <v>#VALUE!</v>
      </c>
      <c r="BX51" t="e">
        <f>BZ50*'Current vaccine model'!$H51*HelperFunctions!$R$42</f>
        <v>#VALUE!</v>
      </c>
      <c r="BY51" t="e">
        <f>BZ50*'Current vaccine model'!$H51*Export!$L49</f>
        <v>#VALUE!</v>
      </c>
      <c r="BZ51" s="84" t="e">
        <f t="shared" si="24"/>
        <v>#VALUE!</v>
      </c>
      <c r="CA51" t="e">
        <f>CC50*'Current vaccine model'!$H51*HelperFunctions!$R$42</f>
        <v>#VALUE!</v>
      </c>
      <c r="CB51" t="e">
        <f>CC50*'Current vaccine model'!$H51*Export!$L49</f>
        <v>#VALUE!</v>
      </c>
      <c r="CC51" s="84" t="e">
        <f t="shared" si="25"/>
        <v>#VALUE!</v>
      </c>
      <c r="CD51" t="e">
        <f>CF50*'Current vaccine model'!$H51*HelperFunctions!$R$42</f>
        <v>#VALUE!</v>
      </c>
      <c r="CE51" t="e">
        <f>CF50*'Current vaccine model'!$H51*Export!$L49</f>
        <v>#VALUE!</v>
      </c>
      <c r="CF51" s="84" t="e">
        <f t="shared" si="26"/>
        <v>#VALUE!</v>
      </c>
      <c r="CG51" t="e">
        <f>CI50*'Current vaccine model'!$H51*HelperFunctions!$R$42</f>
        <v>#VALUE!</v>
      </c>
      <c r="CH51" t="e">
        <f>CI50*'Current vaccine model'!$H51*Export!$L49</f>
        <v>#VALUE!</v>
      </c>
      <c r="CI51" s="84" t="e">
        <f t="shared" si="27"/>
        <v>#VALUE!</v>
      </c>
      <c r="CJ51" t="e">
        <f>CL50*'Current vaccine model'!$H51*HelperFunctions!$R$42</f>
        <v>#VALUE!</v>
      </c>
      <c r="CK51" t="e">
        <f>CL50*'Current vaccine model'!$H51*Export!$L49</f>
        <v>#VALUE!</v>
      </c>
      <c r="CL51" s="84" t="e">
        <f t="shared" si="28"/>
        <v>#VALUE!</v>
      </c>
      <c r="CM51" t="e">
        <f>CO50*'Current vaccine model'!$H51*HelperFunctions!$R$42</f>
        <v>#VALUE!</v>
      </c>
      <c r="CN51" t="e">
        <f>CO50*'Current vaccine model'!$H51*Export!$L49</f>
        <v>#VALUE!</v>
      </c>
      <c r="CO51" s="84" t="e">
        <f t="shared" si="29"/>
        <v>#VALUE!</v>
      </c>
      <c r="CP51" t="e">
        <f>CR50*'Current vaccine model'!$H51*HelperFunctions!$R$42</f>
        <v>#VALUE!</v>
      </c>
      <c r="CQ51" t="e">
        <f>CR50*'Current vaccine model'!$H51*Export!$L49</f>
        <v>#VALUE!</v>
      </c>
      <c r="CR51" s="84" t="e">
        <f t="shared" si="30"/>
        <v>#VALUE!</v>
      </c>
      <c r="CS51" t="e">
        <f>CU50*'Current vaccine model'!$H51*HelperFunctions!$R$42</f>
        <v>#VALUE!</v>
      </c>
      <c r="CT51" t="e">
        <f>CU50*'Current vaccine model'!$H51*Export!$L49</f>
        <v>#VALUE!</v>
      </c>
      <c r="CU51" s="84" t="e">
        <f t="shared" si="31"/>
        <v>#VALUE!</v>
      </c>
      <c r="CV51" t="e">
        <f>CX50*'Current vaccine model'!$H51*HelperFunctions!$R$42</f>
        <v>#VALUE!</v>
      </c>
      <c r="CW51" t="e">
        <f>CX50*'Current vaccine model'!$H51*Export!$L49</f>
        <v>#VALUE!</v>
      </c>
      <c r="CX51" s="84" t="e">
        <f t="shared" si="32"/>
        <v>#VALUE!</v>
      </c>
      <c r="CY51" t="e">
        <f>DA50*'Current vaccine model'!$H51*HelperFunctions!$R$42</f>
        <v>#VALUE!</v>
      </c>
      <c r="CZ51" t="e">
        <f>DA50*'Current vaccine model'!$H51*Export!$L49</f>
        <v>#VALUE!</v>
      </c>
      <c r="DA51" s="84" t="e">
        <f t="shared" si="33"/>
        <v>#VALUE!</v>
      </c>
      <c r="DB51" t="e">
        <f>DD50*'Current vaccine model'!$H51*HelperFunctions!$R$42</f>
        <v>#VALUE!</v>
      </c>
      <c r="DC51" t="e">
        <f>DD50*'Current vaccine model'!$H51*Export!$L49</f>
        <v>#VALUE!</v>
      </c>
      <c r="DD51" s="84" t="e">
        <f t="shared" si="34"/>
        <v>#VALUE!</v>
      </c>
      <c r="DE51" t="e">
        <f>DG50*'Current vaccine model'!$H51*HelperFunctions!$R$42</f>
        <v>#VALUE!</v>
      </c>
      <c r="DF51" t="e">
        <f>DG50*'Current vaccine model'!$H51*Export!$L49</f>
        <v>#VALUE!</v>
      </c>
      <c r="DG51" s="84" t="e">
        <f t="shared" si="35"/>
        <v>#VALUE!</v>
      </c>
      <c r="DH51" t="e">
        <f>DJ50*'Current vaccine model'!$H51*HelperFunctions!$R55</f>
        <v>#VALUE!</v>
      </c>
      <c r="DI51" t="e">
        <f>DJ50*'Current vaccine model'!$H51*Export!$L49</f>
        <v>#VALUE!</v>
      </c>
      <c r="DJ51" s="84" t="e">
        <f t="shared" si="36"/>
        <v>#VALUE!</v>
      </c>
      <c r="DK51" t="e">
        <f>DM50*'Current vaccine model'!$H51*HelperFunctions!$R54</f>
        <v>#VALUE!</v>
      </c>
      <c r="DL51" t="e">
        <f>DM50*'Current vaccine model'!$H51*Export!$L49</f>
        <v>#VALUE!</v>
      </c>
      <c r="DM51" s="84" t="e">
        <f t="shared" si="37"/>
        <v>#VALUE!</v>
      </c>
      <c r="DN51" t="e">
        <f>DP50*'Current vaccine model'!$H51*HelperFunctions!$R53</f>
        <v>#VALUE!</v>
      </c>
      <c r="DO51" t="e">
        <f>DP50*'Current vaccine model'!$H51*Export!$L49</f>
        <v>#VALUE!</v>
      </c>
      <c r="DP51" s="84" t="e">
        <f t="shared" si="38"/>
        <v>#VALUE!</v>
      </c>
      <c r="DQ51" t="e">
        <f>DS50*'Current vaccine model'!$H51*HelperFunctions!$R52</f>
        <v>#VALUE!</v>
      </c>
      <c r="DR51" t="e">
        <f>DS50*'Current vaccine model'!$H51*Export!$L49</f>
        <v>#VALUE!</v>
      </c>
      <c r="DS51" s="84" t="e">
        <f t="shared" si="39"/>
        <v>#VALUE!</v>
      </c>
      <c r="DT51" t="e">
        <f>DV50*'Current vaccine model'!$H51*HelperFunctions!$R51</f>
        <v>#VALUE!</v>
      </c>
      <c r="DU51" t="e">
        <f>DV50*'Current vaccine model'!$H51*Export!$L49</f>
        <v>#VALUE!</v>
      </c>
      <c r="DV51" s="84" t="e">
        <f t="shared" si="40"/>
        <v>#VALUE!</v>
      </c>
      <c r="DW51" t="e">
        <f>DY50*'Current vaccine model'!$H51*HelperFunctions!$R50</f>
        <v>#VALUE!</v>
      </c>
      <c r="DX51" t="e">
        <f>DY50*'Current vaccine model'!$H51*Export!$L49</f>
        <v>#VALUE!</v>
      </c>
      <c r="DY51" s="84" t="e">
        <f t="shared" si="41"/>
        <v>#VALUE!</v>
      </c>
      <c r="DZ51" t="e">
        <f>EB50*'Current vaccine model'!$H51*HelperFunctions!$R49</f>
        <v>#VALUE!</v>
      </c>
      <c r="EA51" t="e">
        <f>EB50*'Current vaccine model'!$H51*Export!$L49</f>
        <v>#VALUE!</v>
      </c>
      <c r="EB51" s="84" t="e">
        <f t="shared" si="42"/>
        <v>#VALUE!</v>
      </c>
      <c r="EC51" t="e">
        <f>EE50*'Current vaccine model'!$H51*HelperFunctions!$R48</f>
        <v>#VALUE!</v>
      </c>
      <c r="ED51" t="e">
        <f>EE50*'Current vaccine model'!$H51*Export!$L49</f>
        <v>#VALUE!</v>
      </c>
      <c r="EE51" s="84" t="e">
        <f t="shared" si="43"/>
        <v>#VALUE!</v>
      </c>
      <c r="EF51" t="e">
        <f>EH50*'Current vaccine model'!$H51*HelperFunctions!$R47</f>
        <v>#VALUE!</v>
      </c>
      <c r="EG51" t="e">
        <f>EH50*'Current vaccine model'!$H51*Export!$L49</f>
        <v>#VALUE!</v>
      </c>
      <c r="EH51" s="84" t="e">
        <f t="shared" si="44"/>
        <v>#VALUE!</v>
      </c>
      <c r="EI51" t="e">
        <f>EK50*'Current vaccine model'!$H51*HelperFunctions!$R46</f>
        <v>#VALUE!</v>
      </c>
      <c r="EJ51" t="e">
        <f>EK50*'Current vaccine model'!$H51*Export!$L49</f>
        <v>#VALUE!</v>
      </c>
      <c r="EK51" s="84" t="e">
        <f t="shared" ref="EK51:EK63" si="45">EK50-EI51-EJ51</f>
        <v>#VALUE!</v>
      </c>
      <c r="EL51" t="e">
        <f>EN50*'Current vaccine model'!$H51*HelperFunctions!$R45</f>
        <v>#VALUE!</v>
      </c>
      <c r="EM51" t="e">
        <f>EN50*'Current vaccine model'!$H51*Export!$L49</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F51*'Current vaccine model'!$H52*HelperFunctions!$R$14</f>
        <v>#VALUE!</v>
      </c>
      <c r="E52" t="e">
        <f>F51*'Current vaccine model'!$H52*Export!$L50</f>
        <v>#VALUE!</v>
      </c>
      <c r="F52" s="84" t="e">
        <f t="shared" si="0"/>
        <v>#VALUE!</v>
      </c>
      <c r="G52" t="e">
        <f>I51*'Current vaccine model'!$H52*HelperFunctions!$R$14</f>
        <v>#VALUE!</v>
      </c>
      <c r="H52" t="e">
        <f>I51*'Current vaccine model'!$H52*Export!$L50</f>
        <v>#VALUE!</v>
      </c>
      <c r="I52" s="84" t="e">
        <f t="shared" si="1"/>
        <v>#VALUE!</v>
      </c>
      <c r="J52" t="e">
        <f>L51*'Current vaccine model'!$H52*HelperFunctions!$R$14</f>
        <v>#VALUE!</v>
      </c>
      <c r="K52" t="e">
        <f>L51*'Current vaccine model'!$H52*Export!$L50</f>
        <v>#VALUE!</v>
      </c>
      <c r="L52" s="84" t="e">
        <f t="shared" si="2"/>
        <v>#VALUE!</v>
      </c>
      <c r="M52" t="e">
        <f>O51*'Current vaccine model'!$H52*HelperFunctions!$R$14</f>
        <v>#VALUE!</v>
      </c>
      <c r="N52" t="e">
        <f>O51*'Current vaccine model'!$H52*Export!$L50</f>
        <v>#VALUE!</v>
      </c>
      <c r="O52" s="84" t="e">
        <f t="shared" si="3"/>
        <v>#VALUE!</v>
      </c>
      <c r="P52" t="e">
        <f>R51*'Current vaccine model'!$H52*HelperFunctions!$R$14</f>
        <v>#VALUE!</v>
      </c>
      <c r="Q52" t="e">
        <f>R51*'Current vaccine model'!$H52*Export!$L50</f>
        <v>#VALUE!</v>
      </c>
      <c r="R52" s="84" t="e">
        <f t="shared" si="4"/>
        <v>#VALUE!</v>
      </c>
      <c r="S52" t="e">
        <f>U51*'Current vaccine model'!$H52*HelperFunctions!$R$14</f>
        <v>#VALUE!</v>
      </c>
      <c r="T52" t="e">
        <f>U51*'Current vaccine model'!$H52*Export!$L50</f>
        <v>#VALUE!</v>
      </c>
      <c r="U52" s="84" t="e">
        <f t="shared" si="5"/>
        <v>#VALUE!</v>
      </c>
      <c r="V52" t="e">
        <f>X51*'Current vaccine model'!$H52*HelperFunctions!$R$14</f>
        <v>#VALUE!</v>
      </c>
      <c r="W52" t="e">
        <f>X51*'Current vaccine model'!$H52*Export!$L50</f>
        <v>#VALUE!</v>
      </c>
      <c r="X52" s="84" t="e">
        <f t="shared" si="6"/>
        <v>#VALUE!</v>
      </c>
      <c r="Y52" t="e">
        <f>AA51*'Current vaccine model'!$H52*HelperFunctions!$R$14</f>
        <v>#VALUE!</v>
      </c>
      <c r="Z52" t="e">
        <f>AA51*'Current vaccine model'!$H52*Export!$L50</f>
        <v>#VALUE!</v>
      </c>
      <c r="AA52" s="84" t="e">
        <f t="shared" si="7"/>
        <v>#VALUE!</v>
      </c>
      <c r="AB52" t="e">
        <f>AD51*'Current vaccine model'!$H52*HelperFunctions!$R$14</f>
        <v>#VALUE!</v>
      </c>
      <c r="AC52" t="e">
        <f>AD51*'Current vaccine model'!$H52*Export!$L50</f>
        <v>#VALUE!</v>
      </c>
      <c r="AD52" s="84" t="e">
        <f t="shared" si="8"/>
        <v>#VALUE!</v>
      </c>
      <c r="AE52" t="e">
        <f>AG51*'Current vaccine model'!$H52*HelperFunctions!$R$14</f>
        <v>#VALUE!</v>
      </c>
      <c r="AF52" t="e">
        <f>AG51*'Current vaccine model'!$H52*Export!$L50</f>
        <v>#VALUE!</v>
      </c>
      <c r="AG52" s="84" t="e">
        <f t="shared" si="9"/>
        <v>#VALUE!</v>
      </c>
      <c r="AH52" t="e">
        <f>AJ51*'Current vaccine model'!$H52*HelperFunctions!$R$14</f>
        <v>#VALUE!</v>
      </c>
      <c r="AI52" t="e">
        <f>AJ51*'Current vaccine model'!$H52*Export!$L50</f>
        <v>#VALUE!</v>
      </c>
      <c r="AJ52" s="84" t="e">
        <f t="shared" si="10"/>
        <v>#VALUE!</v>
      </c>
      <c r="AK52" t="e">
        <f>AM51*'Current vaccine model'!$H52*HelperFunctions!$R$14</f>
        <v>#VALUE!</v>
      </c>
      <c r="AL52" t="e">
        <f>AM51*'Current vaccine model'!$H52*Export!$L50</f>
        <v>#VALUE!</v>
      </c>
      <c r="AM52" s="84" t="e">
        <f t="shared" si="11"/>
        <v>#VALUE!</v>
      </c>
      <c r="AN52" t="e">
        <f>AP51*'Current vaccine model'!$H52*HelperFunctions!$R$28</f>
        <v>#VALUE!</v>
      </c>
      <c r="AO52" t="e">
        <f>AP51*'Current vaccine model'!$H52*Export!$L50</f>
        <v>#VALUE!</v>
      </c>
      <c r="AP52" s="84" t="e">
        <f t="shared" si="12"/>
        <v>#VALUE!</v>
      </c>
      <c r="AQ52" t="e">
        <f>AS51*'Current vaccine model'!$H52*HelperFunctions!$R$28</f>
        <v>#VALUE!</v>
      </c>
      <c r="AR52" t="e">
        <f>AS51*'Current vaccine model'!$H52*Export!$L50</f>
        <v>#VALUE!</v>
      </c>
      <c r="AS52" s="84" t="e">
        <f t="shared" si="13"/>
        <v>#VALUE!</v>
      </c>
      <c r="AT52" t="e">
        <f>AV51*'Current vaccine model'!$H52*HelperFunctions!$R$28</f>
        <v>#VALUE!</v>
      </c>
      <c r="AU52" t="e">
        <f>AV51*'Current vaccine model'!$H52*Export!$L50</f>
        <v>#VALUE!</v>
      </c>
      <c r="AV52" s="84" t="e">
        <f t="shared" si="14"/>
        <v>#VALUE!</v>
      </c>
      <c r="AW52" t="e">
        <f>AY51*'Current vaccine model'!$H52*HelperFunctions!$R$28</f>
        <v>#VALUE!</v>
      </c>
      <c r="AX52" t="e">
        <f>AY51*'Current vaccine model'!$H52*Export!$L50</f>
        <v>#VALUE!</v>
      </c>
      <c r="AY52" s="84" t="e">
        <f t="shared" si="15"/>
        <v>#VALUE!</v>
      </c>
      <c r="AZ52" t="e">
        <f>BB51*'Current vaccine model'!$H52*HelperFunctions!$R$28</f>
        <v>#VALUE!</v>
      </c>
      <c r="BA52" t="e">
        <f>BB51*'Current vaccine model'!$H52*Export!$L50</f>
        <v>#VALUE!</v>
      </c>
      <c r="BB52" s="84" t="e">
        <f t="shared" si="16"/>
        <v>#VALUE!</v>
      </c>
      <c r="BC52" t="e">
        <f>BE51*'Current vaccine model'!$H52*HelperFunctions!$R$28</f>
        <v>#VALUE!</v>
      </c>
      <c r="BD52" t="e">
        <f>BE51*'Current vaccine model'!$H52*Export!$L50</f>
        <v>#VALUE!</v>
      </c>
      <c r="BE52" s="84" t="e">
        <f t="shared" si="17"/>
        <v>#VALUE!</v>
      </c>
      <c r="BF52" t="e">
        <f>BH51*'Current vaccine model'!$H52*HelperFunctions!$R$28</f>
        <v>#VALUE!</v>
      </c>
      <c r="BG52" t="e">
        <f>BH51*'Current vaccine model'!$H52*Export!$L50</f>
        <v>#VALUE!</v>
      </c>
      <c r="BH52" s="84" t="e">
        <f t="shared" si="18"/>
        <v>#VALUE!</v>
      </c>
      <c r="BI52" t="e">
        <f>BK51*'Current vaccine model'!$H52*HelperFunctions!$R$28</f>
        <v>#VALUE!</v>
      </c>
      <c r="BJ52" t="e">
        <f>BK51*'Current vaccine model'!$H52*Export!$L50</f>
        <v>#VALUE!</v>
      </c>
      <c r="BK52" s="84" t="e">
        <f t="shared" si="19"/>
        <v>#VALUE!</v>
      </c>
      <c r="BL52" t="e">
        <f>BN51*'Current vaccine model'!$H52*HelperFunctions!$R$28</f>
        <v>#VALUE!</v>
      </c>
      <c r="BM52" t="e">
        <f>BN51*'Current vaccine model'!$H52*Export!$L50</f>
        <v>#VALUE!</v>
      </c>
      <c r="BN52" s="84" t="e">
        <f t="shared" si="20"/>
        <v>#VALUE!</v>
      </c>
      <c r="BO52" t="e">
        <f>BQ51*'Current vaccine model'!$H52*HelperFunctions!$R$28</f>
        <v>#VALUE!</v>
      </c>
      <c r="BP52" t="e">
        <f>BQ51*'Current vaccine model'!$H52*Export!$L50</f>
        <v>#VALUE!</v>
      </c>
      <c r="BQ52" s="84" t="e">
        <f t="shared" si="21"/>
        <v>#VALUE!</v>
      </c>
      <c r="BR52" t="e">
        <f>BT51*'Current vaccine model'!$H52*HelperFunctions!$R$28</f>
        <v>#VALUE!</v>
      </c>
      <c r="BS52" t="e">
        <f>BT51*'Current vaccine model'!$H52*Export!$L50</f>
        <v>#VALUE!</v>
      </c>
      <c r="BT52" s="84" t="e">
        <f t="shared" si="22"/>
        <v>#VALUE!</v>
      </c>
      <c r="BU52" t="e">
        <f>BW51*'Current vaccine model'!$H52*HelperFunctions!$R$28</f>
        <v>#VALUE!</v>
      </c>
      <c r="BV52" t="e">
        <f>BW51*'Current vaccine model'!$H52*Export!$L50</f>
        <v>#VALUE!</v>
      </c>
      <c r="BW52" s="84" t="e">
        <f t="shared" si="23"/>
        <v>#VALUE!</v>
      </c>
      <c r="BX52" t="e">
        <f>BZ51*'Current vaccine model'!$H52*HelperFunctions!$R$42</f>
        <v>#VALUE!</v>
      </c>
      <c r="BY52" t="e">
        <f>BZ51*'Current vaccine model'!$H52*Export!$L50</f>
        <v>#VALUE!</v>
      </c>
      <c r="BZ52" s="84" t="e">
        <f t="shared" si="24"/>
        <v>#VALUE!</v>
      </c>
      <c r="CA52" t="e">
        <f>CC51*'Current vaccine model'!$H52*HelperFunctions!$R$42</f>
        <v>#VALUE!</v>
      </c>
      <c r="CB52" t="e">
        <f>CC51*'Current vaccine model'!$H52*Export!$L50</f>
        <v>#VALUE!</v>
      </c>
      <c r="CC52" s="84" t="e">
        <f t="shared" si="25"/>
        <v>#VALUE!</v>
      </c>
      <c r="CD52" t="e">
        <f>CF51*'Current vaccine model'!$H52*HelperFunctions!$R$42</f>
        <v>#VALUE!</v>
      </c>
      <c r="CE52" t="e">
        <f>CF51*'Current vaccine model'!$H52*Export!$L50</f>
        <v>#VALUE!</v>
      </c>
      <c r="CF52" s="84" t="e">
        <f t="shared" si="26"/>
        <v>#VALUE!</v>
      </c>
      <c r="CG52" t="e">
        <f>CI51*'Current vaccine model'!$H52*HelperFunctions!$R$42</f>
        <v>#VALUE!</v>
      </c>
      <c r="CH52" t="e">
        <f>CI51*'Current vaccine model'!$H52*Export!$L50</f>
        <v>#VALUE!</v>
      </c>
      <c r="CI52" s="84" t="e">
        <f t="shared" si="27"/>
        <v>#VALUE!</v>
      </c>
      <c r="CJ52" t="e">
        <f>CL51*'Current vaccine model'!$H52*HelperFunctions!$R$42</f>
        <v>#VALUE!</v>
      </c>
      <c r="CK52" t="e">
        <f>CL51*'Current vaccine model'!$H52*Export!$L50</f>
        <v>#VALUE!</v>
      </c>
      <c r="CL52" s="84" t="e">
        <f t="shared" si="28"/>
        <v>#VALUE!</v>
      </c>
      <c r="CM52" t="e">
        <f>CO51*'Current vaccine model'!$H52*HelperFunctions!$R$42</f>
        <v>#VALUE!</v>
      </c>
      <c r="CN52" t="e">
        <f>CO51*'Current vaccine model'!$H52*Export!$L50</f>
        <v>#VALUE!</v>
      </c>
      <c r="CO52" s="84" t="e">
        <f t="shared" si="29"/>
        <v>#VALUE!</v>
      </c>
      <c r="CP52" t="e">
        <f>CR51*'Current vaccine model'!$H52*HelperFunctions!$R$42</f>
        <v>#VALUE!</v>
      </c>
      <c r="CQ52" t="e">
        <f>CR51*'Current vaccine model'!$H52*Export!$L50</f>
        <v>#VALUE!</v>
      </c>
      <c r="CR52" s="84" t="e">
        <f t="shared" si="30"/>
        <v>#VALUE!</v>
      </c>
      <c r="CS52" t="e">
        <f>CU51*'Current vaccine model'!$H52*HelperFunctions!$R$42</f>
        <v>#VALUE!</v>
      </c>
      <c r="CT52" t="e">
        <f>CU51*'Current vaccine model'!$H52*Export!$L50</f>
        <v>#VALUE!</v>
      </c>
      <c r="CU52" s="84" t="e">
        <f t="shared" si="31"/>
        <v>#VALUE!</v>
      </c>
      <c r="CV52" t="e">
        <f>CX51*'Current vaccine model'!$H52*HelperFunctions!$R$42</f>
        <v>#VALUE!</v>
      </c>
      <c r="CW52" t="e">
        <f>CX51*'Current vaccine model'!$H52*Export!$L50</f>
        <v>#VALUE!</v>
      </c>
      <c r="CX52" s="84" t="e">
        <f t="shared" si="32"/>
        <v>#VALUE!</v>
      </c>
      <c r="CY52" t="e">
        <f>DA51*'Current vaccine model'!$H52*HelperFunctions!$R$42</f>
        <v>#VALUE!</v>
      </c>
      <c r="CZ52" t="e">
        <f>DA51*'Current vaccine model'!$H52*Export!$L50</f>
        <v>#VALUE!</v>
      </c>
      <c r="DA52" s="84" t="e">
        <f t="shared" si="33"/>
        <v>#VALUE!</v>
      </c>
      <c r="DB52" t="e">
        <f>DD51*'Current vaccine model'!$H52*HelperFunctions!$R$42</f>
        <v>#VALUE!</v>
      </c>
      <c r="DC52" t="e">
        <f>DD51*'Current vaccine model'!$H52*Export!$L50</f>
        <v>#VALUE!</v>
      </c>
      <c r="DD52" s="84" t="e">
        <f t="shared" si="34"/>
        <v>#VALUE!</v>
      </c>
      <c r="DE52" t="e">
        <f>DG51*'Current vaccine model'!$H52*HelperFunctions!$R$42</f>
        <v>#VALUE!</v>
      </c>
      <c r="DF52" t="e">
        <f>DG51*'Current vaccine model'!$H52*Export!$L50</f>
        <v>#VALUE!</v>
      </c>
      <c r="DG52" s="84" t="e">
        <f t="shared" si="35"/>
        <v>#VALUE!</v>
      </c>
      <c r="DH52" t="e">
        <f>DJ51*'Current vaccine model'!$H52*HelperFunctions!$R$56</f>
        <v>#VALUE!</v>
      </c>
      <c r="DI52" t="e">
        <f>DJ51*'Current vaccine model'!$H52*Export!$L50</f>
        <v>#VALUE!</v>
      </c>
      <c r="DJ52" s="84" t="e">
        <f t="shared" si="36"/>
        <v>#VALUE!</v>
      </c>
      <c r="DK52" t="e">
        <f>DM51*'Current vaccine model'!$H52*HelperFunctions!$R55</f>
        <v>#VALUE!</v>
      </c>
      <c r="DL52" t="e">
        <f>DM51*'Current vaccine model'!$H52*Export!$L50</f>
        <v>#VALUE!</v>
      </c>
      <c r="DM52" s="84" t="e">
        <f t="shared" si="37"/>
        <v>#VALUE!</v>
      </c>
      <c r="DN52" t="e">
        <f>DP51*'Current vaccine model'!$H52*HelperFunctions!$R54</f>
        <v>#VALUE!</v>
      </c>
      <c r="DO52" t="e">
        <f>DP51*'Current vaccine model'!$H52*Export!$L50</f>
        <v>#VALUE!</v>
      </c>
      <c r="DP52" s="84" t="e">
        <f t="shared" si="38"/>
        <v>#VALUE!</v>
      </c>
      <c r="DQ52" t="e">
        <f>DS51*'Current vaccine model'!$H52*HelperFunctions!$R53</f>
        <v>#VALUE!</v>
      </c>
      <c r="DR52" t="e">
        <f>DS51*'Current vaccine model'!$H52*Export!$L50</f>
        <v>#VALUE!</v>
      </c>
      <c r="DS52" s="84" t="e">
        <f t="shared" si="39"/>
        <v>#VALUE!</v>
      </c>
      <c r="DT52" t="e">
        <f>DV51*'Current vaccine model'!$H52*HelperFunctions!$R52</f>
        <v>#VALUE!</v>
      </c>
      <c r="DU52" t="e">
        <f>DV51*'Current vaccine model'!$H52*Export!$L50</f>
        <v>#VALUE!</v>
      </c>
      <c r="DV52" s="84" t="e">
        <f t="shared" si="40"/>
        <v>#VALUE!</v>
      </c>
      <c r="DW52" t="e">
        <f>DY51*'Current vaccine model'!$H52*HelperFunctions!$R51</f>
        <v>#VALUE!</v>
      </c>
      <c r="DX52" t="e">
        <f>DY51*'Current vaccine model'!$H52*Export!$L50</f>
        <v>#VALUE!</v>
      </c>
      <c r="DY52" s="84" t="e">
        <f t="shared" si="41"/>
        <v>#VALUE!</v>
      </c>
      <c r="DZ52" t="e">
        <f>EB51*'Current vaccine model'!$H52*HelperFunctions!$R50</f>
        <v>#VALUE!</v>
      </c>
      <c r="EA52" t="e">
        <f>EB51*'Current vaccine model'!$H52*Export!$L50</f>
        <v>#VALUE!</v>
      </c>
      <c r="EB52" s="84" t="e">
        <f t="shared" si="42"/>
        <v>#VALUE!</v>
      </c>
      <c r="EC52" t="e">
        <f>EE51*'Current vaccine model'!$H52*HelperFunctions!$R49</f>
        <v>#VALUE!</v>
      </c>
      <c r="ED52" t="e">
        <f>EE51*'Current vaccine model'!$H52*Export!$L50</f>
        <v>#VALUE!</v>
      </c>
      <c r="EE52" s="84" t="e">
        <f t="shared" si="43"/>
        <v>#VALUE!</v>
      </c>
      <c r="EF52" t="e">
        <f>EH51*'Current vaccine model'!$H52*HelperFunctions!$R48</f>
        <v>#VALUE!</v>
      </c>
      <c r="EG52" t="e">
        <f>EH51*'Current vaccine model'!$H52*Export!$L50</f>
        <v>#VALUE!</v>
      </c>
      <c r="EH52" s="84" t="e">
        <f t="shared" si="44"/>
        <v>#VALUE!</v>
      </c>
      <c r="EI52" t="e">
        <f>EK51*'Current vaccine model'!$H52*HelperFunctions!$R47</f>
        <v>#VALUE!</v>
      </c>
      <c r="EJ52" t="e">
        <f>EK51*'Current vaccine model'!$H52*Export!$L50</f>
        <v>#VALUE!</v>
      </c>
      <c r="EK52" s="84" t="e">
        <f t="shared" si="45"/>
        <v>#VALUE!</v>
      </c>
      <c r="EL52" t="e">
        <f>EN51*'Current vaccine model'!$H52*HelperFunctions!$R46</f>
        <v>#VALUE!</v>
      </c>
      <c r="EM52" t="e">
        <f>EN51*'Current vaccine model'!$H52*Export!$L50</f>
        <v>#VALUE!</v>
      </c>
      <c r="EN52" s="84" t="e">
        <f t="shared" ref="EN52:EN63" si="46">EN51-EL52-EM52</f>
        <v>#VALUE!</v>
      </c>
      <c r="EO52" t="e">
        <f>EQ51*'Current vaccine model'!$H52*HelperFunctions!$R45</f>
        <v>#VALUE!</v>
      </c>
      <c r="EP52" t="e">
        <f>EQ51*'Current vaccine model'!$H52*Export!$L50</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F52*'Current vaccine model'!$H53*HelperFunctions!$R$14</f>
        <v>#VALUE!</v>
      </c>
      <c r="E53" t="e">
        <f>F52*'Current vaccine model'!$H53*Export!$L51</f>
        <v>#VALUE!</v>
      </c>
      <c r="F53" s="84" t="e">
        <f t="shared" si="0"/>
        <v>#VALUE!</v>
      </c>
      <c r="G53" t="e">
        <f>I52*'Current vaccine model'!$H53*HelperFunctions!$R$14</f>
        <v>#VALUE!</v>
      </c>
      <c r="H53" t="e">
        <f>I52*'Current vaccine model'!$H53*Export!$L51</f>
        <v>#VALUE!</v>
      </c>
      <c r="I53" s="84" t="e">
        <f t="shared" si="1"/>
        <v>#VALUE!</v>
      </c>
      <c r="J53" t="e">
        <f>L52*'Current vaccine model'!$H53*HelperFunctions!$R$14</f>
        <v>#VALUE!</v>
      </c>
      <c r="K53" t="e">
        <f>L52*'Current vaccine model'!$H53*Export!$L51</f>
        <v>#VALUE!</v>
      </c>
      <c r="L53" s="84" t="e">
        <f t="shared" si="2"/>
        <v>#VALUE!</v>
      </c>
      <c r="M53" t="e">
        <f>O52*'Current vaccine model'!$H53*HelperFunctions!$R$14</f>
        <v>#VALUE!</v>
      </c>
      <c r="N53" t="e">
        <f>O52*'Current vaccine model'!$H53*Export!$L51</f>
        <v>#VALUE!</v>
      </c>
      <c r="O53" s="84" t="e">
        <f t="shared" si="3"/>
        <v>#VALUE!</v>
      </c>
      <c r="P53" t="e">
        <f>R52*'Current vaccine model'!$H53*HelperFunctions!$R$14</f>
        <v>#VALUE!</v>
      </c>
      <c r="Q53" t="e">
        <f>R52*'Current vaccine model'!$H53*Export!$L51</f>
        <v>#VALUE!</v>
      </c>
      <c r="R53" s="84" t="e">
        <f t="shared" si="4"/>
        <v>#VALUE!</v>
      </c>
      <c r="S53" t="e">
        <f>U52*'Current vaccine model'!$H53*HelperFunctions!$R$14</f>
        <v>#VALUE!</v>
      </c>
      <c r="T53" t="e">
        <f>U52*'Current vaccine model'!$H53*Export!$L51</f>
        <v>#VALUE!</v>
      </c>
      <c r="U53" s="84" t="e">
        <f t="shared" si="5"/>
        <v>#VALUE!</v>
      </c>
      <c r="V53" t="e">
        <f>X52*'Current vaccine model'!$H53*HelperFunctions!$R$14</f>
        <v>#VALUE!</v>
      </c>
      <c r="W53" t="e">
        <f>X52*'Current vaccine model'!$H53*Export!$L51</f>
        <v>#VALUE!</v>
      </c>
      <c r="X53" s="84" t="e">
        <f t="shared" si="6"/>
        <v>#VALUE!</v>
      </c>
      <c r="Y53" t="e">
        <f>AA52*'Current vaccine model'!$H53*HelperFunctions!$R$14</f>
        <v>#VALUE!</v>
      </c>
      <c r="Z53" t="e">
        <f>AA52*'Current vaccine model'!$H53*Export!$L51</f>
        <v>#VALUE!</v>
      </c>
      <c r="AA53" s="84" t="e">
        <f t="shared" si="7"/>
        <v>#VALUE!</v>
      </c>
      <c r="AB53" t="e">
        <f>AD52*'Current vaccine model'!$H53*HelperFunctions!$R$14</f>
        <v>#VALUE!</v>
      </c>
      <c r="AC53" t="e">
        <f>AD52*'Current vaccine model'!$H53*Export!$L51</f>
        <v>#VALUE!</v>
      </c>
      <c r="AD53" s="84" t="e">
        <f t="shared" si="8"/>
        <v>#VALUE!</v>
      </c>
      <c r="AE53" t="e">
        <f>AG52*'Current vaccine model'!$H53*HelperFunctions!$R$14</f>
        <v>#VALUE!</v>
      </c>
      <c r="AF53" t="e">
        <f>AG52*'Current vaccine model'!$H53*Export!$L51</f>
        <v>#VALUE!</v>
      </c>
      <c r="AG53" s="84" t="e">
        <f t="shared" si="9"/>
        <v>#VALUE!</v>
      </c>
      <c r="AH53" t="e">
        <f>AJ52*'Current vaccine model'!$H53*HelperFunctions!$R$14</f>
        <v>#VALUE!</v>
      </c>
      <c r="AI53" t="e">
        <f>AJ52*'Current vaccine model'!$H53*Export!$L51</f>
        <v>#VALUE!</v>
      </c>
      <c r="AJ53" s="84" t="e">
        <f t="shared" si="10"/>
        <v>#VALUE!</v>
      </c>
      <c r="AK53" t="e">
        <f>AM52*'Current vaccine model'!$H53*HelperFunctions!$R$14</f>
        <v>#VALUE!</v>
      </c>
      <c r="AL53" t="e">
        <f>AM52*'Current vaccine model'!$H53*Export!$L51</f>
        <v>#VALUE!</v>
      </c>
      <c r="AM53" s="84" t="e">
        <f t="shared" si="11"/>
        <v>#VALUE!</v>
      </c>
      <c r="AN53" t="e">
        <f>AP52*'Current vaccine model'!$H53*HelperFunctions!$R$28</f>
        <v>#VALUE!</v>
      </c>
      <c r="AO53" t="e">
        <f>AP52*'Current vaccine model'!$H53*Export!$L51</f>
        <v>#VALUE!</v>
      </c>
      <c r="AP53" s="84" t="e">
        <f t="shared" si="12"/>
        <v>#VALUE!</v>
      </c>
      <c r="AQ53" t="e">
        <f>AS52*'Current vaccine model'!$H53*HelperFunctions!$R$28</f>
        <v>#VALUE!</v>
      </c>
      <c r="AR53" t="e">
        <f>AS52*'Current vaccine model'!$H53*Export!$L51</f>
        <v>#VALUE!</v>
      </c>
      <c r="AS53" s="84" t="e">
        <f t="shared" si="13"/>
        <v>#VALUE!</v>
      </c>
      <c r="AT53" t="e">
        <f>AV52*'Current vaccine model'!$H53*HelperFunctions!$R$28</f>
        <v>#VALUE!</v>
      </c>
      <c r="AU53" t="e">
        <f>AV52*'Current vaccine model'!$H53*Export!$L51</f>
        <v>#VALUE!</v>
      </c>
      <c r="AV53" s="84" t="e">
        <f t="shared" si="14"/>
        <v>#VALUE!</v>
      </c>
      <c r="AW53" t="e">
        <f>AY52*'Current vaccine model'!$H53*HelperFunctions!$R$28</f>
        <v>#VALUE!</v>
      </c>
      <c r="AX53" t="e">
        <f>AY52*'Current vaccine model'!$H53*Export!$L51</f>
        <v>#VALUE!</v>
      </c>
      <c r="AY53" s="84" t="e">
        <f t="shared" si="15"/>
        <v>#VALUE!</v>
      </c>
      <c r="AZ53" t="e">
        <f>BB52*'Current vaccine model'!$H53*HelperFunctions!$R$28</f>
        <v>#VALUE!</v>
      </c>
      <c r="BA53" t="e">
        <f>BB52*'Current vaccine model'!$H53*Export!$L51</f>
        <v>#VALUE!</v>
      </c>
      <c r="BB53" s="84" t="e">
        <f t="shared" si="16"/>
        <v>#VALUE!</v>
      </c>
      <c r="BC53" t="e">
        <f>BE52*'Current vaccine model'!$H53*HelperFunctions!$R$28</f>
        <v>#VALUE!</v>
      </c>
      <c r="BD53" t="e">
        <f>BE52*'Current vaccine model'!$H53*Export!$L51</f>
        <v>#VALUE!</v>
      </c>
      <c r="BE53" s="84" t="e">
        <f t="shared" si="17"/>
        <v>#VALUE!</v>
      </c>
      <c r="BF53" t="e">
        <f>BH52*'Current vaccine model'!$H53*HelperFunctions!$R$28</f>
        <v>#VALUE!</v>
      </c>
      <c r="BG53" t="e">
        <f>BH52*'Current vaccine model'!$H53*Export!$L51</f>
        <v>#VALUE!</v>
      </c>
      <c r="BH53" s="84" t="e">
        <f t="shared" si="18"/>
        <v>#VALUE!</v>
      </c>
      <c r="BI53" t="e">
        <f>BK52*'Current vaccine model'!$H53*HelperFunctions!$R$28</f>
        <v>#VALUE!</v>
      </c>
      <c r="BJ53" t="e">
        <f>BK52*'Current vaccine model'!$H53*Export!$L51</f>
        <v>#VALUE!</v>
      </c>
      <c r="BK53" s="84" t="e">
        <f t="shared" si="19"/>
        <v>#VALUE!</v>
      </c>
      <c r="BL53" t="e">
        <f>BN52*'Current vaccine model'!$H53*HelperFunctions!$R$28</f>
        <v>#VALUE!</v>
      </c>
      <c r="BM53" t="e">
        <f>BN52*'Current vaccine model'!$H53*Export!$L51</f>
        <v>#VALUE!</v>
      </c>
      <c r="BN53" s="84" t="e">
        <f t="shared" si="20"/>
        <v>#VALUE!</v>
      </c>
      <c r="BO53" t="e">
        <f>BQ52*'Current vaccine model'!$H53*HelperFunctions!$R$28</f>
        <v>#VALUE!</v>
      </c>
      <c r="BP53" t="e">
        <f>BQ52*'Current vaccine model'!$H53*Export!$L51</f>
        <v>#VALUE!</v>
      </c>
      <c r="BQ53" s="84" t="e">
        <f t="shared" si="21"/>
        <v>#VALUE!</v>
      </c>
      <c r="BR53" t="e">
        <f>BT52*'Current vaccine model'!$H53*HelperFunctions!$R$28</f>
        <v>#VALUE!</v>
      </c>
      <c r="BS53" t="e">
        <f>BT52*'Current vaccine model'!$H53*Export!$L51</f>
        <v>#VALUE!</v>
      </c>
      <c r="BT53" s="84" t="e">
        <f t="shared" si="22"/>
        <v>#VALUE!</v>
      </c>
      <c r="BU53" t="e">
        <f>BW52*'Current vaccine model'!$H53*HelperFunctions!$R$28</f>
        <v>#VALUE!</v>
      </c>
      <c r="BV53" t="e">
        <f>BW52*'Current vaccine model'!$H53*Export!$L51</f>
        <v>#VALUE!</v>
      </c>
      <c r="BW53" s="84" t="e">
        <f t="shared" si="23"/>
        <v>#VALUE!</v>
      </c>
      <c r="BX53" t="e">
        <f>BZ52*'Current vaccine model'!$H53*HelperFunctions!$R$42</f>
        <v>#VALUE!</v>
      </c>
      <c r="BY53" t="e">
        <f>BZ52*'Current vaccine model'!$H53*Export!$L51</f>
        <v>#VALUE!</v>
      </c>
      <c r="BZ53" s="84" t="e">
        <f t="shared" si="24"/>
        <v>#VALUE!</v>
      </c>
      <c r="CA53" t="e">
        <f>CC52*'Current vaccine model'!$H53*HelperFunctions!$R$42</f>
        <v>#VALUE!</v>
      </c>
      <c r="CB53" t="e">
        <f>CC52*'Current vaccine model'!$H53*Export!$L51</f>
        <v>#VALUE!</v>
      </c>
      <c r="CC53" s="84" t="e">
        <f t="shared" si="25"/>
        <v>#VALUE!</v>
      </c>
      <c r="CD53" t="e">
        <f>CF52*'Current vaccine model'!$H53*HelperFunctions!$R$42</f>
        <v>#VALUE!</v>
      </c>
      <c r="CE53" t="e">
        <f>CF52*'Current vaccine model'!$H53*Export!$L51</f>
        <v>#VALUE!</v>
      </c>
      <c r="CF53" s="84" t="e">
        <f t="shared" si="26"/>
        <v>#VALUE!</v>
      </c>
      <c r="CG53" t="e">
        <f>CI52*'Current vaccine model'!$H53*HelperFunctions!$R$42</f>
        <v>#VALUE!</v>
      </c>
      <c r="CH53" t="e">
        <f>CI52*'Current vaccine model'!$H53*Export!$L51</f>
        <v>#VALUE!</v>
      </c>
      <c r="CI53" s="84" t="e">
        <f t="shared" si="27"/>
        <v>#VALUE!</v>
      </c>
      <c r="CJ53" t="e">
        <f>CL52*'Current vaccine model'!$H53*HelperFunctions!$R$42</f>
        <v>#VALUE!</v>
      </c>
      <c r="CK53" t="e">
        <f>CL52*'Current vaccine model'!$H53*Export!$L51</f>
        <v>#VALUE!</v>
      </c>
      <c r="CL53" s="84" t="e">
        <f t="shared" si="28"/>
        <v>#VALUE!</v>
      </c>
      <c r="CM53" t="e">
        <f>CO52*'Current vaccine model'!$H53*HelperFunctions!$R$42</f>
        <v>#VALUE!</v>
      </c>
      <c r="CN53" t="e">
        <f>CO52*'Current vaccine model'!$H53*Export!$L51</f>
        <v>#VALUE!</v>
      </c>
      <c r="CO53" s="84" t="e">
        <f t="shared" si="29"/>
        <v>#VALUE!</v>
      </c>
      <c r="CP53" t="e">
        <f>CR52*'Current vaccine model'!$H53*HelperFunctions!$R$42</f>
        <v>#VALUE!</v>
      </c>
      <c r="CQ53" t="e">
        <f>CR52*'Current vaccine model'!$H53*Export!$L51</f>
        <v>#VALUE!</v>
      </c>
      <c r="CR53" s="84" t="e">
        <f t="shared" si="30"/>
        <v>#VALUE!</v>
      </c>
      <c r="CS53" t="e">
        <f>CU52*'Current vaccine model'!$H53*HelperFunctions!$R$42</f>
        <v>#VALUE!</v>
      </c>
      <c r="CT53" t="e">
        <f>CU52*'Current vaccine model'!$H53*Export!$L51</f>
        <v>#VALUE!</v>
      </c>
      <c r="CU53" s="84" t="e">
        <f t="shared" si="31"/>
        <v>#VALUE!</v>
      </c>
      <c r="CV53" t="e">
        <f>CX52*'Current vaccine model'!$H53*HelperFunctions!$R$42</f>
        <v>#VALUE!</v>
      </c>
      <c r="CW53" t="e">
        <f>CX52*'Current vaccine model'!$H53*Export!$L51</f>
        <v>#VALUE!</v>
      </c>
      <c r="CX53" s="84" t="e">
        <f t="shared" si="32"/>
        <v>#VALUE!</v>
      </c>
      <c r="CY53" t="e">
        <f>DA52*'Current vaccine model'!$H53*HelperFunctions!$R$42</f>
        <v>#VALUE!</v>
      </c>
      <c r="CZ53" t="e">
        <f>DA52*'Current vaccine model'!$H53*Export!$L51</f>
        <v>#VALUE!</v>
      </c>
      <c r="DA53" s="84" t="e">
        <f t="shared" si="33"/>
        <v>#VALUE!</v>
      </c>
      <c r="DB53" t="e">
        <f>DD52*'Current vaccine model'!$H53*HelperFunctions!$R$42</f>
        <v>#VALUE!</v>
      </c>
      <c r="DC53" t="e">
        <f>DD52*'Current vaccine model'!$H53*Export!$L51</f>
        <v>#VALUE!</v>
      </c>
      <c r="DD53" s="84" t="e">
        <f t="shared" si="34"/>
        <v>#VALUE!</v>
      </c>
      <c r="DE53" t="e">
        <f>DG52*'Current vaccine model'!$H53*HelperFunctions!$R$42</f>
        <v>#VALUE!</v>
      </c>
      <c r="DF53" t="e">
        <f>DG52*'Current vaccine model'!$H53*Export!$L51</f>
        <v>#VALUE!</v>
      </c>
      <c r="DG53" s="84" t="e">
        <f t="shared" si="35"/>
        <v>#VALUE!</v>
      </c>
      <c r="DH53" t="e">
        <f>DJ52*'Current vaccine model'!$H53*HelperFunctions!$R$56</f>
        <v>#VALUE!</v>
      </c>
      <c r="DI53" t="e">
        <f>DJ52*'Current vaccine model'!$H53*Export!$L51</f>
        <v>#VALUE!</v>
      </c>
      <c r="DJ53" s="84" t="e">
        <f t="shared" si="36"/>
        <v>#VALUE!</v>
      </c>
      <c r="DK53" t="e">
        <f>DM52*'Current vaccine model'!$H53*HelperFunctions!$R$56</f>
        <v>#VALUE!</v>
      </c>
      <c r="DL53" t="e">
        <f>DM52*'Current vaccine model'!$H53*Export!$L51</f>
        <v>#VALUE!</v>
      </c>
      <c r="DM53" s="84" t="e">
        <f t="shared" si="37"/>
        <v>#VALUE!</v>
      </c>
      <c r="DN53" t="e">
        <f>DP52*'Current vaccine model'!$H53*HelperFunctions!$R55</f>
        <v>#VALUE!</v>
      </c>
      <c r="DO53" t="e">
        <f>DP52*'Current vaccine model'!$H53*Export!$L51</f>
        <v>#VALUE!</v>
      </c>
      <c r="DP53" s="84" t="e">
        <f t="shared" si="38"/>
        <v>#VALUE!</v>
      </c>
      <c r="DQ53" t="e">
        <f>DS52*'Current vaccine model'!$H53*HelperFunctions!$R54</f>
        <v>#VALUE!</v>
      </c>
      <c r="DR53" t="e">
        <f>DS52*'Current vaccine model'!$H53*Export!$L51</f>
        <v>#VALUE!</v>
      </c>
      <c r="DS53" s="84" t="e">
        <f t="shared" si="39"/>
        <v>#VALUE!</v>
      </c>
      <c r="DT53" t="e">
        <f>DV52*'Current vaccine model'!$H53*HelperFunctions!$R53</f>
        <v>#VALUE!</v>
      </c>
      <c r="DU53" t="e">
        <f>DV52*'Current vaccine model'!$H53*Export!$L51</f>
        <v>#VALUE!</v>
      </c>
      <c r="DV53" s="84" t="e">
        <f t="shared" si="40"/>
        <v>#VALUE!</v>
      </c>
      <c r="DW53" t="e">
        <f>DY52*'Current vaccine model'!$H53*HelperFunctions!$R52</f>
        <v>#VALUE!</v>
      </c>
      <c r="DX53" t="e">
        <f>DY52*'Current vaccine model'!$H53*Export!$L51</f>
        <v>#VALUE!</v>
      </c>
      <c r="DY53" s="84" t="e">
        <f t="shared" si="41"/>
        <v>#VALUE!</v>
      </c>
      <c r="DZ53" t="e">
        <f>EB52*'Current vaccine model'!$H53*HelperFunctions!$R51</f>
        <v>#VALUE!</v>
      </c>
      <c r="EA53" t="e">
        <f>EB52*'Current vaccine model'!$H53*Export!$L51</f>
        <v>#VALUE!</v>
      </c>
      <c r="EB53" s="84" t="e">
        <f t="shared" si="42"/>
        <v>#VALUE!</v>
      </c>
      <c r="EC53" t="e">
        <f>EE52*'Current vaccine model'!$H53*HelperFunctions!$R50</f>
        <v>#VALUE!</v>
      </c>
      <c r="ED53" t="e">
        <f>EE52*'Current vaccine model'!$H53*Export!$L51</f>
        <v>#VALUE!</v>
      </c>
      <c r="EE53" s="84" t="e">
        <f t="shared" si="43"/>
        <v>#VALUE!</v>
      </c>
      <c r="EF53" t="e">
        <f>EH52*'Current vaccine model'!$H53*HelperFunctions!$R49</f>
        <v>#VALUE!</v>
      </c>
      <c r="EG53" t="e">
        <f>EH52*'Current vaccine model'!$H53*Export!$L51</f>
        <v>#VALUE!</v>
      </c>
      <c r="EH53" s="84" t="e">
        <f t="shared" si="44"/>
        <v>#VALUE!</v>
      </c>
      <c r="EI53" t="e">
        <f>EK52*'Current vaccine model'!$H53*HelperFunctions!$R48</f>
        <v>#VALUE!</v>
      </c>
      <c r="EJ53" t="e">
        <f>EK52*'Current vaccine model'!$H53*Export!$L51</f>
        <v>#VALUE!</v>
      </c>
      <c r="EK53" s="84" t="e">
        <f t="shared" si="45"/>
        <v>#VALUE!</v>
      </c>
      <c r="EL53" t="e">
        <f>EN52*'Current vaccine model'!$H53*HelperFunctions!$R47</f>
        <v>#VALUE!</v>
      </c>
      <c r="EM53" t="e">
        <f>EN52*'Current vaccine model'!$H53*Export!$L51</f>
        <v>#VALUE!</v>
      </c>
      <c r="EN53" s="84" t="e">
        <f t="shared" si="46"/>
        <v>#VALUE!</v>
      </c>
      <c r="EO53" t="e">
        <f>EQ52*'Current vaccine model'!$H53*HelperFunctions!$R46</f>
        <v>#VALUE!</v>
      </c>
      <c r="EP53" t="e">
        <f>EQ52*'Current vaccine model'!$H53*Export!$L51</f>
        <v>#VALUE!</v>
      </c>
      <c r="EQ53" s="84" t="e">
        <f t="shared" ref="EQ53:EQ63" si="47">EQ52-EO53-EP53</f>
        <v>#VALUE!</v>
      </c>
      <c r="ER53" t="e">
        <f>ET52*'Current vaccine model'!$H53*HelperFunctions!$R59</f>
        <v>#VALUE!</v>
      </c>
      <c r="ES53" t="e">
        <f>ET52*'Current vaccine model'!$H53*Export!$L51</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F53*'Current vaccine model'!$H54*HelperFunctions!$R$14</f>
        <v>#VALUE!</v>
      </c>
      <c r="E54" t="e">
        <f>F53*'Current vaccine model'!$H54*Export!$L52</f>
        <v>#VALUE!</v>
      </c>
      <c r="F54" s="84" t="e">
        <f t="shared" si="0"/>
        <v>#VALUE!</v>
      </c>
      <c r="G54" t="e">
        <f>I53*'Current vaccine model'!$H54*HelperFunctions!$R$14</f>
        <v>#VALUE!</v>
      </c>
      <c r="H54" t="e">
        <f>I53*'Current vaccine model'!$H54*Export!$L52</f>
        <v>#VALUE!</v>
      </c>
      <c r="I54" s="84" t="e">
        <f t="shared" si="1"/>
        <v>#VALUE!</v>
      </c>
      <c r="J54" t="e">
        <f>L53*'Current vaccine model'!$H54*HelperFunctions!$R$14</f>
        <v>#VALUE!</v>
      </c>
      <c r="K54" t="e">
        <f>L53*'Current vaccine model'!$H54*Export!$L52</f>
        <v>#VALUE!</v>
      </c>
      <c r="L54" s="84" t="e">
        <f t="shared" si="2"/>
        <v>#VALUE!</v>
      </c>
      <c r="M54" t="e">
        <f>O53*'Current vaccine model'!$H54*HelperFunctions!$R$14</f>
        <v>#VALUE!</v>
      </c>
      <c r="N54" t="e">
        <f>O53*'Current vaccine model'!$H54*Export!$L52</f>
        <v>#VALUE!</v>
      </c>
      <c r="O54" s="84" t="e">
        <f t="shared" si="3"/>
        <v>#VALUE!</v>
      </c>
      <c r="P54" t="e">
        <f>R53*'Current vaccine model'!$H54*HelperFunctions!$R$14</f>
        <v>#VALUE!</v>
      </c>
      <c r="Q54" t="e">
        <f>R53*'Current vaccine model'!$H54*Export!$L52</f>
        <v>#VALUE!</v>
      </c>
      <c r="R54" s="84" t="e">
        <f t="shared" si="4"/>
        <v>#VALUE!</v>
      </c>
      <c r="S54" t="e">
        <f>U53*'Current vaccine model'!$H54*HelperFunctions!$R$14</f>
        <v>#VALUE!</v>
      </c>
      <c r="T54" t="e">
        <f>U53*'Current vaccine model'!$H54*Export!$L52</f>
        <v>#VALUE!</v>
      </c>
      <c r="U54" s="84" t="e">
        <f t="shared" si="5"/>
        <v>#VALUE!</v>
      </c>
      <c r="V54" t="e">
        <f>X53*'Current vaccine model'!$H54*HelperFunctions!$R$14</f>
        <v>#VALUE!</v>
      </c>
      <c r="W54" t="e">
        <f>X53*'Current vaccine model'!$H54*Export!$L52</f>
        <v>#VALUE!</v>
      </c>
      <c r="X54" s="84" t="e">
        <f t="shared" si="6"/>
        <v>#VALUE!</v>
      </c>
      <c r="Y54" t="e">
        <f>AA53*'Current vaccine model'!$H54*HelperFunctions!$R$14</f>
        <v>#VALUE!</v>
      </c>
      <c r="Z54" t="e">
        <f>AA53*'Current vaccine model'!$H54*Export!$L52</f>
        <v>#VALUE!</v>
      </c>
      <c r="AA54" s="84" t="e">
        <f t="shared" si="7"/>
        <v>#VALUE!</v>
      </c>
      <c r="AB54" t="e">
        <f>AD53*'Current vaccine model'!$H54*HelperFunctions!$R$14</f>
        <v>#VALUE!</v>
      </c>
      <c r="AC54" t="e">
        <f>AD53*'Current vaccine model'!$H54*Export!$L52</f>
        <v>#VALUE!</v>
      </c>
      <c r="AD54" s="84" t="e">
        <f t="shared" si="8"/>
        <v>#VALUE!</v>
      </c>
      <c r="AE54" t="e">
        <f>AG53*'Current vaccine model'!$H54*HelperFunctions!$R$14</f>
        <v>#VALUE!</v>
      </c>
      <c r="AF54" t="e">
        <f>AG53*'Current vaccine model'!$H54*Export!$L52</f>
        <v>#VALUE!</v>
      </c>
      <c r="AG54" s="84" t="e">
        <f t="shared" si="9"/>
        <v>#VALUE!</v>
      </c>
      <c r="AH54" t="e">
        <f>AJ53*'Current vaccine model'!$H54*HelperFunctions!$R$14</f>
        <v>#VALUE!</v>
      </c>
      <c r="AI54" t="e">
        <f>AJ53*'Current vaccine model'!$H54*Export!$L52</f>
        <v>#VALUE!</v>
      </c>
      <c r="AJ54" s="84" t="e">
        <f t="shared" si="10"/>
        <v>#VALUE!</v>
      </c>
      <c r="AK54" t="e">
        <f>AM53*'Current vaccine model'!$H54*HelperFunctions!$R$14</f>
        <v>#VALUE!</v>
      </c>
      <c r="AL54" t="e">
        <f>AM53*'Current vaccine model'!$H54*Export!$L52</f>
        <v>#VALUE!</v>
      </c>
      <c r="AM54" s="84" t="e">
        <f t="shared" si="11"/>
        <v>#VALUE!</v>
      </c>
      <c r="AN54" t="e">
        <f>AP53*'Current vaccine model'!$H54*HelperFunctions!$R$28</f>
        <v>#VALUE!</v>
      </c>
      <c r="AO54" t="e">
        <f>AP53*'Current vaccine model'!$H54*Export!$L52</f>
        <v>#VALUE!</v>
      </c>
      <c r="AP54" s="84" t="e">
        <f t="shared" si="12"/>
        <v>#VALUE!</v>
      </c>
      <c r="AQ54" t="e">
        <f>AS53*'Current vaccine model'!$H54*HelperFunctions!$R$28</f>
        <v>#VALUE!</v>
      </c>
      <c r="AR54" t="e">
        <f>AS53*'Current vaccine model'!$H54*Export!$L52</f>
        <v>#VALUE!</v>
      </c>
      <c r="AS54" s="84" t="e">
        <f t="shared" si="13"/>
        <v>#VALUE!</v>
      </c>
      <c r="AT54" t="e">
        <f>AV53*'Current vaccine model'!$H54*HelperFunctions!$R$28</f>
        <v>#VALUE!</v>
      </c>
      <c r="AU54" t="e">
        <f>AV53*'Current vaccine model'!$H54*Export!$L52</f>
        <v>#VALUE!</v>
      </c>
      <c r="AV54" s="84" t="e">
        <f t="shared" si="14"/>
        <v>#VALUE!</v>
      </c>
      <c r="AW54" t="e">
        <f>AY53*'Current vaccine model'!$H54*HelperFunctions!$R$28</f>
        <v>#VALUE!</v>
      </c>
      <c r="AX54" t="e">
        <f>AY53*'Current vaccine model'!$H54*Export!$L52</f>
        <v>#VALUE!</v>
      </c>
      <c r="AY54" s="84" t="e">
        <f t="shared" si="15"/>
        <v>#VALUE!</v>
      </c>
      <c r="AZ54" t="e">
        <f>BB53*'Current vaccine model'!$H54*HelperFunctions!$R$28</f>
        <v>#VALUE!</v>
      </c>
      <c r="BA54" t="e">
        <f>BB53*'Current vaccine model'!$H54*Export!$L52</f>
        <v>#VALUE!</v>
      </c>
      <c r="BB54" s="84" t="e">
        <f t="shared" si="16"/>
        <v>#VALUE!</v>
      </c>
      <c r="BC54" t="e">
        <f>BE53*'Current vaccine model'!$H54*HelperFunctions!$R$28</f>
        <v>#VALUE!</v>
      </c>
      <c r="BD54" t="e">
        <f>BE53*'Current vaccine model'!$H54*Export!$L52</f>
        <v>#VALUE!</v>
      </c>
      <c r="BE54" s="84" t="e">
        <f t="shared" si="17"/>
        <v>#VALUE!</v>
      </c>
      <c r="BF54" t="e">
        <f>BH53*'Current vaccine model'!$H54*HelperFunctions!$R$28</f>
        <v>#VALUE!</v>
      </c>
      <c r="BG54" t="e">
        <f>BH53*'Current vaccine model'!$H54*Export!$L52</f>
        <v>#VALUE!</v>
      </c>
      <c r="BH54" s="84" t="e">
        <f t="shared" si="18"/>
        <v>#VALUE!</v>
      </c>
      <c r="BI54" t="e">
        <f>BK53*'Current vaccine model'!$H54*HelperFunctions!$R$28</f>
        <v>#VALUE!</v>
      </c>
      <c r="BJ54" t="e">
        <f>BK53*'Current vaccine model'!$H54*Export!$L52</f>
        <v>#VALUE!</v>
      </c>
      <c r="BK54" s="84" t="e">
        <f t="shared" si="19"/>
        <v>#VALUE!</v>
      </c>
      <c r="BL54" t="e">
        <f>BN53*'Current vaccine model'!$H54*HelperFunctions!$R$28</f>
        <v>#VALUE!</v>
      </c>
      <c r="BM54" t="e">
        <f>BN53*'Current vaccine model'!$H54*Export!$L52</f>
        <v>#VALUE!</v>
      </c>
      <c r="BN54" s="84" t="e">
        <f t="shared" si="20"/>
        <v>#VALUE!</v>
      </c>
      <c r="BO54" t="e">
        <f>BQ53*'Current vaccine model'!$H54*HelperFunctions!$R$28</f>
        <v>#VALUE!</v>
      </c>
      <c r="BP54" t="e">
        <f>BQ53*'Current vaccine model'!$H54*Export!$L52</f>
        <v>#VALUE!</v>
      </c>
      <c r="BQ54" s="84" t="e">
        <f t="shared" si="21"/>
        <v>#VALUE!</v>
      </c>
      <c r="BR54" t="e">
        <f>BT53*'Current vaccine model'!$H54*HelperFunctions!$R$28</f>
        <v>#VALUE!</v>
      </c>
      <c r="BS54" t="e">
        <f>BT53*'Current vaccine model'!$H54*Export!$L52</f>
        <v>#VALUE!</v>
      </c>
      <c r="BT54" s="84" t="e">
        <f t="shared" si="22"/>
        <v>#VALUE!</v>
      </c>
      <c r="BU54" t="e">
        <f>BW53*'Current vaccine model'!$H54*HelperFunctions!$R$28</f>
        <v>#VALUE!</v>
      </c>
      <c r="BV54" t="e">
        <f>BW53*'Current vaccine model'!$H54*Export!$L52</f>
        <v>#VALUE!</v>
      </c>
      <c r="BW54" s="84" t="e">
        <f t="shared" si="23"/>
        <v>#VALUE!</v>
      </c>
      <c r="BX54" t="e">
        <f>BZ53*'Current vaccine model'!$H54*HelperFunctions!$R$42</f>
        <v>#VALUE!</v>
      </c>
      <c r="BY54" t="e">
        <f>BZ53*'Current vaccine model'!$H54*Export!$L52</f>
        <v>#VALUE!</v>
      </c>
      <c r="BZ54" s="84" t="e">
        <f t="shared" si="24"/>
        <v>#VALUE!</v>
      </c>
      <c r="CA54" t="e">
        <f>CC53*'Current vaccine model'!$H54*HelperFunctions!$R$42</f>
        <v>#VALUE!</v>
      </c>
      <c r="CB54" t="e">
        <f>CC53*'Current vaccine model'!$H54*Export!$L52</f>
        <v>#VALUE!</v>
      </c>
      <c r="CC54" s="84" t="e">
        <f t="shared" si="25"/>
        <v>#VALUE!</v>
      </c>
      <c r="CD54" t="e">
        <f>CF53*'Current vaccine model'!$H54*HelperFunctions!$R$42</f>
        <v>#VALUE!</v>
      </c>
      <c r="CE54" t="e">
        <f>CF53*'Current vaccine model'!$H54*Export!$L52</f>
        <v>#VALUE!</v>
      </c>
      <c r="CF54" s="84" t="e">
        <f t="shared" si="26"/>
        <v>#VALUE!</v>
      </c>
      <c r="CG54" t="e">
        <f>CI53*'Current vaccine model'!$H54*HelperFunctions!$R$42</f>
        <v>#VALUE!</v>
      </c>
      <c r="CH54" t="e">
        <f>CI53*'Current vaccine model'!$H54*Export!$L52</f>
        <v>#VALUE!</v>
      </c>
      <c r="CI54" s="84" t="e">
        <f t="shared" si="27"/>
        <v>#VALUE!</v>
      </c>
      <c r="CJ54" t="e">
        <f>CL53*'Current vaccine model'!$H54*HelperFunctions!$R$42</f>
        <v>#VALUE!</v>
      </c>
      <c r="CK54" t="e">
        <f>CL53*'Current vaccine model'!$H54*Export!$L52</f>
        <v>#VALUE!</v>
      </c>
      <c r="CL54" s="84" t="e">
        <f t="shared" si="28"/>
        <v>#VALUE!</v>
      </c>
      <c r="CM54" t="e">
        <f>CO53*'Current vaccine model'!$H54*HelperFunctions!$R$42</f>
        <v>#VALUE!</v>
      </c>
      <c r="CN54" t="e">
        <f>CO53*'Current vaccine model'!$H54*Export!$L52</f>
        <v>#VALUE!</v>
      </c>
      <c r="CO54" s="84" t="e">
        <f t="shared" si="29"/>
        <v>#VALUE!</v>
      </c>
      <c r="CP54" t="e">
        <f>CR53*'Current vaccine model'!$H54*HelperFunctions!$R$42</f>
        <v>#VALUE!</v>
      </c>
      <c r="CQ54" t="e">
        <f>CR53*'Current vaccine model'!$H54*Export!$L52</f>
        <v>#VALUE!</v>
      </c>
      <c r="CR54" s="84" t="e">
        <f t="shared" si="30"/>
        <v>#VALUE!</v>
      </c>
      <c r="CS54" t="e">
        <f>CU53*'Current vaccine model'!$H54*HelperFunctions!$R$42</f>
        <v>#VALUE!</v>
      </c>
      <c r="CT54" t="e">
        <f>CU53*'Current vaccine model'!$H54*Export!$L52</f>
        <v>#VALUE!</v>
      </c>
      <c r="CU54" s="84" t="e">
        <f t="shared" si="31"/>
        <v>#VALUE!</v>
      </c>
      <c r="CV54" t="e">
        <f>CX53*'Current vaccine model'!$H54*HelperFunctions!$R$42</f>
        <v>#VALUE!</v>
      </c>
      <c r="CW54" t="e">
        <f>CX53*'Current vaccine model'!$H54*Export!$L52</f>
        <v>#VALUE!</v>
      </c>
      <c r="CX54" s="84" t="e">
        <f t="shared" si="32"/>
        <v>#VALUE!</v>
      </c>
      <c r="CY54" t="e">
        <f>DA53*'Current vaccine model'!$H54*HelperFunctions!$R$42</f>
        <v>#VALUE!</v>
      </c>
      <c r="CZ54" t="e">
        <f>DA53*'Current vaccine model'!$H54*Export!$L52</f>
        <v>#VALUE!</v>
      </c>
      <c r="DA54" s="84" t="e">
        <f t="shared" si="33"/>
        <v>#VALUE!</v>
      </c>
      <c r="DB54" t="e">
        <f>DD53*'Current vaccine model'!$H54*HelperFunctions!$R$42</f>
        <v>#VALUE!</v>
      </c>
      <c r="DC54" t="e">
        <f>DD53*'Current vaccine model'!$H54*Export!$L52</f>
        <v>#VALUE!</v>
      </c>
      <c r="DD54" s="84" t="e">
        <f t="shared" si="34"/>
        <v>#VALUE!</v>
      </c>
      <c r="DE54" t="e">
        <f>DG53*'Current vaccine model'!$H54*HelperFunctions!$R$42</f>
        <v>#VALUE!</v>
      </c>
      <c r="DF54" t="e">
        <f>DG53*'Current vaccine model'!$H54*Export!$L52</f>
        <v>#VALUE!</v>
      </c>
      <c r="DG54" s="84" t="e">
        <f t="shared" si="35"/>
        <v>#VALUE!</v>
      </c>
      <c r="DH54" t="e">
        <f>DJ53*'Current vaccine model'!$H54*HelperFunctions!$R$56</f>
        <v>#VALUE!</v>
      </c>
      <c r="DI54" t="e">
        <f>DJ53*'Current vaccine model'!$H54*Export!$L52</f>
        <v>#VALUE!</v>
      </c>
      <c r="DJ54" s="84" t="e">
        <f t="shared" si="36"/>
        <v>#VALUE!</v>
      </c>
      <c r="DK54" t="e">
        <f>DM53*'Current vaccine model'!$H54*HelperFunctions!$R$56</f>
        <v>#VALUE!</v>
      </c>
      <c r="DL54" t="e">
        <f>DM53*'Current vaccine model'!$H54*Export!$L52</f>
        <v>#VALUE!</v>
      </c>
      <c r="DM54" s="84" t="e">
        <f t="shared" si="37"/>
        <v>#VALUE!</v>
      </c>
      <c r="DN54" t="e">
        <f>DP53*'Current vaccine model'!$H54*HelperFunctions!$R$56</f>
        <v>#VALUE!</v>
      </c>
      <c r="DO54" t="e">
        <f>DP53*'Current vaccine model'!$H54*Export!$L52</f>
        <v>#VALUE!</v>
      </c>
      <c r="DP54" s="84" t="e">
        <f t="shared" si="38"/>
        <v>#VALUE!</v>
      </c>
      <c r="DQ54" t="e">
        <f>DS53*'Current vaccine model'!$H54*HelperFunctions!$R55</f>
        <v>#VALUE!</v>
      </c>
      <c r="DR54" t="e">
        <f>DS53*'Current vaccine model'!$H54*Export!$L52</f>
        <v>#VALUE!</v>
      </c>
      <c r="DS54" s="84" t="e">
        <f t="shared" si="39"/>
        <v>#VALUE!</v>
      </c>
      <c r="DT54" t="e">
        <f>DV53*'Current vaccine model'!$H54*HelperFunctions!$R54</f>
        <v>#VALUE!</v>
      </c>
      <c r="DU54" t="e">
        <f>DV53*'Current vaccine model'!$H54*Export!$L52</f>
        <v>#VALUE!</v>
      </c>
      <c r="DV54" s="84" t="e">
        <f t="shared" si="40"/>
        <v>#VALUE!</v>
      </c>
      <c r="DW54" t="e">
        <f>DY53*'Current vaccine model'!$H54*HelperFunctions!$R53</f>
        <v>#VALUE!</v>
      </c>
      <c r="DX54" t="e">
        <f>DY53*'Current vaccine model'!$H54*Export!$L52</f>
        <v>#VALUE!</v>
      </c>
      <c r="DY54" s="84" t="e">
        <f t="shared" si="41"/>
        <v>#VALUE!</v>
      </c>
      <c r="DZ54" t="e">
        <f>EB53*'Current vaccine model'!$H54*HelperFunctions!$R52</f>
        <v>#VALUE!</v>
      </c>
      <c r="EA54" t="e">
        <f>EB53*'Current vaccine model'!$H54*Export!$L52</f>
        <v>#VALUE!</v>
      </c>
      <c r="EB54" s="84" t="e">
        <f t="shared" si="42"/>
        <v>#VALUE!</v>
      </c>
      <c r="EC54" t="e">
        <f>EE53*'Current vaccine model'!$H54*HelperFunctions!$R51</f>
        <v>#VALUE!</v>
      </c>
      <c r="ED54" t="e">
        <f>EE53*'Current vaccine model'!$H54*Export!$L52</f>
        <v>#VALUE!</v>
      </c>
      <c r="EE54" s="84" t="e">
        <f t="shared" si="43"/>
        <v>#VALUE!</v>
      </c>
      <c r="EF54" t="e">
        <f>EH53*'Current vaccine model'!$H54*HelperFunctions!$R50</f>
        <v>#VALUE!</v>
      </c>
      <c r="EG54" t="e">
        <f>EH53*'Current vaccine model'!$H54*Export!$L52</f>
        <v>#VALUE!</v>
      </c>
      <c r="EH54" s="84" t="e">
        <f t="shared" si="44"/>
        <v>#VALUE!</v>
      </c>
      <c r="EI54" t="e">
        <f>EK53*'Current vaccine model'!$H54*HelperFunctions!$R49</f>
        <v>#VALUE!</v>
      </c>
      <c r="EJ54" t="e">
        <f>EK53*'Current vaccine model'!$H54*Export!$L52</f>
        <v>#VALUE!</v>
      </c>
      <c r="EK54" s="84" t="e">
        <f t="shared" si="45"/>
        <v>#VALUE!</v>
      </c>
      <c r="EL54" t="e">
        <f>EN53*'Current vaccine model'!$H54*HelperFunctions!$R48</f>
        <v>#VALUE!</v>
      </c>
      <c r="EM54" t="e">
        <f>EN53*'Current vaccine model'!$H54*Export!$L52</f>
        <v>#VALUE!</v>
      </c>
      <c r="EN54" s="84" t="e">
        <f t="shared" si="46"/>
        <v>#VALUE!</v>
      </c>
      <c r="EO54" t="e">
        <f>EQ53*'Current vaccine model'!$H54*HelperFunctions!$R47</f>
        <v>#VALUE!</v>
      </c>
      <c r="EP54" t="e">
        <f>EQ53*'Current vaccine model'!$H54*Export!$L52</f>
        <v>#VALUE!</v>
      </c>
      <c r="EQ54" s="84" t="e">
        <f t="shared" si="47"/>
        <v>#VALUE!</v>
      </c>
      <c r="ER54" t="e">
        <f>ET53*'Current vaccine model'!$H54*HelperFunctions!$R60</f>
        <v>#VALUE!</v>
      </c>
      <c r="ES54" t="e">
        <f>ET53*'Current vaccine model'!$H54*Export!$L52</f>
        <v>#VALUE!</v>
      </c>
      <c r="ET54" s="84" t="e">
        <f t="shared" ref="ET54:ET63" si="48">ET53-ER54-ES54</f>
        <v>#VALUE!</v>
      </c>
      <c r="EU54" t="e">
        <f>EW53*'Current vaccine model'!$H54*HelperFunctions!$R59</f>
        <v>#VALUE!</v>
      </c>
      <c r="EV54" t="e">
        <f>EW53*'Current vaccine model'!$H54*Export!$L52</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F54*'Current vaccine model'!$H55*HelperFunctions!$R$14</f>
        <v>#VALUE!</v>
      </c>
      <c r="E55" t="e">
        <f>F54*'Current vaccine model'!$H55*Export!$L53</f>
        <v>#VALUE!</v>
      </c>
      <c r="F55" s="84" t="e">
        <f t="shared" si="0"/>
        <v>#VALUE!</v>
      </c>
      <c r="G55" t="e">
        <f>I54*'Current vaccine model'!$H55*HelperFunctions!$R$14</f>
        <v>#VALUE!</v>
      </c>
      <c r="H55" t="e">
        <f>I54*'Current vaccine model'!$H55*Export!$L53</f>
        <v>#VALUE!</v>
      </c>
      <c r="I55" s="84" t="e">
        <f t="shared" si="1"/>
        <v>#VALUE!</v>
      </c>
      <c r="J55" t="e">
        <f>L54*'Current vaccine model'!$H55*HelperFunctions!$R$14</f>
        <v>#VALUE!</v>
      </c>
      <c r="K55" t="e">
        <f>L54*'Current vaccine model'!$H55*Export!$L53</f>
        <v>#VALUE!</v>
      </c>
      <c r="L55" s="84" t="e">
        <f t="shared" si="2"/>
        <v>#VALUE!</v>
      </c>
      <c r="M55" t="e">
        <f>O54*'Current vaccine model'!$H55*HelperFunctions!$R$14</f>
        <v>#VALUE!</v>
      </c>
      <c r="N55" t="e">
        <f>O54*'Current vaccine model'!$H55*Export!$L53</f>
        <v>#VALUE!</v>
      </c>
      <c r="O55" s="84" t="e">
        <f t="shared" si="3"/>
        <v>#VALUE!</v>
      </c>
      <c r="P55" t="e">
        <f>R54*'Current vaccine model'!$H55*HelperFunctions!$R$14</f>
        <v>#VALUE!</v>
      </c>
      <c r="Q55" t="e">
        <f>R54*'Current vaccine model'!$H55*Export!$L53</f>
        <v>#VALUE!</v>
      </c>
      <c r="R55" s="84" t="e">
        <f t="shared" si="4"/>
        <v>#VALUE!</v>
      </c>
      <c r="S55" t="e">
        <f>U54*'Current vaccine model'!$H55*HelperFunctions!$R$14</f>
        <v>#VALUE!</v>
      </c>
      <c r="T55" t="e">
        <f>U54*'Current vaccine model'!$H55*Export!$L53</f>
        <v>#VALUE!</v>
      </c>
      <c r="U55" s="84" t="e">
        <f t="shared" si="5"/>
        <v>#VALUE!</v>
      </c>
      <c r="V55" t="e">
        <f>X54*'Current vaccine model'!$H55*HelperFunctions!$R$14</f>
        <v>#VALUE!</v>
      </c>
      <c r="W55" t="e">
        <f>X54*'Current vaccine model'!$H55*Export!$L53</f>
        <v>#VALUE!</v>
      </c>
      <c r="X55" s="84" t="e">
        <f t="shared" si="6"/>
        <v>#VALUE!</v>
      </c>
      <c r="Y55" t="e">
        <f>AA54*'Current vaccine model'!$H55*HelperFunctions!$R$14</f>
        <v>#VALUE!</v>
      </c>
      <c r="Z55" t="e">
        <f>AA54*'Current vaccine model'!$H55*Export!$L53</f>
        <v>#VALUE!</v>
      </c>
      <c r="AA55" s="84" t="e">
        <f t="shared" si="7"/>
        <v>#VALUE!</v>
      </c>
      <c r="AB55" t="e">
        <f>AD54*'Current vaccine model'!$H55*HelperFunctions!$R$14</f>
        <v>#VALUE!</v>
      </c>
      <c r="AC55" t="e">
        <f>AD54*'Current vaccine model'!$H55*Export!$L53</f>
        <v>#VALUE!</v>
      </c>
      <c r="AD55" s="84" t="e">
        <f t="shared" si="8"/>
        <v>#VALUE!</v>
      </c>
      <c r="AE55" t="e">
        <f>AG54*'Current vaccine model'!$H55*HelperFunctions!$R$14</f>
        <v>#VALUE!</v>
      </c>
      <c r="AF55" t="e">
        <f>AG54*'Current vaccine model'!$H55*Export!$L53</f>
        <v>#VALUE!</v>
      </c>
      <c r="AG55" s="84" t="e">
        <f t="shared" si="9"/>
        <v>#VALUE!</v>
      </c>
      <c r="AH55" t="e">
        <f>AJ54*'Current vaccine model'!$H55*HelperFunctions!$R$14</f>
        <v>#VALUE!</v>
      </c>
      <c r="AI55" t="e">
        <f>AJ54*'Current vaccine model'!$H55*Export!$L53</f>
        <v>#VALUE!</v>
      </c>
      <c r="AJ55" s="84" t="e">
        <f t="shared" si="10"/>
        <v>#VALUE!</v>
      </c>
      <c r="AK55" t="e">
        <f>AM54*'Current vaccine model'!$H55*HelperFunctions!$R$14</f>
        <v>#VALUE!</v>
      </c>
      <c r="AL55" t="e">
        <f>AM54*'Current vaccine model'!$H55*Export!$L53</f>
        <v>#VALUE!</v>
      </c>
      <c r="AM55" s="84" t="e">
        <f t="shared" si="11"/>
        <v>#VALUE!</v>
      </c>
      <c r="AN55" t="e">
        <f>AP54*'Current vaccine model'!$H55*HelperFunctions!$R$28</f>
        <v>#VALUE!</v>
      </c>
      <c r="AO55" t="e">
        <f>AP54*'Current vaccine model'!$H55*Export!$L53</f>
        <v>#VALUE!</v>
      </c>
      <c r="AP55" s="84" t="e">
        <f t="shared" si="12"/>
        <v>#VALUE!</v>
      </c>
      <c r="AQ55" t="e">
        <f>AS54*'Current vaccine model'!$H55*HelperFunctions!$R$28</f>
        <v>#VALUE!</v>
      </c>
      <c r="AR55" t="e">
        <f>AS54*'Current vaccine model'!$H55*Export!$L53</f>
        <v>#VALUE!</v>
      </c>
      <c r="AS55" s="84" t="e">
        <f t="shared" si="13"/>
        <v>#VALUE!</v>
      </c>
      <c r="AT55" t="e">
        <f>AV54*'Current vaccine model'!$H55*HelperFunctions!$R$28</f>
        <v>#VALUE!</v>
      </c>
      <c r="AU55" t="e">
        <f>AV54*'Current vaccine model'!$H55*Export!$L53</f>
        <v>#VALUE!</v>
      </c>
      <c r="AV55" s="84" t="e">
        <f t="shared" si="14"/>
        <v>#VALUE!</v>
      </c>
      <c r="AW55" t="e">
        <f>AY54*'Current vaccine model'!$H55*HelperFunctions!$R$28</f>
        <v>#VALUE!</v>
      </c>
      <c r="AX55" t="e">
        <f>AY54*'Current vaccine model'!$H55*Export!$L53</f>
        <v>#VALUE!</v>
      </c>
      <c r="AY55" s="84" t="e">
        <f t="shared" si="15"/>
        <v>#VALUE!</v>
      </c>
      <c r="AZ55" t="e">
        <f>BB54*'Current vaccine model'!$H55*HelperFunctions!$R$28</f>
        <v>#VALUE!</v>
      </c>
      <c r="BA55" t="e">
        <f>BB54*'Current vaccine model'!$H55*Export!$L53</f>
        <v>#VALUE!</v>
      </c>
      <c r="BB55" s="84" t="e">
        <f t="shared" si="16"/>
        <v>#VALUE!</v>
      </c>
      <c r="BC55" t="e">
        <f>BE54*'Current vaccine model'!$H55*HelperFunctions!$R$28</f>
        <v>#VALUE!</v>
      </c>
      <c r="BD55" t="e">
        <f>BE54*'Current vaccine model'!$H55*Export!$L53</f>
        <v>#VALUE!</v>
      </c>
      <c r="BE55" s="84" t="e">
        <f t="shared" si="17"/>
        <v>#VALUE!</v>
      </c>
      <c r="BF55" t="e">
        <f>BH54*'Current vaccine model'!$H55*HelperFunctions!$R$28</f>
        <v>#VALUE!</v>
      </c>
      <c r="BG55" t="e">
        <f>BH54*'Current vaccine model'!$H55*Export!$L53</f>
        <v>#VALUE!</v>
      </c>
      <c r="BH55" s="84" t="e">
        <f t="shared" si="18"/>
        <v>#VALUE!</v>
      </c>
      <c r="BI55" t="e">
        <f>BK54*'Current vaccine model'!$H55*HelperFunctions!$R$28</f>
        <v>#VALUE!</v>
      </c>
      <c r="BJ55" t="e">
        <f>BK54*'Current vaccine model'!$H55*Export!$L53</f>
        <v>#VALUE!</v>
      </c>
      <c r="BK55" s="84" t="e">
        <f t="shared" si="19"/>
        <v>#VALUE!</v>
      </c>
      <c r="BL55" t="e">
        <f>BN54*'Current vaccine model'!$H55*HelperFunctions!$R$28</f>
        <v>#VALUE!</v>
      </c>
      <c r="BM55" t="e">
        <f>BN54*'Current vaccine model'!$H55*Export!$L53</f>
        <v>#VALUE!</v>
      </c>
      <c r="BN55" s="84" t="e">
        <f t="shared" si="20"/>
        <v>#VALUE!</v>
      </c>
      <c r="BO55" t="e">
        <f>BQ54*'Current vaccine model'!$H55*HelperFunctions!$R$28</f>
        <v>#VALUE!</v>
      </c>
      <c r="BP55" t="e">
        <f>BQ54*'Current vaccine model'!$H55*Export!$L53</f>
        <v>#VALUE!</v>
      </c>
      <c r="BQ55" s="84" t="e">
        <f t="shared" si="21"/>
        <v>#VALUE!</v>
      </c>
      <c r="BR55" t="e">
        <f>BT54*'Current vaccine model'!$H55*HelperFunctions!$R$28</f>
        <v>#VALUE!</v>
      </c>
      <c r="BS55" t="e">
        <f>BT54*'Current vaccine model'!$H55*Export!$L53</f>
        <v>#VALUE!</v>
      </c>
      <c r="BT55" s="84" t="e">
        <f t="shared" si="22"/>
        <v>#VALUE!</v>
      </c>
      <c r="BU55" t="e">
        <f>BW54*'Current vaccine model'!$H55*HelperFunctions!$R$28</f>
        <v>#VALUE!</v>
      </c>
      <c r="BV55" t="e">
        <f>BW54*'Current vaccine model'!$H55*Export!$L53</f>
        <v>#VALUE!</v>
      </c>
      <c r="BW55" s="84" t="e">
        <f t="shared" si="23"/>
        <v>#VALUE!</v>
      </c>
      <c r="BX55" t="e">
        <f>BZ54*'Current vaccine model'!$H55*HelperFunctions!$R$42</f>
        <v>#VALUE!</v>
      </c>
      <c r="BY55" t="e">
        <f>BZ54*'Current vaccine model'!$H55*Export!$L53</f>
        <v>#VALUE!</v>
      </c>
      <c r="BZ55" s="84" t="e">
        <f t="shared" si="24"/>
        <v>#VALUE!</v>
      </c>
      <c r="CA55" t="e">
        <f>CC54*'Current vaccine model'!$H55*HelperFunctions!$R$42</f>
        <v>#VALUE!</v>
      </c>
      <c r="CB55" t="e">
        <f>CC54*'Current vaccine model'!$H55*Export!$L53</f>
        <v>#VALUE!</v>
      </c>
      <c r="CC55" s="84" t="e">
        <f t="shared" si="25"/>
        <v>#VALUE!</v>
      </c>
      <c r="CD55" t="e">
        <f>CF54*'Current vaccine model'!$H55*HelperFunctions!$R$42</f>
        <v>#VALUE!</v>
      </c>
      <c r="CE55" t="e">
        <f>CF54*'Current vaccine model'!$H55*Export!$L53</f>
        <v>#VALUE!</v>
      </c>
      <c r="CF55" s="84" t="e">
        <f t="shared" si="26"/>
        <v>#VALUE!</v>
      </c>
      <c r="CG55" t="e">
        <f>CI54*'Current vaccine model'!$H55*HelperFunctions!$R$42</f>
        <v>#VALUE!</v>
      </c>
      <c r="CH55" t="e">
        <f>CI54*'Current vaccine model'!$H55*Export!$L53</f>
        <v>#VALUE!</v>
      </c>
      <c r="CI55" s="84" t="e">
        <f t="shared" si="27"/>
        <v>#VALUE!</v>
      </c>
      <c r="CJ55" t="e">
        <f>CL54*'Current vaccine model'!$H55*HelperFunctions!$R$42</f>
        <v>#VALUE!</v>
      </c>
      <c r="CK55" t="e">
        <f>CL54*'Current vaccine model'!$H55*Export!$L53</f>
        <v>#VALUE!</v>
      </c>
      <c r="CL55" s="84" t="e">
        <f t="shared" si="28"/>
        <v>#VALUE!</v>
      </c>
      <c r="CM55" t="e">
        <f>CO54*'Current vaccine model'!$H55*HelperFunctions!$R$42</f>
        <v>#VALUE!</v>
      </c>
      <c r="CN55" t="e">
        <f>CO54*'Current vaccine model'!$H55*Export!$L53</f>
        <v>#VALUE!</v>
      </c>
      <c r="CO55" s="84" t="e">
        <f t="shared" si="29"/>
        <v>#VALUE!</v>
      </c>
      <c r="CP55" t="e">
        <f>CR54*'Current vaccine model'!$H55*HelperFunctions!$R$42</f>
        <v>#VALUE!</v>
      </c>
      <c r="CQ55" t="e">
        <f>CR54*'Current vaccine model'!$H55*Export!$L53</f>
        <v>#VALUE!</v>
      </c>
      <c r="CR55" s="84" t="e">
        <f t="shared" si="30"/>
        <v>#VALUE!</v>
      </c>
      <c r="CS55" t="e">
        <f>CU54*'Current vaccine model'!$H55*HelperFunctions!$R$42</f>
        <v>#VALUE!</v>
      </c>
      <c r="CT55" t="e">
        <f>CU54*'Current vaccine model'!$H55*Export!$L53</f>
        <v>#VALUE!</v>
      </c>
      <c r="CU55" s="84" t="e">
        <f t="shared" si="31"/>
        <v>#VALUE!</v>
      </c>
      <c r="CV55" t="e">
        <f>CX54*'Current vaccine model'!$H55*HelperFunctions!$R$42</f>
        <v>#VALUE!</v>
      </c>
      <c r="CW55" t="e">
        <f>CX54*'Current vaccine model'!$H55*Export!$L53</f>
        <v>#VALUE!</v>
      </c>
      <c r="CX55" s="84" t="e">
        <f t="shared" si="32"/>
        <v>#VALUE!</v>
      </c>
      <c r="CY55" t="e">
        <f>DA54*'Current vaccine model'!$H55*HelperFunctions!$R$42</f>
        <v>#VALUE!</v>
      </c>
      <c r="CZ55" t="e">
        <f>DA54*'Current vaccine model'!$H55*Export!$L53</f>
        <v>#VALUE!</v>
      </c>
      <c r="DA55" s="84" t="e">
        <f t="shared" si="33"/>
        <v>#VALUE!</v>
      </c>
      <c r="DB55" t="e">
        <f>DD54*'Current vaccine model'!$H55*HelperFunctions!$R$42</f>
        <v>#VALUE!</v>
      </c>
      <c r="DC55" t="e">
        <f>DD54*'Current vaccine model'!$H55*Export!$L53</f>
        <v>#VALUE!</v>
      </c>
      <c r="DD55" s="84" t="e">
        <f t="shared" si="34"/>
        <v>#VALUE!</v>
      </c>
      <c r="DE55" t="e">
        <f>DG54*'Current vaccine model'!$H55*HelperFunctions!$R$42</f>
        <v>#VALUE!</v>
      </c>
      <c r="DF55" t="e">
        <f>DG54*'Current vaccine model'!$H55*Export!$L53</f>
        <v>#VALUE!</v>
      </c>
      <c r="DG55" s="84" t="e">
        <f t="shared" si="35"/>
        <v>#VALUE!</v>
      </c>
      <c r="DH55" t="e">
        <f>DJ54*'Current vaccine model'!$H55*HelperFunctions!$R$56</f>
        <v>#VALUE!</v>
      </c>
      <c r="DI55" t="e">
        <f>DJ54*'Current vaccine model'!$H55*Export!$L53</f>
        <v>#VALUE!</v>
      </c>
      <c r="DJ55" s="84" t="e">
        <f t="shared" si="36"/>
        <v>#VALUE!</v>
      </c>
      <c r="DK55" t="e">
        <f>DM54*'Current vaccine model'!$H55*HelperFunctions!$R$56</f>
        <v>#VALUE!</v>
      </c>
      <c r="DL55" t="e">
        <f>DM54*'Current vaccine model'!$H55*Export!$L53</f>
        <v>#VALUE!</v>
      </c>
      <c r="DM55" s="84" t="e">
        <f t="shared" si="37"/>
        <v>#VALUE!</v>
      </c>
      <c r="DN55" t="e">
        <f>DP54*'Current vaccine model'!$H55*HelperFunctions!$R$56</f>
        <v>#VALUE!</v>
      </c>
      <c r="DO55" t="e">
        <f>DP54*'Current vaccine model'!$H55*Export!$L53</f>
        <v>#VALUE!</v>
      </c>
      <c r="DP55" s="84" t="e">
        <f t="shared" si="38"/>
        <v>#VALUE!</v>
      </c>
      <c r="DQ55" t="e">
        <f>DS54*'Current vaccine model'!$H55*HelperFunctions!$R$56</f>
        <v>#VALUE!</v>
      </c>
      <c r="DR55" t="e">
        <f>DS54*'Current vaccine model'!$H55*Export!$L53</f>
        <v>#VALUE!</v>
      </c>
      <c r="DS55" s="84" t="e">
        <f t="shared" si="39"/>
        <v>#VALUE!</v>
      </c>
      <c r="DT55" t="e">
        <f>DV54*'Current vaccine model'!$H55*HelperFunctions!$R55</f>
        <v>#VALUE!</v>
      </c>
      <c r="DU55" t="e">
        <f>DV54*'Current vaccine model'!$H55*Export!$L53</f>
        <v>#VALUE!</v>
      </c>
      <c r="DV55" s="84" t="e">
        <f t="shared" si="40"/>
        <v>#VALUE!</v>
      </c>
      <c r="DW55" t="e">
        <f>DY54*'Current vaccine model'!$H55*HelperFunctions!$R54</f>
        <v>#VALUE!</v>
      </c>
      <c r="DX55" t="e">
        <f>DY54*'Current vaccine model'!$H55*Export!$L53</f>
        <v>#VALUE!</v>
      </c>
      <c r="DY55" s="84" t="e">
        <f t="shared" si="41"/>
        <v>#VALUE!</v>
      </c>
      <c r="DZ55" t="e">
        <f>EB54*'Current vaccine model'!$H55*HelperFunctions!$R53</f>
        <v>#VALUE!</v>
      </c>
      <c r="EA55" t="e">
        <f>EB54*'Current vaccine model'!$H55*Export!$L53</f>
        <v>#VALUE!</v>
      </c>
      <c r="EB55" s="84" t="e">
        <f t="shared" si="42"/>
        <v>#VALUE!</v>
      </c>
      <c r="EC55" t="e">
        <f>EE54*'Current vaccine model'!$H55*HelperFunctions!$R52</f>
        <v>#VALUE!</v>
      </c>
      <c r="ED55" t="e">
        <f>EE54*'Current vaccine model'!$H55*Export!$L53</f>
        <v>#VALUE!</v>
      </c>
      <c r="EE55" s="84" t="e">
        <f t="shared" si="43"/>
        <v>#VALUE!</v>
      </c>
      <c r="EF55" t="e">
        <f>EH54*'Current vaccine model'!$H55*HelperFunctions!$R51</f>
        <v>#VALUE!</v>
      </c>
      <c r="EG55" t="e">
        <f>EH54*'Current vaccine model'!$H55*Export!$L53</f>
        <v>#VALUE!</v>
      </c>
      <c r="EH55" s="84" t="e">
        <f t="shared" si="44"/>
        <v>#VALUE!</v>
      </c>
      <c r="EI55" t="e">
        <f>EK54*'Current vaccine model'!$H55*HelperFunctions!$R50</f>
        <v>#VALUE!</v>
      </c>
      <c r="EJ55" t="e">
        <f>EK54*'Current vaccine model'!$H55*Export!$L53</f>
        <v>#VALUE!</v>
      </c>
      <c r="EK55" s="84" t="e">
        <f t="shared" si="45"/>
        <v>#VALUE!</v>
      </c>
      <c r="EL55" t="e">
        <f>EN54*'Current vaccine model'!$H55*HelperFunctions!$R49</f>
        <v>#VALUE!</v>
      </c>
      <c r="EM55" t="e">
        <f>EN54*'Current vaccine model'!$H55*Export!$L53</f>
        <v>#VALUE!</v>
      </c>
      <c r="EN55" s="84" t="e">
        <f t="shared" si="46"/>
        <v>#VALUE!</v>
      </c>
      <c r="EO55" t="e">
        <f>EQ54*'Current vaccine model'!$H55*HelperFunctions!$R48</f>
        <v>#VALUE!</v>
      </c>
      <c r="EP55" t="e">
        <f>EQ54*'Current vaccine model'!$H55*Export!$L53</f>
        <v>#VALUE!</v>
      </c>
      <c r="EQ55" s="84" t="e">
        <f t="shared" si="47"/>
        <v>#VALUE!</v>
      </c>
      <c r="ER55" t="e">
        <f>ET54*'Current vaccine model'!$H55*HelperFunctions!$R61</f>
        <v>#VALUE!</v>
      </c>
      <c r="ES55" t="e">
        <f>ET54*'Current vaccine model'!$H55*Export!$L53</f>
        <v>#VALUE!</v>
      </c>
      <c r="ET55" s="84" t="e">
        <f t="shared" si="48"/>
        <v>#VALUE!</v>
      </c>
      <c r="EU55" t="e">
        <f>EW54*'Current vaccine model'!$H55*HelperFunctions!$R60</f>
        <v>#VALUE!</v>
      </c>
      <c r="EV55" t="e">
        <f>EW54*'Current vaccine model'!$H55*Export!$L53</f>
        <v>#VALUE!</v>
      </c>
      <c r="EW55" s="84" t="e">
        <f t="shared" ref="EW55:EW63" si="49">EW54-EU55-EV55</f>
        <v>#VALUE!</v>
      </c>
      <c r="EX55" t="e">
        <f>EZ54*'Current vaccine model'!$H55*HelperFunctions!$R59</f>
        <v>#VALUE!</v>
      </c>
      <c r="EY55" t="e">
        <f>EZ54*'Current vaccine model'!$H55*Export!$L53</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F55*'Current vaccine model'!$H56*HelperFunctions!$R$14</f>
        <v>#VALUE!</v>
      </c>
      <c r="E56" t="e">
        <f>F55*'Current vaccine model'!$H56*Export!$L54</f>
        <v>#VALUE!</v>
      </c>
      <c r="F56" s="84" t="e">
        <f t="shared" si="0"/>
        <v>#VALUE!</v>
      </c>
      <c r="G56" t="e">
        <f>I55*'Current vaccine model'!$H56*HelperFunctions!$R$14</f>
        <v>#VALUE!</v>
      </c>
      <c r="H56" t="e">
        <f>I55*'Current vaccine model'!$H56*Export!$L54</f>
        <v>#VALUE!</v>
      </c>
      <c r="I56" s="84" t="e">
        <f t="shared" si="1"/>
        <v>#VALUE!</v>
      </c>
      <c r="J56" t="e">
        <f>L55*'Current vaccine model'!$H56*HelperFunctions!$R$14</f>
        <v>#VALUE!</v>
      </c>
      <c r="K56" t="e">
        <f>L55*'Current vaccine model'!$H56*Export!$L54</f>
        <v>#VALUE!</v>
      </c>
      <c r="L56" s="84" t="e">
        <f t="shared" si="2"/>
        <v>#VALUE!</v>
      </c>
      <c r="M56" t="e">
        <f>O55*'Current vaccine model'!$H56*HelperFunctions!$R$14</f>
        <v>#VALUE!</v>
      </c>
      <c r="N56" t="e">
        <f>O55*'Current vaccine model'!$H56*Export!$L54</f>
        <v>#VALUE!</v>
      </c>
      <c r="O56" s="84" t="e">
        <f t="shared" si="3"/>
        <v>#VALUE!</v>
      </c>
      <c r="P56" t="e">
        <f>R55*'Current vaccine model'!$H56*HelperFunctions!$R$14</f>
        <v>#VALUE!</v>
      </c>
      <c r="Q56" t="e">
        <f>R55*'Current vaccine model'!$H56*Export!$L54</f>
        <v>#VALUE!</v>
      </c>
      <c r="R56" s="84" t="e">
        <f t="shared" si="4"/>
        <v>#VALUE!</v>
      </c>
      <c r="S56" t="e">
        <f>U55*'Current vaccine model'!$H56*HelperFunctions!$R$14</f>
        <v>#VALUE!</v>
      </c>
      <c r="T56" t="e">
        <f>U55*'Current vaccine model'!$H56*Export!$L54</f>
        <v>#VALUE!</v>
      </c>
      <c r="U56" s="84" t="e">
        <f t="shared" si="5"/>
        <v>#VALUE!</v>
      </c>
      <c r="V56" t="e">
        <f>X55*'Current vaccine model'!$H56*HelperFunctions!$R$14</f>
        <v>#VALUE!</v>
      </c>
      <c r="W56" t="e">
        <f>X55*'Current vaccine model'!$H56*Export!$L54</f>
        <v>#VALUE!</v>
      </c>
      <c r="X56" s="84" t="e">
        <f t="shared" si="6"/>
        <v>#VALUE!</v>
      </c>
      <c r="Y56" t="e">
        <f>AA55*'Current vaccine model'!$H56*HelperFunctions!$R$14</f>
        <v>#VALUE!</v>
      </c>
      <c r="Z56" t="e">
        <f>AA55*'Current vaccine model'!$H56*Export!$L54</f>
        <v>#VALUE!</v>
      </c>
      <c r="AA56" s="84" t="e">
        <f t="shared" si="7"/>
        <v>#VALUE!</v>
      </c>
      <c r="AB56" t="e">
        <f>AD55*'Current vaccine model'!$H56*HelperFunctions!$R$14</f>
        <v>#VALUE!</v>
      </c>
      <c r="AC56" t="e">
        <f>AD55*'Current vaccine model'!$H56*Export!$L54</f>
        <v>#VALUE!</v>
      </c>
      <c r="AD56" s="84" t="e">
        <f t="shared" si="8"/>
        <v>#VALUE!</v>
      </c>
      <c r="AE56" t="e">
        <f>AG55*'Current vaccine model'!$H56*HelperFunctions!$R$14</f>
        <v>#VALUE!</v>
      </c>
      <c r="AF56" t="e">
        <f>AG55*'Current vaccine model'!$H56*Export!$L54</f>
        <v>#VALUE!</v>
      </c>
      <c r="AG56" s="84" t="e">
        <f t="shared" si="9"/>
        <v>#VALUE!</v>
      </c>
      <c r="AH56" t="e">
        <f>AJ55*'Current vaccine model'!$H56*HelperFunctions!$R$14</f>
        <v>#VALUE!</v>
      </c>
      <c r="AI56" t="e">
        <f>AJ55*'Current vaccine model'!$H56*Export!$L54</f>
        <v>#VALUE!</v>
      </c>
      <c r="AJ56" s="84" t="e">
        <f t="shared" si="10"/>
        <v>#VALUE!</v>
      </c>
      <c r="AK56" t="e">
        <f>AM55*'Current vaccine model'!$H56*HelperFunctions!$R$14</f>
        <v>#VALUE!</v>
      </c>
      <c r="AL56" t="e">
        <f>AM55*'Current vaccine model'!$H56*Export!$L54</f>
        <v>#VALUE!</v>
      </c>
      <c r="AM56" s="84" t="e">
        <f t="shared" si="11"/>
        <v>#VALUE!</v>
      </c>
      <c r="AN56" t="e">
        <f>AP55*'Current vaccine model'!$H56*HelperFunctions!$R$28</f>
        <v>#VALUE!</v>
      </c>
      <c r="AO56" t="e">
        <f>AP55*'Current vaccine model'!$H56*Export!$L54</f>
        <v>#VALUE!</v>
      </c>
      <c r="AP56" s="84" t="e">
        <f t="shared" si="12"/>
        <v>#VALUE!</v>
      </c>
      <c r="AQ56" t="e">
        <f>AS55*'Current vaccine model'!$H56*HelperFunctions!$R$28</f>
        <v>#VALUE!</v>
      </c>
      <c r="AR56" t="e">
        <f>AS55*'Current vaccine model'!$H56*Export!$L54</f>
        <v>#VALUE!</v>
      </c>
      <c r="AS56" s="84" t="e">
        <f t="shared" si="13"/>
        <v>#VALUE!</v>
      </c>
      <c r="AT56" t="e">
        <f>AV55*'Current vaccine model'!$H56*HelperFunctions!$R$28</f>
        <v>#VALUE!</v>
      </c>
      <c r="AU56" t="e">
        <f>AV55*'Current vaccine model'!$H56*Export!$L54</f>
        <v>#VALUE!</v>
      </c>
      <c r="AV56" s="84" t="e">
        <f t="shared" si="14"/>
        <v>#VALUE!</v>
      </c>
      <c r="AW56" t="e">
        <f>AY55*'Current vaccine model'!$H56*HelperFunctions!$R$28</f>
        <v>#VALUE!</v>
      </c>
      <c r="AX56" t="e">
        <f>AY55*'Current vaccine model'!$H56*Export!$L54</f>
        <v>#VALUE!</v>
      </c>
      <c r="AY56" s="84" t="e">
        <f t="shared" si="15"/>
        <v>#VALUE!</v>
      </c>
      <c r="AZ56" t="e">
        <f>BB55*'Current vaccine model'!$H56*HelperFunctions!$R$28</f>
        <v>#VALUE!</v>
      </c>
      <c r="BA56" t="e">
        <f>BB55*'Current vaccine model'!$H56*Export!$L54</f>
        <v>#VALUE!</v>
      </c>
      <c r="BB56" s="84" t="e">
        <f t="shared" si="16"/>
        <v>#VALUE!</v>
      </c>
      <c r="BC56" t="e">
        <f>BE55*'Current vaccine model'!$H56*HelperFunctions!$R$28</f>
        <v>#VALUE!</v>
      </c>
      <c r="BD56" t="e">
        <f>BE55*'Current vaccine model'!$H56*Export!$L54</f>
        <v>#VALUE!</v>
      </c>
      <c r="BE56" s="84" t="e">
        <f t="shared" si="17"/>
        <v>#VALUE!</v>
      </c>
      <c r="BF56" t="e">
        <f>BH55*'Current vaccine model'!$H56*HelperFunctions!$R$28</f>
        <v>#VALUE!</v>
      </c>
      <c r="BG56" t="e">
        <f>BH55*'Current vaccine model'!$H56*Export!$L54</f>
        <v>#VALUE!</v>
      </c>
      <c r="BH56" s="84" t="e">
        <f t="shared" si="18"/>
        <v>#VALUE!</v>
      </c>
      <c r="BI56" t="e">
        <f>BK55*'Current vaccine model'!$H56*HelperFunctions!$R$28</f>
        <v>#VALUE!</v>
      </c>
      <c r="BJ56" t="e">
        <f>BK55*'Current vaccine model'!$H56*Export!$L54</f>
        <v>#VALUE!</v>
      </c>
      <c r="BK56" s="84" t="e">
        <f t="shared" si="19"/>
        <v>#VALUE!</v>
      </c>
      <c r="BL56" t="e">
        <f>BN55*'Current vaccine model'!$H56*HelperFunctions!$R$28</f>
        <v>#VALUE!</v>
      </c>
      <c r="BM56" t="e">
        <f>BN55*'Current vaccine model'!$H56*Export!$L54</f>
        <v>#VALUE!</v>
      </c>
      <c r="BN56" s="84" t="e">
        <f t="shared" si="20"/>
        <v>#VALUE!</v>
      </c>
      <c r="BO56" t="e">
        <f>BQ55*'Current vaccine model'!$H56*HelperFunctions!$R$28</f>
        <v>#VALUE!</v>
      </c>
      <c r="BP56" t="e">
        <f>BQ55*'Current vaccine model'!$H56*Export!$L54</f>
        <v>#VALUE!</v>
      </c>
      <c r="BQ56" s="84" t="e">
        <f t="shared" si="21"/>
        <v>#VALUE!</v>
      </c>
      <c r="BR56" t="e">
        <f>BT55*'Current vaccine model'!$H56*HelperFunctions!$R$28</f>
        <v>#VALUE!</v>
      </c>
      <c r="BS56" t="e">
        <f>BT55*'Current vaccine model'!$H56*Export!$L54</f>
        <v>#VALUE!</v>
      </c>
      <c r="BT56" s="84" t="e">
        <f t="shared" si="22"/>
        <v>#VALUE!</v>
      </c>
      <c r="BU56" t="e">
        <f>BW55*'Current vaccine model'!$H56*HelperFunctions!$R$28</f>
        <v>#VALUE!</v>
      </c>
      <c r="BV56" t="e">
        <f>BW55*'Current vaccine model'!$H56*Export!$L54</f>
        <v>#VALUE!</v>
      </c>
      <c r="BW56" s="84" t="e">
        <f t="shared" si="23"/>
        <v>#VALUE!</v>
      </c>
      <c r="BX56" t="e">
        <f>BZ55*'Current vaccine model'!$H56*HelperFunctions!$R$42</f>
        <v>#VALUE!</v>
      </c>
      <c r="BY56" t="e">
        <f>BZ55*'Current vaccine model'!$H56*Export!$L54</f>
        <v>#VALUE!</v>
      </c>
      <c r="BZ56" s="84" t="e">
        <f t="shared" si="24"/>
        <v>#VALUE!</v>
      </c>
      <c r="CA56" t="e">
        <f>CC55*'Current vaccine model'!$H56*HelperFunctions!$R$42</f>
        <v>#VALUE!</v>
      </c>
      <c r="CB56" t="e">
        <f>CC55*'Current vaccine model'!$H56*Export!$L54</f>
        <v>#VALUE!</v>
      </c>
      <c r="CC56" s="84" t="e">
        <f t="shared" si="25"/>
        <v>#VALUE!</v>
      </c>
      <c r="CD56" t="e">
        <f>CF55*'Current vaccine model'!$H56*HelperFunctions!$R$42</f>
        <v>#VALUE!</v>
      </c>
      <c r="CE56" t="e">
        <f>CF55*'Current vaccine model'!$H56*Export!$L54</f>
        <v>#VALUE!</v>
      </c>
      <c r="CF56" s="84" t="e">
        <f t="shared" si="26"/>
        <v>#VALUE!</v>
      </c>
      <c r="CG56" t="e">
        <f>CI55*'Current vaccine model'!$H56*HelperFunctions!$R$42</f>
        <v>#VALUE!</v>
      </c>
      <c r="CH56" t="e">
        <f>CI55*'Current vaccine model'!$H56*Export!$L54</f>
        <v>#VALUE!</v>
      </c>
      <c r="CI56" s="84" t="e">
        <f t="shared" si="27"/>
        <v>#VALUE!</v>
      </c>
      <c r="CJ56" t="e">
        <f>CL55*'Current vaccine model'!$H56*HelperFunctions!$R$42</f>
        <v>#VALUE!</v>
      </c>
      <c r="CK56" t="e">
        <f>CL55*'Current vaccine model'!$H56*Export!$L54</f>
        <v>#VALUE!</v>
      </c>
      <c r="CL56" s="84" t="e">
        <f t="shared" si="28"/>
        <v>#VALUE!</v>
      </c>
      <c r="CM56" t="e">
        <f>CO55*'Current vaccine model'!$H56*HelperFunctions!$R$42</f>
        <v>#VALUE!</v>
      </c>
      <c r="CN56" t="e">
        <f>CO55*'Current vaccine model'!$H56*Export!$L54</f>
        <v>#VALUE!</v>
      </c>
      <c r="CO56" s="84" t="e">
        <f t="shared" si="29"/>
        <v>#VALUE!</v>
      </c>
      <c r="CP56" t="e">
        <f>CR55*'Current vaccine model'!$H56*HelperFunctions!$R$42</f>
        <v>#VALUE!</v>
      </c>
      <c r="CQ56" t="e">
        <f>CR55*'Current vaccine model'!$H56*Export!$L54</f>
        <v>#VALUE!</v>
      </c>
      <c r="CR56" s="84" t="e">
        <f t="shared" si="30"/>
        <v>#VALUE!</v>
      </c>
      <c r="CS56" t="e">
        <f>CU55*'Current vaccine model'!$H56*HelperFunctions!$R$42</f>
        <v>#VALUE!</v>
      </c>
      <c r="CT56" t="e">
        <f>CU55*'Current vaccine model'!$H56*Export!$L54</f>
        <v>#VALUE!</v>
      </c>
      <c r="CU56" s="84" t="e">
        <f t="shared" si="31"/>
        <v>#VALUE!</v>
      </c>
      <c r="CV56" t="e">
        <f>CX55*'Current vaccine model'!$H56*HelperFunctions!$R$42</f>
        <v>#VALUE!</v>
      </c>
      <c r="CW56" t="e">
        <f>CX55*'Current vaccine model'!$H56*Export!$L54</f>
        <v>#VALUE!</v>
      </c>
      <c r="CX56" s="84" t="e">
        <f t="shared" si="32"/>
        <v>#VALUE!</v>
      </c>
      <c r="CY56" t="e">
        <f>DA55*'Current vaccine model'!$H56*HelperFunctions!$R$42</f>
        <v>#VALUE!</v>
      </c>
      <c r="CZ56" t="e">
        <f>DA55*'Current vaccine model'!$H56*Export!$L54</f>
        <v>#VALUE!</v>
      </c>
      <c r="DA56" s="84" t="e">
        <f t="shared" si="33"/>
        <v>#VALUE!</v>
      </c>
      <c r="DB56" t="e">
        <f>DD55*'Current vaccine model'!$H56*HelperFunctions!$R$42</f>
        <v>#VALUE!</v>
      </c>
      <c r="DC56" t="e">
        <f>DD55*'Current vaccine model'!$H56*Export!$L54</f>
        <v>#VALUE!</v>
      </c>
      <c r="DD56" s="84" t="e">
        <f t="shared" si="34"/>
        <v>#VALUE!</v>
      </c>
      <c r="DE56" t="e">
        <f>DG55*'Current vaccine model'!$H56*HelperFunctions!$R$42</f>
        <v>#VALUE!</v>
      </c>
      <c r="DF56" t="e">
        <f>DG55*'Current vaccine model'!$H56*Export!$L54</f>
        <v>#VALUE!</v>
      </c>
      <c r="DG56" s="84" t="e">
        <f t="shared" si="35"/>
        <v>#VALUE!</v>
      </c>
      <c r="DH56" t="e">
        <f>DJ55*'Current vaccine model'!$H56*HelperFunctions!$R$56</f>
        <v>#VALUE!</v>
      </c>
      <c r="DI56" t="e">
        <f>DJ55*'Current vaccine model'!$H56*Export!$L54</f>
        <v>#VALUE!</v>
      </c>
      <c r="DJ56" s="84" t="e">
        <f t="shared" si="36"/>
        <v>#VALUE!</v>
      </c>
      <c r="DK56" t="e">
        <f>DM55*'Current vaccine model'!$H56*HelperFunctions!$R$56</f>
        <v>#VALUE!</v>
      </c>
      <c r="DL56" t="e">
        <f>DM55*'Current vaccine model'!$H56*Export!$L54</f>
        <v>#VALUE!</v>
      </c>
      <c r="DM56" s="84" t="e">
        <f t="shared" si="37"/>
        <v>#VALUE!</v>
      </c>
      <c r="DN56" t="e">
        <f>DP55*'Current vaccine model'!$H56*HelperFunctions!$R$56</f>
        <v>#VALUE!</v>
      </c>
      <c r="DO56" t="e">
        <f>DP55*'Current vaccine model'!$H56*Export!$L54</f>
        <v>#VALUE!</v>
      </c>
      <c r="DP56" s="84" t="e">
        <f t="shared" si="38"/>
        <v>#VALUE!</v>
      </c>
      <c r="DQ56" t="e">
        <f>DS55*'Current vaccine model'!$H56*HelperFunctions!$R$56</f>
        <v>#VALUE!</v>
      </c>
      <c r="DR56" t="e">
        <f>DS55*'Current vaccine model'!$H56*Export!$L54</f>
        <v>#VALUE!</v>
      </c>
      <c r="DS56" s="84" t="e">
        <f t="shared" si="39"/>
        <v>#VALUE!</v>
      </c>
      <c r="DT56" t="e">
        <f>DV55*'Current vaccine model'!$H56*HelperFunctions!$R$56</f>
        <v>#VALUE!</v>
      </c>
      <c r="DU56" t="e">
        <f>DV55*'Current vaccine model'!$H56*Export!$L54</f>
        <v>#VALUE!</v>
      </c>
      <c r="DV56" s="84" t="e">
        <f t="shared" si="40"/>
        <v>#VALUE!</v>
      </c>
      <c r="DW56" t="e">
        <f>DY55*'Current vaccine model'!$H56*HelperFunctions!$R55</f>
        <v>#VALUE!</v>
      </c>
      <c r="DX56" t="e">
        <f>DY55*'Current vaccine model'!$H56*Export!$L54</f>
        <v>#VALUE!</v>
      </c>
      <c r="DY56" s="84" t="e">
        <f t="shared" si="41"/>
        <v>#VALUE!</v>
      </c>
      <c r="DZ56" t="e">
        <f>EB55*'Current vaccine model'!$H56*HelperFunctions!$R54</f>
        <v>#VALUE!</v>
      </c>
      <c r="EA56" t="e">
        <f>EB55*'Current vaccine model'!$H56*Export!$L54</f>
        <v>#VALUE!</v>
      </c>
      <c r="EB56" s="84" t="e">
        <f t="shared" si="42"/>
        <v>#VALUE!</v>
      </c>
      <c r="EC56" t="e">
        <f>EE55*'Current vaccine model'!$H56*HelperFunctions!$R53</f>
        <v>#VALUE!</v>
      </c>
      <c r="ED56" t="e">
        <f>EE55*'Current vaccine model'!$H56*Export!$L54</f>
        <v>#VALUE!</v>
      </c>
      <c r="EE56" s="84" t="e">
        <f t="shared" si="43"/>
        <v>#VALUE!</v>
      </c>
      <c r="EF56" t="e">
        <f>EH55*'Current vaccine model'!$H56*HelperFunctions!$R52</f>
        <v>#VALUE!</v>
      </c>
      <c r="EG56" t="e">
        <f>EH55*'Current vaccine model'!$H56*Export!$L54</f>
        <v>#VALUE!</v>
      </c>
      <c r="EH56" s="84" t="e">
        <f t="shared" si="44"/>
        <v>#VALUE!</v>
      </c>
      <c r="EI56" t="e">
        <f>EK55*'Current vaccine model'!$H56*HelperFunctions!$R51</f>
        <v>#VALUE!</v>
      </c>
      <c r="EJ56" t="e">
        <f>EK55*'Current vaccine model'!$H56*Export!$L54</f>
        <v>#VALUE!</v>
      </c>
      <c r="EK56" s="84" t="e">
        <f t="shared" si="45"/>
        <v>#VALUE!</v>
      </c>
      <c r="EL56" t="e">
        <f>EN55*'Current vaccine model'!$H56*HelperFunctions!$R50</f>
        <v>#VALUE!</v>
      </c>
      <c r="EM56" t="e">
        <f>EN55*'Current vaccine model'!$H56*Export!$L54</f>
        <v>#VALUE!</v>
      </c>
      <c r="EN56" s="84" t="e">
        <f t="shared" si="46"/>
        <v>#VALUE!</v>
      </c>
      <c r="EO56" t="e">
        <f>EQ55*'Current vaccine model'!$H56*HelperFunctions!$R49</f>
        <v>#VALUE!</v>
      </c>
      <c r="EP56" t="e">
        <f>EQ55*'Current vaccine model'!$H56*Export!$L54</f>
        <v>#VALUE!</v>
      </c>
      <c r="EQ56" s="84" t="e">
        <f t="shared" si="47"/>
        <v>#VALUE!</v>
      </c>
      <c r="ER56" t="e">
        <f>ET55*'Current vaccine model'!$H56*HelperFunctions!$R62</f>
        <v>#VALUE!</v>
      </c>
      <c r="ES56" t="e">
        <f>ET55*'Current vaccine model'!$H56*Export!$L54</f>
        <v>#VALUE!</v>
      </c>
      <c r="ET56" s="84" t="e">
        <f t="shared" si="48"/>
        <v>#VALUE!</v>
      </c>
      <c r="EU56" t="e">
        <f>EW55*'Current vaccine model'!$H56*HelperFunctions!$R61</f>
        <v>#VALUE!</v>
      </c>
      <c r="EV56" t="e">
        <f>EW55*'Current vaccine model'!$H56*Export!$L54</f>
        <v>#VALUE!</v>
      </c>
      <c r="EW56" s="84" t="e">
        <f t="shared" si="49"/>
        <v>#VALUE!</v>
      </c>
      <c r="EX56" t="e">
        <f>EZ55*'Current vaccine model'!$H56*HelperFunctions!$R60</f>
        <v>#VALUE!</v>
      </c>
      <c r="EY56" t="e">
        <f>EZ55*'Current vaccine model'!$H56*Export!$L54</f>
        <v>#VALUE!</v>
      </c>
      <c r="EZ56" s="84" t="e">
        <f t="shared" ref="EZ56:EZ63" si="50">EZ55-EX56-EY56</f>
        <v>#VALUE!</v>
      </c>
      <c r="FA56" t="e">
        <f>FC55*'Current vaccine model'!$H56*HelperFunctions!$R59</f>
        <v>#VALUE!</v>
      </c>
      <c r="FB56" t="e">
        <f>FC55*'Current vaccine model'!$H56*Export!$L54</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F56*'Current vaccine model'!$H57*HelperFunctions!$R$14</f>
        <v>#VALUE!</v>
      </c>
      <c r="E57" t="e">
        <f>F56*'Current vaccine model'!$H57*Export!$L55</f>
        <v>#VALUE!</v>
      </c>
      <c r="F57" s="84" t="e">
        <f t="shared" si="0"/>
        <v>#VALUE!</v>
      </c>
      <c r="G57" t="e">
        <f>I56*'Current vaccine model'!$H57*HelperFunctions!$R$14</f>
        <v>#VALUE!</v>
      </c>
      <c r="H57" t="e">
        <f>I56*'Current vaccine model'!$H57*Export!$L55</f>
        <v>#VALUE!</v>
      </c>
      <c r="I57" s="84" t="e">
        <f t="shared" si="1"/>
        <v>#VALUE!</v>
      </c>
      <c r="J57" t="e">
        <f>L56*'Current vaccine model'!$H57*HelperFunctions!$R$14</f>
        <v>#VALUE!</v>
      </c>
      <c r="K57" t="e">
        <f>L56*'Current vaccine model'!$H57*Export!$L55</f>
        <v>#VALUE!</v>
      </c>
      <c r="L57" s="84" t="e">
        <f t="shared" si="2"/>
        <v>#VALUE!</v>
      </c>
      <c r="M57" t="e">
        <f>O56*'Current vaccine model'!$H57*HelperFunctions!$R$14</f>
        <v>#VALUE!</v>
      </c>
      <c r="N57" t="e">
        <f>O56*'Current vaccine model'!$H57*Export!$L55</f>
        <v>#VALUE!</v>
      </c>
      <c r="O57" s="84" t="e">
        <f t="shared" si="3"/>
        <v>#VALUE!</v>
      </c>
      <c r="P57" t="e">
        <f>R56*'Current vaccine model'!$H57*HelperFunctions!$R$14</f>
        <v>#VALUE!</v>
      </c>
      <c r="Q57" t="e">
        <f>R56*'Current vaccine model'!$H57*Export!$L55</f>
        <v>#VALUE!</v>
      </c>
      <c r="R57" s="84" t="e">
        <f t="shared" si="4"/>
        <v>#VALUE!</v>
      </c>
      <c r="S57" t="e">
        <f>U56*'Current vaccine model'!$H57*HelperFunctions!$R$14</f>
        <v>#VALUE!</v>
      </c>
      <c r="T57" t="e">
        <f>U56*'Current vaccine model'!$H57*Export!$L55</f>
        <v>#VALUE!</v>
      </c>
      <c r="U57" s="84" t="e">
        <f t="shared" si="5"/>
        <v>#VALUE!</v>
      </c>
      <c r="V57" t="e">
        <f>X56*'Current vaccine model'!$H57*HelperFunctions!$R$14</f>
        <v>#VALUE!</v>
      </c>
      <c r="W57" t="e">
        <f>X56*'Current vaccine model'!$H57*Export!$L55</f>
        <v>#VALUE!</v>
      </c>
      <c r="X57" s="84" t="e">
        <f t="shared" si="6"/>
        <v>#VALUE!</v>
      </c>
      <c r="Y57" t="e">
        <f>AA56*'Current vaccine model'!$H57*HelperFunctions!$R$14</f>
        <v>#VALUE!</v>
      </c>
      <c r="Z57" t="e">
        <f>AA56*'Current vaccine model'!$H57*Export!$L55</f>
        <v>#VALUE!</v>
      </c>
      <c r="AA57" s="84" t="e">
        <f t="shared" si="7"/>
        <v>#VALUE!</v>
      </c>
      <c r="AB57" t="e">
        <f>AD56*'Current vaccine model'!$H57*HelperFunctions!$R$14</f>
        <v>#VALUE!</v>
      </c>
      <c r="AC57" t="e">
        <f>AD56*'Current vaccine model'!$H57*Export!$L55</f>
        <v>#VALUE!</v>
      </c>
      <c r="AD57" s="84" t="e">
        <f t="shared" si="8"/>
        <v>#VALUE!</v>
      </c>
      <c r="AE57" t="e">
        <f>AG56*'Current vaccine model'!$H57*HelperFunctions!$R$14</f>
        <v>#VALUE!</v>
      </c>
      <c r="AF57" t="e">
        <f>AG56*'Current vaccine model'!$H57*Export!$L55</f>
        <v>#VALUE!</v>
      </c>
      <c r="AG57" s="84" t="e">
        <f t="shared" si="9"/>
        <v>#VALUE!</v>
      </c>
      <c r="AH57" t="e">
        <f>AJ56*'Current vaccine model'!$H57*HelperFunctions!$R$14</f>
        <v>#VALUE!</v>
      </c>
      <c r="AI57" t="e">
        <f>AJ56*'Current vaccine model'!$H57*Export!$L55</f>
        <v>#VALUE!</v>
      </c>
      <c r="AJ57" s="84" t="e">
        <f t="shared" si="10"/>
        <v>#VALUE!</v>
      </c>
      <c r="AK57" t="e">
        <f>AM56*'Current vaccine model'!$H57*HelperFunctions!$R$14</f>
        <v>#VALUE!</v>
      </c>
      <c r="AL57" t="e">
        <f>AM56*'Current vaccine model'!$H57*Export!$L55</f>
        <v>#VALUE!</v>
      </c>
      <c r="AM57" s="84" t="e">
        <f t="shared" si="11"/>
        <v>#VALUE!</v>
      </c>
      <c r="AN57" t="e">
        <f>AP56*'Current vaccine model'!$H57*HelperFunctions!$R$28</f>
        <v>#VALUE!</v>
      </c>
      <c r="AO57" t="e">
        <f>AP56*'Current vaccine model'!$H57*Export!$L55</f>
        <v>#VALUE!</v>
      </c>
      <c r="AP57" s="84" t="e">
        <f t="shared" si="12"/>
        <v>#VALUE!</v>
      </c>
      <c r="AQ57" t="e">
        <f>AS56*'Current vaccine model'!$H57*HelperFunctions!$R$28</f>
        <v>#VALUE!</v>
      </c>
      <c r="AR57" t="e">
        <f>AS56*'Current vaccine model'!$H57*Export!$L55</f>
        <v>#VALUE!</v>
      </c>
      <c r="AS57" s="84" t="e">
        <f t="shared" si="13"/>
        <v>#VALUE!</v>
      </c>
      <c r="AT57" t="e">
        <f>AV56*'Current vaccine model'!$H57*HelperFunctions!$R$28</f>
        <v>#VALUE!</v>
      </c>
      <c r="AU57" t="e">
        <f>AV56*'Current vaccine model'!$H57*Export!$L55</f>
        <v>#VALUE!</v>
      </c>
      <c r="AV57" s="84" t="e">
        <f t="shared" si="14"/>
        <v>#VALUE!</v>
      </c>
      <c r="AW57" t="e">
        <f>AY56*'Current vaccine model'!$H57*HelperFunctions!$R$28</f>
        <v>#VALUE!</v>
      </c>
      <c r="AX57" t="e">
        <f>AY56*'Current vaccine model'!$H57*Export!$L55</f>
        <v>#VALUE!</v>
      </c>
      <c r="AY57" s="84" t="e">
        <f t="shared" si="15"/>
        <v>#VALUE!</v>
      </c>
      <c r="AZ57" t="e">
        <f>BB56*'Current vaccine model'!$H57*HelperFunctions!$R$28</f>
        <v>#VALUE!</v>
      </c>
      <c r="BA57" t="e">
        <f>BB56*'Current vaccine model'!$H57*Export!$L55</f>
        <v>#VALUE!</v>
      </c>
      <c r="BB57" s="84" t="e">
        <f t="shared" si="16"/>
        <v>#VALUE!</v>
      </c>
      <c r="BC57" t="e">
        <f>BE56*'Current vaccine model'!$H57*HelperFunctions!$R$28</f>
        <v>#VALUE!</v>
      </c>
      <c r="BD57" t="e">
        <f>BE56*'Current vaccine model'!$H57*Export!$L55</f>
        <v>#VALUE!</v>
      </c>
      <c r="BE57" s="84" t="e">
        <f t="shared" si="17"/>
        <v>#VALUE!</v>
      </c>
      <c r="BF57" t="e">
        <f>BH56*'Current vaccine model'!$H57*HelperFunctions!$R$28</f>
        <v>#VALUE!</v>
      </c>
      <c r="BG57" t="e">
        <f>BH56*'Current vaccine model'!$H57*Export!$L55</f>
        <v>#VALUE!</v>
      </c>
      <c r="BH57" s="84" t="e">
        <f t="shared" si="18"/>
        <v>#VALUE!</v>
      </c>
      <c r="BI57" t="e">
        <f>BK56*'Current vaccine model'!$H57*HelperFunctions!$R$28</f>
        <v>#VALUE!</v>
      </c>
      <c r="BJ57" t="e">
        <f>BK56*'Current vaccine model'!$H57*Export!$L55</f>
        <v>#VALUE!</v>
      </c>
      <c r="BK57" s="84" t="e">
        <f t="shared" si="19"/>
        <v>#VALUE!</v>
      </c>
      <c r="BL57" t="e">
        <f>BN56*'Current vaccine model'!$H57*HelperFunctions!$R$28</f>
        <v>#VALUE!</v>
      </c>
      <c r="BM57" t="e">
        <f>BN56*'Current vaccine model'!$H57*Export!$L55</f>
        <v>#VALUE!</v>
      </c>
      <c r="BN57" s="84" t="e">
        <f t="shared" si="20"/>
        <v>#VALUE!</v>
      </c>
      <c r="BO57" t="e">
        <f>BQ56*'Current vaccine model'!$H57*HelperFunctions!$R$28</f>
        <v>#VALUE!</v>
      </c>
      <c r="BP57" t="e">
        <f>BQ56*'Current vaccine model'!$H57*Export!$L55</f>
        <v>#VALUE!</v>
      </c>
      <c r="BQ57" s="84" t="e">
        <f t="shared" si="21"/>
        <v>#VALUE!</v>
      </c>
      <c r="BR57" t="e">
        <f>BT56*'Current vaccine model'!$H57*HelperFunctions!$R$28</f>
        <v>#VALUE!</v>
      </c>
      <c r="BS57" t="e">
        <f>BT56*'Current vaccine model'!$H57*Export!$L55</f>
        <v>#VALUE!</v>
      </c>
      <c r="BT57" s="84" t="e">
        <f t="shared" si="22"/>
        <v>#VALUE!</v>
      </c>
      <c r="BU57" t="e">
        <f>BW56*'Current vaccine model'!$H57*HelperFunctions!$R$28</f>
        <v>#VALUE!</v>
      </c>
      <c r="BV57" t="e">
        <f>BW56*'Current vaccine model'!$H57*Export!$L55</f>
        <v>#VALUE!</v>
      </c>
      <c r="BW57" s="84" t="e">
        <f t="shared" si="23"/>
        <v>#VALUE!</v>
      </c>
      <c r="BX57" t="e">
        <f>BZ56*'Current vaccine model'!$H57*HelperFunctions!$R$42</f>
        <v>#VALUE!</v>
      </c>
      <c r="BY57" t="e">
        <f>BZ56*'Current vaccine model'!$H57*Export!$L55</f>
        <v>#VALUE!</v>
      </c>
      <c r="BZ57" s="84" t="e">
        <f t="shared" si="24"/>
        <v>#VALUE!</v>
      </c>
      <c r="CA57" t="e">
        <f>CC56*'Current vaccine model'!$H57*HelperFunctions!$R$42</f>
        <v>#VALUE!</v>
      </c>
      <c r="CB57" t="e">
        <f>CC56*'Current vaccine model'!$H57*Export!$L55</f>
        <v>#VALUE!</v>
      </c>
      <c r="CC57" s="84" t="e">
        <f t="shared" si="25"/>
        <v>#VALUE!</v>
      </c>
      <c r="CD57" t="e">
        <f>CF56*'Current vaccine model'!$H57*HelperFunctions!$R$42</f>
        <v>#VALUE!</v>
      </c>
      <c r="CE57" t="e">
        <f>CF56*'Current vaccine model'!$H57*Export!$L55</f>
        <v>#VALUE!</v>
      </c>
      <c r="CF57" s="84" t="e">
        <f t="shared" si="26"/>
        <v>#VALUE!</v>
      </c>
      <c r="CG57" t="e">
        <f>CI56*'Current vaccine model'!$H57*HelperFunctions!$R$42</f>
        <v>#VALUE!</v>
      </c>
      <c r="CH57" t="e">
        <f>CI56*'Current vaccine model'!$H57*Export!$L55</f>
        <v>#VALUE!</v>
      </c>
      <c r="CI57" s="84" t="e">
        <f t="shared" si="27"/>
        <v>#VALUE!</v>
      </c>
      <c r="CJ57" t="e">
        <f>CL56*'Current vaccine model'!$H57*HelperFunctions!$R$42</f>
        <v>#VALUE!</v>
      </c>
      <c r="CK57" t="e">
        <f>CL56*'Current vaccine model'!$H57*Export!$L55</f>
        <v>#VALUE!</v>
      </c>
      <c r="CL57" s="84" t="e">
        <f t="shared" si="28"/>
        <v>#VALUE!</v>
      </c>
      <c r="CM57" t="e">
        <f>CO56*'Current vaccine model'!$H57*HelperFunctions!$R$42</f>
        <v>#VALUE!</v>
      </c>
      <c r="CN57" t="e">
        <f>CO56*'Current vaccine model'!$H57*Export!$L55</f>
        <v>#VALUE!</v>
      </c>
      <c r="CO57" s="84" t="e">
        <f t="shared" si="29"/>
        <v>#VALUE!</v>
      </c>
      <c r="CP57" t="e">
        <f>CR56*'Current vaccine model'!$H57*HelperFunctions!$R$42</f>
        <v>#VALUE!</v>
      </c>
      <c r="CQ57" t="e">
        <f>CR56*'Current vaccine model'!$H57*Export!$L55</f>
        <v>#VALUE!</v>
      </c>
      <c r="CR57" s="84" t="e">
        <f t="shared" si="30"/>
        <v>#VALUE!</v>
      </c>
      <c r="CS57" t="e">
        <f>CU56*'Current vaccine model'!$H57*HelperFunctions!$R$42</f>
        <v>#VALUE!</v>
      </c>
      <c r="CT57" t="e">
        <f>CU56*'Current vaccine model'!$H57*Export!$L55</f>
        <v>#VALUE!</v>
      </c>
      <c r="CU57" s="84" t="e">
        <f t="shared" si="31"/>
        <v>#VALUE!</v>
      </c>
      <c r="CV57" t="e">
        <f>CX56*'Current vaccine model'!$H57*HelperFunctions!$R$42</f>
        <v>#VALUE!</v>
      </c>
      <c r="CW57" t="e">
        <f>CX56*'Current vaccine model'!$H57*Export!$L55</f>
        <v>#VALUE!</v>
      </c>
      <c r="CX57" s="84" t="e">
        <f t="shared" si="32"/>
        <v>#VALUE!</v>
      </c>
      <c r="CY57" t="e">
        <f>DA56*'Current vaccine model'!$H57*HelperFunctions!$R$42</f>
        <v>#VALUE!</v>
      </c>
      <c r="CZ57" t="e">
        <f>DA56*'Current vaccine model'!$H57*Export!$L55</f>
        <v>#VALUE!</v>
      </c>
      <c r="DA57" s="84" t="e">
        <f t="shared" si="33"/>
        <v>#VALUE!</v>
      </c>
      <c r="DB57" t="e">
        <f>DD56*'Current vaccine model'!$H57*HelperFunctions!$R$42</f>
        <v>#VALUE!</v>
      </c>
      <c r="DC57" t="e">
        <f>DD56*'Current vaccine model'!$H57*Export!$L55</f>
        <v>#VALUE!</v>
      </c>
      <c r="DD57" s="84" t="e">
        <f t="shared" si="34"/>
        <v>#VALUE!</v>
      </c>
      <c r="DE57" t="e">
        <f>DG56*'Current vaccine model'!$H57*HelperFunctions!$R$42</f>
        <v>#VALUE!</v>
      </c>
      <c r="DF57" t="e">
        <f>DG56*'Current vaccine model'!$H57*Export!$L55</f>
        <v>#VALUE!</v>
      </c>
      <c r="DG57" s="84" t="e">
        <f t="shared" si="35"/>
        <v>#VALUE!</v>
      </c>
      <c r="DH57" t="e">
        <f>DJ56*'Current vaccine model'!$H57*HelperFunctions!$R$56</f>
        <v>#VALUE!</v>
      </c>
      <c r="DI57" t="e">
        <f>DJ56*'Current vaccine model'!$H57*Export!$L55</f>
        <v>#VALUE!</v>
      </c>
      <c r="DJ57" s="84" t="e">
        <f t="shared" si="36"/>
        <v>#VALUE!</v>
      </c>
      <c r="DK57" t="e">
        <f>DM56*'Current vaccine model'!$H57*HelperFunctions!$R$56</f>
        <v>#VALUE!</v>
      </c>
      <c r="DL57" t="e">
        <f>DM56*'Current vaccine model'!$H57*Export!$L55</f>
        <v>#VALUE!</v>
      </c>
      <c r="DM57" s="84" t="e">
        <f t="shared" si="37"/>
        <v>#VALUE!</v>
      </c>
      <c r="DN57" t="e">
        <f>DP56*'Current vaccine model'!$H57*HelperFunctions!$R$56</f>
        <v>#VALUE!</v>
      </c>
      <c r="DO57" t="e">
        <f>DP56*'Current vaccine model'!$H57*Export!$L55</f>
        <v>#VALUE!</v>
      </c>
      <c r="DP57" s="84" t="e">
        <f t="shared" si="38"/>
        <v>#VALUE!</v>
      </c>
      <c r="DQ57" t="e">
        <f>DS56*'Current vaccine model'!$H57*HelperFunctions!$R$56</f>
        <v>#VALUE!</v>
      </c>
      <c r="DR57" t="e">
        <f>DS56*'Current vaccine model'!$H57*Export!$L55</f>
        <v>#VALUE!</v>
      </c>
      <c r="DS57" s="84" t="e">
        <f t="shared" si="39"/>
        <v>#VALUE!</v>
      </c>
      <c r="DT57" t="e">
        <f>DV56*'Current vaccine model'!$H57*HelperFunctions!$R$56</f>
        <v>#VALUE!</v>
      </c>
      <c r="DU57" t="e">
        <f>DV56*'Current vaccine model'!$H57*Export!$L55</f>
        <v>#VALUE!</v>
      </c>
      <c r="DV57" s="84" t="e">
        <f t="shared" si="40"/>
        <v>#VALUE!</v>
      </c>
      <c r="DW57" t="e">
        <f>DY56*'Current vaccine model'!$H57*HelperFunctions!$R$56</f>
        <v>#VALUE!</v>
      </c>
      <c r="DX57" t="e">
        <f>DY56*'Current vaccine model'!$H57*Export!$L55</f>
        <v>#VALUE!</v>
      </c>
      <c r="DY57" s="84" t="e">
        <f t="shared" si="41"/>
        <v>#VALUE!</v>
      </c>
      <c r="DZ57" t="e">
        <f>EB56*'Current vaccine model'!$H57*HelperFunctions!$R55</f>
        <v>#VALUE!</v>
      </c>
      <c r="EA57" t="e">
        <f>EB56*'Current vaccine model'!$H57*Export!$L55</f>
        <v>#VALUE!</v>
      </c>
      <c r="EB57" s="84" t="e">
        <f t="shared" si="42"/>
        <v>#VALUE!</v>
      </c>
      <c r="EC57" t="e">
        <f>EE56*'Current vaccine model'!$H57*HelperFunctions!$R54</f>
        <v>#VALUE!</v>
      </c>
      <c r="ED57" t="e">
        <f>EE56*'Current vaccine model'!$H57*Export!$L55</f>
        <v>#VALUE!</v>
      </c>
      <c r="EE57" s="84" t="e">
        <f t="shared" si="43"/>
        <v>#VALUE!</v>
      </c>
      <c r="EF57" t="e">
        <f>EH56*'Current vaccine model'!$H57*HelperFunctions!$R53</f>
        <v>#VALUE!</v>
      </c>
      <c r="EG57" t="e">
        <f>EH56*'Current vaccine model'!$H57*Export!$L55</f>
        <v>#VALUE!</v>
      </c>
      <c r="EH57" s="84" t="e">
        <f t="shared" si="44"/>
        <v>#VALUE!</v>
      </c>
      <c r="EI57" t="e">
        <f>EK56*'Current vaccine model'!$H57*HelperFunctions!$R52</f>
        <v>#VALUE!</v>
      </c>
      <c r="EJ57" t="e">
        <f>EK56*'Current vaccine model'!$H57*Export!$L55</f>
        <v>#VALUE!</v>
      </c>
      <c r="EK57" s="84" t="e">
        <f t="shared" si="45"/>
        <v>#VALUE!</v>
      </c>
      <c r="EL57" t="e">
        <f>EN56*'Current vaccine model'!$H57*HelperFunctions!$R51</f>
        <v>#VALUE!</v>
      </c>
      <c r="EM57" t="e">
        <f>EN56*'Current vaccine model'!$H57*Export!$L55</f>
        <v>#VALUE!</v>
      </c>
      <c r="EN57" s="84" t="e">
        <f t="shared" si="46"/>
        <v>#VALUE!</v>
      </c>
      <c r="EO57" t="e">
        <f>EQ56*'Current vaccine model'!$H57*HelperFunctions!$R50</f>
        <v>#VALUE!</v>
      </c>
      <c r="EP57" t="e">
        <f>EQ56*'Current vaccine model'!$H57*Export!$L55</f>
        <v>#VALUE!</v>
      </c>
      <c r="EQ57" s="84" t="e">
        <f t="shared" si="47"/>
        <v>#VALUE!</v>
      </c>
      <c r="ER57" t="e">
        <f>ET56*'Current vaccine model'!$H57*HelperFunctions!$R63</f>
        <v>#VALUE!</v>
      </c>
      <c r="ES57" t="e">
        <f>ET56*'Current vaccine model'!$H57*Export!$L55</f>
        <v>#VALUE!</v>
      </c>
      <c r="ET57" s="84" t="e">
        <f t="shared" si="48"/>
        <v>#VALUE!</v>
      </c>
      <c r="EU57" t="e">
        <f>EW56*'Current vaccine model'!$H57*HelperFunctions!$R62</f>
        <v>#VALUE!</v>
      </c>
      <c r="EV57" t="e">
        <f>EW56*'Current vaccine model'!$H57*Export!$L55</f>
        <v>#VALUE!</v>
      </c>
      <c r="EW57" s="84" t="e">
        <f t="shared" si="49"/>
        <v>#VALUE!</v>
      </c>
      <c r="EX57" t="e">
        <f>EZ56*'Current vaccine model'!$H57*HelperFunctions!$R61</f>
        <v>#VALUE!</v>
      </c>
      <c r="EY57" t="e">
        <f>EZ56*'Current vaccine model'!$H57*Export!$L55</f>
        <v>#VALUE!</v>
      </c>
      <c r="EZ57" s="84" t="e">
        <f t="shared" si="50"/>
        <v>#VALUE!</v>
      </c>
      <c r="FA57" t="e">
        <f>FC56*'Current vaccine model'!$H57*HelperFunctions!$R60</f>
        <v>#VALUE!</v>
      </c>
      <c r="FB57" t="e">
        <f>FC56*'Current vaccine model'!$H57*Export!$L55</f>
        <v>#VALUE!</v>
      </c>
      <c r="FC57" s="84" t="e">
        <f t="shared" ref="FC57:FC63" si="51">FC56-FA57-FB57</f>
        <v>#VALUE!</v>
      </c>
      <c r="FD57" t="e">
        <f>FF56*'Current vaccine model'!$H57*HelperFunctions!$R59</f>
        <v>#VALUE!</v>
      </c>
      <c r="FE57" t="e">
        <f>FF56*'Current vaccine model'!$H57*Export!$L55</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F57*'Current vaccine model'!$H58*HelperFunctions!$R$14</f>
        <v>#VALUE!</v>
      </c>
      <c r="E58" t="e">
        <f>F57*'Current vaccine model'!$H58*Export!$L56</f>
        <v>#VALUE!</v>
      </c>
      <c r="F58" s="84" t="e">
        <f t="shared" si="0"/>
        <v>#VALUE!</v>
      </c>
      <c r="G58" t="e">
        <f>I57*'Current vaccine model'!$H58*HelperFunctions!$R$14</f>
        <v>#VALUE!</v>
      </c>
      <c r="H58" t="e">
        <f>I57*'Current vaccine model'!$H58*Export!$L56</f>
        <v>#VALUE!</v>
      </c>
      <c r="I58" s="84" t="e">
        <f t="shared" si="1"/>
        <v>#VALUE!</v>
      </c>
      <c r="J58" t="e">
        <f>L57*'Current vaccine model'!$H58*HelperFunctions!$R$14</f>
        <v>#VALUE!</v>
      </c>
      <c r="K58" t="e">
        <f>L57*'Current vaccine model'!$H58*Export!$L56</f>
        <v>#VALUE!</v>
      </c>
      <c r="L58" s="84" t="e">
        <f t="shared" si="2"/>
        <v>#VALUE!</v>
      </c>
      <c r="M58" t="e">
        <f>O57*'Current vaccine model'!$H58*HelperFunctions!$R$14</f>
        <v>#VALUE!</v>
      </c>
      <c r="N58" t="e">
        <f>O57*'Current vaccine model'!$H58*Export!$L56</f>
        <v>#VALUE!</v>
      </c>
      <c r="O58" s="84" t="e">
        <f t="shared" si="3"/>
        <v>#VALUE!</v>
      </c>
      <c r="P58" t="e">
        <f>R57*'Current vaccine model'!$H58*HelperFunctions!$R$14</f>
        <v>#VALUE!</v>
      </c>
      <c r="Q58" t="e">
        <f>R57*'Current vaccine model'!$H58*Export!$L56</f>
        <v>#VALUE!</v>
      </c>
      <c r="R58" s="84" t="e">
        <f t="shared" si="4"/>
        <v>#VALUE!</v>
      </c>
      <c r="S58" t="e">
        <f>U57*'Current vaccine model'!$H58*HelperFunctions!$R$14</f>
        <v>#VALUE!</v>
      </c>
      <c r="T58" t="e">
        <f>U57*'Current vaccine model'!$H58*Export!$L56</f>
        <v>#VALUE!</v>
      </c>
      <c r="U58" s="84" t="e">
        <f t="shared" si="5"/>
        <v>#VALUE!</v>
      </c>
      <c r="V58" t="e">
        <f>X57*'Current vaccine model'!$H58*HelperFunctions!$R$14</f>
        <v>#VALUE!</v>
      </c>
      <c r="W58" t="e">
        <f>X57*'Current vaccine model'!$H58*Export!$L56</f>
        <v>#VALUE!</v>
      </c>
      <c r="X58" s="84" t="e">
        <f t="shared" si="6"/>
        <v>#VALUE!</v>
      </c>
      <c r="Y58" t="e">
        <f>AA57*'Current vaccine model'!$H58*HelperFunctions!$R$14</f>
        <v>#VALUE!</v>
      </c>
      <c r="Z58" t="e">
        <f>AA57*'Current vaccine model'!$H58*Export!$L56</f>
        <v>#VALUE!</v>
      </c>
      <c r="AA58" s="84" t="e">
        <f t="shared" si="7"/>
        <v>#VALUE!</v>
      </c>
      <c r="AB58" t="e">
        <f>AD57*'Current vaccine model'!$H58*HelperFunctions!$R$14</f>
        <v>#VALUE!</v>
      </c>
      <c r="AC58" t="e">
        <f>AD57*'Current vaccine model'!$H58*Export!$L56</f>
        <v>#VALUE!</v>
      </c>
      <c r="AD58" s="84" t="e">
        <f t="shared" si="8"/>
        <v>#VALUE!</v>
      </c>
      <c r="AE58" t="e">
        <f>AG57*'Current vaccine model'!$H58*HelperFunctions!$R$14</f>
        <v>#VALUE!</v>
      </c>
      <c r="AF58" t="e">
        <f>AG57*'Current vaccine model'!$H58*Export!$L56</f>
        <v>#VALUE!</v>
      </c>
      <c r="AG58" s="84" t="e">
        <f t="shared" si="9"/>
        <v>#VALUE!</v>
      </c>
      <c r="AH58" t="e">
        <f>AJ57*'Current vaccine model'!$H58*HelperFunctions!$R$14</f>
        <v>#VALUE!</v>
      </c>
      <c r="AI58" t="e">
        <f>AJ57*'Current vaccine model'!$H58*Export!$L56</f>
        <v>#VALUE!</v>
      </c>
      <c r="AJ58" s="84" t="e">
        <f t="shared" si="10"/>
        <v>#VALUE!</v>
      </c>
      <c r="AK58" t="e">
        <f>AM57*'Current vaccine model'!$H58*HelperFunctions!$R$14</f>
        <v>#VALUE!</v>
      </c>
      <c r="AL58" t="e">
        <f>AM57*'Current vaccine model'!$H58*Export!$L56</f>
        <v>#VALUE!</v>
      </c>
      <c r="AM58" s="84" t="e">
        <f t="shared" si="11"/>
        <v>#VALUE!</v>
      </c>
      <c r="AN58" t="e">
        <f>AP57*'Current vaccine model'!$H58*HelperFunctions!$R$28</f>
        <v>#VALUE!</v>
      </c>
      <c r="AO58" t="e">
        <f>AP57*'Current vaccine model'!$H58*Export!$L56</f>
        <v>#VALUE!</v>
      </c>
      <c r="AP58" s="84" t="e">
        <f t="shared" si="12"/>
        <v>#VALUE!</v>
      </c>
      <c r="AQ58" t="e">
        <f>AS57*'Current vaccine model'!$H58*HelperFunctions!$R$28</f>
        <v>#VALUE!</v>
      </c>
      <c r="AR58" t="e">
        <f>AS57*'Current vaccine model'!$H58*Export!$L56</f>
        <v>#VALUE!</v>
      </c>
      <c r="AS58" s="84" t="e">
        <f t="shared" si="13"/>
        <v>#VALUE!</v>
      </c>
      <c r="AT58" t="e">
        <f>AV57*'Current vaccine model'!$H58*HelperFunctions!$R$28</f>
        <v>#VALUE!</v>
      </c>
      <c r="AU58" t="e">
        <f>AV57*'Current vaccine model'!$H58*Export!$L56</f>
        <v>#VALUE!</v>
      </c>
      <c r="AV58" s="84" t="e">
        <f t="shared" si="14"/>
        <v>#VALUE!</v>
      </c>
      <c r="AW58" t="e">
        <f>AY57*'Current vaccine model'!$H58*HelperFunctions!$R$28</f>
        <v>#VALUE!</v>
      </c>
      <c r="AX58" t="e">
        <f>AY57*'Current vaccine model'!$H58*Export!$L56</f>
        <v>#VALUE!</v>
      </c>
      <c r="AY58" s="84" t="e">
        <f t="shared" si="15"/>
        <v>#VALUE!</v>
      </c>
      <c r="AZ58" t="e">
        <f>BB57*'Current vaccine model'!$H58*HelperFunctions!$R$28</f>
        <v>#VALUE!</v>
      </c>
      <c r="BA58" t="e">
        <f>BB57*'Current vaccine model'!$H58*Export!$L56</f>
        <v>#VALUE!</v>
      </c>
      <c r="BB58" s="84" t="e">
        <f t="shared" si="16"/>
        <v>#VALUE!</v>
      </c>
      <c r="BC58" t="e">
        <f>BE57*'Current vaccine model'!$H58*HelperFunctions!$R$28</f>
        <v>#VALUE!</v>
      </c>
      <c r="BD58" t="e">
        <f>BE57*'Current vaccine model'!$H58*Export!$L56</f>
        <v>#VALUE!</v>
      </c>
      <c r="BE58" s="84" t="e">
        <f t="shared" si="17"/>
        <v>#VALUE!</v>
      </c>
      <c r="BF58" t="e">
        <f>BH57*'Current vaccine model'!$H58*HelperFunctions!$R$28</f>
        <v>#VALUE!</v>
      </c>
      <c r="BG58" t="e">
        <f>BH57*'Current vaccine model'!$H58*Export!$L56</f>
        <v>#VALUE!</v>
      </c>
      <c r="BH58" s="84" t="e">
        <f t="shared" si="18"/>
        <v>#VALUE!</v>
      </c>
      <c r="BI58" t="e">
        <f>BK57*'Current vaccine model'!$H58*HelperFunctions!$R$28</f>
        <v>#VALUE!</v>
      </c>
      <c r="BJ58" t="e">
        <f>BK57*'Current vaccine model'!$H58*Export!$L56</f>
        <v>#VALUE!</v>
      </c>
      <c r="BK58" s="84" t="e">
        <f t="shared" si="19"/>
        <v>#VALUE!</v>
      </c>
      <c r="BL58" t="e">
        <f>BN57*'Current vaccine model'!$H58*HelperFunctions!$R$28</f>
        <v>#VALUE!</v>
      </c>
      <c r="BM58" t="e">
        <f>BN57*'Current vaccine model'!$H58*Export!$L56</f>
        <v>#VALUE!</v>
      </c>
      <c r="BN58" s="84" t="e">
        <f t="shared" si="20"/>
        <v>#VALUE!</v>
      </c>
      <c r="BO58" t="e">
        <f>BQ57*'Current vaccine model'!$H58*HelperFunctions!$R$28</f>
        <v>#VALUE!</v>
      </c>
      <c r="BP58" t="e">
        <f>BQ57*'Current vaccine model'!$H58*Export!$L56</f>
        <v>#VALUE!</v>
      </c>
      <c r="BQ58" s="84" t="e">
        <f t="shared" si="21"/>
        <v>#VALUE!</v>
      </c>
      <c r="BR58" t="e">
        <f>BT57*'Current vaccine model'!$H58*HelperFunctions!$R$28</f>
        <v>#VALUE!</v>
      </c>
      <c r="BS58" t="e">
        <f>BT57*'Current vaccine model'!$H58*Export!$L56</f>
        <v>#VALUE!</v>
      </c>
      <c r="BT58" s="84" t="e">
        <f t="shared" si="22"/>
        <v>#VALUE!</v>
      </c>
      <c r="BU58" t="e">
        <f>BW57*'Current vaccine model'!$H58*HelperFunctions!$R$28</f>
        <v>#VALUE!</v>
      </c>
      <c r="BV58" t="e">
        <f>BW57*'Current vaccine model'!$H58*Export!$L56</f>
        <v>#VALUE!</v>
      </c>
      <c r="BW58" s="84" t="e">
        <f t="shared" si="23"/>
        <v>#VALUE!</v>
      </c>
      <c r="BX58" t="e">
        <f>BZ57*'Current vaccine model'!$H58*HelperFunctions!$R$42</f>
        <v>#VALUE!</v>
      </c>
      <c r="BY58" t="e">
        <f>BZ57*'Current vaccine model'!$H58*Export!$L56</f>
        <v>#VALUE!</v>
      </c>
      <c r="BZ58" s="84" t="e">
        <f t="shared" si="24"/>
        <v>#VALUE!</v>
      </c>
      <c r="CA58" t="e">
        <f>CC57*'Current vaccine model'!$H58*HelperFunctions!$R$42</f>
        <v>#VALUE!</v>
      </c>
      <c r="CB58" t="e">
        <f>CC57*'Current vaccine model'!$H58*Export!$L56</f>
        <v>#VALUE!</v>
      </c>
      <c r="CC58" s="84" t="e">
        <f t="shared" si="25"/>
        <v>#VALUE!</v>
      </c>
      <c r="CD58" t="e">
        <f>CF57*'Current vaccine model'!$H58*HelperFunctions!$R$42</f>
        <v>#VALUE!</v>
      </c>
      <c r="CE58" t="e">
        <f>CF57*'Current vaccine model'!$H58*Export!$L56</f>
        <v>#VALUE!</v>
      </c>
      <c r="CF58" s="84" t="e">
        <f t="shared" si="26"/>
        <v>#VALUE!</v>
      </c>
      <c r="CG58" t="e">
        <f>CI57*'Current vaccine model'!$H58*HelperFunctions!$R$42</f>
        <v>#VALUE!</v>
      </c>
      <c r="CH58" t="e">
        <f>CI57*'Current vaccine model'!$H58*Export!$L56</f>
        <v>#VALUE!</v>
      </c>
      <c r="CI58" s="84" t="e">
        <f t="shared" si="27"/>
        <v>#VALUE!</v>
      </c>
      <c r="CJ58" t="e">
        <f>CL57*'Current vaccine model'!$H58*HelperFunctions!$R$42</f>
        <v>#VALUE!</v>
      </c>
      <c r="CK58" t="e">
        <f>CL57*'Current vaccine model'!$H58*Export!$L56</f>
        <v>#VALUE!</v>
      </c>
      <c r="CL58" s="84" t="e">
        <f t="shared" si="28"/>
        <v>#VALUE!</v>
      </c>
      <c r="CM58" t="e">
        <f>CO57*'Current vaccine model'!$H58*HelperFunctions!$R$42</f>
        <v>#VALUE!</v>
      </c>
      <c r="CN58" t="e">
        <f>CO57*'Current vaccine model'!$H58*Export!$L56</f>
        <v>#VALUE!</v>
      </c>
      <c r="CO58" s="84" t="e">
        <f t="shared" si="29"/>
        <v>#VALUE!</v>
      </c>
      <c r="CP58" t="e">
        <f>CR57*'Current vaccine model'!$H58*HelperFunctions!$R$42</f>
        <v>#VALUE!</v>
      </c>
      <c r="CQ58" t="e">
        <f>CR57*'Current vaccine model'!$H58*Export!$L56</f>
        <v>#VALUE!</v>
      </c>
      <c r="CR58" s="84" t="e">
        <f t="shared" si="30"/>
        <v>#VALUE!</v>
      </c>
      <c r="CS58" t="e">
        <f>CU57*'Current vaccine model'!$H58*HelperFunctions!$R$42</f>
        <v>#VALUE!</v>
      </c>
      <c r="CT58" t="e">
        <f>CU57*'Current vaccine model'!$H58*Export!$L56</f>
        <v>#VALUE!</v>
      </c>
      <c r="CU58" s="84" t="e">
        <f t="shared" si="31"/>
        <v>#VALUE!</v>
      </c>
      <c r="CV58" t="e">
        <f>CX57*'Current vaccine model'!$H58*HelperFunctions!$R$42</f>
        <v>#VALUE!</v>
      </c>
      <c r="CW58" t="e">
        <f>CX57*'Current vaccine model'!$H58*Export!$L56</f>
        <v>#VALUE!</v>
      </c>
      <c r="CX58" s="84" t="e">
        <f t="shared" si="32"/>
        <v>#VALUE!</v>
      </c>
      <c r="CY58" t="e">
        <f>DA57*'Current vaccine model'!$H58*HelperFunctions!$R$42</f>
        <v>#VALUE!</v>
      </c>
      <c r="CZ58" t="e">
        <f>DA57*'Current vaccine model'!$H58*Export!$L56</f>
        <v>#VALUE!</v>
      </c>
      <c r="DA58" s="84" t="e">
        <f t="shared" si="33"/>
        <v>#VALUE!</v>
      </c>
      <c r="DB58" t="e">
        <f>DD57*'Current vaccine model'!$H58*HelperFunctions!$R$42</f>
        <v>#VALUE!</v>
      </c>
      <c r="DC58" t="e">
        <f>DD57*'Current vaccine model'!$H58*Export!$L56</f>
        <v>#VALUE!</v>
      </c>
      <c r="DD58" s="84" t="e">
        <f t="shared" si="34"/>
        <v>#VALUE!</v>
      </c>
      <c r="DE58" t="e">
        <f>DG57*'Current vaccine model'!$H58*HelperFunctions!$R$42</f>
        <v>#VALUE!</v>
      </c>
      <c r="DF58" t="e">
        <f>DG57*'Current vaccine model'!$H58*Export!$L56</f>
        <v>#VALUE!</v>
      </c>
      <c r="DG58" s="84" t="e">
        <f t="shared" si="35"/>
        <v>#VALUE!</v>
      </c>
      <c r="DH58" t="e">
        <f>DJ57*'Current vaccine model'!$H58*HelperFunctions!$R$56</f>
        <v>#VALUE!</v>
      </c>
      <c r="DI58" t="e">
        <f>DJ57*'Current vaccine model'!$H58*Export!$L56</f>
        <v>#VALUE!</v>
      </c>
      <c r="DJ58" s="84" t="e">
        <f t="shared" si="36"/>
        <v>#VALUE!</v>
      </c>
      <c r="DK58" t="e">
        <f>DM57*'Current vaccine model'!$H58*HelperFunctions!$R$56</f>
        <v>#VALUE!</v>
      </c>
      <c r="DL58" t="e">
        <f>DM57*'Current vaccine model'!$H58*Export!$L56</f>
        <v>#VALUE!</v>
      </c>
      <c r="DM58" s="84" t="e">
        <f t="shared" si="37"/>
        <v>#VALUE!</v>
      </c>
      <c r="DN58" t="e">
        <f>DP57*'Current vaccine model'!$H58*HelperFunctions!$R$56</f>
        <v>#VALUE!</v>
      </c>
      <c r="DO58" t="e">
        <f>DP57*'Current vaccine model'!$H58*Export!$L56</f>
        <v>#VALUE!</v>
      </c>
      <c r="DP58" s="84" t="e">
        <f t="shared" si="38"/>
        <v>#VALUE!</v>
      </c>
      <c r="DQ58" t="e">
        <f>DS57*'Current vaccine model'!$H58*HelperFunctions!$R$56</f>
        <v>#VALUE!</v>
      </c>
      <c r="DR58" t="e">
        <f>DS57*'Current vaccine model'!$H58*Export!$L56</f>
        <v>#VALUE!</v>
      </c>
      <c r="DS58" s="84" t="e">
        <f t="shared" si="39"/>
        <v>#VALUE!</v>
      </c>
      <c r="DT58" t="e">
        <f>DV57*'Current vaccine model'!$H58*HelperFunctions!$R$56</f>
        <v>#VALUE!</v>
      </c>
      <c r="DU58" t="e">
        <f>DV57*'Current vaccine model'!$H58*Export!$L56</f>
        <v>#VALUE!</v>
      </c>
      <c r="DV58" s="84" t="e">
        <f t="shared" si="40"/>
        <v>#VALUE!</v>
      </c>
      <c r="DW58" t="e">
        <f>DY57*'Current vaccine model'!$H58*HelperFunctions!$R$56</f>
        <v>#VALUE!</v>
      </c>
      <c r="DX58" t="e">
        <f>DY57*'Current vaccine model'!$H58*Export!$L56</f>
        <v>#VALUE!</v>
      </c>
      <c r="DY58" s="84" t="e">
        <f t="shared" si="41"/>
        <v>#VALUE!</v>
      </c>
      <c r="DZ58" t="e">
        <f>EB57*'Current vaccine model'!$H58*HelperFunctions!$R$56</f>
        <v>#VALUE!</v>
      </c>
      <c r="EA58" t="e">
        <f>EB57*'Current vaccine model'!$H58*Export!$L56</f>
        <v>#VALUE!</v>
      </c>
      <c r="EB58" s="84" t="e">
        <f t="shared" si="42"/>
        <v>#VALUE!</v>
      </c>
      <c r="EC58" t="e">
        <f>EE57*'Current vaccine model'!$H58*HelperFunctions!$R55</f>
        <v>#VALUE!</v>
      </c>
      <c r="ED58" t="e">
        <f>EE57*'Current vaccine model'!$H58*Export!$L56</f>
        <v>#VALUE!</v>
      </c>
      <c r="EE58" s="84" t="e">
        <f t="shared" si="43"/>
        <v>#VALUE!</v>
      </c>
      <c r="EF58" t="e">
        <f>EH57*'Current vaccine model'!$H58*HelperFunctions!$R54</f>
        <v>#VALUE!</v>
      </c>
      <c r="EG58" t="e">
        <f>EH57*'Current vaccine model'!$H58*Export!$L56</f>
        <v>#VALUE!</v>
      </c>
      <c r="EH58" s="84" t="e">
        <f t="shared" si="44"/>
        <v>#VALUE!</v>
      </c>
      <c r="EI58" t="e">
        <f>EK57*'Current vaccine model'!$H58*HelperFunctions!$R53</f>
        <v>#VALUE!</v>
      </c>
      <c r="EJ58" t="e">
        <f>EK57*'Current vaccine model'!$H58*Export!$L56</f>
        <v>#VALUE!</v>
      </c>
      <c r="EK58" s="84" t="e">
        <f t="shared" si="45"/>
        <v>#VALUE!</v>
      </c>
      <c r="EL58" t="e">
        <f>EN57*'Current vaccine model'!$H58*HelperFunctions!$R52</f>
        <v>#VALUE!</v>
      </c>
      <c r="EM58" t="e">
        <f>EN57*'Current vaccine model'!$H58*Export!$L56</f>
        <v>#VALUE!</v>
      </c>
      <c r="EN58" s="84" t="e">
        <f t="shared" si="46"/>
        <v>#VALUE!</v>
      </c>
      <c r="EO58" t="e">
        <f>EQ57*'Current vaccine model'!$H58*HelperFunctions!$R51</f>
        <v>#VALUE!</v>
      </c>
      <c r="EP58" t="e">
        <f>EQ57*'Current vaccine model'!$H58*Export!$L56</f>
        <v>#VALUE!</v>
      </c>
      <c r="EQ58" s="84" t="e">
        <f t="shared" si="47"/>
        <v>#VALUE!</v>
      </c>
      <c r="ER58" t="e">
        <f>ET57*'Current vaccine model'!$H58*HelperFunctions!$R64</f>
        <v>#VALUE!</v>
      </c>
      <c r="ES58" t="e">
        <f>ET57*'Current vaccine model'!$H58*Export!$L56</f>
        <v>#VALUE!</v>
      </c>
      <c r="ET58" s="84" t="e">
        <f t="shared" si="48"/>
        <v>#VALUE!</v>
      </c>
      <c r="EU58" t="e">
        <f>EW57*'Current vaccine model'!$H58*HelperFunctions!$R63</f>
        <v>#VALUE!</v>
      </c>
      <c r="EV58" t="e">
        <f>EW57*'Current vaccine model'!$H58*Export!$L56</f>
        <v>#VALUE!</v>
      </c>
      <c r="EW58" s="84" t="e">
        <f t="shared" si="49"/>
        <v>#VALUE!</v>
      </c>
      <c r="EX58" t="e">
        <f>EZ57*'Current vaccine model'!$H58*HelperFunctions!$R62</f>
        <v>#VALUE!</v>
      </c>
      <c r="EY58" t="e">
        <f>EZ57*'Current vaccine model'!$H58*Export!$L56</f>
        <v>#VALUE!</v>
      </c>
      <c r="EZ58" s="84" t="e">
        <f t="shared" si="50"/>
        <v>#VALUE!</v>
      </c>
      <c r="FA58" t="e">
        <f>FC57*'Current vaccine model'!$H58*HelperFunctions!$R61</f>
        <v>#VALUE!</v>
      </c>
      <c r="FB58" t="e">
        <f>FC57*'Current vaccine model'!$H58*Export!$L56</f>
        <v>#VALUE!</v>
      </c>
      <c r="FC58" s="84" t="e">
        <f t="shared" si="51"/>
        <v>#VALUE!</v>
      </c>
      <c r="FD58" t="e">
        <f>FF57*'Current vaccine model'!$H58*HelperFunctions!$R60</f>
        <v>#VALUE!</v>
      </c>
      <c r="FE58" t="e">
        <f>FF57*'Current vaccine model'!$H58*Export!$L56</f>
        <v>#VALUE!</v>
      </c>
      <c r="FF58" s="84" t="e">
        <f t="shared" ref="FF58:FF63" si="52">FF57-FD58-FE58</f>
        <v>#VALUE!</v>
      </c>
      <c r="FG58" t="e">
        <f>FI57*'Current vaccine model'!$H58*HelperFunctions!$R59</f>
        <v>#VALUE!</v>
      </c>
      <c r="FH58" t="e">
        <f>FI57*'Current vaccine model'!$H58*Export!$L56</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F58*'Current vaccine model'!$H59*HelperFunctions!$R$14</f>
        <v>#VALUE!</v>
      </c>
      <c r="E59" t="e">
        <f>F58*'Current vaccine model'!$H59*Export!$L57</f>
        <v>#VALUE!</v>
      </c>
      <c r="F59" s="84" t="e">
        <f t="shared" si="0"/>
        <v>#VALUE!</v>
      </c>
      <c r="G59" t="e">
        <f>I58*'Current vaccine model'!$H59*HelperFunctions!$R$14</f>
        <v>#VALUE!</v>
      </c>
      <c r="H59" t="e">
        <f>I58*'Current vaccine model'!$H59*Export!$L57</f>
        <v>#VALUE!</v>
      </c>
      <c r="I59" s="84" t="e">
        <f t="shared" si="1"/>
        <v>#VALUE!</v>
      </c>
      <c r="J59" t="e">
        <f>L58*'Current vaccine model'!$H59*HelperFunctions!$R$14</f>
        <v>#VALUE!</v>
      </c>
      <c r="K59" t="e">
        <f>L58*'Current vaccine model'!$H59*Export!$L57</f>
        <v>#VALUE!</v>
      </c>
      <c r="L59" s="84" t="e">
        <f t="shared" si="2"/>
        <v>#VALUE!</v>
      </c>
      <c r="M59" t="e">
        <f>O58*'Current vaccine model'!$H59*HelperFunctions!$R$14</f>
        <v>#VALUE!</v>
      </c>
      <c r="N59" t="e">
        <f>O58*'Current vaccine model'!$H59*Export!$L57</f>
        <v>#VALUE!</v>
      </c>
      <c r="O59" s="84" t="e">
        <f t="shared" si="3"/>
        <v>#VALUE!</v>
      </c>
      <c r="P59" t="e">
        <f>R58*'Current vaccine model'!$H59*HelperFunctions!$R$14</f>
        <v>#VALUE!</v>
      </c>
      <c r="Q59" t="e">
        <f>R58*'Current vaccine model'!$H59*Export!$L57</f>
        <v>#VALUE!</v>
      </c>
      <c r="R59" s="84" t="e">
        <f t="shared" si="4"/>
        <v>#VALUE!</v>
      </c>
      <c r="S59" t="e">
        <f>U58*'Current vaccine model'!$H59*HelperFunctions!$R$14</f>
        <v>#VALUE!</v>
      </c>
      <c r="T59" t="e">
        <f>U58*'Current vaccine model'!$H59*Export!$L57</f>
        <v>#VALUE!</v>
      </c>
      <c r="U59" s="84" t="e">
        <f t="shared" si="5"/>
        <v>#VALUE!</v>
      </c>
      <c r="V59" t="e">
        <f>X58*'Current vaccine model'!$H59*HelperFunctions!$R$14</f>
        <v>#VALUE!</v>
      </c>
      <c r="W59" t="e">
        <f>X58*'Current vaccine model'!$H59*Export!$L57</f>
        <v>#VALUE!</v>
      </c>
      <c r="X59" s="84" t="e">
        <f t="shared" si="6"/>
        <v>#VALUE!</v>
      </c>
      <c r="Y59" t="e">
        <f>AA58*'Current vaccine model'!$H59*HelperFunctions!$R$14</f>
        <v>#VALUE!</v>
      </c>
      <c r="Z59" t="e">
        <f>AA58*'Current vaccine model'!$H59*Export!$L57</f>
        <v>#VALUE!</v>
      </c>
      <c r="AA59" s="84" t="e">
        <f t="shared" si="7"/>
        <v>#VALUE!</v>
      </c>
      <c r="AB59" t="e">
        <f>AD58*'Current vaccine model'!$H59*HelperFunctions!$R$14</f>
        <v>#VALUE!</v>
      </c>
      <c r="AC59" t="e">
        <f>AD58*'Current vaccine model'!$H59*Export!$L57</f>
        <v>#VALUE!</v>
      </c>
      <c r="AD59" s="84" t="e">
        <f t="shared" si="8"/>
        <v>#VALUE!</v>
      </c>
      <c r="AE59" t="e">
        <f>AG58*'Current vaccine model'!$H59*HelperFunctions!$R$14</f>
        <v>#VALUE!</v>
      </c>
      <c r="AF59" t="e">
        <f>AG58*'Current vaccine model'!$H59*Export!$L57</f>
        <v>#VALUE!</v>
      </c>
      <c r="AG59" s="84" t="e">
        <f t="shared" si="9"/>
        <v>#VALUE!</v>
      </c>
      <c r="AH59" t="e">
        <f>AJ58*'Current vaccine model'!$H59*HelperFunctions!$R$14</f>
        <v>#VALUE!</v>
      </c>
      <c r="AI59" t="e">
        <f>AJ58*'Current vaccine model'!$H59*Export!$L57</f>
        <v>#VALUE!</v>
      </c>
      <c r="AJ59" s="84" t="e">
        <f t="shared" si="10"/>
        <v>#VALUE!</v>
      </c>
      <c r="AK59" t="e">
        <f>AM58*'Current vaccine model'!$H59*HelperFunctions!$R$14</f>
        <v>#VALUE!</v>
      </c>
      <c r="AL59" t="e">
        <f>AM58*'Current vaccine model'!$H59*Export!$L57</f>
        <v>#VALUE!</v>
      </c>
      <c r="AM59" s="84" t="e">
        <f t="shared" si="11"/>
        <v>#VALUE!</v>
      </c>
      <c r="AN59" t="e">
        <f>AP58*'Current vaccine model'!$H59*HelperFunctions!$R$28</f>
        <v>#VALUE!</v>
      </c>
      <c r="AO59" t="e">
        <f>AP58*'Current vaccine model'!$H59*Export!$L57</f>
        <v>#VALUE!</v>
      </c>
      <c r="AP59" s="84" t="e">
        <f t="shared" si="12"/>
        <v>#VALUE!</v>
      </c>
      <c r="AQ59" t="e">
        <f>AS58*'Current vaccine model'!$H59*HelperFunctions!$R$28</f>
        <v>#VALUE!</v>
      </c>
      <c r="AR59" t="e">
        <f>AS58*'Current vaccine model'!$H59*Export!$L57</f>
        <v>#VALUE!</v>
      </c>
      <c r="AS59" s="84" t="e">
        <f t="shared" si="13"/>
        <v>#VALUE!</v>
      </c>
      <c r="AT59" t="e">
        <f>AV58*'Current vaccine model'!$H59*HelperFunctions!$R$28</f>
        <v>#VALUE!</v>
      </c>
      <c r="AU59" t="e">
        <f>AV58*'Current vaccine model'!$H59*Export!$L57</f>
        <v>#VALUE!</v>
      </c>
      <c r="AV59" s="84" t="e">
        <f t="shared" si="14"/>
        <v>#VALUE!</v>
      </c>
      <c r="AW59" t="e">
        <f>AY58*'Current vaccine model'!$H59*HelperFunctions!$R$28</f>
        <v>#VALUE!</v>
      </c>
      <c r="AX59" t="e">
        <f>AY58*'Current vaccine model'!$H59*Export!$L57</f>
        <v>#VALUE!</v>
      </c>
      <c r="AY59" s="84" t="e">
        <f t="shared" si="15"/>
        <v>#VALUE!</v>
      </c>
      <c r="AZ59" t="e">
        <f>BB58*'Current vaccine model'!$H59*HelperFunctions!$R$28</f>
        <v>#VALUE!</v>
      </c>
      <c r="BA59" t="e">
        <f>BB58*'Current vaccine model'!$H59*Export!$L57</f>
        <v>#VALUE!</v>
      </c>
      <c r="BB59" s="84" t="e">
        <f t="shared" si="16"/>
        <v>#VALUE!</v>
      </c>
      <c r="BC59" t="e">
        <f>BE58*'Current vaccine model'!$H59*HelperFunctions!$R$28</f>
        <v>#VALUE!</v>
      </c>
      <c r="BD59" t="e">
        <f>BE58*'Current vaccine model'!$H59*Export!$L57</f>
        <v>#VALUE!</v>
      </c>
      <c r="BE59" s="84" t="e">
        <f t="shared" si="17"/>
        <v>#VALUE!</v>
      </c>
      <c r="BF59" t="e">
        <f>BH58*'Current vaccine model'!$H59*HelperFunctions!$R$28</f>
        <v>#VALUE!</v>
      </c>
      <c r="BG59" t="e">
        <f>BH58*'Current vaccine model'!$H59*Export!$L57</f>
        <v>#VALUE!</v>
      </c>
      <c r="BH59" s="84" t="e">
        <f t="shared" si="18"/>
        <v>#VALUE!</v>
      </c>
      <c r="BI59" t="e">
        <f>BK58*'Current vaccine model'!$H59*HelperFunctions!$R$28</f>
        <v>#VALUE!</v>
      </c>
      <c r="BJ59" t="e">
        <f>BK58*'Current vaccine model'!$H59*Export!$L57</f>
        <v>#VALUE!</v>
      </c>
      <c r="BK59" s="84" t="e">
        <f t="shared" si="19"/>
        <v>#VALUE!</v>
      </c>
      <c r="BL59" t="e">
        <f>BN58*'Current vaccine model'!$H59*HelperFunctions!$R$28</f>
        <v>#VALUE!</v>
      </c>
      <c r="BM59" t="e">
        <f>BN58*'Current vaccine model'!$H59*Export!$L57</f>
        <v>#VALUE!</v>
      </c>
      <c r="BN59" s="84" t="e">
        <f t="shared" si="20"/>
        <v>#VALUE!</v>
      </c>
      <c r="BO59" t="e">
        <f>BQ58*'Current vaccine model'!$H59*HelperFunctions!$R$28</f>
        <v>#VALUE!</v>
      </c>
      <c r="BP59" t="e">
        <f>BQ58*'Current vaccine model'!$H59*Export!$L57</f>
        <v>#VALUE!</v>
      </c>
      <c r="BQ59" s="84" t="e">
        <f t="shared" si="21"/>
        <v>#VALUE!</v>
      </c>
      <c r="BR59" t="e">
        <f>BT58*'Current vaccine model'!$H59*HelperFunctions!$R$28</f>
        <v>#VALUE!</v>
      </c>
      <c r="BS59" t="e">
        <f>BT58*'Current vaccine model'!$H59*Export!$L57</f>
        <v>#VALUE!</v>
      </c>
      <c r="BT59" s="84" t="e">
        <f t="shared" si="22"/>
        <v>#VALUE!</v>
      </c>
      <c r="BU59" t="e">
        <f>BW58*'Current vaccine model'!$H59*HelperFunctions!$R$28</f>
        <v>#VALUE!</v>
      </c>
      <c r="BV59" t="e">
        <f>BW58*'Current vaccine model'!$H59*Export!$L57</f>
        <v>#VALUE!</v>
      </c>
      <c r="BW59" s="84" t="e">
        <f t="shared" si="23"/>
        <v>#VALUE!</v>
      </c>
      <c r="BX59" t="e">
        <f>BZ58*'Current vaccine model'!$H59*HelperFunctions!$R$42</f>
        <v>#VALUE!</v>
      </c>
      <c r="BY59" t="e">
        <f>BZ58*'Current vaccine model'!$H59*Export!$L57</f>
        <v>#VALUE!</v>
      </c>
      <c r="BZ59" s="84" t="e">
        <f t="shared" si="24"/>
        <v>#VALUE!</v>
      </c>
      <c r="CA59" t="e">
        <f>CC58*'Current vaccine model'!$H59*HelperFunctions!$R$42</f>
        <v>#VALUE!</v>
      </c>
      <c r="CB59" t="e">
        <f>CC58*'Current vaccine model'!$H59*Export!$L57</f>
        <v>#VALUE!</v>
      </c>
      <c r="CC59" s="84" t="e">
        <f t="shared" si="25"/>
        <v>#VALUE!</v>
      </c>
      <c r="CD59" t="e">
        <f>CF58*'Current vaccine model'!$H59*HelperFunctions!$R$42</f>
        <v>#VALUE!</v>
      </c>
      <c r="CE59" t="e">
        <f>CF58*'Current vaccine model'!$H59*Export!$L57</f>
        <v>#VALUE!</v>
      </c>
      <c r="CF59" s="84" t="e">
        <f t="shared" si="26"/>
        <v>#VALUE!</v>
      </c>
      <c r="CG59" t="e">
        <f>CI58*'Current vaccine model'!$H59*HelperFunctions!$R$42</f>
        <v>#VALUE!</v>
      </c>
      <c r="CH59" t="e">
        <f>CI58*'Current vaccine model'!$H59*Export!$L57</f>
        <v>#VALUE!</v>
      </c>
      <c r="CI59" s="84" t="e">
        <f t="shared" si="27"/>
        <v>#VALUE!</v>
      </c>
      <c r="CJ59" t="e">
        <f>CL58*'Current vaccine model'!$H59*HelperFunctions!$R$42</f>
        <v>#VALUE!</v>
      </c>
      <c r="CK59" t="e">
        <f>CL58*'Current vaccine model'!$H59*Export!$L57</f>
        <v>#VALUE!</v>
      </c>
      <c r="CL59" s="84" t="e">
        <f t="shared" si="28"/>
        <v>#VALUE!</v>
      </c>
      <c r="CM59" t="e">
        <f>CO58*'Current vaccine model'!$H59*HelperFunctions!$R$42</f>
        <v>#VALUE!</v>
      </c>
      <c r="CN59" t="e">
        <f>CO58*'Current vaccine model'!$H59*Export!$L57</f>
        <v>#VALUE!</v>
      </c>
      <c r="CO59" s="84" t="e">
        <f t="shared" si="29"/>
        <v>#VALUE!</v>
      </c>
      <c r="CP59" t="e">
        <f>CR58*'Current vaccine model'!$H59*HelperFunctions!$R$42</f>
        <v>#VALUE!</v>
      </c>
      <c r="CQ59" t="e">
        <f>CR58*'Current vaccine model'!$H59*Export!$L57</f>
        <v>#VALUE!</v>
      </c>
      <c r="CR59" s="84" t="e">
        <f t="shared" si="30"/>
        <v>#VALUE!</v>
      </c>
      <c r="CS59" t="e">
        <f>CU58*'Current vaccine model'!$H59*HelperFunctions!$R$42</f>
        <v>#VALUE!</v>
      </c>
      <c r="CT59" t="e">
        <f>CU58*'Current vaccine model'!$H59*Export!$L57</f>
        <v>#VALUE!</v>
      </c>
      <c r="CU59" s="84" t="e">
        <f t="shared" si="31"/>
        <v>#VALUE!</v>
      </c>
      <c r="CV59" t="e">
        <f>CX58*'Current vaccine model'!$H59*HelperFunctions!$R$42</f>
        <v>#VALUE!</v>
      </c>
      <c r="CW59" t="e">
        <f>CX58*'Current vaccine model'!$H59*Export!$L57</f>
        <v>#VALUE!</v>
      </c>
      <c r="CX59" s="84" t="e">
        <f t="shared" si="32"/>
        <v>#VALUE!</v>
      </c>
      <c r="CY59" t="e">
        <f>DA58*'Current vaccine model'!$H59*HelperFunctions!$R$42</f>
        <v>#VALUE!</v>
      </c>
      <c r="CZ59" t="e">
        <f>DA58*'Current vaccine model'!$H59*Export!$L57</f>
        <v>#VALUE!</v>
      </c>
      <c r="DA59" s="84" t="e">
        <f t="shared" si="33"/>
        <v>#VALUE!</v>
      </c>
      <c r="DB59" t="e">
        <f>DD58*'Current vaccine model'!$H59*HelperFunctions!$R$42</f>
        <v>#VALUE!</v>
      </c>
      <c r="DC59" t="e">
        <f>DD58*'Current vaccine model'!$H59*Export!$L57</f>
        <v>#VALUE!</v>
      </c>
      <c r="DD59" s="84" t="e">
        <f t="shared" si="34"/>
        <v>#VALUE!</v>
      </c>
      <c r="DE59" t="e">
        <f>DG58*'Current vaccine model'!$H59*HelperFunctions!$R$42</f>
        <v>#VALUE!</v>
      </c>
      <c r="DF59" t="e">
        <f>DG58*'Current vaccine model'!$H59*Export!$L57</f>
        <v>#VALUE!</v>
      </c>
      <c r="DG59" s="84" t="e">
        <f t="shared" si="35"/>
        <v>#VALUE!</v>
      </c>
      <c r="DH59" t="e">
        <f>DJ58*'Current vaccine model'!$H59*HelperFunctions!$R$56</f>
        <v>#VALUE!</v>
      </c>
      <c r="DI59" t="e">
        <f>DJ58*'Current vaccine model'!$H59*Export!$L57</f>
        <v>#VALUE!</v>
      </c>
      <c r="DJ59" s="84" t="e">
        <f t="shared" si="36"/>
        <v>#VALUE!</v>
      </c>
      <c r="DK59" t="e">
        <f>DM58*'Current vaccine model'!$H59*HelperFunctions!$R$56</f>
        <v>#VALUE!</v>
      </c>
      <c r="DL59" t="e">
        <f>DM58*'Current vaccine model'!$H59*Export!$L57</f>
        <v>#VALUE!</v>
      </c>
      <c r="DM59" s="84" t="e">
        <f t="shared" si="37"/>
        <v>#VALUE!</v>
      </c>
      <c r="DN59" t="e">
        <f>DP58*'Current vaccine model'!$H59*HelperFunctions!$R$56</f>
        <v>#VALUE!</v>
      </c>
      <c r="DO59" t="e">
        <f>DP58*'Current vaccine model'!$H59*Export!$L57</f>
        <v>#VALUE!</v>
      </c>
      <c r="DP59" s="84" t="e">
        <f t="shared" si="38"/>
        <v>#VALUE!</v>
      </c>
      <c r="DQ59" t="e">
        <f>DS58*'Current vaccine model'!$H59*HelperFunctions!$R$56</f>
        <v>#VALUE!</v>
      </c>
      <c r="DR59" t="e">
        <f>DS58*'Current vaccine model'!$H59*Export!$L57</f>
        <v>#VALUE!</v>
      </c>
      <c r="DS59" s="84" t="e">
        <f t="shared" si="39"/>
        <v>#VALUE!</v>
      </c>
      <c r="DT59" t="e">
        <f>DV58*'Current vaccine model'!$H59*HelperFunctions!$R$56</f>
        <v>#VALUE!</v>
      </c>
      <c r="DU59" t="e">
        <f>DV58*'Current vaccine model'!$H59*Export!$L57</f>
        <v>#VALUE!</v>
      </c>
      <c r="DV59" s="84" t="e">
        <f t="shared" si="40"/>
        <v>#VALUE!</v>
      </c>
      <c r="DW59" t="e">
        <f>DY58*'Current vaccine model'!$H59*HelperFunctions!$R$56</f>
        <v>#VALUE!</v>
      </c>
      <c r="DX59" t="e">
        <f>DY58*'Current vaccine model'!$H59*Export!$L57</f>
        <v>#VALUE!</v>
      </c>
      <c r="DY59" s="84" t="e">
        <f t="shared" si="41"/>
        <v>#VALUE!</v>
      </c>
      <c r="DZ59" t="e">
        <f>EB58*'Current vaccine model'!$H59*HelperFunctions!$R$56</f>
        <v>#VALUE!</v>
      </c>
      <c r="EA59" t="e">
        <f>EB58*'Current vaccine model'!$H59*Export!$L57</f>
        <v>#VALUE!</v>
      </c>
      <c r="EB59" s="84" t="e">
        <f t="shared" si="42"/>
        <v>#VALUE!</v>
      </c>
      <c r="EC59" t="e">
        <f>EE58*'Current vaccine model'!$H59*HelperFunctions!$R$56</f>
        <v>#VALUE!</v>
      </c>
      <c r="ED59" t="e">
        <f>EE58*'Current vaccine model'!$H59*Export!$L57</f>
        <v>#VALUE!</v>
      </c>
      <c r="EE59" s="84" t="e">
        <f t="shared" si="43"/>
        <v>#VALUE!</v>
      </c>
      <c r="EF59" t="e">
        <f>EH58*'Current vaccine model'!$H59*HelperFunctions!$R55</f>
        <v>#VALUE!</v>
      </c>
      <c r="EG59" t="e">
        <f>EH58*'Current vaccine model'!$H59*Export!$L57</f>
        <v>#VALUE!</v>
      </c>
      <c r="EH59" s="84" t="e">
        <f t="shared" si="44"/>
        <v>#VALUE!</v>
      </c>
      <c r="EI59" t="e">
        <f>EK58*'Current vaccine model'!$H59*HelperFunctions!$R54</f>
        <v>#VALUE!</v>
      </c>
      <c r="EJ59" t="e">
        <f>EK58*'Current vaccine model'!$H59*Export!$L57</f>
        <v>#VALUE!</v>
      </c>
      <c r="EK59" s="84" t="e">
        <f t="shared" si="45"/>
        <v>#VALUE!</v>
      </c>
      <c r="EL59" t="e">
        <f>EN58*'Current vaccine model'!$H59*HelperFunctions!$R53</f>
        <v>#VALUE!</v>
      </c>
      <c r="EM59" t="e">
        <f>EN58*'Current vaccine model'!$H59*Export!$L57</f>
        <v>#VALUE!</v>
      </c>
      <c r="EN59" s="84" t="e">
        <f t="shared" si="46"/>
        <v>#VALUE!</v>
      </c>
      <c r="EO59" t="e">
        <f>EQ58*'Current vaccine model'!$H59*HelperFunctions!$R52</f>
        <v>#VALUE!</v>
      </c>
      <c r="EP59" t="e">
        <f>EQ58*'Current vaccine model'!$H59*Export!$L57</f>
        <v>#VALUE!</v>
      </c>
      <c r="EQ59" s="84" t="e">
        <f t="shared" si="47"/>
        <v>#VALUE!</v>
      </c>
      <c r="ER59" t="e">
        <f>ET58*'Current vaccine model'!$H59*HelperFunctions!$R65</f>
        <v>#VALUE!</v>
      </c>
      <c r="ES59" t="e">
        <f>ET58*'Current vaccine model'!$H59*Export!$L57</f>
        <v>#VALUE!</v>
      </c>
      <c r="ET59" s="84" t="e">
        <f t="shared" si="48"/>
        <v>#VALUE!</v>
      </c>
      <c r="EU59" t="e">
        <f>EW58*'Current vaccine model'!$H59*HelperFunctions!$R64</f>
        <v>#VALUE!</v>
      </c>
      <c r="EV59" t="e">
        <f>EW58*'Current vaccine model'!$H59*Export!$L57</f>
        <v>#VALUE!</v>
      </c>
      <c r="EW59" s="84" t="e">
        <f t="shared" si="49"/>
        <v>#VALUE!</v>
      </c>
      <c r="EX59" t="e">
        <f>EZ58*'Current vaccine model'!$H59*HelperFunctions!$R63</f>
        <v>#VALUE!</v>
      </c>
      <c r="EY59" t="e">
        <f>EZ58*'Current vaccine model'!$H59*Export!$L57</f>
        <v>#VALUE!</v>
      </c>
      <c r="EZ59" s="84" t="e">
        <f t="shared" si="50"/>
        <v>#VALUE!</v>
      </c>
      <c r="FA59" t="e">
        <f>FC58*'Current vaccine model'!$H59*HelperFunctions!$R62</f>
        <v>#VALUE!</v>
      </c>
      <c r="FB59" t="e">
        <f>FC58*'Current vaccine model'!$H59*Export!$L57</f>
        <v>#VALUE!</v>
      </c>
      <c r="FC59" s="84" t="e">
        <f t="shared" si="51"/>
        <v>#VALUE!</v>
      </c>
      <c r="FD59" t="e">
        <f>FF58*'Current vaccine model'!$H59*HelperFunctions!$R61</f>
        <v>#VALUE!</v>
      </c>
      <c r="FE59" t="e">
        <f>FF58*'Current vaccine model'!$H59*Export!$L57</f>
        <v>#VALUE!</v>
      </c>
      <c r="FF59" s="84" t="e">
        <f t="shared" si="52"/>
        <v>#VALUE!</v>
      </c>
      <c r="FG59" t="e">
        <f>FI58*'Current vaccine model'!$H59*HelperFunctions!$R60</f>
        <v>#VALUE!</v>
      </c>
      <c r="FH59" t="e">
        <f>FI58*'Current vaccine model'!$H59*Export!$L57</f>
        <v>#VALUE!</v>
      </c>
      <c r="FI59" s="84" t="e">
        <f t="shared" ref="FI59:FI63" si="53">FI58-FG59-FH59</f>
        <v>#VALUE!</v>
      </c>
      <c r="FJ59" t="e">
        <f>FL58*'Current vaccine model'!$H59*HelperFunctions!$R59</f>
        <v>#VALUE!</v>
      </c>
      <c r="FK59" t="e">
        <f>FL58*'Current vaccine model'!$H59*Export!$L57</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35">
      <c r="B60">
        <v>4</v>
      </c>
      <c r="C60" t="str">
        <f>Inputs!I80</f>
        <v/>
      </c>
      <c r="D60" t="e">
        <f>F59*'Current vaccine model'!$H60*HelperFunctions!$R$14</f>
        <v>#VALUE!</v>
      </c>
      <c r="E60" t="e">
        <f>F59*'Current vaccine model'!$H60*Export!$L58</f>
        <v>#VALUE!</v>
      </c>
      <c r="F60" s="84" t="e">
        <f t="shared" si="0"/>
        <v>#VALUE!</v>
      </c>
      <c r="G60" t="e">
        <f>I59*'Current vaccine model'!$H60*HelperFunctions!$R$14</f>
        <v>#VALUE!</v>
      </c>
      <c r="H60" t="e">
        <f>I59*'Current vaccine model'!$H60*Export!$L58</f>
        <v>#VALUE!</v>
      </c>
      <c r="I60" s="84" t="e">
        <f t="shared" si="1"/>
        <v>#VALUE!</v>
      </c>
      <c r="J60" t="e">
        <f>L59*'Current vaccine model'!$H60*HelperFunctions!$R$14</f>
        <v>#VALUE!</v>
      </c>
      <c r="K60" t="e">
        <f>L59*'Current vaccine model'!$H60*Export!$L58</f>
        <v>#VALUE!</v>
      </c>
      <c r="L60" s="84" t="e">
        <f t="shared" si="2"/>
        <v>#VALUE!</v>
      </c>
      <c r="M60" t="e">
        <f>O59*'Current vaccine model'!$H60*HelperFunctions!$R$14</f>
        <v>#VALUE!</v>
      </c>
      <c r="N60" t="e">
        <f>O59*'Current vaccine model'!$H60*Export!$L58</f>
        <v>#VALUE!</v>
      </c>
      <c r="O60" s="84" t="e">
        <f t="shared" si="3"/>
        <v>#VALUE!</v>
      </c>
      <c r="P60" t="e">
        <f>R59*'Current vaccine model'!$H60*HelperFunctions!$R$14</f>
        <v>#VALUE!</v>
      </c>
      <c r="Q60" t="e">
        <f>R59*'Current vaccine model'!$H60*Export!$L58</f>
        <v>#VALUE!</v>
      </c>
      <c r="R60" s="84" t="e">
        <f t="shared" si="4"/>
        <v>#VALUE!</v>
      </c>
      <c r="S60" t="e">
        <f>U59*'Current vaccine model'!$H60*HelperFunctions!$R$14</f>
        <v>#VALUE!</v>
      </c>
      <c r="T60" t="e">
        <f>U59*'Current vaccine model'!$H60*Export!$L58</f>
        <v>#VALUE!</v>
      </c>
      <c r="U60" s="84" t="e">
        <f t="shared" si="5"/>
        <v>#VALUE!</v>
      </c>
      <c r="V60" t="e">
        <f>X59*'Current vaccine model'!$H60*HelperFunctions!$R$14</f>
        <v>#VALUE!</v>
      </c>
      <c r="W60" t="e">
        <f>X59*'Current vaccine model'!$H60*Export!$L58</f>
        <v>#VALUE!</v>
      </c>
      <c r="X60" s="84" t="e">
        <f t="shared" si="6"/>
        <v>#VALUE!</v>
      </c>
      <c r="Y60" t="e">
        <f>AA59*'Current vaccine model'!$H60*HelperFunctions!$R$14</f>
        <v>#VALUE!</v>
      </c>
      <c r="Z60" t="e">
        <f>AA59*'Current vaccine model'!$H60*Export!$L58</f>
        <v>#VALUE!</v>
      </c>
      <c r="AA60" s="84" t="e">
        <f t="shared" si="7"/>
        <v>#VALUE!</v>
      </c>
      <c r="AB60" t="e">
        <f>AD59*'Current vaccine model'!$H60*HelperFunctions!$R$14</f>
        <v>#VALUE!</v>
      </c>
      <c r="AC60" t="e">
        <f>AD59*'Current vaccine model'!$H60*Export!$L58</f>
        <v>#VALUE!</v>
      </c>
      <c r="AD60" s="84" t="e">
        <f t="shared" si="8"/>
        <v>#VALUE!</v>
      </c>
      <c r="AE60" t="e">
        <f>AG59*'Current vaccine model'!$H60*HelperFunctions!$R$14</f>
        <v>#VALUE!</v>
      </c>
      <c r="AF60" t="e">
        <f>AG59*'Current vaccine model'!$H60*Export!$L58</f>
        <v>#VALUE!</v>
      </c>
      <c r="AG60" s="84" t="e">
        <f t="shared" si="9"/>
        <v>#VALUE!</v>
      </c>
      <c r="AH60" t="e">
        <f>AJ59*'Current vaccine model'!$H60*HelperFunctions!$R$14</f>
        <v>#VALUE!</v>
      </c>
      <c r="AI60" t="e">
        <f>AJ59*'Current vaccine model'!$H60*Export!$L58</f>
        <v>#VALUE!</v>
      </c>
      <c r="AJ60" s="84" t="e">
        <f t="shared" si="10"/>
        <v>#VALUE!</v>
      </c>
      <c r="AK60" t="e">
        <f>AM59*'Current vaccine model'!$H60*HelperFunctions!$R$14</f>
        <v>#VALUE!</v>
      </c>
      <c r="AL60" t="e">
        <f>AM59*'Current vaccine model'!$H60*Export!$L58</f>
        <v>#VALUE!</v>
      </c>
      <c r="AM60" s="84" t="e">
        <f t="shared" si="11"/>
        <v>#VALUE!</v>
      </c>
      <c r="AN60" t="e">
        <f>AP59*'Current vaccine model'!$H60*HelperFunctions!$R$28</f>
        <v>#VALUE!</v>
      </c>
      <c r="AO60" t="e">
        <f>AP59*'Current vaccine model'!$H60*Export!$L58</f>
        <v>#VALUE!</v>
      </c>
      <c r="AP60" s="84" t="e">
        <f t="shared" si="12"/>
        <v>#VALUE!</v>
      </c>
      <c r="AQ60" t="e">
        <f>AS59*'Current vaccine model'!$H60*HelperFunctions!$R$28</f>
        <v>#VALUE!</v>
      </c>
      <c r="AR60" t="e">
        <f>AS59*'Current vaccine model'!$H60*Export!$L58</f>
        <v>#VALUE!</v>
      </c>
      <c r="AS60" s="84" t="e">
        <f t="shared" si="13"/>
        <v>#VALUE!</v>
      </c>
      <c r="AT60" t="e">
        <f>AV59*'Current vaccine model'!$H60*HelperFunctions!$R$28</f>
        <v>#VALUE!</v>
      </c>
      <c r="AU60" t="e">
        <f>AV59*'Current vaccine model'!$H60*Export!$L58</f>
        <v>#VALUE!</v>
      </c>
      <c r="AV60" s="84" t="e">
        <f t="shared" si="14"/>
        <v>#VALUE!</v>
      </c>
      <c r="AW60" t="e">
        <f>AY59*'Current vaccine model'!$H60*HelperFunctions!$R$28</f>
        <v>#VALUE!</v>
      </c>
      <c r="AX60" t="e">
        <f>AY59*'Current vaccine model'!$H60*Export!$L58</f>
        <v>#VALUE!</v>
      </c>
      <c r="AY60" s="84" t="e">
        <f t="shared" si="15"/>
        <v>#VALUE!</v>
      </c>
      <c r="AZ60" t="e">
        <f>BB59*'Current vaccine model'!$H60*HelperFunctions!$R$28</f>
        <v>#VALUE!</v>
      </c>
      <c r="BA60" t="e">
        <f>BB59*'Current vaccine model'!$H60*Export!$L58</f>
        <v>#VALUE!</v>
      </c>
      <c r="BB60" s="84" t="e">
        <f t="shared" si="16"/>
        <v>#VALUE!</v>
      </c>
      <c r="BC60" t="e">
        <f>BE59*'Current vaccine model'!$H60*HelperFunctions!$R$28</f>
        <v>#VALUE!</v>
      </c>
      <c r="BD60" t="e">
        <f>BE59*'Current vaccine model'!$H60*Export!$L58</f>
        <v>#VALUE!</v>
      </c>
      <c r="BE60" s="84" t="e">
        <f t="shared" si="17"/>
        <v>#VALUE!</v>
      </c>
      <c r="BF60" t="e">
        <f>BH59*'Current vaccine model'!$H60*HelperFunctions!$R$28</f>
        <v>#VALUE!</v>
      </c>
      <c r="BG60" t="e">
        <f>BH59*'Current vaccine model'!$H60*Export!$L58</f>
        <v>#VALUE!</v>
      </c>
      <c r="BH60" s="84" t="e">
        <f t="shared" si="18"/>
        <v>#VALUE!</v>
      </c>
      <c r="BI60" t="e">
        <f>BK59*'Current vaccine model'!$H60*HelperFunctions!$R$28</f>
        <v>#VALUE!</v>
      </c>
      <c r="BJ60" t="e">
        <f>BK59*'Current vaccine model'!$H60*Export!$L58</f>
        <v>#VALUE!</v>
      </c>
      <c r="BK60" s="84" t="e">
        <f t="shared" si="19"/>
        <v>#VALUE!</v>
      </c>
      <c r="BL60" t="e">
        <f>BN59*'Current vaccine model'!$H60*HelperFunctions!$R$28</f>
        <v>#VALUE!</v>
      </c>
      <c r="BM60" t="e">
        <f>BN59*'Current vaccine model'!$H60*Export!$L58</f>
        <v>#VALUE!</v>
      </c>
      <c r="BN60" s="84" t="e">
        <f t="shared" si="20"/>
        <v>#VALUE!</v>
      </c>
      <c r="BO60" t="e">
        <f>BQ59*'Current vaccine model'!$H60*HelperFunctions!$R$28</f>
        <v>#VALUE!</v>
      </c>
      <c r="BP60" t="e">
        <f>BQ59*'Current vaccine model'!$H60*Export!$L58</f>
        <v>#VALUE!</v>
      </c>
      <c r="BQ60" s="84" t="e">
        <f t="shared" si="21"/>
        <v>#VALUE!</v>
      </c>
      <c r="BR60" t="e">
        <f>BT59*'Current vaccine model'!$H60*HelperFunctions!$R$28</f>
        <v>#VALUE!</v>
      </c>
      <c r="BS60" t="e">
        <f>BT59*'Current vaccine model'!$H60*Export!$L58</f>
        <v>#VALUE!</v>
      </c>
      <c r="BT60" s="84" t="e">
        <f t="shared" si="22"/>
        <v>#VALUE!</v>
      </c>
      <c r="BU60" t="e">
        <f>BW59*'Current vaccine model'!$H60*HelperFunctions!$R$28</f>
        <v>#VALUE!</v>
      </c>
      <c r="BV60" t="e">
        <f>BW59*'Current vaccine model'!$H60*Export!$L58</f>
        <v>#VALUE!</v>
      </c>
      <c r="BW60" s="84" t="e">
        <f t="shared" si="23"/>
        <v>#VALUE!</v>
      </c>
      <c r="BX60" t="e">
        <f>BZ59*'Current vaccine model'!$H60*HelperFunctions!$R$42</f>
        <v>#VALUE!</v>
      </c>
      <c r="BY60" t="e">
        <f>BZ59*'Current vaccine model'!$H60*Export!$L58</f>
        <v>#VALUE!</v>
      </c>
      <c r="BZ60" s="84" t="e">
        <f t="shared" si="24"/>
        <v>#VALUE!</v>
      </c>
      <c r="CA60" t="e">
        <f>CC59*'Current vaccine model'!$H60*HelperFunctions!$R$42</f>
        <v>#VALUE!</v>
      </c>
      <c r="CB60" t="e">
        <f>CC59*'Current vaccine model'!$H60*Export!$L58</f>
        <v>#VALUE!</v>
      </c>
      <c r="CC60" s="84" t="e">
        <f t="shared" si="25"/>
        <v>#VALUE!</v>
      </c>
      <c r="CD60" t="e">
        <f>CF59*'Current vaccine model'!$H60*HelperFunctions!$R$42</f>
        <v>#VALUE!</v>
      </c>
      <c r="CE60" t="e">
        <f>CF59*'Current vaccine model'!$H60*Export!$L58</f>
        <v>#VALUE!</v>
      </c>
      <c r="CF60" s="84" t="e">
        <f t="shared" si="26"/>
        <v>#VALUE!</v>
      </c>
      <c r="CG60" t="e">
        <f>CI59*'Current vaccine model'!$H60*HelperFunctions!$R$42</f>
        <v>#VALUE!</v>
      </c>
      <c r="CH60" t="e">
        <f>CI59*'Current vaccine model'!$H60*Export!$L58</f>
        <v>#VALUE!</v>
      </c>
      <c r="CI60" s="84" t="e">
        <f t="shared" si="27"/>
        <v>#VALUE!</v>
      </c>
      <c r="CJ60" t="e">
        <f>CL59*'Current vaccine model'!$H60*HelperFunctions!$R$42</f>
        <v>#VALUE!</v>
      </c>
      <c r="CK60" t="e">
        <f>CL59*'Current vaccine model'!$H60*Export!$L58</f>
        <v>#VALUE!</v>
      </c>
      <c r="CL60" s="84" t="e">
        <f t="shared" si="28"/>
        <v>#VALUE!</v>
      </c>
      <c r="CM60" t="e">
        <f>CO59*'Current vaccine model'!$H60*HelperFunctions!$R$42</f>
        <v>#VALUE!</v>
      </c>
      <c r="CN60" t="e">
        <f>CO59*'Current vaccine model'!$H60*Export!$L58</f>
        <v>#VALUE!</v>
      </c>
      <c r="CO60" s="84" t="e">
        <f t="shared" si="29"/>
        <v>#VALUE!</v>
      </c>
      <c r="CP60" t="e">
        <f>CR59*'Current vaccine model'!$H60*HelperFunctions!$R$42</f>
        <v>#VALUE!</v>
      </c>
      <c r="CQ60" t="e">
        <f>CR59*'Current vaccine model'!$H60*Export!$L58</f>
        <v>#VALUE!</v>
      </c>
      <c r="CR60" s="84" t="e">
        <f t="shared" si="30"/>
        <v>#VALUE!</v>
      </c>
      <c r="CS60" t="e">
        <f>CU59*'Current vaccine model'!$H60*HelperFunctions!$R$42</f>
        <v>#VALUE!</v>
      </c>
      <c r="CT60" t="e">
        <f>CU59*'Current vaccine model'!$H60*Export!$L58</f>
        <v>#VALUE!</v>
      </c>
      <c r="CU60" s="84" t="e">
        <f t="shared" si="31"/>
        <v>#VALUE!</v>
      </c>
      <c r="CV60" t="e">
        <f>CX59*'Current vaccine model'!$H60*HelperFunctions!$R$42</f>
        <v>#VALUE!</v>
      </c>
      <c r="CW60" t="e">
        <f>CX59*'Current vaccine model'!$H60*Export!$L58</f>
        <v>#VALUE!</v>
      </c>
      <c r="CX60" s="84" t="e">
        <f t="shared" si="32"/>
        <v>#VALUE!</v>
      </c>
      <c r="CY60" t="e">
        <f>DA59*'Current vaccine model'!$H60*HelperFunctions!$R$42</f>
        <v>#VALUE!</v>
      </c>
      <c r="CZ60" t="e">
        <f>DA59*'Current vaccine model'!$H60*Export!$L58</f>
        <v>#VALUE!</v>
      </c>
      <c r="DA60" s="84" t="e">
        <f t="shared" si="33"/>
        <v>#VALUE!</v>
      </c>
      <c r="DB60" t="e">
        <f>DD59*'Current vaccine model'!$H60*HelperFunctions!$R$42</f>
        <v>#VALUE!</v>
      </c>
      <c r="DC60" t="e">
        <f>DD59*'Current vaccine model'!$H60*Export!$L58</f>
        <v>#VALUE!</v>
      </c>
      <c r="DD60" s="84" t="e">
        <f t="shared" si="34"/>
        <v>#VALUE!</v>
      </c>
      <c r="DE60" t="e">
        <f>DG59*'Current vaccine model'!$H60*HelperFunctions!$R$42</f>
        <v>#VALUE!</v>
      </c>
      <c r="DF60" t="e">
        <f>DG59*'Current vaccine model'!$H60*Export!$L58</f>
        <v>#VALUE!</v>
      </c>
      <c r="DG60" s="84" t="e">
        <f t="shared" si="35"/>
        <v>#VALUE!</v>
      </c>
      <c r="DH60" t="e">
        <f>DJ59*'Current vaccine model'!$H60*HelperFunctions!$R$56</f>
        <v>#VALUE!</v>
      </c>
      <c r="DI60" t="e">
        <f>DJ59*'Current vaccine model'!$H60*Export!$L58</f>
        <v>#VALUE!</v>
      </c>
      <c r="DJ60" s="84" t="e">
        <f t="shared" si="36"/>
        <v>#VALUE!</v>
      </c>
      <c r="DK60" t="e">
        <f>DM59*'Current vaccine model'!$H60*HelperFunctions!$R$56</f>
        <v>#VALUE!</v>
      </c>
      <c r="DL60" t="e">
        <f>DM59*'Current vaccine model'!$H60*Export!$L58</f>
        <v>#VALUE!</v>
      </c>
      <c r="DM60" s="84" t="e">
        <f t="shared" si="37"/>
        <v>#VALUE!</v>
      </c>
      <c r="DN60" t="e">
        <f>DP59*'Current vaccine model'!$H60*HelperFunctions!$R$56</f>
        <v>#VALUE!</v>
      </c>
      <c r="DO60" t="e">
        <f>DP59*'Current vaccine model'!$H60*Export!$L58</f>
        <v>#VALUE!</v>
      </c>
      <c r="DP60" s="84" t="e">
        <f t="shared" si="38"/>
        <v>#VALUE!</v>
      </c>
      <c r="DQ60" t="e">
        <f>DS59*'Current vaccine model'!$H60*HelperFunctions!$R$56</f>
        <v>#VALUE!</v>
      </c>
      <c r="DR60" t="e">
        <f>DS59*'Current vaccine model'!$H60*Export!$L58</f>
        <v>#VALUE!</v>
      </c>
      <c r="DS60" s="84" t="e">
        <f t="shared" si="39"/>
        <v>#VALUE!</v>
      </c>
      <c r="DT60" t="e">
        <f>DV59*'Current vaccine model'!$H60*HelperFunctions!$R$56</f>
        <v>#VALUE!</v>
      </c>
      <c r="DU60" t="e">
        <f>DV59*'Current vaccine model'!$H60*Export!$L58</f>
        <v>#VALUE!</v>
      </c>
      <c r="DV60" s="84" t="e">
        <f t="shared" si="40"/>
        <v>#VALUE!</v>
      </c>
      <c r="DW60" t="e">
        <f>DY59*'Current vaccine model'!$H60*HelperFunctions!$R$56</f>
        <v>#VALUE!</v>
      </c>
      <c r="DX60" t="e">
        <f>DY59*'Current vaccine model'!$H60*Export!$L58</f>
        <v>#VALUE!</v>
      </c>
      <c r="DY60" s="84" t="e">
        <f t="shared" si="41"/>
        <v>#VALUE!</v>
      </c>
      <c r="DZ60" t="e">
        <f>EB59*'Current vaccine model'!$H60*HelperFunctions!$R$56</f>
        <v>#VALUE!</v>
      </c>
      <c r="EA60" t="e">
        <f>EB59*'Current vaccine model'!$H60*Export!$L58</f>
        <v>#VALUE!</v>
      </c>
      <c r="EB60" s="84" t="e">
        <f t="shared" si="42"/>
        <v>#VALUE!</v>
      </c>
      <c r="EC60" t="e">
        <f>EE59*'Current vaccine model'!$H60*HelperFunctions!$R$56</f>
        <v>#VALUE!</v>
      </c>
      <c r="ED60" t="e">
        <f>EE59*'Current vaccine model'!$H60*Export!$L58</f>
        <v>#VALUE!</v>
      </c>
      <c r="EE60" s="84" t="e">
        <f t="shared" si="43"/>
        <v>#VALUE!</v>
      </c>
      <c r="EF60" t="e">
        <f>EH59*'Current vaccine model'!$H60*HelperFunctions!$R$56</f>
        <v>#VALUE!</v>
      </c>
      <c r="EG60" t="e">
        <f>EH59*'Current vaccine model'!$H60*Export!$L58</f>
        <v>#VALUE!</v>
      </c>
      <c r="EH60" s="84" t="e">
        <f t="shared" si="44"/>
        <v>#VALUE!</v>
      </c>
      <c r="EI60" t="e">
        <f>EK59*'Current vaccine model'!$H60*HelperFunctions!$R55</f>
        <v>#VALUE!</v>
      </c>
      <c r="EJ60" t="e">
        <f>EK59*'Current vaccine model'!$H60*Export!$L58</f>
        <v>#VALUE!</v>
      </c>
      <c r="EK60" s="84" t="e">
        <f t="shared" si="45"/>
        <v>#VALUE!</v>
      </c>
      <c r="EL60" t="e">
        <f>EN59*'Current vaccine model'!$H60*HelperFunctions!$R54</f>
        <v>#VALUE!</v>
      </c>
      <c r="EM60" t="e">
        <f>EN59*'Current vaccine model'!$H60*Export!$L58</f>
        <v>#VALUE!</v>
      </c>
      <c r="EN60" s="84" t="e">
        <f t="shared" si="46"/>
        <v>#VALUE!</v>
      </c>
      <c r="EO60" t="e">
        <f>EQ59*'Current vaccine model'!$H60*HelperFunctions!$R53</f>
        <v>#VALUE!</v>
      </c>
      <c r="EP60" t="e">
        <f>EQ59*'Current vaccine model'!$H60*Export!$L58</f>
        <v>#VALUE!</v>
      </c>
      <c r="EQ60" s="84" t="e">
        <f t="shared" si="47"/>
        <v>#VALUE!</v>
      </c>
      <c r="ER60" t="e">
        <f>ET59*'Current vaccine model'!$H60*HelperFunctions!$R66</f>
        <v>#VALUE!</v>
      </c>
      <c r="ES60" t="e">
        <f>ET59*'Current vaccine model'!$H60*Export!$L58</f>
        <v>#VALUE!</v>
      </c>
      <c r="ET60" s="84" t="e">
        <f t="shared" si="48"/>
        <v>#VALUE!</v>
      </c>
      <c r="EU60" t="e">
        <f>EW59*'Current vaccine model'!$H60*HelperFunctions!$R65</f>
        <v>#VALUE!</v>
      </c>
      <c r="EV60" t="e">
        <f>EW59*'Current vaccine model'!$H60*Export!$L58</f>
        <v>#VALUE!</v>
      </c>
      <c r="EW60" s="84" t="e">
        <f t="shared" si="49"/>
        <v>#VALUE!</v>
      </c>
      <c r="EX60" t="e">
        <f>EZ59*'Current vaccine model'!$H60*HelperFunctions!$R64</f>
        <v>#VALUE!</v>
      </c>
      <c r="EY60" t="e">
        <f>EZ59*'Current vaccine model'!$H60*Export!$L58</f>
        <v>#VALUE!</v>
      </c>
      <c r="EZ60" s="84" t="e">
        <f t="shared" si="50"/>
        <v>#VALUE!</v>
      </c>
      <c r="FA60" t="e">
        <f>FC59*'Current vaccine model'!$H60*HelperFunctions!$R63</f>
        <v>#VALUE!</v>
      </c>
      <c r="FB60" t="e">
        <f>FC59*'Current vaccine model'!$H60*Export!$L58</f>
        <v>#VALUE!</v>
      </c>
      <c r="FC60" s="84" t="e">
        <f t="shared" si="51"/>
        <v>#VALUE!</v>
      </c>
      <c r="FD60" t="e">
        <f>FF59*'Current vaccine model'!$H60*HelperFunctions!$R62</f>
        <v>#VALUE!</v>
      </c>
      <c r="FE60" t="e">
        <f>FF59*'Current vaccine model'!$H60*Export!$L58</f>
        <v>#VALUE!</v>
      </c>
      <c r="FF60" s="84" t="e">
        <f t="shared" si="52"/>
        <v>#VALUE!</v>
      </c>
      <c r="FG60" t="e">
        <f>FI59*'Current vaccine model'!$H60*HelperFunctions!$R61</f>
        <v>#VALUE!</v>
      </c>
      <c r="FH60" t="e">
        <f>FI59*'Current vaccine model'!$H60*Export!$L58</f>
        <v>#VALUE!</v>
      </c>
      <c r="FI60" s="84" t="e">
        <f t="shared" si="53"/>
        <v>#VALUE!</v>
      </c>
      <c r="FJ60" t="e">
        <f>FL59*'Current vaccine model'!$H60*HelperFunctions!$R60</f>
        <v>#VALUE!</v>
      </c>
      <c r="FK60" t="e">
        <f>FL59*'Current vaccine model'!$H60*Export!$L58</f>
        <v>#VALUE!</v>
      </c>
      <c r="FL60" s="84" t="e">
        <f t="shared" ref="FL60:FL63" si="54">FL59-FJ60-FK60</f>
        <v>#VALUE!</v>
      </c>
      <c r="FM60" t="e">
        <f>FO59*'Current vaccine model'!$H60*HelperFunctions!$R59</f>
        <v>#VALUE!</v>
      </c>
      <c r="FN60" t="e">
        <f>FO59*'Current vaccine model'!$H60*Export!$L58</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35">
      <c r="B61">
        <v>4</v>
      </c>
      <c r="C61" t="str">
        <f>Inputs!I81</f>
        <v/>
      </c>
      <c r="D61" t="e">
        <f>F60*'Current vaccine model'!$H61*HelperFunctions!$R$14</f>
        <v>#VALUE!</v>
      </c>
      <c r="E61" t="e">
        <f>F60*'Current vaccine model'!$H61*Export!$L59</f>
        <v>#VALUE!</v>
      </c>
      <c r="F61" s="84" t="e">
        <f t="shared" si="0"/>
        <v>#VALUE!</v>
      </c>
      <c r="G61" t="e">
        <f>I60*'Current vaccine model'!$H61*HelperFunctions!$R$14</f>
        <v>#VALUE!</v>
      </c>
      <c r="H61" t="e">
        <f>I60*'Current vaccine model'!$H61*Export!$L59</f>
        <v>#VALUE!</v>
      </c>
      <c r="I61" s="84" t="e">
        <f t="shared" si="1"/>
        <v>#VALUE!</v>
      </c>
      <c r="J61" t="e">
        <f>L60*'Current vaccine model'!$H61*HelperFunctions!$R$14</f>
        <v>#VALUE!</v>
      </c>
      <c r="K61" t="e">
        <f>L60*'Current vaccine model'!$H61*Export!$L59</f>
        <v>#VALUE!</v>
      </c>
      <c r="L61" s="84" t="e">
        <f t="shared" si="2"/>
        <v>#VALUE!</v>
      </c>
      <c r="M61" t="e">
        <f>O60*'Current vaccine model'!$H61*HelperFunctions!$R$14</f>
        <v>#VALUE!</v>
      </c>
      <c r="N61" t="e">
        <f>O60*'Current vaccine model'!$H61*Export!$L59</f>
        <v>#VALUE!</v>
      </c>
      <c r="O61" s="84" t="e">
        <f t="shared" si="3"/>
        <v>#VALUE!</v>
      </c>
      <c r="P61" t="e">
        <f>R60*'Current vaccine model'!$H61*HelperFunctions!$R$14</f>
        <v>#VALUE!</v>
      </c>
      <c r="Q61" t="e">
        <f>R60*'Current vaccine model'!$H61*Export!$L59</f>
        <v>#VALUE!</v>
      </c>
      <c r="R61" s="84" t="e">
        <f t="shared" si="4"/>
        <v>#VALUE!</v>
      </c>
      <c r="S61" t="e">
        <f>U60*'Current vaccine model'!$H61*HelperFunctions!$R$14</f>
        <v>#VALUE!</v>
      </c>
      <c r="T61" t="e">
        <f>U60*'Current vaccine model'!$H61*Export!$L59</f>
        <v>#VALUE!</v>
      </c>
      <c r="U61" s="84" t="e">
        <f t="shared" si="5"/>
        <v>#VALUE!</v>
      </c>
      <c r="V61" t="e">
        <f>X60*'Current vaccine model'!$H61*HelperFunctions!$R$14</f>
        <v>#VALUE!</v>
      </c>
      <c r="W61" t="e">
        <f>X60*'Current vaccine model'!$H61*Export!$L59</f>
        <v>#VALUE!</v>
      </c>
      <c r="X61" s="84" t="e">
        <f t="shared" si="6"/>
        <v>#VALUE!</v>
      </c>
      <c r="Y61" t="e">
        <f>AA60*'Current vaccine model'!$H61*HelperFunctions!$R$14</f>
        <v>#VALUE!</v>
      </c>
      <c r="Z61" t="e">
        <f>AA60*'Current vaccine model'!$H61*Export!$L59</f>
        <v>#VALUE!</v>
      </c>
      <c r="AA61" s="84" t="e">
        <f t="shared" si="7"/>
        <v>#VALUE!</v>
      </c>
      <c r="AB61" t="e">
        <f>AD60*'Current vaccine model'!$H61*HelperFunctions!$R$14</f>
        <v>#VALUE!</v>
      </c>
      <c r="AC61" t="e">
        <f>AD60*'Current vaccine model'!$H61*Export!$L59</f>
        <v>#VALUE!</v>
      </c>
      <c r="AD61" s="84" t="e">
        <f t="shared" si="8"/>
        <v>#VALUE!</v>
      </c>
      <c r="AE61" t="e">
        <f>AG60*'Current vaccine model'!$H61*HelperFunctions!$R$14</f>
        <v>#VALUE!</v>
      </c>
      <c r="AF61" t="e">
        <f>AG60*'Current vaccine model'!$H61*Export!$L59</f>
        <v>#VALUE!</v>
      </c>
      <c r="AG61" s="84" t="e">
        <f t="shared" si="9"/>
        <v>#VALUE!</v>
      </c>
      <c r="AH61" t="e">
        <f>AJ60*'Current vaccine model'!$H61*HelperFunctions!$R$14</f>
        <v>#VALUE!</v>
      </c>
      <c r="AI61" t="e">
        <f>AJ60*'Current vaccine model'!$H61*Export!$L59</f>
        <v>#VALUE!</v>
      </c>
      <c r="AJ61" s="84" t="e">
        <f t="shared" si="10"/>
        <v>#VALUE!</v>
      </c>
      <c r="AK61" t="e">
        <f>AM60*'Current vaccine model'!$H61*HelperFunctions!$R$14</f>
        <v>#VALUE!</v>
      </c>
      <c r="AL61" t="e">
        <f>AM60*'Current vaccine model'!$H61*Export!$L59</f>
        <v>#VALUE!</v>
      </c>
      <c r="AM61" s="84" t="e">
        <f t="shared" si="11"/>
        <v>#VALUE!</v>
      </c>
      <c r="AN61" t="e">
        <f>AP60*'Current vaccine model'!$H61*HelperFunctions!$R$28</f>
        <v>#VALUE!</v>
      </c>
      <c r="AO61" t="e">
        <f>AP60*'Current vaccine model'!$H61*Export!$L59</f>
        <v>#VALUE!</v>
      </c>
      <c r="AP61" s="84" t="e">
        <f t="shared" si="12"/>
        <v>#VALUE!</v>
      </c>
      <c r="AQ61" t="e">
        <f>AS60*'Current vaccine model'!$H61*HelperFunctions!$R$28</f>
        <v>#VALUE!</v>
      </c>
      <c r="AR61" t="e">
        <f>AS60*'Current vaccine model'!$H61*Export!$L59</f>
        <v>#VALUE!</v>
      </c>
      <c r="AS61" s="84" t="e">
        <f t="shared" si="13"/>
        <v>#VALUE!</v>
      </c>
      <c r="AT61" t="e">
        <f>AV60*'Current vaccine model'!$H61*HelperFunctions!$R$28</f>
        <v>#VALUE!</v>
      </c>
      <c r="AU61" t="e">
        <f>AV60*'Current vaccine model'!$H61*Export!$L59</f>
        <v>#VALUE!</v>
      </c>
      <c r="AV61" s="84" t="e">
        <f t="shared" si="14"/>
        <v>#VALUE!</v>
      </c>
      <c r="AW61" t="e">
        <f>AY60*'Current vaccine model'!$H61*HelperFunctions!$R$28</f>
        <v>#VALUE!</v>
      </c>
      <c r="AX61" t="e">
        <f>AY60*'Current vaccine model'!$H61*Export!$L59</f>
        <v>#VALUE!</v>
      </c>
      <c r="AY61" s="84" t="e">
        <f t="shared" si="15"/>
        <v>#VALUE!</v>
      </c>
      <c r="AZ61" t="e">
        <f>BB60*'Current vaccine model'!$H61*HelperFunctions!$R$28</f>
        <v>#VALUE!</v>
      </c>
      <c r="BA61" t="e">
        <f>BB60*'Current vaccine model'!$H61*Export!$L59</f>
        <v>#VALUE!</v>
      </c>
      <c r="BB61" s="84" t="e">
        <f t="shared" si="16"/>
        <v>#VALUE!</v>
      </c>
      <c r="BC61" t="e">
        <f>BE60*'Current vaccine model'!$H61*HelperFunctions!$R$28</f>
        <v>#VALUE!</v>
      </c>
      <c r="BD61" t="e">
        <f>BE60*'Current vaccine model'!$H61*Export!$L59</f>
        <v>#VALUE!</v>
      </c>
      <c r="BE61" s="84" t="e">
        <f t="shared" si="17"/>
        <v>#VALUE!</v>
      </c>
      <c r="BF61" t="e">
        <f>BH60*'Current vaccine model'!$H61*HelperFunctions!$R$28</f>
        <v>#VALUE!</v>
      </c>
      <c r="BG61" t="e">
        <f>BH60*'Current vaccine model'!$H61*Export!$L59</f>
        <v>#VALUE!</v>
      </c>
      <c r="BH61" s="84" t="e">
        <f t="shared" si="18"/>
        <v>#VALUE!</v>
      </c>
      <c r="BI61" t="e">
        <f>BK60*'Current vaccine model'!$H61*HelperFunctions!$R$28</f>
        <v>#VALUE!</v>
      </c>
      <c r="BJ61" t="e">
        <f>BK60*'Current vaccine model'!$H61*Export!$L59</f>
        <v>#VALUE!</v>
      </c>
      <c r="BK61" s="84" t="e">
        <f t="shared" si="19"/>
        <v>#VALUE!</v>
      </c>
      <c r="BL61" t="e">
        <f>BN60*'Current vaccine model'!$H61*HelperFunctions!$R$28</f>
        <v>#VALUE!</v>
      </c>
      <c r="BM61" t="e">
        <f>BN60*'Current vaccine model'!$H61*Export!$L59</f>
        <v>#VALUE!</v>
      </c>
      <c r="BN61" s="84" t="e">
        <f t="shared" si="20"/>
        <v>#VALUE!</v>
      </c>
      <c r="BO61" t="e">
        <f>BQ60*'Current vaccine model'!$H61*HelperFunctions!$R$28</f>
        <v>#VALUE!</v>
      </c>
      <c r="BP61" t="e">
        <f>BQ60*'Current vaccine model'!$H61*Export!$L59</f>
        <v>#VALUE!</v>
      </c>
      <c r="BQ61" s="84" t="e">
        <f t="shared" si="21"/>
        <v>#VALUE!</v>
      </c>
      <c r="BR61" t="e">
        <f>BT60*'Current vaccine model'!$H61*HelperFunctions!$R$28</f>
        <v>#VALUE!</v>
      </c>
      <c r="BS61" t="e">
        <f>BT60*'Current vaccine model'!$H61*Export!$L59</f>
        <v>#VALUE!</v>
      </c>
      <c r="BT61" s="84" t="e">
        <f t="shared" si="22"/>
        <v>#VALUE!</v>
      </c>
      <c r="BU61" t="e">
        <f>BW60*'Current vaccine model'!$H61*HelperFunctions!$R$28</f>
        <v>#VALUE!</v>
      </c>
      <c r="BV61" t="e">
        <f>BW60*'Current vaccine model'!$H61*Export!$L59</f>
        <v>#VALUE!</v>
      </c>
      <c r="BW61" s="84" t="e">
        <f t="shared" si="23"/>
        <v>#VALUE!</v>
      </c>
      <c r="BX61" t="e">
        <f>BZ60*'Current vaccine model'!$H61*HelperFunctions!$R$42</f>
        <v>#VALUE!</v>
      </c>
      <c r="BY61" t="e">
        <f>BZ60*'Current vaccine model'!$H61*Export!$L59</f>
        <v>#VALUE!</v>
      </c>
      <c r="BZ61" s="84" t="e">
        <f t="shared" si="24"/>
        <v>#VALUE!</v>
      </c>
      <c r="CA61" t="e">
        <f>CC60*'Current vaccine model'!$H61*HelperFunctions!$R$42</f>
        <v>#VALUE!</v>
      </c>
      <c r="CB61" t="e">
        <f>CC60*'Current vaccine model'!$H61*Export!$L59</f>
        <v>#VALUE!</v>
      </c>
      <c r="CC61" s="84" t="e">
        <f t="shared" si="25"/>
        <v>#VALUE!</v>
      </c>
      <c r="CD61" t="e">
        <f>CF60*'Current vaccine model'!$H61*HelperFunctions!$R$42</f>
        <v>#VALUE!</v>
      </c>
      <c r="CE61" t="e">
        <f>CF60*'Current vaccine model'!$H61*Export!$L59</f>
        <v>#VALUE!</v>
      </c>
      <c r="CF61" s="84" t="e">
        <f t="shared" si="26"/>
        <v>#VALUE!</v>
      </c>
      <c r="CG61" t="e">
        <f>CI60*'Current vaccine model'!$H61*HelperFunctions!$R$42</f>
        <v>#VALUE!</v>
      </c>
      <c r="CH61" t="e">
        <f>CI60*'Current vaccine model'!$H61*Export!$L59</f>
        <v>#VALUE!</v>
      </c>
      <c r="CI61" s="84" t="e">
        <f t="shared" si="27"/>
        <v>#VALUE!</v>
      </c>
      <c r="CJ61" t="e">
        <f>CL60*'Current vaccine model'!$H61*HelperFunctions!$R$42</f>
        <v>#VALUE!</v>
      </c>
      <c r="CK61" t="e">
        <f>CL60*'Current vaccine model'!$H61*Export!$L59</f>
        <v>#VALUE!</v>
      </c>
      <c r="CL61" s="84" t="e">
        <f t="shared" si="28"/>
        <v>#VALUE!</v>
      </c>
      <c r="CM61" t="e">
        <f>CO60*'Current vaccine model'!$H61*HelperFunctions!$R$42</f>
        <v>#VALUE!</v>
      </c>
      <c r="CN61" t="e">
        <f>CO60*'Current vaccine model'!$H61*Export!$L59</f>
        <v>#VALUE!</v>
      </c>
      <c r="CO61" s="84" t="e">
        <f t="shared" si="29"/>
        <v>#VALUE!</v>
      </c>
      <c r="CP61" t="e">
        <f>CR60*'Current vaccine model'!$H61*HelperFunctions!$R$42</f>
        <v>#VALUE!</v>
      </c>
      <c r="CQ61" t="e">
        <f>CR60*'Current vaccine model'!$H61*Export!$L59</f>
        <v>#VALUE!</v>
      </c>
      <c r="CR61" s="84" t="e">
        <f t="shared" si="30"/>
        <v>#VALUE!</v>
      </c>
      <c r="CS61" t="e">
        <f>CU60*'Current vaccine model'!$H61*HelperFunctions!$R$42</f>
        <v>#VALUE!</v>
      </c>
      <c r="CT61" t="e">
        <f>CU60*'Current vaccine model'!$H61*Export!$L59</f>
        <v>#VALUE!</v>
      </c>
      <c r="CU61" s="84" t="e">
        <f t="shared" si="31"/>
        <v>#VALUE!</v>
      </c>
      <c r="CV61" t="e">
        <f>CX60*'Current vaccine model'!$H61*HelperFunctions!$R$42</f>
        <v>#VALUE!</v>
      </c>
      <c r="CW61" t="e">
        <f>CX60*'Current vaccine model'!$H61*Export!$L59</f>
        <v>#VALUE!</v>
      </c>
      <c r="CX61" s="84" t="e">
        <f t="shared" si="32"/>
        <v>#VALUE!</v>
      </c>
      <c r="CY61" t="e">
        <f>DA60*'Current vaccine model'!$H61*HelperFunctions!$R$42</f>
        <v>#VALUE!</v>
      </c>
      <c r="CZ61" t="e">
        <f>DA60*'Current vaccine model'!$H61*Export!$L59</f>
        <v>#VALUE!</v>
      </c>
      <c r="DA61" s="84" t="e">
        <f t="shared" si="33"/>
        <v>#VALUE!</v>
      </c>
      <c r="DB61" t="e">
        <f>DD60*'Current vaccine model'!$H61*HelperFunctions!$R$42</f>
        <v>#VALUE!</v>
      </c>
      <c r="DC61" t="e">
        <f>DD60*'Current vaccine model'!$H61*Export!$L59</f>
        <v>#VALUE!</v>
      </c>
      <c r="DD61" s="84" t="e">
        <f t="shared" si="34"/>
        <v>#VALUE!</v>
      </c>
      <c r="DE61" t="e">
        <f>DG60*'Current vaccine model'!$H61*HelperFunctions!$R$42</f>
        <v>#VALUE!</v>
      </c>
      <c r="DF61" t="e">
        <f>DG60*'Current vaccine model'!$H61*Export!$L59</f>
        <v>#VALUE!</v>
      </c>
      <c r="DG61" s="84" t="e">
        <f t="shared" si="35"/>
        <v>#VALUE!</v>
      </c>
      <c r="DH61" t="e">
        <f>DJ60*'Current vaccine model'!$H61*HelperFunctions!$R$56</f>
        <v>#VALUE!</v>
      </c>
      <c r="DI61" t="e">
        <f>DJ60*'Current vaccine model'!$H61*Export!$L59</f>
        <v>#VALUE!</v>
      </c>
      <c r="DJ61" s="84" t="e">
        <f t="shared" si="36"/>
        <v>#VALUE!</v>
      </c>
      <c r="DK61" t="e">
        <f>DM60*'Current vaccine model'!$H61*HelperFunctions!$R$56</f>
        <v>#VALUE!</v>
      </c>
      <c r="DL61" t="e">
        <f>DM60*'Current vaccine model'!$H61*Export!$L59</f>
        <v>#VALUE!</v>
      </c>
      <c r="DM61" s="84" t="e">
        <f t="shared" si="37"/>
        <v>#VALUE!</v>
      </c>
      <c r="DN61" t="e">
        <f>DP60*'Current vaccine model'!$H61*HelperFunctions!$R$56</f>
        <v>#VALUE!</v>
      </c>
      <c r="DO61" t="e">
        <f>DP60*'Current vaccine model'!$H61*Export!$L59</f>
        <v>#VALUE!</v>
      </c>
      <c r="DP61" s="84" t="e">
        <f t="shared" si="38"/>
        <v>#VALUE!</v>
      </c>
      <c r="DQ61" t="e">
        <f>DS60*'Current vaccine model'!$H61*HelperFunctions!$R$56</f>
        <v>#VALUE!</v>
      </c>
      <c r="DR61" t="e">
        <f>DS60*'Current vaccine model'!$H61*Export!$L59</f>
        <v>#VALUE!</v>
      </c>
      <c r="DS61" s="84" t="e">
        <f t="shared" si="39"/>
        <v>#VALUE!</v>
      </c>
      <c r="DT61" t="e">
        <f>DV60*'Current vaccine model'!$H61*HelperFunctions!$R$56</f>
        <v>#VALUE!</v>
      </c>
      <c r="DU61" t="e">
        <f>DV60*'Current vaccine model'!$H61*Export!$L59</f>
        <v>#VALUE!</v>
      </c>
      <c r="DV61" s="84" t="e">
        <f t="shared" si="40"/>
        <v>#VALUE!</v>
      </c>
      <c r="DW61" t="e">
        <f>DY60*'Current vaccine model'!$H61*HelperFunctions!$R$56</f>
        <v>#VALUE!</v>
      </c>
      <c r="DX61" t="e">
        <f>DY60*'Current vaccine model'!$H61*Export!$L59</f>
        <v>#VALUE!</v>
      </c>
      <c r="DY61" s="84" t="e">
        <f t="shared" si="41"/>
        <v>#VALUE!</v>
      </c>
      <c r="DZ61" t="e">
        <f>EB60*'Current vaccine model'!$H61*HelperFunctions!$R$56</f>
        <v>#VALUE!</v>
      </c>
      <c r="EA61" t="e">
        <f>EB60*'Current vaccine model'!$H61*Export!$L59</f>
        <v>#VALUE!</v>
      </c>
      <c r="EB61" s="84" t="e">
        <f t="shared" si="42"/>
        <v>#VALUE!</v>
      </c>
      <c r="EC61" t="e">
        <f>EE60*'Current vaccine model'!$H61*HelperFunctions!$R$56</f>
        <v>#VALUE!</v>
      </c>
      <c r="ED61" t="e">
        <f>EE60*'Current vaccine model'!$H61*Export!$L59</f>
        <v>#VALUE!</v>
      </c>
      <c r="EE61" s="84" t="e">
        <f t="shared" si="43"/>
        <v>#VALUE!</v>
      </c>
      <c r="EF61" t="e">
        <f>EH60*'Current vaccine model'!$H61*HelperFunctions!$R$56</f>
        <v>#VALUE!</v>
      </c>
      <c r="EG61" t="e">
        <f>EH60*'Current vaccine model'!$H61*Export!$L59</f>
        <v>#VALUE!</v>
      </c>
      <c r="EH61" s="84" t="e">
        <f t="shared" si="44"/>
        <v>#VALUE!</v>
      </c>
      <c r="EI61" t="e">
        <f>EK60*'Current vaccine model'!$H61*HelperFunctions!$R$56</f>
        <v>#VALUE!</v>
      </c>
      <c r="EJ61" t="e">
        <f>EK60*'Current vaccine model'!$H61*Export!$L59</f>
        <v>#VALUE!</v>
      </c>
      <c r="EK61" s="84" t="e">
        <f t="shared" si="45"/>
        <v>#VALUE!</v>
      </c>
      <c r="EL61" t="e">
        <f>EN60*'Current vaccine model'!$H61*HelperFunctions!$R55</f>
        <v>#VALUE!</v>
      </c>
      <c r="EM61" t="e">
        <f>EN60*'Current vaccine model'!$H61*Export!$L59</f>
        <v>#VALUE!</v>
      </c>
      <c r="EN61" s="84" t="e">
        <f t="shared" si="46"/>
        <v>#VALUE!</v>
      </c>
      <c r="EO61" t="e">
        <f>EQ60*'Current vaccine model'!$H61*HelperFunctions!$R54</f>
        <v>#VALUE!</v>
      </c>
      <c r="EP61" t="e">
        <f>EQ60*'Current vaccine model'!$H61*Export!$L59</f>
        <v>#VALUE!</v>
      </c>
      <c r="EQ61" s="84" t="e">
        <f t="shared" si="47"/>
        <v>#VALUE!</v>
      </c>
      <c r="ER61" t="e">
        <f>ET60*'Current vaccine model'!$H61*HelperFunctions!$R67</f>
        <v>#VALUE!</v>
      </c>
      <c r="ES61" t="e">
        <f>ET60*'Current vaccine model'!$H61*Export!$L59</f>
        <v>#VALUE!</v>
      </c>
      <c r="ET61" s="84" t="e">
        <f t="shared" si="48"/>
        <v>#VALUE!</v>
      </c>
      <c r="EU61" t="e">
        <f>EW60*'Current vaccine model'!$H61*HelperFunctions!$R66</f>
        <v>#VALUE!</v>
      </c>
      <c r="EV61" t="e">
        <f>EW60*'Current vaccine model'!$H61*Export!$L59</f>
        <v>#VALUE!</v>
      </c>
      <c r="EW61" s="84" t="e">
        <f t="shared" si="49"/>
        <v>#VALUE!</v>
      </c>
      <c r="EX61" t="e">
        <f>EZ60*'Current vaccine model'!$H61*HelperFunctions!$R65</f>
        <v>#VALUE!</v>
      </c>
      <c r="EY61" t="e">
        <f>EZ60*'Current vaccine model'!$H61*Export!$L59</f>
        <v>#VALUE!</v>
      </c>
      <c r="EZ61" s="84" t="e">
        <f t="shared" si="50"/>
        <v>#VALUE!</v>
      </c>
      <c r="FA61" t="e">
        <f>FC60*'Current vaccine model'!$H61*HelperFunctions!$R64</f>
        <v>#VALUE!</v>
      </c>
      <c r="FB61" t="e">
        <f>FC60*'Current vaccine model'!$H61*Export!$L59</f>
        <v>#VALUE!</v>
      </c>
      <c r="FC61" s="84" t="e">
        <f t="shared" si="51"/>
        <v>#VALUE!</v>
      </c>
      <c r="FD61" t="e">
        <f>FF60*'Current vaccine model'!$H61*HelperFunctions!$R63</f>
        <v>#VALUE!</v>
      </c>
      <c r="FE61" t="e">
        <f>FF60*'Current vaccine model'!$H61*Export!$L59</f>
        <v>#VALUE!</v>
      </c>
      <c r="FF61" s="84" t="e">
        <f t="shared" si="52"/>
        <v>#VALUE!</v>
      </c>
      <c r="FG61" t="e">
        <f>FI60*'Current vaccine model'!$H61*HelperFunctions!$R62</f>
        <v>#VALUE!</v>
      </c>
      <c r="FH61" t="e">
        <f>FI60*'Current vaccine model'!$H61*Export!$L59</f>
        <v>#VALUE!</v>
      </c>
      <c r="FI61" s="84" t="e">
        <f t="shared" si="53"/>
        <v>#VALUE!</v>
      </c>
      <c r="FJ61" t="e">
        <f>FL60*'Current vaccine model'!$H61*HelperFunctions!$R61</f>
        <v>#VALUE!</v>
      </c>
      <c r="FK61" t="e">
        <f>FL60*'Current vaccine model'!$H61*Export!$L59</f>
        <v>#VALUE!</v>
      </c>
      <c r="FL61" s="84" t="e">
        <f t="shared" si="54"/>
        <v>#VALUE!</v>
      </c>
      <c r="FM61" t="e">
        <f>FO60*'Current vaccine model'!$H61*HelperFunctions!$R60</f>
        <v>#VALUE!</v>
      </c>
      <c r="FN61" t="e">
        <f>FO60*'Current vaccine model'!$H61*Export!$L59</f>
        <v>#VALUE!</v>
      </c>
      <c r="FO61" s="84" t="e">
        <f t="shared" ref="FO61:FO63" si="55">FO60-FM61-FN61</f>
        <v>#VALUE!</v>
      </c>
      <c r="FP61" t="e">
        <f>FR60*'Current vaccine model'!$H61*HelperFunctions!$R59</f>
        <v>#VALUE!</v>
      </c>
      <c r="FQ61" t="e">
        <f>FR60*'Current vaccine model'!$H61*Export!$L59</f>
        <v>#VALUE!</v>
      </c>
      <c r="FR61" s="84" t="e">
        <f>FR60-FP61-FQ61</f>
        <v>#VALUE!</v>
      </c>
      <c r="FS61" s="93"/>
      <c r="FT61" s="93"/>
      <c r="FU61" s="84" t="e">
        <f>Export!$N59*Export!$B59*(1-HelperFunctions!$G$59)</f>
        <v>#VALUE!</v>
      </c>
      <c r="FV61" s="93"/>
      <c r="FW61" s="93"/>
      <c r="FX61" s="93"/>
      <c r="FY61" s="93"/>
      <c r="FZ61" s="93"/>
      <c r="GA61" s="93"/>
    </row>
    <row r="62" spans="2:183" x14ac:dyDescent="0.35">
      <c r="B62">
        <v>4</v>
      </c>
      <c r="C62" t="str">
        <f>Inputs!I82</f>
        <v/>
      </c>
      <c r="D62" t="e">
        <f>F61*'Current vaccine model'!$H62*HelperFunctions!$R$14</f>
        <v>#VALUE!</v>
      </c>
      <c r="E62" t="e">
        <f>F61*'Current vaccine model'!$H62*Export!$L60</f>
        <v>#VALUE!</v>
      </c>
      <c r="F62" s="84" t="e">
        <f t="shared" si="0"/>
        <v>#VALUE!</v>
      </c>
      <c r="G62" t="e">
        <f>I61*'Current vaccine model'!$H62*HelperFunctions!$R$14</f>
        <v>#VALUE!</v>
      </c>
      <c r="H62" t="e">
        <f>I61*'Current vaccine model'!$H62*Export!$L60</f>
        <v>#VALUE!</v>
      </c>
      <c r="I62" s="84" t="e">
        <f t="shared" si="1"/>
        <v>#VALUE!</v>
      </c>
      <c r="J62" t="e">
        <f>L61*'Current vaccine model'!$H62*HelperFunctions!$R$14</f>
        <v>#VALUE!</v>
      </c>
      <c r="K62" t="e">
        <f>L61*'Current vaccine model'!$H62*Export!$L60</f>
        <v>#VALUE!</v>
      </c>
      <c r="L62" s="84" t="e">
        <f t="shared" si="2"/>
        <v>#VALUE!</v>
      </c>
      <c r="M62" t="e">
        <f>O61*'Current vaccine model'!$H62*HelperFunctions!$R$14</f>
        <v>#VALUE!</v>
      </c>
      <c r="N62" t="e">
        <f>O61*'Current vaccine model'!$H62*Export!$L60</f>
        <v>#VALUE!</v>
      </c>
      <c r="O62" s="84" t="e">
        <f t="shared" si="3"/>
        <v>#VALUE!</v>
      </c>
      <c r="P62" t="e">
        <f>R61*'Current vaccine model'!$H62*HelperFunctions!$R$14</f>
        <v>#VALUE!</v>
      </c>
      <c r="Q62" t="e">
        <f>R61*'Current vaccine model'!$H62*Export!$L60</f>
        <v>#VALUE!</v>
      </c>
      <c r="R62" s="84" t="e">
        <f t="shared" si="4"/>
        <v>#VALUE!</v>
      </c>
      <c r="S62" t="e">
        <f>U61*'Current vaccine model'!$H62*HelperFunctions!$R$14</f>
        <v>#VALUE!</v>
      </c>
      <c r="T62" t="e">
        <f>U61*'Current vaccine model'!$H62*Export!$L60</f>
        <v>#VALUE!</v>
      </c>
      <c r="U62" s="84" t="e">
        <f t="shared" si="5"/>
        <v>#VALUE!</v>
      </c>
      <c r="V62" t="e">
        <f>X61*'Current vaccine model'!$H62*HelperFunctions!$R$14</f>
        <v>#VALUE!</v>
      </c>
      <c r="W62" t="e">
        <f>X61*'Current vaccine model'!$H62*Export!$L60</f>
        <v>#VALUE!</v>
      </c>
      <c r="X62" s="84" t="e">
        <f t="shared" si="6"/>
        <v>#VALUE!</v>
      </c>
      <c r="Y62" t="e">
        <f>AA61*'Current vaccine model'!$H62*HelperFunctions!$R$14</f>
        <v>#VALUE!</v>
      </c>
      <c r="Z62" t="e">
        <f>AA61*'Current vaccine model'!$H62*Export!$L60</f>
        <v>#VALUE!</v>
      </c>
      <c r="AA62" s="84" t="e">
        <f t="shared" si="7"/>
        <v>#VALUE!</v>
      </c>
      <c r="AB62" t="e">
        <f>AD61*'Current vaccine model'!$H62*HelperFunctions!$R$14</f>
        <v>#VALUE!</v>
      </c>
      <c r="AC62" t="e">
        <f>AD61*'Current vaccine model'!$H62*Export!$L60</f>
        <v>#VALUE!</v>
      </c>
      <c r="AD62" s="84" t="e">
        <f t="shared" si="8"/>
        <v>#VALUE!</v>
      </c>
      <c r="AE62" t="e">
        <f>AG61*'Current vaccine model'!$H62*HelperFunctions!$R$14</f>
        <v>#VALUE!</v>
      </c>
      <c r="AF62" t="e">
        <f>AG61*'Current vaccine model'!$H62*Export!$L60</f>
        <v>#VALUE!</v>
      </c>
      <c r="AG62" s="84" t="e">
        <f t="shared" si="9"/>
        <v>#VALUE!</v>
      </c>
      <c r="AH62" t="e">
        <f>AJ61*'Current vaccine model'!$H62*HelperFunctions!$R$14</f>
        <v>#VALUE!</v>
      </c>
      <c r="AI62" t="e">
        <f>AJ61*'Current vaccine model'!$H62*Export!$L60</f>
        <v>#VALUE!</v>
      </c>
      <c r="AJ62" s="84" t="e">
        <f t="shared" si="10"/>
        <v>#VALUE!</v>
      </c>
      <c r="AK62" t="e">
        <f>AM61*'Current vaccine model'!$H62*HelperFunctions!$R$14</f>
        <v>#VALUE!</v>
      </c>
      <c r="AL62" t="e">
        <f>AM61*'Current vaccine model'!$H62*Export!$L60</f>
        <v>#VALUE!</v>
      </c>
      <c r="AM62" s="84" t="e">
        <f t="shared" si="11"/>
        <v>#VALUE!</v>
      </c>
      <c r="AN62" t="e">
        <f>AP61*'Current vaccine model'!$H62*HelperFunctions!$R$28</f>
        <v>#VALUE!</v>
      </c>
      <c r="AO62" t="e">
        <f>AP61*'Current vaccine model'!$H62*Export!$L60</f>
        <v>#VALUE!</v>
      </c>
      <c r="AP62" s="84" t="e">
        <f t="shared" si="12"/>
        <v>#VALUE!</v>
      </c>
      <c r="AQ62" t="e">
        <f>AS61*'Current vaccine model'!$H62*HelperFunctions!$R$28</f>
        <v>#VALUE!</v>
      </c>
      <c r="AR62" t="e">
        <f>AS61*'Current vaccine model'!$H62*Export!$L60</f>
        <v>#VALUE!</v>
      </c>
      <c r="AS62" s="84" t="e">
        <f t="shared" si="13"/>
        <v>#VALUE!</v>
      </c>
      <c r="AT62" t="e">
        <f>AV61*'Current vaccine model'!$H62*HelperFunctions!$R$28</f>
        <v>#VALUE!</v>
      </c>
      <c r="AU62" t="e">
        <f>AV61*'Current vaccine model'!$H62*Export!$L60</f>
        <v>#VALUE!</v>
      </c>
      <c r="AV62" s="84" t="e">
        <f t="shared" si="14"/>
        <v>#VALUE!</v>
      </c>
      <c r="AW62" t="e">
        <f>AY61*'Current vaccine model'!$H62*HelperFunctions!$R$28</f>
        <v>#VALUE!</v>
      </c>
      <c r="AX62" t="e">
        <f>AY61*'Current vaccine model'!$H62*Export!$L60</f>
        <v>#VALUE!</v>
      </c>
      <c r="AY62" s="84" t="e">
        <f t="shared" si="15"/>
        <v>#VALUE!</v>
      </c>
      <c r="AZ62" t="e">
        <f>BB61*'Current vaccine model'!$H62*HelperFunctions!$R$28</f>
        <v>#VALUE!</v>
      </c>
      <c r="BA62" t="e">
        <f>BB61*'Current vaccine model'!$H62*Export!$L60</f>
        <v>#VALUE!</v>
      </c>
      <c r="BB62" s="84" t="e">
        <f t="shared" si="16"/>
        <v>#VALUE!</v>
      </c>
      <c r="BC62" t="e">
        <f>BE61*'Current vaccine model'!$H62*HelperFunctions!$R$28</f>
        <v>#VALUE!</v>
      </c>
      <c r="BD62" t="e">
        <f>BE61*'Current vaccine model'!$H62*Export!$L60</f>
        <v>#VALUE!</v>
      </c>
      <c r="BE62" s="84" t="e">
        <f t="shared" si="17"/>
        <v>#VALUE!</v>
      </c>
      <c r="BF62" t="e">
        <f>BH61*'Current vaccine model'!$H62*HelperFunctions!$R$28</f>
        <v>#VALUE!</v>
      </c>
      <c r="BG62" t="e">
        <f>BH61*'Current vaccine model'!$H62*Export!$L60</f>
        <v>#VALUE!</v>
      </c>
      <c r="BH62" s="84" t="e">
        <f t="shared" si="18"/>
        <v>#VALUE!</v>
      </c>
      <c r="BI62" t="e">
        <f>BK61*'Current vaccine model'!$H62*HelperFunctions!$R$28</f>
        <v>#VALUE!</v>
      </c>
      <c r="BJ62" t="e">
        <f>BK61*'Current vaccine model'!$H62*Export!$L60</f>
        <v>#VALUE!</v>
      </c>
      <c r="BK62" s="84" t="e">
        <f t="shared" si="19"/>
        <v>#VALUE!</v>
      </c>
      <c r="BL62" t="e">
        <f>BN61*'Current vaccine model'!$H62*HelperFunctions!$R$28</f>
        <v>#VALUE!</v>
      </c>
      <c r="BM62" t="e">
        <f>BN61*'Current vaccine model'!$H62*Export!$L60</f>
        <v>#VALUE!</v>
      </c>
      <c r="BN62" s="84" t="e">
        <f t="shared" si="20"/>
        <v>#VALUE!</v>
      </c>
      <c r="BO62" t="e">
        <f>BQ61*'Current vaccine model'!$H62*HelperFunctions!$R$28</f>
        <v>#VALUE!</v>
      </c>
      <c r="BP62" t="e">
        <f>BQ61*'Current vaccine model'!$H62*Export!$L60</f>
        <v>#VALUE!</v>
      </c>
      <c r="BQ62" s="84" t="e">
        <f t="shared" si="21"/>
        <v>#VALUE!</v>
      </c>
      <c r="BR62" t="e">
        <f>BT61*'Current vaccine model'!$H62*HelperFunctions!$R$28</f>
        <v>#VALUE!</v>
      </c>
      <c r="BS62" t="e">
        <f>BT61*'Current vaccine model'!$H62*Export!$L60</f>
        <v>#VALUE!</v>
      </c>
      <c r="BT62" s="84" t="e">
        <f t="shared" si="22"/>
        <v>#VALUE!</v>
      </c>
      <c r="BU62" t="e">
        <f>BW61*'Current vaccine model'!$H62*HelperFunctions!$R$28</f>
        <v>#VALUE!</v>
      </c>
      <c r="BV62" t="e">
        <f>BW61*'Current vaccine model'!$H62*Export!$L60</f>
        <v>#VALUE!</v>
      </c>
      <c r="BW62" s="84" t="e">
        <f t="shared" si="23"/>
        <v>#VALUE!</v>
      </c>
      <c r="BX62" t="e">
        <f>BZ61*'Current vaccine model'!$H62*HelperFunctions!$R$42</f>
        <v>#VALUE!</v>
      </c>
      <c r="BY62" t="e">
        <f>BZ61*'Current vaccine model'!$H62*Export!$L60</f>
        <v>#VALUE!</v>
      </c>
      <c r="BZ62" s="84" t="e">
        <f t="shared" si="24"/>
        <v>#VALUE!</v>
      </c>
      <c r="CA62" t="e">
        <f>CC61*'Current vaccine model'!$H62*HelperFunctions!$R$42</f>
        <v>#VALUE!</v>
      </c>
      <c r="CB62" t="e">
        <f>CC61*'Current vaccine model'!$H62*Export!$L60</f>
        <v>#VALUE!</v>
      </c>
      <c r="CC62" s="84" t="e">
        <f t="shared" si="25"/>
        <v>#VALUE!</v>
      </c>
      <c r="CD62" t="e">
        <f>CF61*'Current vaccine model'!$H62*HelperFunctions!$R$42</f>
        <v>#VALUE!</v>
      </c>
      <c r="CE62" t="e">
        <f>CF61*'Current vaccine model'!$H62*Export!$L60</f>
        <v>#VALUE!</v>
      </c>
      <c r="CF62" s="84" t="e">
        <f t="shared" si="26"/>
        <v>#VALUE!</v>
      </c>
      <c r="CG62" t="e">
        <f>CI61*'Current vaccine model'!$H62*HelperFunctions!$R$42</f>
        <v>#VALUE!</v>
      </c>
      <c r="CH62" t="e">
        <f>CI61*'Current vaccine model'!$H62*Export!$L60</f>
        <v>#VALUE!</v>
      </c>
      <c r="CI62" s="84" t="e">
        <f t="shared" si="27"/>
        <v>#VALUE!</v>
      </c>
      <c r="CJ62" t="e">
        <f>CL61*'Current vaccine model'!$H62*HelperFunctions!$R$42</f>
        <v>#VALUE!</v>
      </c>
      <c r="CK62" t="e">
        <f>CL61*'Current vaccine model'!$H62*Export!$L60</f>
        <v>#VALUE!</v>
      </c>
      <c r="CL62" s="84" t="e">
        <f t="shared" si="28"/>
        <v>#VALUE!</v>
      </c>
      <c r="CM62" t="e">
        <f>CO61*'Current vaccine model'!$H62*HelperFunctions!$R$42</f>
        <v>#VALUE!</v>
      </c>
      <c r="CN62" t="e">
        <f>CO61*'Current vaccine model'!$H62*Export!$L60</f>
        <v>#VALUE!</v>
      </c>
      <c r="CO62" s="84" t="e">
        <f t="shared" si="29"/>
        <v>#VALUE!</v>
      </c>
      <c r="CP62" t="e">
        <f>CR61*'Current vaccine model'!$H62*HelperFunctions!$R$42</f>
        <v>#VALUE!</v>
      </c>
      <c r="CQ62" t="e">
        <f>CR61*'Current vaccine model'!$H62*Export!$L60</f>
        <v>#VALUE!</v>
      </c>
      <c r="CR62" s="84" t="e">
        <f t="shared" si="30"/>
        <v>#VALUE!</v>
      </c>
      <c r="CS62" t="e">
        <f>CU61*'Current vaccine model'!$H62*HelperFunctions!$R$42</f>
        <v>#VALUE!</v>
      </c>
      <c r="CT62" t="e">
        <f>CU61*'Current vaccine model'!$H62*Export!$L60</f>
        <v>#VALUE!</v>
      </c>
      <c r="CU62" s="84" t="e">
        <f t="shared" si="31"/>
        <v>#VALUE!</v>
      </c>
      <c r="CV62" t="e">
        <f>CX61*'Current vaccine model'!$H62*HelperFunctions!$R$42</f>
        <v>#VALUE!</v>
      </c>
      <c r="CW62" t="e">
        <f>CX61*'Current vaccine model'!$H62*Export!$L60</f>
        <v>#VALUE!</v>
      </c>
      <c r="CX62" s="84" t="e">
        <f t="shared" si="32"/>
        <v>#VALUE!</v>
      </c>
      <c r="CY62" t="e">
        <f>DA61*'Current vaccine model'!$H62*HelperFunctions!$R$42</f>
        <v>#VALUE!</v>
      </c>
      <c r="CZ62" t="e">
        <f>DA61*'Current vaccine model'!$H62*Export!$L60</f>
        <v>#VALUE!</v>
      </c>
      <c r="DA62" s="84" t="e">
        <f t="shared" si="33"/>
        <v>#VALUE!</v>
      </c>
      <c r="DB62" t="e">
        <f>DD61*'Current vaccine model'!$H62*HelperFunctions!$R$42</f>
        <v>#VALUE!</v>
      </c>
      <c r="DC62" t="e">
        <f>DD61*'Current vaccine model'!$H62*Export!$L60</f>
        <v>#VALUE!</v>
      </c>
      <c r="DD62" s="84" t="e">
        <f t="shared" si="34"/>
        <v>#VALUE!</v>
      </c>
      <c r="DE62" t="e">
        <f>DG61*'Current vaccine model'!$H62*HelperFunctions!$R$42</f>
        <v>#VALUE!</v>
      </c>
      <c r="DF62" t="e">
        <f>DG61*'Current vaccine model'!$H62*Export!$L60</f>
        <v>#VALUE!</v>
      </c>
      <c r="DG62" s="84" t="e">
        <f t="shared" si="35"/>
        <v>#VALUE!</v>
      </c>
      <c r="DH62" t="e">
        <f>DJ61*'Current vaccine model'!$H62*HelperFunctions!$R$56</f>
        <v>#VALUE!</v>
      </c>
      <c r="DI62" t="e">
        <f>DJ61*'Current vaccine model'!$H62*Export!$L60</f>
        <v>#VALUE!</v>
      </c>
      <c r="DJ62" s="84" t="e">
        <f t="shared" si="36"/>
        <v>#VALUE!</v>
      </c>
      <c r="DK62" t="e">
        <f>DM61*'Current vaccine model'!$H62*HelperFunctions!$R$56</f>
        <v>#VALUE!</v>
      </c>
      <c r="DL62" t="e">
        <f>DM61*'Current vaccine model'!$H62*Export!$L60</f>
        <v>#VALUE!</v>
      </c>
      <c r="DM62" s="84" t="e">
        <f t="shared" si="37"/>
        <v>#VALUE!</v>
      </c>
      <c r="DN62" t="e">
        <f>DP61*'Current vaccine model'!$H62*HelperFunctions!$R$56</f>
        <v>#VALUE!</v>
      </c>
      <c r="DO62" t="e">
        <f>DP61*'Current vaccine model'!$H62*Export!$L60</f>
        <v>#VALUE!</v>
      </c>
      <c r="DP62" s="84" t="e">
        <f t="shared" si="38"/>
        <v>#VALUE!</v>
      </c>
      <c r="DQ62" t="e">
        <f>DS61*'Current vaccine model'!$H62*HelperFunctions!$R$56</f>
        <v>#VALUE!</v>
      </c>
      <c r="DR62" t="e">
        <f>DS61*'Current vaccine model'!$H62*Export!$L60</f>
        <v>#VALUE!</v>
      </c>
      <c r="DS62" s="84" t="e">
        <f t="shared" si="39"/>
        <v>#VALUE!</v>
      </c>
      <c r="DT62" t="e">
        <f>DV61*'Current vaccine model'!$H62*HelperFunctions!$R$56</f>
        <v>#VALUE!</v>
      </c>
      <c r="DU62" t="e">
        <f>DV61*'Current vaccine model'!$H62*Export!$L60</f>
        <v>#VALUE!</v>
      </c>
      <c r="DV62" s="84" t="e">
        <f t="shared" si="40"/>
        <v>#VALUE!</v>
      </c>
      <c r="DW62" t="e">
        <f>DY61*'Current vaccine model'!$H62*HelperFunctions!$R$56</f>
        <v>#VALUE!</v>
      </c>
      <c r="DX62" t="e">
        <f>DY61*'Current vaccine model'!$H62*Export!$L60</f>
        <v>#VALUE!</v>
      </c>
      <c r="DY62" s="84" t="e">
        <f t="shared" si="41"/>
        <v>#VALUE!</v>
      </c>
      <c r="DZ62" t="e">
        <f>EB61*'Current vaccine model'!$H62*HelperFunctions!$R$56</f>
        <v>#VALUE!</v>
      </c>
      <c r="EA62" t="e">
        <f>EB61*'Current vaccine model'!$H62*Export!$L60</f>
        <v>#VALUE!</v>
      </c>
      <c r="EB62" s="84" t="e">
        <f t="shared" si="42"/>
        <v>#VALUE!</v>
      </c>
      <c r="EC62" t="e">
        <f>EE61*'Current vaccine model'!$H62*HelperFunctions!$R$56</f>
        <v>#VALUE!</v>
      </c>
      <c r="ED62" t="e">
        <f>EE61*'Current vaccine model'!$H62*Export!$L60</f>
        <v>#VALUE!</v>
      </c>
      <c r="EE62" s="84" t="e">
        <f t="shared" si="43"/>
        <v>#VALUE!</v>
      </c>
      <c r="EF62" t="e">
        <f>EH61*'Current vaccine model'!$H62*HelperFunctions!$R$56</f>
        <v>#VALUE!</v>
      </c>
      <c r="EG62" t="e">
        <f>EH61*'Current vaccine model'!$H62*Export!$L60</f>
        <v>#VALUE!</v>
      </c>
      <c r="EH62" s="84" t="e">
        <f t="shared" si="44"/>
        <v>#VALUE!</v>
      </c>
      <c r="EI62" t="e">
        <f>EK61*'Current vaccine model'!$H62*HelperFunctions!$R$56</f>
        <v>#VALUE!</v>
      </c>
      <c r="EJ62" t="e">
        <f>EK61*'Current vaccine model'!$H62*Export!$L60</f>
        <v>#VALUE!</v>
      </c>
      <c r="EK62" s="84" t="e">
        <f t="shared" si="45"/>
        <v>#VALUE!</v>
      </c>
      <c r="EL62" t="e">
        <f>EN61*'Current vaccine model'!$H62*HelperFunctions!$R$56</f>
        <v>#VALUE!</v>
      </c>
      <c r="EM62" t="e">
        <f>EN61*'Current vaccine model'!$H62*Export!$L60</f>
        <v>#VALUE!</v>
      </c>
      <c r="EN62" s="84" t="e">
        <f t="shared" si="46"/>
        <v>#VALUE!</v>
      </c>
      <c r="EO62" t="e">
        <f>EQ61*'Current vaccine model'!$H62*HelperFunctions!$R55</f>
        <v>#VALUE!</v>
      </c>
      <c r="EP62" t="e">
        <f>EQ61*'Current vaccine model'!$H62*Export!$L60</f>
        <v>#VALUE!</v>
      </c>
      <c r="EQ62" s="84" t="e">
        <f t="shared" si="47"/>
        <v>#VALUE!</v>
      </c>
      <c r="ER62" t="e">
        <f>ET61*'Current vaccine model'!$H62*HelperFunctions!$R68</f>
        <v>#VALUE!</v>
      </c>
      <c r="ES62" t="e">
        <f>ET61*'Current vaccine model'!$H62*Export!$L60</f>
        <v>#VALUE!</v>
      </c>
      <c r="ET62" s="84" t="e">
        <f t="shared" si="48"/>
        <v>#VALUE!</v>
      </c>
      <c r="EU62" t="e">
        <f>EW61*'Current vaccine model'!$H62*HelperFunctions!$R67</f>
        <v>#VALUE!</v>
      </c>
      <c r="EV62" t="e">
        <f>EW61*'Current vaccine model'!$H62*Export!$L60</f>
        <v>#VALUE!</v>
      </c>
      <c r="EW62" s="84" t="e">
        <f t="shared" si="49"/>
        <v>#VALUE!</v>
      </c>
      <c r="EX62" t="e">
        <f>EZ61*'Current vaccine model'!$H62*HelperFunctions!$R66</f>
        <v>#VALUE!</v>
      </c>
      <c r="EY62" t="e">
        <f>EZ61*'Current vaccine model'!$H62*Export!$L60</f>
        <v>#VALUE!</v>
      </c>
      <c r="EZ62" s="84" t="e">
        <f t="shared" si="50"/>
        <v>#VALUE!</v>
      </c>
      <c r="FA62" t="e">
        <f>FC61*'Current vaccine model'!$H62*HelperFunctions!$R65</f>
        <v>#VALUE!</v>
      </c>
      <c r="FB62" t="e">
        <f>FC61*'Current vaccine model'!$H62*Export!$L60</f>
        <v>#VALUE!</v>
      </c>
      <c r="FC62" s="84" t="e">
        <f t="shared" si="51"/>
        <v>#VALUE!</v>
      </c>
      <c r="FD62" t="e">
        <f>FF61*'Current vaccine model'!$H62*HelperFunctions!$R64</f>
        <v>#VALUE!</v>
      </c>
      <c r="FE62" t="e">
        <f>FF61*'Current vaccine model'!$H62*Export!$L60</f>
        <v>#VALUE!</v>
      </c>
      <c r="FF62" s="84" t="e">
        <f t="shared" si="52"/>
        <v>#VALUE!</v>
      </c>
      <c r="FG62" t="e">
        <f>FI61*'Current vaccine model'!$H62*HelperFunctions!$R63</f>
        <v>#VALUE!</v>
      </c>
      <c r="FH62" t="e">
        <f>FI61*'Current vaccine model'!$H62*Export!$L60</f>
        <v>#VALUE!</v>
      </c>
      <c r="FI62" s="84" t="e">
        <f t="shared" si="53"/>
        <v>#VALUE!</v>
      </c>
      <c r="FJ62" t="e">
        <f>FL61*'Current vaccine model'!$H62*HelperFunctions!$R62</f>
        <v>#VALUE!</v>
      </c>
      <c r="FK62" t="e">
        <f>FL61*'Current vaccine model'!$H62*Export!$L60</f>
        <v>#VALUE!</v>
      </c>
      <c r="FL62" s="84" t="e">
        <f t="shared" si="54"/>
        <v>#VALUE!</v>
      </c>
      <c r="FM62" t="e">
        <f>FO61*'Current vaccine model'!$H62*HelperFunctions!$R61</f>
        <v>#VALUE!</v>
      </c>
      <c r="FN62" t="e">
        <f>FO61*'Current vaccine model'!$H62*Export!$L60</f>
        <v>#VALUE!</v>
      </c>
      <c r="FO62" s="84" t="e">
        <f t="shared" si="55"/>
        <v>#VALUE!</v>
      </c>
      <c r="FP62" t="e">
        <f>FR61*'Current vaccine model'!$H62*HelperFunctions!$R60</f>
        <v>#VALUE!</v>
      </c>
      <c r="FQ62" t="e">
        <f>FR61*'Current vaccine model'!$H62*Export!$L60</f>
        <v>#VALUE!</v>
      </c>
      <c r="FR62" s="84" t="e">
        <f t="shared" ref="FR62:FR63" si="56">FR61-FP62-FQ62</f>
        <v>#VALUE!</v>
      </c>
      <c r="FS62" t="e">
        <f>FU61*'Current vaccine model'!$H62*HelperFunctions!$R59</f>
        <v>#VALUE!</v>
      </c>
      <c r="FT62" t="e">
        <f>FU61*'Current vaccine model'!$H62*Export!$L60</f>
        <v>#VALUE!</v>
      </c>
      <c r="FU62" s="84" t="e">
        <f>FU61-FS62-FT62</f>
        <v>#VALUE!</v>
      </c>
      <c r="FV62" s="93"/>
      <c r="FW62" s="93"/>
      <c r="FX62" s="84" t="e">
        <f>Export!$N60*Export!$B60*(1-HelperFunctions!$G$59)</f>
        <v>#VALUE!</v>
      </c>
      <c r="FY62" s="93"/>
      <c r="FZ62" s="93"/>
      <c r="GA62" s="93"/>
    </row>
    <row r="63" spans="2:183" x14ac:dyDescent="0.35">
      <c r="B63">
        <v>4</v>
      </c>
      <c r="C63" t="str">
        <f>Inputs!I83</f>
        <v/>
      </c>
      <c r="D63" t="e">
        <f>F62*'Current vaccine model'!$H63*HelperFunctions!$R$14</f>
        <v>#VALUE!</v>
      </c>
      <c r="E63" t="e">
        <f>F62*'Current vaccine model'!$H63*Export!$L61</f>
        <v>#VALUE!</v>
      </c>
      <c r="F63" s="84" t="e">
        <f t="shared" si="0"/>
        <v>#VALUE!</v>
      </c>
      <c r="G63" t="e">
        <f>I62*'Current vaccine model'!$H63*HelperFunctions!$R$14</f>
        <v>#VALUE!</v>
      </c>
      <c r="H63" t="e">
        <f>I62*'Current vaccine model'!$H63*Export!$L61</f>
        <v>#VALUE!</v>
      </c>
      <c r="I63" s="84" t="e">
        <f t="shared" si="1"/>
        <v>#VALUE!</v>
      </c>
      <c r="J63" t="e">
        <f>L62*'Current vaccine model'!$H63*HelperFunctions!$R$14</f>
        <v>#VALUE!</v>
      </c>
      <c r="K63" t="e">
        <f>L62*'Current vaccine model'!$H63*Export!$L61</f>
        <v>#VALUE!</v>
      </c>
      <c r="L63" s="84" t="e">
        <f t="shared" si="2"/>
        <v>#VALUE!</v>
      </c>
      <c r="M63" t="e">
        <f>O62*'Current vaccine model'!$H63*HelperFunctions!$R$14</f>
        <v>#VALUE!</v>
      </c>
      <c r="N63" t="e">
        <f>O62*'Current vaccine model'!$H63*Export!$L61</f>
        <v>#VALUE!</v>
      </c>
      <c r="O63" s="84" t="e">
        <f t="shared" si="3"/>
        <v>#VALUE!</v>
      </c>
      <c r="P63" t="e">
        <f>R62*'Current vaccine model'!$H63*HelperFunctions!$R$14</f>
        <v>#VALUE!</v>
      </c>
      <c r="Q63" t="e">
        <f>R62*'Current vaccine model'!$H63*Export!$L61</f>
        <v>#VALUE!</v>
      </c>
      <c r="R63" s="84" t="e">
        <f t="shared" si="4"/>
        <v>#VALUE!</v>
      </c>
      <c r="S63" t="e">
        <f>U62*'Current vaccine model'!$H63*HelperFunctions!$R$14</f>
        <v>#VALUE!</v>
      </c>
      <c r="T63" t="e">
        <f>U62*'Current vaccine model'!$H63*Export!$L61</f>
        <v>#VALUE!</v>
      </c>
      <c r="U63" s="84" t="e">
        <f t="shared" si="5"/>
        <v>#VALUE!</v>
      </c>
      <c r="V63" t="e">
        <f>X62*'Current vaccine model'!$H63*HelperFunctions!$R$14</f>
        <v>#VALUE!</v>
      </c>
      <c r="W63" t="e">
        <f>X62*'Current vaccine model'!$H63*Export!$L61</f>
        <v>#VALUE!</v>
      </c>
      <c r="X63" s="84" t="e">
        <f t="shared" si="6"/>
        <v>#VALUE!</v>
      </c>
      <c r="Y63" t="e">
        <f>AA62*'Current vaccine model'!$H63*HelperFunctions!$R$14</f>
        <v>#VALUE!</v>
      </c>
      <c r="Z63" t="e">
        <f>AA62*'Current vaccine model'!$H63*Export!$L61</f>
        <v>#VALUE!</v>
      </c>
      <c r="AA63" s="84" t="e">
        <f t="shared" si="7"/>
        <v>#VALUE!</v>
      </c>
      <c r="AB63" t="e">
        <f>AD62*'Current vaccine model'!$H63*HelperFunctions!$R$14</f>
        <v>#VALUE!</v>
      </c>
      <c r="AC63" t="e">
        <f>AD62*'Current vaccine model'!$H63*Export!$L61</f>
        <v>#VALUE!</v>
      </c>
      <c r="AD63" s="84" t="e">
        <f t="shared" si="8"/>
        <v>#VALUE!</v>
      </c>
      <c r="AE63" t="e">
        <f>AG62*'Current vaccine model'!$H63*HelperFunctions!$R$14</f>
        <v>#VALUE!</v>
      </c>
      <c r="AF63" t="e">
        <f>AG62*'Current vaccine model'!$H63*Export!$L61</f>
        <v>#VALUE!</v>
      </c>
      <c r="AG63" s="84" t="e">
        <f t="shared" si="9"/>
        <v>#VALUE!</v>
      </c>
      <c r="AH63" t="e">
        <f>AJ62*'Current vaccine model'!$H63*HelperFunctions!$R$14</f>
        <v>#VALUE!</v>
      </c>
      <c r="AI63" t="e">
        <f>AJ62*'Current vaccine model'!$H63*Export!$L61</f>
        <v>#VALUE!</v>
      </c>
      <c r="AJ63" s="84" t="e">
        <f t="shared" si="10"/>
        <v>#VALUE!</v>
      </c>
      <c r="AK63" t="e">
        <f>AM62*'Current vaccine model'!$H63*HelperFunctions!$R$14</f>
        <v>#VALUE!</v>
      </c>
      <c r="AL63" t="e">
        <f>AM62*'Current vaccine model'!$H63*Export!$L61</f>
        <v>#VALUE!</v>
      </c>
      <c r="AM63" s="84" t="e">
        <f t="shared" si="11"/>
        <v>#VALUE!</v>
      </c>
      <c r="AN63" t="e">
        <f>AP62*'Current vaccine model'!$H63*HelperFunctions!$R$28</f>
        <v>#VALUE!</v>
      </c>
      <c r="AO63" t="e">
        <f>AP62*'Current vaccine model'!$H63*Export!$L61</f>
        <v>#VALUE!</v>
      </c>
      <c r="AP63" s="84" t="e">
        <f t="shared" si="12"/>
        <v>#VALUE!</v>
      </c>
      <c r="AQ63" t="e">
        <f>AS62*'Current vaccine model'!$H63*HelperFunctions!$R$28</f>
        <v>#VALUE!</v>
      </c>
      <c r="AR63" t="e">
        <f>AS62*'Current vaccine model'!$H63*Export!$L61</f>
        <v>#VALUE!</v>
      </c>
      <c r="AS63" s="84" t="e">
        <f t="shared" si="13"/>
        <v>#VALUE!</v>
      </c>
      <c r="AT63" t="e">
        <f>AV62*'Current vaccine model'!$H63*HelperFunctions!$R$28</f>
        <v>#VALUE!</v>
      </c>
      <c r="AU63" t="e">
        <f>AV62*'Current vaccine model'!$H63*Export!$L61</f>
        <v>#VALUE!</v>
      </c>
      <c r="AV63" s="84" t="e">
        <f t="shared" si="14"/>
        <v>#VALUE!</v>
      </c>
      <c r="AW63" t="e">
        <f>AY62*'Current vaccine model'!$H63*HelperFunctions!$R$28</f>
        <v>#VALUE!</v>
      </c>
      <c r="AX63" t="e">
        <f>AY62*'Current vaccine model'!$H63*Export!$L61</f>
        <v>#VALUE!</v>
      </c>
      <c r="AY63" s="84" t="e">
        <f t="shared" si="15"/>
        <v>#VALUE!</v>
      </c>
      <c r="AZ63" t="e">
        <f>BB62*'Current vaccine model'!$H63*HelperFunctions!$R$28</f>
        <v>#VALUE!</v>
      </c>
      <c r="BA63" t="e">
        <f>BB62*'Current vaccine model'!$H63*Export!$L61</f>
        <v>#VALUE!</v>
      </c>
      <c r="BB63" s="84" t="e">
        <f t="shared" si="16"/>
        <v>#VALUE!</v>
      </c>
      <c r="BC63" t="e">
        <f>BE62*'Current vaccine model'!$H63*HelperFunctions!$R$28</f>
        <v>#VALUE!</v>
      </c>
      <c r="BD63" t="e">
        <f>BE62*'Current vaccine model'!$H63*Export!$L61</f>
        <v>#VALUE!</v>
      </c>
      <c r="BE63" s="84" t="e">
        <f t="shared" si="17"/>
        <v>#VALUE!</v>
      </c>
      <c r="BF63" t="e">
        <f>BH62*'Current vaccine model'!$H63*HelperFunctions!$R$28</f>
        <v>#VALUE!</v>
      </c>
      <c r="BG63" t="e">
        <f>BH62*'Current vaccine model'!$H63*Export!$L61</f>
        <v>#VALUE!</v>
      </c>
      <c r="BH63" s="84" t="e">
        <f t="shared" si="18"/>
        <v>#VALUE!</v>
      </c>
      <c r="BI63" t="e">
        <f>BK62*'Current vaccine model'!$H63*HelperFunctions!$R$28</f>
        <v>#VALUE!</v>
      </c>
      <c r="BJ63" t="e">
        <f>BK62*'Current vaccine model'!$H63*Export!$L61</f>
        <v>#VALUE!</v>
      </c>
      <c r="BK63" s="84" t="e">
        <f t="shared" si="19"/>
        <v>#VALUE!</v>
      </c>
      <c r="BL63" t="e">
        <f>BN62*'Current vaccine model'!$H63*HelperFunctions!$R$28</f>
        <v>#VALUE!</v>
      </c>
      <c r="BM63" t="e">
        <f>BN62*'Current vaccine model'!$H63*Export!$L61</f>
        <v>#VALUE!</v>
      </c>
      <c r="BN63" s="84" t="e">
        <f t="shared" si="20"/>
        <v>#VALUE!</v>
      </c>
      <c r="BO63" t="e">
        <f>BQ62*'Current vaccine model'!$H63*HelperFunctions!$R$28</f>
        <v>#VALUE!</v>
      </c>
      <c r="BP63" t="e">
        <f>BQ62*'Current vaccine model'!$H63*Export!$L61</f>
        <v>#VALUE!</v>
      </c>
      <c r="BQ63" s="84" t="e">
        <f t="shared" si="21"/>
        <v>#VALUE!</v>
      </c>
      <c r="BR63" t="e">
        <f>BT62*'Current vaccine model'!$H63*HelperFunctions!$R$28</f>
        <v>#VALUE!</v>
      </c>
      <c r="BS63" t="e">
        <f>BT62*'Current vaccine model'!$H63*Export!$L61</f>
        <v>#VALUE!</v>
      </c>
      <c r="BT63" s="84" t="e">
        <f t="shared" si="22"/>
        <v>#VALUE!</v>
      </c>
      <c r="BU63" t="e">
        <f>BW62*'Current vaccine model'!$H63*HelperFunctions!$R$28</f>
        <v>#VALUE!</v>
      </c>
      <c r="BV63" t="e">
        <f>BW62*'Current vaccine model'!$H63*Export!$L61</f>
        <v>#VALUE!</v>
      </c>
      <c r="BW63" s="84" t="e">
        <f t="shared" si="23"/>
        <v>#VALUE!</v>
      </c>
      <c r="BX63" t="e">
        <f>BZ62*'Current vaccine model'!$H63*HelperFunctions!$R$42</f>
        <v>#VALUE!</v>
      </c>
      <c r="BY63" t="e">
        <f>BZ62*'Current vaccine model'!$H63*Export!$L61</f>
        <v>#VALUE!</v>
      </c>
      <c r="BZ63" s="84" t="e">
        <f t="shared" si="24"/>
        <v>#VALUE!</v>
      </c>
      <c r="CA63" t="e">
        <f>CC62*'Current vaccine model'!$H63*HelperFunctions!$R$42</f>
        <v>#VALUE!</v>
      </c>
      <c r="CB63" t="e">
        <f>CC62*'Current vaccine model'!$H63*Export!$L61</f>
        <v>#VALUE!</v>
      </c>
      <c r="CC63" s="84" t="e">
        <f t="shared" si="25"/>
        <v>#VALUE!</v>
      </c>
      <c r="CD63" t="e">
        <f>CF62*'Current vaccine model'!$H63*HelperFunctions!$R$42</f>
        <v>#VALUE!</v>
      </c>
      <c r="CE63" t="e">
        <f>CF62*'Current vaccine model'!$H63*Export!$L61</f>
        <v>#VALUE!</v>
      </c>
      <c r="CF63" s="84" t="e">
        <f t="shared" si="26"/>
        <v>#VALUE!</v>
      </c>
      <c r="CG63" t="e">
        <f>CI62*'Current vaccine model'!$H63*HelperFunctions!$R$42</f>
        <v>#VALUE!</v>
      </c>
      <c r="CH63" t="e">
        <f>CI62*'Current vaccine model'!$H63*Export!$L61</f>
        <v>#VALUE!</v>
      </c>
      <c r="CI63" s="84" t="e">
        <f t="shared" si="27"/>
        <v>#VALUE!</v>
      </c>
      <c r="CJ63" t="e">
        <f>CL62*'Current vaccine model'!$H63*HelperFunctions!$R$42</f>
        <v>#VALUE!</v>
      </c>
      <c r="CK63" t="e">
        <f>CL62*'Current vaccine model'!$H63*Export!$L61</f>
        <v>#VALUE!</v>
      </c>
      <c r="CL63" s="84" t="e">
        <f t="shared" si="28"/>
        <v>#VALUE!</v>
      </c>
      <c r="CM63" t="e">
        <f>CO62*'Current vaccine model'!$H63*HelperFunctions!$R$42</f>
        <v>#VALUE!</v>
      </c>
      <c r="CN63" t="e">
        <f>CO62*'Current vaccine model'!$H63*Export!$L61</f>
        <v>#VALUE!</v>
      </c>
      <c r="CO63" s="84" t="e">
        <f t="shared" si="29"/>
        <v>#VALUE!</v>
      </c>
      <c r="CP63" t="e">
        <f>CR62*'Current vaccine model'!$H63*HelperFunctions!$R$42</f>
        <v>#VALUE!</v>
      </c>
      <c r="CQ63" t="e">
        <f>CR62*'Current vaccine model'!$H63*Export!$L61</f>
        <v>#VALUE!</v>
      </c>
      <c r="CR63" s="84" t="e">
        <f t="shared" si="30"/>
        <v>#VALUE!</v>
      </c>
      <c r="CS63" t="e">
        <f>CU62*'Current vaccine model'!$H63*HelperFunctions!$R$42</f>
        <v>#VALUE!</v>
      </c>
      <c r="CT63" t="e">
        <f>CU62*'Current vaccine model'!$H63*Export!$L61</f>
        <v>#VALUE!</v>
      </c>
      <c r="CU63" s="84" t="e">
        <f t="shared" si="31"/>
        <v>#VALUE!</v>
      </c>
      <c r="CV63" t="e">
        <f>CX62*'Current vaccine model'!$H63*HelperFunctions!$R$42</f>
        <v>#VALUE!</v>
      </c>
      <c r="CW63" t="e">
        <f>CX62*'Current vaccine model'!$H63*Export!$L61</f>
        <v>#VALUE!</v>
      </c>
      <c r="CX63" s="84" t="e">
        <f t="shared" si="32"/>
        <v>#VALUE!</v>
      </c>
      <c r="CY63" t="e">
        <f>DA62*'Current vaccine model'!$H63*HelperFunctions!$R$42</f>
        <v>#VALUE!</v>
      </c>
      <c r="CZ63" t="e">
        <f>DA62*'Current vaccine model'!$H63*Export!$L61</f>
        <v>#VALUE!</v>
      </c>
      <c r="DA63" s="84" t="e">
        <f t="shared" si="33"/>
        <v>#VALUE!</v>
      </c>
      <c r="DB63" t="e">
        <f>DD62*'Current vaccine model'!$H63*HelperFunctions!$R$42</f>
        <v>#VALUE!</v>
      </c>
      <c r="DC63" t="e">
        <f>DD62*'Current vaccine model'!$H63*Export!$L61</f>
        <v>#VALUE!</v>
      </c>
      <c r="DD63" s="84" t="e">
        <f t="shared" si="34"/>
        <v>#VALUE!</v>
      </c>
      <c r="DE63" t="e">
        <f>DG62*'Current vaccine model'!$H63*HelperFunctions!$R$42</f>
        <v>#VALUE!</v>
      </c>
      <c r="DF63" t="e">
        <f>DG62*'Current vaccine model'!$H63*Export!$L61</f>
        <v>#VALUE!</v>
      </c>
      <c r="DG63" s="84" t="e">
        <f t="shared" si="35"/>
        <v>#VALUE!</v>
      </c>
      <c r="DH63" t="e">
        <f>DJ62*'Current vaccine model'!$H63*HelperFunctions!$R$56</f>
        <v>#VALUE!</v>
      </c>
      <c r="DI63" t="e">
        <f>DJ62*'Current vaccine model'!$H63*Export!$L61</f>
        <v>#VALUE!</v>
      </c>
      <c r="DJ63" s="84" t="e">
        <f t="shared" si="36"/>
        <v>#VALUE!</v>
      </c>
      <c r="DK63" t="e">
        <f>DM62*'Current vaccine model'!$H63*HelperFunctions!$R$56</f>
        <v>#VALUE!</v>
      </c>
      <c r="DL63" t="e">
        <f>DM62*'Current vaccine model'!$H63*Export!$L61</f>
        <v>#VALUE!</v>
      </c>
      <c r="DM63" s="84" t="e">
        <f t="shared" si="37"/>
        <v>#VALUE!</v>
      </c>
      <c r="DN63" t="e">
        <f>DP62*'Current vaccine model'!$H63*HelperFunctions!$R$56</f>
        <v>#VALUE!</v>
      </c>
      <c r="DO63" t="e">
        <f>DP62*'Current vaccine model'!$H63*Export!$L61</f>
        <v>#VALUE!</v>
      </c>
      <c r="DP63" s="84" t="e">
        <f t="shared" si="38"/>
        <v>#VALUE!</v>
      </c>
      <c r="DQ63" t="e">
        <f>DS62*'Current vaccine model'!$H63*HelperFunctions!$R$56</f>
        <v>#VALUE!</v>
      </c>
      <c r="DR63" t="e">
        <f>DS62*'Current vaccine model'!$H63*Export!$L61</f>
        <v>#VALUE!</v>
      </c>
      <c r="DS63" s="84" t="e">
        <f t="shared" si="39"/>
        <v>#VALUE!</v>
      </c>
      <c r="DT63" t="e">
        <f>DV62*'Current vaccine model'!$H63*HelperFunctions!$R$56</f>
        <v>#VALUE!</v>
      </c>
      <c r="DU63" t="e">
        <f>DV62*'Current vaccine model'!$H63*Export!$L61</f>
        <v>#VALUE!</v>
      </c>
      <c r="DV63" s="84" t="e">
        <f t="shared" si="40"/>
        <v>#VALUE!</v>
      </c>
      <c r="DW63" t="e">
        <f>DY62*'Current vaccine model'!$H63*HelperFunctions!$R$56</f>
        <v>#VALUE!</v>
      </c>
      <c r="DX63" t="e">
        <f>DY62*'Current vaccine model'!$H63*Export!$L61</f>
        <v>#VALUE!</v>
      </c>
      <c r="DY63" s="84" t="e">
        <f t="shared" si="41"/>
        <v>#VALUE!</v>
      </c>
      <c r="DZ63" t="e">
        <f>EB62*'Current vaccine model'!$H63*HelperFunctions!$R$56</f>
        <v>#VALUE!</v>
      </c>
      <c r="EA63" t="e">
        <f>EB62*'Current vaccine model'!$H63*Export!$L61</f>
        <v>#VALUE!</v>
      </c>
      <c r="EB63" s="84" t="e">
        <f t="shared" si="42"/>
        <v>#VALUE!</v>
      </c>
      <c r="EC63" t="e">
        <f>EE62*'Current vaccine model'!$H63*HelperFunctions!$R$56</f>
        <v>#VALUE!</v>
      </c>
      <c r="ED63" t="e">
        <f>EE62*'Current vaccine model'!$H63*Export!$L61</f>
        <v>#VALUE!</v>
      </c>
      <c r="EE63" s="84" t="e">
        <f t="shared" si="43"/>
        <v>#VALUE!</v>
      </c>
      <c r="EF63" t="e">
        <f>EH62*'Current vaccine model'!$H63*HelperFunctions!$R$56</f>
        <v>#VALUE!</v>
      </c>
      <c r="EG63" t="e">
        <f>EH62*'Current vaccine model'!$H63*Export!$L61</f>
        <v>#VALUE!</v>
      </c>
      <c r="EH63" s="84" t="e">
        <f t="shared" si="44"/>
        <v>#VALUE!</v>
      </c>
      <c r="EI63" t="e">
        <f>EK62*'Current vaccine model'!$H63*HelperFunctions!$R$56</f>
        <v>#VALUE!</v>
      </c>
      <c r="EJ63" t="e">
        <f>EK62*'Current vaccine model'!$H63*Export!$L61</f>
        <v>#VALUE!</v>
      </c>
      <c r="EK63" s="84" t="e">
        <f t="shared" si="45"/>
        <v>#VALUE!</v>
      </c>
      <c r="EL63" t="e">
        <f>EN62*'Current vaccine model'!$H63*HelperFunctions!$R$56</f>
        <v>#VALUE!</v>
      </c>
      <c r="EM63" t="e">
        <f>EN62*'Current vaccine model'!$H63*Export!$L61</f>
        <v>#VALUE!</v>
      </c>
      <c r="EN63" s="84" t="e">
        <f t="shared" si="46"/>
        <v>#VALUE!</v>
      </c>
      <c r="EO63" t="e">
        <f>EQ62*'Current vaccine model'!$H63*HelperFunctions!$R56</f>
        <v>#VALUE!</v>
      </c>
      <c r="EP63" t="e">
        <f>EQ62*'Current vaccine model'!$H63*Export!$L61</f>
        <v>#VALUE!</v>
      </c>
      <c r="EQ63" s="84" t="e">
        <f t="shared" si="47"/>
        <v>#VALUE!</v>
      </c>
      <c r="ER63" t="e">
        <f>ET62*'Current vaccine model'!$H63*HelperFunctions!$R69</f>
        <v>#VALUE!</v>
      </c>
      <c r="ES63" t="e">
        <f>ET62*'Current vaccine model'!$H63*Export!$L61</f>
        <v>#VALUE!</v>
      </c>
      <c r="ET63" s="84" t="e">
        <f t="shared" si="48"/>
        <v>#VALUE!</v>
      </c>
      <c r="EU63" t="e">
        <f>EW62*'Current vaccine model'!$H63*HelperFunctions!$R68</f>
        <v>#VALUE!</v>
      </c>
      <c r="EV63" t="e">
        <f>EW62*'Current vaccine model'!$H63*Export!$L61</f>
        <v>#VALUE!</v>
      </c>
      <c r="EW63" s="84" t="e">
        <f t="shared" si="49"/>
        <v>#VALUE!</v>
      </c>
      <c r="EX63" t="e">
        <f>EZ62*'Current vaccine model'!$H63*HelperFunctions!$R67</f>
        <v>#VALUE!</v>
      </c>
      <c r="EY63" t="e">
        <f>EZ62*'Current vaccine model'!$H63*Export!$L61</f>
        <v>#VALUE!</v>
      </c>
      <c r="EZ63" s="84" t="e">
        <f t="shared" si="50"/>
        <v>#VALUE!</v>
      </c>
      <c r="FA63" t="e">
        <f>FC62*'Current vaccine model'!$H63*HelperFunctions!$R66</f>
        <v>#VALUE!</v>
      </c>
      <c r="FB63" t="e">
        <f>FC62*'Current vaccine model'!$H63*Export!$L61</f>
        <v>#VALUE!</v>
      </c>
      <c r="FC63" s="84" t="e">
        <f t="shared" si="51"/>
        <v>#VALUE!</v>
      </c>
      <c r="FD63" t="e">
        <f>FF62*'Current vaccine model'!$H63*HelperFunctions!$R65</f>
        <v>#VALUE!</v>
      </c>
      <c r="FE63" t="e">
        <f>FF62*'Current vaccine model'!$H63*Export!$L61</f>
        <v>#VALUE!</v>
      </c>
      <c r="FF63" s="84" t="e">
        <f t="shared" si="52"/>
        <v>#VALUE!</v>
      </c>
      <c r="FG63" t="e">
        <f>FI62*'Current vaccine model'!$H63*HelperFunctions!$R64</f>
        <v>#VALUE!</v>
      </c>
      <c r="FH63" t="e">
        <f>FI62*'Current vaccine model'!$H63*Export!$L61</f>
        <v>#VALUE!</v>
      </c>
      <c r="FI63" s="84" t="e">
        <f t="shared" si="53"/>
        <v>#VALUE!</v>
      </c>
      <c r="FJ63" t="e">
        <f>FL62*'Current vaccine model'!$H63*HelperFunctions!$R63</f>
        <v>#VALUE!</v>
      </c>
      <c r="FK63" t="e">
        <f>FL62*'Current vaccine model'!$H63*Export!$L61</f>
        <v>#VALUE!</v>
      </c>
      <c r="FL63" s="84" t="e">
        <f t="shared" si="54"/>
        <v>#VALUE!</v>
      </c>
      <c r="FM63" t="e">
        <f>FO62*'Current vaccine model'!$H63*HelperFunctions!$R62</f>
        <v>#VALUE!</v>
      </c>
      <c r="FN63" t="e">
        <f>FO62*'Current vaccine model'!$H63*Export!$L61</f>
        <v>#VALUE!</v>
      </c>
      <c r="FO63" s="84" t="e">
        <f t="shared" si="55"/>
        <v>#VALUE!</v>
      </c>
      <c r="FP63" t="e">
        <f>FR62*'Current vaccine model'!$H63*HelperFunctions!$R61</f>
        <v>#VALUE!</v>
      </c>
      <c r="FQ63" t="e">
        <f>FR62*'Current vaccine model'!$H63*Export!$L61</f>
        <v>#VALUE!</v>
      </c>
      <c r="FR63" s="84" t="e">
        <f t="shared" si="56"/>
        <v>#VALUE!</v>
      </c>
      <c r="FS63" t="e">
        <f>FU62*'Current vaccine model'!$H63*HelperFunctions!$R60</f>
        <v>#VALUE!</v>
      </c>
      <c r="FT63" t="e">
        <f>FU62*'Current vaccine model'!$H63*Export!$L61</f>
        <v>#VALUE!</v>
      </c>
      <c r="FU63" s="84" t="e">
        <f>FU62-FS63-FT63</f>
        <v>#VALUE!</v>
      </c>
      <c r="FV63" t="e">
        <f>FX62*'Current vaccine model'!$H63*HelperFunctions!$R59</f>
        <v>#VALUE!</v>
      </c>
      <c r="FW63" t="e">
        <f>FX62*'Current vaccine model'!$H63*Export!$L61</f>
        <v>#VALUE!</v>
      </c>
      <c r="FX63" s="84" t="e">
        <f>FX62-FV63-FW63</f>
        <v>#VALUE!</v>
      </c>
      <c r="FY63" s="93"/>
      <c r="FZ63" s="93"/>
      <c r="GA63" s="84" t="e">
        <f>Export!$N61*Export!$B61*(1-HelperFunctions!$G$59)</f>
        <v>#VALUE!</v>
      </c>
    </row>
  </sheetData>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theme="4" tint="-0.249977111117893"/>
  </sheetPr>
  <dimension ref="A1:AS65"/>
  <sheetViews>
    <sheetView topLeftCell="J3" zoomScale="85" zoomScaleNormal="85" workbookViewId="0">
      <selection activeCell="W16" sqref="W16:W63"/>
    </sheetView>
  </sheetViews>
  <sheetFormatPr defaultColWidth="10.90625" defaultRowHeight="14.5" x14ac:dyDescent="0.35"/>
  <cols>
    <col min="2" max="2" width="15.54296875" customWidth="1"/>
    <col min="3" max="14" width="20.1796875" customWidth="1"/>
    <col min="15" max="26" width="19.54296875" customWidth="1"/>
    <col min="27" max="79" width="20.1796875" customWidth="1"/>
  </cols>
  <sheetData>
    <row r="1" spans="1:45" ht="15.75" customHeight="1" x14ac:dyDescent="0.35"/>
    <row r="2" spans="1:45" ht="25.4" customHeight="1" x14ac:dyDescent="0.5">
      <c r="A2" s="344"/>
      <c r="B2" s="345"/>
      <c r="C2" s="359" t="s">
        <v>311</v>
      </c>
      <c r="D2" s="360"/>
      <c r="E2" s="360"/>
      <c r="F2" s="360"/>
      <c r="G2" s="360"/>
      <c r="H2" s="360"/>
      <c r="I2" s="360"/>
      <c r="J2" s="360"/>
      <c r="K2" s="360"/>
      <c r="L2" s="360"/>
      <c r="M2" s="360"/>
      <c r="N2" s="360"/>
      <c r="O2" s="360"/>
      <c r="P2" s="360"/>
      <c r="Q2" s="360"/>
      <c r="R2" s="360"/>
      <c r="S2" s="360"/>
      <c r="T2" s="360"/>
      <c r="U2" s="361"/>
      <c r="V2" s="352" t="s">
        <v>312</v>
      </c>
      <c r="W2" s="353"/>
      <c r="X2" s="353"/>
      <c r="Y2" s="353"/>
      <c r="Z2" s="353"/>
      <c r="AA2" s="354"/>
      <c r="AC2" s="355" t="s">
        <v>282</v>
      </c>
      <c r="AD2" s="340"/>
      <c r="AE2" s="340"/>
      <c r="AF2" s="340"/>
      <c r="AG2" s="356"/>
      <c r="AH2" s="339" t="s">
        <v>283</v>
      </c>
      <c r="AI2" s="340"/>
      <c r="AJ2" s="340"/>
      <c r="AK2" s="340"/>
      <c r="AL2" s="341"/>
      <c r="AM2" s="339" t="s">
        <v>284</v>
      </c>
      <c r="AN2" s="340"/>
      <c r="AO2" s="340"/>
      <c r="AP2" s="340"/>
      <c r="AQ2" s="341"/>
    </row>
    <row r="3" spans="1:45" ht="61.5" customHeight="1" x14ac:dyDescent="0.35">
      <c r="A3" s="118" t="s">
        <v>153</v>
      </c>
      <c r="B3" s="118" t="s">
        <v>64</v>
      </c>
      <c r="C3" s="242" t="s">
        <v>285</v>
      </c>
      <c r="D3" s="171" t="s">
        <v>28</v>
      </c>
      <c r="E3" s="172" t="s">
        <v>293</v>
      </c>
      <c r="F3" s="173" t="s">
        <v>294</v>
      </c>
      <c r="G3" s="171" t="s">
        <v>215</v>
      </c>
      <c r="H3" s="173" t="s">
        <v>291</v>
      </c>
      <c r="I3" s="171" t="s">
        <v>295</v>
      </c>
      <c r="J3" s="172" t="s">
        <v>296</v>
      </c>
      <c r="K3" s="172" t="s">
        <v>297</v>
      </c>
      <c r="L3" s="172" t="s">
        <v>298</v>
      </c>
      <c r="M3" s="172" t="s">
        <v>299</v>
      </c>
      <c r="N3" s="172" t="s">
        <v>300</v>
      </c>
      <c r="O3" s="173" t="s">
        <v>301</v>
      </c>
      <c r="P3" s="171" t="s">
        <v>302</v>
      </c>
      <c r="Q3" s="172" t="s">
        <v>303</v>
      </c>
      <c r="R3" s="172" t="s">
        <v>304</v>
      </c>
      <c r="S3" s="172" t="s">
        <v>305</v>
      </c>
      <c r="T3" s="172" t="s">
        <v>306</v>
      </c>
      <c r="U3" s="172" t="s">
        <v>307</v>
      </c>
      <c r="V3" s="174" t="s">
        <v>290</v>
      </c>
      <c r="W3" s="175" t="s">
        <v>215</v>
      </c>
      <c r="X3" s="175" t="s">
        <v>286</v>
      </c>
      <c r="Y3" s="175" t="s">
        <v>287</v>
      </c>
      <c r="Z3" s="175" t="s">
        <v>288</v>
      </c>
      <c r="AA3" s="176" t="s">
        <v>289</v>
      </c>
      <c r="AC3" s="128" t="s">
        <v>215</v>
      </c>
      <c r="AD3" s="129" t="s">
        <v>286</v>
      </c>
      <c r="AE3" s="129" t="s">
        <v>308</v>
      </c>
      <c r="AF3" s="129" t="s">
        <v>289</v>
      </c>
      <c r="AG3" s="129" t="s">
        <v>309</v>
      </c>
      <c r="AH3" s="128" t="s">
        <v>215</v>
      </c>
      <c r="AI3" s="129" t="s">
        <v>286</v>
      </c>
      <c r="AJ3" s="129" t="s">
        <v>308</v>
      </c>
      <c r="AK3" s="129" t="s">
        <v>289</v>
      </c>
      <c r="AL3" s="129" t="s">
        <v>309</v>
      </c>
      <c r="AM3" s="128" t="s">
        <v>215</v>
      </c>
      <c r="AN3" s="129" t="s">
        <v>286</v>
      </c>
      <c r="AO3" s="129" t="s">
        <v>308</v>
      </c>
      <c r="AP3" s="129" t="s">
        <v>289</v>
      </c>
      <c r="AQ3" s="129" t="s">
        <v>309</v>
      </c>
    </row>
    <row r="4" spans="1:45" x14ac:dyDescent="0.35">
      <c r="A4" s="130">
        <f>EffectivelyVax!B3</f>
        <v>0</v>
      </c>
      <c r="B4" s="131">
        <f>EffectivelyVax!C3</f>
        <v>0</v>
      </c>
      <c r="C4" s="132">
        <f>Export!N2</f>
        <v>0</v>
      </c>
      <c r="D4" s="177">
        <f>Export!B2</f>
        <v>0</v>
      </c>
      <c r="E4" s="178">
        <f>C4*D4*HelperFunctions!G$3</f>
        <v>0</v>
      </c>
      <c r="F4" s="179">
        <f>C4*D4*(1-HelperFunctions!G$3)</f>
        <v>0</v>
      </c>
      <c r="G4" s="180">
        <f>Export!C2</f>
        <v>0</v>
      </c>
      <c r="H4" s="181" t="e">
        <f>G4/C4</f>
        <v>#DIV/0!</v>
      </c>
      <c r="I4" s="182" t="e">
        <f>C4-M4-E4-F4+J4</f>
        <v>#VALUE!</v>
      </c>
      <c r="J4" s="153">
        <f>SUM(EffectivelyVax!D3:BK3)</f>
        <v>0</v>
      </c>
      <c r="K4" s="183">
        <f>G4-Q4</f>
        <v>0</v>
      </c>
      <c r="L4" s="184" t="e">
        <f>K4*Export!L2</f>
        <v>#VALUE!</v>
      </c>
      <c r="M4" s="185" t="e">
        <f>K4+L4</f>
        <v>#VALUE!</v>
      </c>
      <c r="N4" s="178" t="e">
        <f>IF(Export!M2&lt;&gt;"",K4*Export!K2*(1/Export!M2),K4*Export!K2)</f>
        <v>#VALUE!</v>
      </c>
      <c r="O4" s="154" t="e">
        <f>M4*Export!J2</f>
        <v>#VALUE!</v>
      </c>
      <c r="P4" s="186">
        <f>SUM('NotEffectivelyVax (current)'!F4,'NotEffectivelyVax (current)'!I4,'NotEffectivelyVax (current)'!L4,'NotEffectivelyVax (current)'!O4,'NotEffectivelyVax (current)'!R4,'NotEffectivelyVax (current)'!U4,'NotEffectivelyVax (current)'!X4,'NotEffectivelyVax (current)'!AA4,'NotEffectivelyVax (current)'!AD4,'NotEffectivelyVax (current)'!AG4,'NotEffectivelyVax (current)'!AJ4,'NotEffectivelyVax (current)'!AM4,'NotEffectivelyVax (current)'!AP4,'NotEffectivelyVax (current)'!AS4,'NotEffectivelyVax (current)'!AV4,'NotEffectivelyVax (current)'!AY4,'NotEffectivelyVax (current)'!BB4,'NotEffectivelyVax (current)'!BE4,'NotEffectivelyVax (current)'!BH4,'NotEffectivelyVax (current)'!BK4,'NotEffectivelyVax (current)'!BN4,'NotEffectivelyVax (current)'!BQ4,'NotEffectivelyVax (current)'!BT4,'NotEffectivelyVax (current)'!BW4,'NotEffectivelyVax (current)'!BZ4,'NotEffectivelyVax (current)'!CC4,'NotEffectivelyVax (current)'!CF4,'NotEffectivelyVax (current)'!CI4,'NotEffectivelyVax (current)'!CL4,'NotEffectivelyVax (current)'!CO4,'NotEffectivelyVax (current)'!CR4,'NotEffectivelyVax (current)'!CU4,'NotEffectivelyVax (current)'!CX4,'NotEffectivelyVax (current)'!DA4,'NotEffectivelyVax (current)'!DD4,'NotEffectivelyVax (current)'!DG4,'NotEffectivelyVax (current)'!DJ4,'NotEffectivelyVax (current)'!DM4,'NotEffectivelyVax (current)'!DP4,'NotEffectivelyVax (current)'!DS4,'NotEffectivelyVax (current)'!DV4,'NotEffectivelyVax (current)'!DY4,'NotEffectivelyVax (current)'!EB4,'NotEffectivelyVax (current)'!EE4,'NotEffectivelyVax (current)'!EH4,'NotEffectivelyVax (current)'!EK4,'NotEffectivelyVax (current)'!EN4,'NotEffectivelyVax (current)'!EQ4,'NotEffectivelyVax (current)'!ET4,'NotEffectivelyVax (current)'!EW4,'NotEffectivelyVax (current)'!EZ4,'NotEffectivelyVax (current)'!FC4,'NotEffectivelyVax (current)'!FF4,'NotEffectivelyVax (current)'!FI4,'NotEffectivelyVax (current)'!FL4,'NotEffectivelyVax (current)'!FO4,'NotEffectivelyVax (current)'!FR4,'NotEffectivelyVax (current)'!FU4,'NotEffectivelyVax (current)'!FX4,'NotEffectivelyVax (current)'!GA4)</f>
        <v>0</v>
      </c>
      <c r="Q4" s="155">
        <f>SUM('NotEffectivelyVax (current)'!D4,'NotEffectivelyVax (current)'!G4,'NotEffectivelyVax (current)'!J4,'NotEffectivelyVax (current)'!M4,'NotEffectivelyVax (current)'!P4,'NotEffectivelyVax (current)'!S4,'NotEffectivelyVax (current)'!V4,'NotEffectivelyVax (current)'!Y4,'NotEffectivelyVax (current)'!AB4,'NotEffectivelyVax (current)'!AE4,'NotEffectivelyVax (current)'!AH4,'NotEffectivelyVax (current)'!AK4,'NotEffectivelyVax (current)'!AN4,'NotEffectivelyVax (current)'!AQ4,'NotEffectivelyVax (current)'!AT4,'NotEffectivelyVax (current)'!AW4,'NotEffectivelyVax (current)'!AZ4,'NotEffectivelyVax (current)'!BC4,'NotEffectivelyVax (current)'!BF4,'NotEffectivelyVax (current)'!BI4,'NotEffectivelyVax (current)'!BL4,'NotEffectivelyVax (current)'!BO4,'NotEffectivelyVax (current)'!BR4,'NotEffectivelyVax (current)'!BU4,'NotEffectivelyVax (current)'!BX4,'NotEffectivelyVax (current)'!CA4,'NotEffectivelyVax (current)'!CD4,'NotEffectivelyVax (current)'!CG4,'NotEffectivelyVax (current)'!CJ4,'NotEffectivelyVax (current)'!CM4,'NotEffectivelyVax (current)'!CP4,'NotEffectivelyVax (current)'!CS4,'NotEffectivelyVax (current)'!CV4,'NotEffectivelyVax (current)'!CY4,'NotEffectivelyVax (current)'!DB4,'NotEffectivelyVax (current)'!DE4,'NotEffectivelyVax (current)'!DH4,'NotEffectivelyVax (current)'!DK4,'NotEffectivelyVax (current)'!DN4,'NotEffectivelyVax (current)'!DQ4,'NotEffectivelyVax (current)'!DT4,'NotEffectivelyVax (current)'!DW4,'NotEffectivelyVax (current)'!DZ4,'NotEffectivelyVax (current)'!EC4,'NotEffectivelyVax (current)'!EF4,'NotEffectivelyVax (current)'!EI4,'NotEffectivelyVax (current)'!EL4,'NotEffectivelyVax (current)'!EO4,'NotEffectivelyVax (current)'!ER4,'NotEffectivelyVax (current)'!EU4,'NotEffectivelyVax (current)'!EX4,'NotEffectivelyVax (current)'!FA4,'NotEffectivelyVax (current)'!FD4,'NotEffectivelyVax (current)'!FG4,'NotEffectivelyVax (current)'!FJ4,'NotEffectivelyVax (current)'!FM4,'NotEffectivelyVax (current)'!FP4,'NotEffectivelyVax (current)'!FS4,'NotEffectivelyVax (current)'!FV4,'NotEffectivelyVax (current)'!FY4)</f>
        <v>0</v>
      </c>
      <c r="R4" s="155">
        <f>SUM('NotEffectivelyVax (current)'!E4,'NotEffectivelyVax (current)'!H4,'NotEffectivelyVax (current)'!K4,'NotEffectivelyVax (current)'!N4,'NotEffectivelyVax (current)'!Q4,'NotEffectivelyVax (current)'!T4,'NotEffectivelyVax (current)'!W4,'NotEffectivelyVax (current)'!Z4,'NotEffectivelyVax (current)'!AC4,'NotEffectivelyVax (current)'!AF4,'NotEffectivelyVax (current)'!AI4,'NotEffectivelyVax (current)'!AL4,'NotEffectivelyVax (current)'!AO4,'NotEffectivelyVax (current)'!AR4,'NotEffectivelyVax (current)'!AU4,'NotEffectivelyVax (current)'!AX4,'NotEffectivelyVax (current)'!BA4,'NotEffectivelyVax (current)'!BD4,'NotEffectivelyVax (current)'!BG4,'NotEffectivelyVax (current)'!BJ4,'NotEffectivelyVax (current)'!BM4,'NotEffectivelyVax (current)'!BP4,'NotEffectivelyVax (current)'!BS4,'NotEffectivelyVax (current)'!BV4,'NotEffectivelyVax (current)'!BY4,'NotEffectivelyVax (current)'!CB4,'NotEffectivelyVax (current)'!CE4,'NotEffectivelyVax (current)'!CH4,'NotEffectivelyVax (current)'!CK4,'NotEffectivelyVax (current)'!CN4,'NotEffectivelyVax (current)'!CQ4,'NotEffectivelyVax (current)'!CT4,'NotEffectivelyVax (current)'!CW4,'NotEffectivelyVax (current)'!CZ4,'NotEffectivelyVax (current)'!DC4,'NotEffectivelyVax (current)'!DF4,'NotEffectivelyVax (current)'!DI4,'NotEffectivelyVax (current)'!DL4,'NotEffectivelyVax (current)'!DO4,'NotEffectivelyVax (current)'!DR4,'NotEffectivelyVax (current)'!DU4,'NotEffectivelyVax (current)'!DX4,'NotEffectivelyVax (current)'!EA4,'NotEffectivelyVax (current)'!ED4,'NotEffectivelyVax (current)'!EG4,'NotEffectivelyVax (current)'!EJ4,'NotEffectivelyVax (current)'!EM4,'NotEffectivelyVax (current)'!EP4,'NotEffectivelyVax (current)'!ES4,'NotEffectivelyVax (current)'!EV4,'NotEffectivelyVax (current)'!EY4,'NotEffectivelyVax (current)'!FB4,'NotEffectivelyVax (current)'!FE4,'NotEffectivelyVax (current)'!FH4,'NotEffectivelyVax (current)'!FK4,'NotEffectivelyVax (current)'!FN4,'NotEffectivelyVax (current)'!FQ4,'NotEffectivelyVax (current)'!FT4,'NotEffectivelyVax (current)'!FW4,'NotEffectivelyVax (current)'!FZ4)</f>
        <v>0</v>
      </c>
      <c r="S4" s="155">
        <f>Q4+R4</f>
        <v>0</v>
      </c>
      <c r="T4" s="187" t="e">
        <f>IF(Export!M2&lt;&gt;"",Q4*Export!K2*(1/Export!M2),Q4*Export!K2)</f>
        <v>#VALUE!</v>
      </c>
      <c r="U4" s="188" t="e">
        <f>S4*Export!J2</f>
        <v>#VALUE!</v>
      </c>
      <c r="V4" s="189" t="e">
        <f>C4-Y4</f>
        <v>#DIV/0!</v>
      </c>
      <c r="W4" s="190" t="e">
        <f>H4*C4</f>
        <v>#DIV/0!</v>
      </c>
      <c r="X4" s="190" t="e">
        <f>H4*Export!L2*C4</f>
        <v>#DIV/0!</v>
      </c>
      <c r="Y4" s="190" t="e">
        <f>W4+X4</f>
        <v>#DIV/0!</v>
      </c>
      <c r="Z4" s="190" t="e">
        <f>IF(Export!M2&lt;&gt;"",W4*Export!K2*(1/Export!M2),W4*Export!K2)</f>
        <v>#DIV/0!</v>
      </c>
      <c r="AA4" s="190" t="e">
        <f>Y4*Export!J2</f>
        <v>#DIV/0!</v>
      </c>
      <c r="AB4" s="144"/>
      <c r="AC4" s="143" t="e">
        <f>W4-(K4+Q4)</f>
        <v>#DIV/0!</v>
      </c>
      <c r="AD4" s="144" t="e">
        <f>X4-(L4+R4)</f>
        <v>#DIV/0!</v>
      </c>
      <c r="AE4" s="144" t="e">
        <f>Z4-(N4+T4)</f>
        <v>#DIV/0!</v>
      </c>
      <c r="AF4" s="144" t="e">
        <f>AA4-(O4+U4)</f>
        <v>#DIV/0!</v>
      </c>
      <c r="AG4" s="144" t="e">
        <f>AC4+AD4</f>
        <v>#DIV/0!</v>
      </c>
      <c r="AH4" s="145"/>
      <c r="AI4" s="145"/>
      <c r="AJ4" s="145"/>
      <c r="AK4" s="145"/>
      <c r="AL4" s="146"/>
      <c r="AM4" s="145"/>
      <c r="AN4" s="145"/>
      <c r="AO4" s="145"/>
      <c r="AP4" s="145"/>
      <c r="AQ4" s="146"/>
      <c r="AR4" s="144"/>
      <c r="AS4" s="79"/>
    </row>
    <row r="5" spans="1:45" x14ac:dyDescent="0.35">
      <c r="A5" s="130">
        <f>EffectivelyVax!B4</f>
        <v>0</v>
      </c>
      <c r="B5" s="131">
        <f>EffectivelyVax!C4</f>
        <v>0</v>
      </c>
      <c r="C5" s="132">
        <f>Export!N3</f>
        <v>0</v>
      </c>
      <c r="D5" s="177">
        <f>Export!B3</f>
        <v>0</v>
      </c>
      <c r="E5" s="178">
        <f>C5*D5*HelperFunctions!G$3</f>
        <v>0</v>
      </c>
      <c r="F5" s="179">
        <f>C5*D5*(1-HelperFunctions!G$3)</f>
        <v>0</v>
      </c>
      <c r="G5" s="180">
        <f>Export!C3</f>
        <v>0</v>
      </c>
      <c r="H5" s="191" t="e">
        <f>G5/(I4+'NotEffectivelyVax (current)'!F4*HelperFunctions!R3)</f>
        <v>#VALUE!</v>
      </c>
      <c r="I5" s="192" t="e">
        <f>I4-M5-E5-F5+J5</f>
        <v>#VALUE!</v>
      </c>
      <c r="J5" s="153">
        <f>SUM(EffectivelyVax!D4:BK4)</f>
        <v>0</v>
      </c>
      <c r="K5" s="193" t="e">
        <f>G5-Q5</f>
        <v>#VALUE!</v>
      </c>
      <c r="L5" s="194" t="e">
        <f>I4*H5*Export!L3</f>
        <v>#VALUE!</v>
      </c>
      <c r="M5" s="195" t="e">
        <f t="shared" ref="M5:M63" si="0">K5+L5</f>
        <v>#VALUE!</v>
      </c>
      <c r="N5" s="178" t="e">
        <f>IF(Export!M3&lt;&gt;"",K5*Export!K3*(1/Export!M3),K5*Export!K3)</f>
        <v>#VALUE!</v>
      </c>
      <c r="O5" s="154" t="e">
        <f>M5*Export!J3</f>
        <v>#VALUE!</v>
      </c>
      <c r="P5" s="186" t="e">
        <f>SUM('NotEffectivelyVax (current)'!F5,'NotEffectivelyVax (current)'!I5,'NotEffectivelyVax (current)'!L5,'NotEffectivelyVax (current)'!O5,'NotEffectivelyVax (current)'!R5,'NotEffectivelyVax (current)'!U5,'NotEffectivelyVax (current)'!X5,'NotEffectivelyVax (current)'!AA5,'NotEffectivelyVax (current)'!AD5,'NotEffectivelyVax (current)'!AG5,'NotEffectivelyVax (current)'!AJ5,'NotEffectivelyVax (current)'!AM5,'NotEffectivelyVax (current)'!AP5,'NotEffectivelyVax (current)'!AS5,'NotEffectivelyVax (current)'!AV5,'NotEffectivelyVax (current)'!AY5,'NotEffectivelyVax (current)'!BB5,'NotEffectivelyVax (current)'!BE5,'NotEffectivelyVax (current)'!BH5,'NotEffectivelyVax (current)'!BK5,'NotEffectivelyVax (current)'!BN5,'NotEffectivelyVax (current)'!BQ5,'NotEffectivelyVax (current)'!BT5,'NotEffectivelyVax (current)'!BW5,'NotEffectivelyVax (current)'!BZ5,'NotEffectivelyVax (current)'!CC5,'NotEffectivelyVax (current)'!CF5,'NotEffectivelyVax (current)'!CI5,'NotEffectivelyVax (current)'!CL5,'NotEffectivelyVax (current)'!CO5,'NotEffectivelyVax (current)'!CR5,'NotEffectivelyVax (current)'!CU5,'NotEffectivelyVax (current)'!CX5,'NotEffectivelyVax (current)'!DA5,'NotEffectivelyVax (current)'!DD5,'NotEffectivelyVax (current)'!DG5,'NotEffectivelyVax (current)'!DJ5,'NotEffectivelyVax (current)'!DM5,'NotEffectivelyVax (current)'!DP5,'NotEffectivelyVax (current)'!DS5,'NotEffectivelyVax (current)'!DV5,'NotEffectivelyVax (current)'!DY5,'NotEffectivelyVax (current)'!EB5,'NotEffectivelyVax (current)'!EE5,'NotEffectivelyVax (current)'!EH5,'NotEffectivelyVax (current)'!EK5,'NotEffectivelyVax (current)'!EN5,'NotEffectivelyVax (current)'!EQ5,'NotEffectivelyVax (current)'!ET5,'NotEffectivelyVax (current)'!EW5,'NotEffectivelyVax (current)'!EZ5,'NotEffectivelyVax (current)'!FC5,'NotEffectivelyVax (current)'!FF5,'NotEffectivelyVax (current)'!FI5,'NotEffectivelyVax (current)'!FL5,'NotEffectivelyVax (current)'!FO5,'NotEffectivelyVax (current)'!FR5,'NotEffectivelyVax (current)'!FU5,'NotEffectivelyVax (current)'!FX5,'NotEffectivelyVax (current)'!GA5)</f>
        <v>#VALUE!</v>
      </c>
      <c r="Q5" s="155" t="e">
        <f>SUM('NotEffectivelyVax (current)'!D5,'NotEffectivelyVax (current)'!G5,'NotEffectivelyVax (current)'!J5,'NotEffectivelyVax (current)'!M5,'NotEffectivelyVax (current)'!P5,'NotEffectivelyVax (current)'!S5,'NotEffectivelyVax (current)'!V5,'NotEffectivelyVax (current)'!Y5,'NotEffectivelyVax (current)'!AB5,'NotEffectivelyVax (current)'!AE5,'NotEffectivelyVax (current)'!AH5,'NotEffectivelyVax (current)'!AK5,'NotEffectivelyVax (current)'!AN5,'NotEffectivelyVax (current)'!AQ5,'NotEffectivelyVax (current)'!AT5,'NotEffectivelyVax (current)'!AW5,'NotEffectivelyVax (current)'!AZ5,'NotEffectivelyVax (current)'!BC5,'NotEffectivelyVax (current)'!BF5,'NotEffectivelyVax (current)'!BI5,'NotEffectivelyVax (current)'!BL5,'NotEffectivelyVax (current)'!BO5,'NotEffectivelyVax (current)'!BR5,'NotEffectivelyVax (current)'!BU5,'NotEffectivelyVax (current)'!BX5,'NotEffectivelyVax (current)'!CA5,'NotEffectivelyVax (current)'!CD5,'NotEffectivelyVax (current)'!CG5,'NotEffectivelyVax (current)'!CJ5,'NotEffectivelyVax (current)'!CM5,'NotEffectivelyVax (current)'!CP5,'NotEffectivelyVax (current)'!CS5,'NotEffectivelyVax (current)'!CV5,'NotEffectivelyVax (current)'!CY5,'NotEffectivelyVax (current)'!DB5,'NotEffectivelyVax (current)'!DE5,'NotEffectivelyVax (current)'!DH5,'NotEffectivelyVax (current)'!DK5,'NotEffectivelyVax (current)'!DN5,'NotEffectivelyVax (current)'!DQ5,'NotEffectivelyVax (current)'!DT5,'NotEffectivelyVax (current)'!DW5,'NotEffectivelyVax (current)'!DZ5,'NotEffectivelyVax (current)'!EC5,'NotEffectivelyVax (current)'!EF5,'NotEffectivelyVax (current)'!EI5,'NotEffectivelyVax (current)'!EL5,'NotEffectivelyVax (current)'!EO5,'NotEffectivelyVax (current)'!ER5,'NotEffectivelyVax (current)'!EU5,'NotEffectivelyVax (current)'!EX5,'NotEffectivelyVax (current)'!FA5,'NotEffectivelyVax (current)'!FD5,'NotEffectivelyVax (current)'!FG5,'NotEffectivelyVax (current)'!FJ5,'NotEffectivelyVax (current)'!FM5,'NotEffectivelyVax (current)'!FP5,'NotEffectivelyVax (current)'!FS5,'NotEffectivelyVax (current)'!FV5,'NotEffectivelyVax (current)'!FY5)</f>
        <v>#VALUE!</v>
      </c>
      <c r="R5" s="155" t="e">
        <f>SUM('NotEffectivelyVax (current)'!E5,'NotEffectivelyVax (current)'!H5,'NotEffectivelyVax (current)'!K5,'NotEffectivelyVax (current)'!N5,'NotEffectivelyVax (current)'!Q5,'NotEffectivelyVax (current)'!T5,'NotEffectivelyVax (current)'!W5,'NotEffectivelyVax (current)'!Z5,'NotEffectivelyVax (current)'!AC5,'NotEffectivelyVax (current)'!AF5,'NotEffectivelyVax (current)'!AI5,'NotEffectivelyVax (current)'!AL5,'NotEffectivelyVax (current)'!AO5,'NotEffectivelyVax (current)'!AR5,'NotEffectivelyVax (current)'!AU5,'NotEffectivelyVax (current)'!AX5,'NotEffectivelyVax (current)'!BA5,'NotEffectivelyVax (current)'!BD5,'NotEffectivelyVax (current)'!BG5,'NotEffectivelyVax (current)'!BJ5,'NotEffectivelyVax (current)'!BM5,'NotEffectivelyVax (current)'!BP5,'NotEffectivelyVax (current)'!BS5,'NotEffectivelyVax (current)'!BV5,'NotEffectivelyVax (current)'!BY5,'NotEffectivelyVax (current)'!CB5,'NotEffectivelyVax (current)'!CE5,'NotEffectivelyVax (current)'!CH5,'NotEffectivelyVax (current)'!CK5,'NotEffectivelyVax (current)'!CN5,'NotEffectivelyVax (current)'!CQ5,'NotEffectivelyVax (current)'!CT5,'NotEffectivelyVax (current)'!CW5,'NotEffectivelyVax (current)'!CZ5,'NotEffectivelyVax (current)'!DC5,'NotEffectivelyVax (current)'!DF5,'NotEffectivelyVax (current)'!DI5,'NotEffectivelyVax (current)'!DL5,'NotEffectivelyVax (current)'!DO5,'NotEffectivelyVax (current)'!DR5,'NotEffectivelyVax (current)'!DU5,'NotEffectivelyVax (current)'!DX5,'NotEffectivelyVax (current)'!EA5,'NotEffectivelyVax (current)'!ED5,'NotEffectivelyVax (current)'!EG5,'NotEffectivelyVax (current)'!EJ5,'NotEffectivelyVax (current)'!EM5,'NotEffectivelyVax (current)'!EP5,'NotEffectivelyVax (current)'!ES5,'NotEffectivelyVax (current)'!EV5,'NotEffectivelyVax (current)'!EY5,'NotEffectivelyVax (current)'!FB5,'NotEffectivelyVax (current)'!FE5,'NotEffectivelyVax (current)'!FH5,'NotEffectivelyVax (current)'!FK5,'NotEffectivelyVax (current)'!FN5,'NotEffectivelyVax (current)'!FQ5,'NotEffectivelyVax (current)'!FT5,'NotEffectivelyVax (current)'!FW5,'NotEffectivelyVax (current)'!FZ5)</f>
        <v>#VALUE!</v>
      </c>
      <c r="S5" s="138" t="e">
        <f>Q5+R5</f>
        <v>#VALUE!</v>
      </c>
      <c r="T5" s="187" t="e">
        <f>IF(Export!M3&lt;&gt;"",Q5*Export!K3*(1/Export!M3),Q5*Export!K3)</f>
        <v>#VALUE!</v>
      </c>
      <c r="U5" s="188" t="e">
        <f>S5*Export!J3</f>
        <v>#VALUE!</v>
      </c>
      <c r="V5" s="196" t="e">
        <f>V4-Y5</f>
        <v>#DIV/0!</v>
      </c>
      <c r="W5" s="197" t="e">
        <f>H5*V4</f>
        <v>#VALUE!</v>
      </c>
      <c r="X5" s="190" t="e">
        <f>H5*Export!L3*V4</f>
        <v>#VALUE!</v>
      </c>
      <c r="Y5" s="190" t="e">
        <f t="shared" ref="Y5:Y63" si="1">W5+X5</f>
        <v>#VALUE!</v>
      </c>
      <c r="Z5" s="190" t="e">
        <f>IF(Export!M3&lt;&gt;"",W5*Export!K3*(1/Export!M3),W5*Export!K3)</f>
        <v>#VALUE!</v>
      </c>
      <c r="AA5" s="190" t="e">
        <f>Y5*Export!J3</f>
        <v>#VALUE!</v>
      </c>
      <c r="AB5" s="144"/>
      <c r="AC5" s="143" t="e">
        <f t="shared" ref="AC5:AD28" si="2">W5-(K5+Q5)</f>
        <v>#VALUE!</v>
      </c>
      <c r="AD5" s="144" t="e">
        <f t="shared" si="2"/>
        <v>#VALUE!</v>
      </c>
      <c r="AE5" s="144" t="e">
        <f t="shared" ref="AE5:AF28" si="3">Z5-(N5+T5)</f>
        <v>#VALUE!</v>
      </c>
      <c r="AF5" s="144" t="e">
        <f t="shared" si="3"/>
        <v>#VALUE!</v>
      </c>
      <c r="AG5" s="144" t="e">
        <f t="shared" ref="AG5:AG63" si="4">AC5+AD5</f>
        <v>#VALUE!</v>
      </c>
      <c r="AH5" s="145"/>
      <c r="AI5" s="145"/>
      <c r="AJ5" s="145"/>
      <c r="AK5" s="145"/>
      <c r="AL5" s="146"/>
      <c r="AM5" s="145"/>
      <c r="AN5" s="145"/>
      <c r="AO5" s="145"/>
      <c r="AP5" s="145"/>
      <c r="AQ5" s="146"/>
      <c r="AR5" s="144"/>
    </row>
    <row r="6" spans="1:45" x14ac:dyDescent="0.35">
      <c r="A6" s="130">
        <f>EffectivelyVax!B5</f>
        <v>0</v>
      </c>
      <c r="B6" s="131">
        <f>EffectivelyVax!C5</f>
        <v>0</v>
      </c>
      <c r="C6" s="132">
        <f>Export!N4</f>
        <v>0</v>
      </c>
      <c r="D6" s="177">
        <f>Export!B4</f>
        <v>0</v>
      </c>
      <c r="E6" s="178">
        <f>C6*D6*HelperFunctions!G$3</f>
        <v>0</v>
      </c>
      <c r="F6" s="179">
        <f>C6*D6*(1-HelperFunctions!G$3)</f>
        <v>0</v>
      </c>
      <c r="G6" s="180">
        <f>Export!C4</f>
        <v>0</v>
      </c>
      <c r="H6" s="191" t="e">
        <f>G6/(I5+'NotEffectivelyVax (current)'!F5*HelperFunctions!R4+'NotEffectivelyVax (current)'!I5*HelperFunctions!R3)</f>
        <v>#VALUE!</v>
      </c>
      <c r="I6" s="192" t="e">
        <f>I5-M6-E6-F6+J6</f>
        <v>#VALUE!</v>
      </c>
      <c r="J6" s="153">
        <f>SUM(EffectivelyVax!D5:BK5)</f>
        <v>0</v>
      </c>
      <c r="K6" s="193" t="e">
        <f t="shared" ref="K6:K63" si="5">G6-Q6</f>
        <v>#VALUE!</v>
      </c>
      <c r="L6" s="194" t="e">
        <f>I5*H6*Export!L4</f>
        <v>#VALUE!</v>
      </c>
      <c r="M6" s="195" t="e">
        <f t="shared" si="0"/>
        <v>#VALUE!</v>
      </c>
      <c r="N6" s="178" t="e">
        <f>IF(Export!M4&lt;&gt;"",K6*Export!K4*(1/Export!M4),K6*Export!K4)</f>
        <v>#VALUE!</v>
      </c>
      <c r="O6" s="154" t="e">
        <f>M6*Export!J4</f>
        <v>#VALUE!</v>
      </c>
      <c r="P6" s="186" t="e">
        <f>SUM('NotEffectivelyVax (current)'!F6,'NotEffectivelyVax (current)'!I6,'NotEffectivelyVax (current)'!L6,'NotEffectivelyVax (current)'!O6,'NotEffectivelyVax (current)'!R6,'NotEffectivelyVax (current)'!U6,'NotEffectivelyVax (current)'!X6,'NotEffectivelyVax (current)'!AA6,'NotEffectivelyVax (current)'!AD6,'NotEffectivelyVax (current)'!AG6,'NotEffectivelyVax (current)'!AJ6,'NotEffectivelyVax (current)'!AM6,'NotEffectivelyVax (current)'!AP6,'NotEffectivelyVax (current)'!AS6,'NotEffectivelyVax (current)'!AV6,'NotEffectivelyVax (current)'!AY6,'NotEffectivelyVax (current)'!BB6,'NotEffectivelyVax (current)'!BE6,'NotEffectivelyVax (current)'!BH6,'NotEffectivelyVax (current)'!BK6,'NotEffectivelyVax (current)'!BN6,'NotEffectivelyVax (current)'!BQ6,'NotEffectivelyVax (current)'!BT6,'NotEffectivelyVax (current)'!BW6,'NotEffectivelyVax (current)'!BZ6,'NotEffectivelyVax (current)'!CC6,'NotEffectivelyVax (current)'!CF6,'NotEffectivelyVax (current)'!CI6,'NotEffectivelyVax (current)'!CL6,'NotEffectivelyVax (current)'!CO6,'NotEffectivelyVax (current)'!CR6,'NotEffectivelyVax (current)'!CU6,'NotEffectivelyVax (current)'!CX6,'NotEffectivelyVax (current)'!DA6,'NotEffectivelyVax (current)'!DD6,'NotEffectivelyVax (current)'!DG6,'NotEffectivelyVax (current)'!DJ6,'NotEffectivelyVax (current)'!DM6,'NotEffectivelyVax (current)'!DP6,'NotEffectivelyVax (current)'!DS6,'NotEffectivelyVax (current)'!DV6,'NotEffectivelyVax (current)'!DY6,'NotEffectivelyVax (current)'!EB6,'NotEffectivelyVax (current)'!EE6,'NotEffectivelyVax (current)'!EH6,'NotEffectivelyVax (current)'!EK6,'NotEffectivelyVax (current)'!EN6,'NotEffectivelyVax (current)'!EQ6,'NotEffectivelyVax (current)'!ET6,'NotEffectivelyVax (current)'!EW6,'NotEffectivelyVax (current)'!EZ6,'NotEffectivelyVax (current)'!FC6,'NotEffectivelyVax (current)'!FF6,'NotEffectivelyVax (current)'!FI6,'NotEffectivelyVax (current)'!FL6,'NotEffectivelyVax (current)'!FO6,'NotEffectivelyVax (current)'!FR6,'NotEffectivelyVax (current)'!FU6,'NotEffectivelyVax (current)'!FX6,'NotEffectivelyVax (current)'!GA6)</f>
        <v>#VALUE!</v>
      </c>
      <c r="Q6" s="155" t="e">
        <f>SUM('NotEffectivelyVax (current)'!D6,'NotEffectivelyVax (current)'!G6,'NotEffectivelyVax (current)'!J6,'NotEffectivelyVax (current)'!M6,'NotEffectivelyVax (current)'!P6,'NotEffectivelyVax (current)'!S6,'NotEffectivelyVax (current)'!V6,'NotEffectivelyVax (current)'!Y6,'NotEffectivelyVax (current)'!AB6,'NotEffectivelyVax (current)'!AE6,'NotEffectivelyVax (current)'!AH6,'NotEffectivelyVax (current)'!AK6,'NotEffectivelyVax (current)'!AN6,'NotEffectivelyVax (current)'!AQ6,'NotEffectivelyVax (current)'!AT6,'NotEffectivelyVax (current)'!AW6,'NotEffectivelyVax (current)'!AZ6,'NotEffectivelyVax (current)'!BC6,'NotEffectivelyVax (current)'!BF6,'NotEffectivelyVax (current)'!BI6,'NotEffectivelyVax (current)'!BL6,'NotEffectivelyVax (current)'!BO6,'NotEffectivelyVax (current)'!BR6,'NotEffectivelyVax (current)'!BU6,'NotEffectivelyVax (current)'!BX6,'NotEffectivelyVax (current)'!CA6,'NotEffectivelyVax (current)'!CD6,'NotEffectivelyVax (current)'!CG6,'NotEffectivelyVax (current)'!CJ6,'NotEffectivelyVax (current)'!CM6,'NotEffectivelyVax (current)'!CP6,'NotEffectivelyVax (current)'!CS6,'NotEffectivelyVax (current)'!CV6,'NotEffectivelyVax (current)'!CY6,'NotEffectivelyVax (current)'!DB6,'NotEffectivelyVax (current)'!DE6,'NotEffectivelyVax (current)'!DH6,'NotEffectivelyVax (current)'!DK6,'NotEffectivelyVax (current)'!DN6,'NotEffectivelyVax (current)'!DQ6,'NotEffectivelyVax (current)'!DT6,'NotEffectivelyVax (current)'!DW6,'NotEffectivelyVax (current)'!DZ6,'NotEffectivelyVax (current)'!EC6,'NotEffectivelyVax (current)'!EF6,'NotEffectivelyVax (current)'!EI6,'NotEffectivelyVax (current)'!EL6,'NotEffectivelyVax (current)'!EO6,'NotEffectivelyVax (current)'!ER6,'NotEffectivelyVax (current)'!EU6,'NotEffectivelyVax (current)'!EX6,'NotEffectivelyVax (current)'!FA6,'NotEffectivelyVax (current)'!FD6,'NotEffectivelyVax (current)'!FG6,'NotEffectivelyVax (current)'!FJ6,'NotEffectivelyVax (current)'!FM6,'NotEffectivelyVax (current)'!FP6,'NotEffectivelyVax (current)'!FS6,'NotEffectivelyVax (current)'!FV6,'NotEffectivelyVax (current)'!FY6)</f>
        <v>#VALUE!</v>
      </c>
      <c r="R6" s="155" t="e">
        <f>SUM('NotEffectivelyVax (current)'!E6,'NotEffectivelyVax (current)'!H6,'NotEffectivelyVax (current)'!K6,'NotEffectivelyVax (current)'!N6,'NotEffectivelyVax (current)'!Q6,'NotEffectivelyVax (current)'!T6,'NotEffectivelyVax (current)'!W6,'NotEffectivelyVax (current)'!Z6,'NotEffectivelyVax (current)'!AC6,'NotEffectivelyVax (current)'!AF6,'NotEffectivelyVax (current)'!AI6,'NotEffectivelyVax (current)'!AL6,'NotEffectivelyVax (current)'!AO6,'NotEffectivelyVax (current)'!AR6,'NotEffectivelyVax (current)'!AU6,'NotEffectivelyVax (current)'!AX6,'NotEffectivelyVax (current)'!BA6,'NotEffectivelyVax (current)'!BD6,'NotEffectivelyVax (current)'!BG6,'NotEffectivelyVax (current)'!BJ6,'NotEffectivelyVax (current)'!BM6,'NotEffectivelyVax (current)'!BP6,'NotEffectivelyVax (current)'!BS6,'NotEffectivelyVax (current)'!BV6,'NotEffectivelyVax (current)'!BY6,'NotEffectivelyVax (current)'!CB6,'NotEffectivelyVax (current)'!CE6,'NotEffectivelyVax (current)'!CH6,'NotEffectivelyVax (current)'!CK6,'NotEffectivelyVax (current)'!CN6,'NotEffectivelyVax (current)'!CQ6,'NotEffectivelyVax (current)'!CT6,'NotEffectivelyVax (current)'!CW6,'NotEffectivelyVax (current)'!CZ6,'NotEffectivelyVax (current)'!DC6,'NotEffectivelyVax (current)'!DF6,'NotEffectivelyVax (current)'!DI6,'NotEffectivelyVax (current)'!DL6,'NotEffectivelyVax (current)'!DO6,'NotEffectivelyVax (current)'!DR6,'NotEffectivelyVax (current)'!DU6,'NotEffectivelyVax (current)'!DX6,'NotEffectivelyVax (current)'!EA6,'NotEffectivelyVax (current)'!ED6,'NotEffectivelyVax (current)'!EG6,'NotEffectivelyVax (current)'!EJ6,'NotEffectivelyVax (current)'!EM6,'NotEffectivelyVax (current)'!EP6,'NotEffectivelyVax (current)'!ES6,'NotEffectivelyVax (current)'!EV6,'NotEffectivelyVax (current)'!EY6,'NotEffectivelyVax (current)'!FB6,'NotEffectivelyVax (current)'!FE6,'NotEffectivelyVax (current)'!FH6,'NotEffectivelyVax (current)'!FK6,'NotEffectivelyVax (current)'!FN6,'NotEffectivelyVax (current)'!FQ6,'NotEffectivelyVax (current)'!FT6,'NotEffectivelyVax (current)'!FW6,'NotEffectivelyVax (current)'!FZ6)</f>
        <v>#VALUE!</v>
      </c>
      <c r="S6" s="138" t="e">
        <f t="shared" ref="S6:S63" si="6">Q6+R6</f>
        <v>#VALUE!</v>
      </c>
      <c r="T6" s="187" t="e">
        <f>IF(Export!M4&lt;&gt;"",Q6*Export!K4*(1/Export!M4),Q6*Export!K4)</f>
        <v>#VALUE!</v>
      </c>
      <c r="U6" s="188" t="e">
        <f>S6*Export!J4</f>
        <v>#VALUE!</v>
      </c>
      <c r="V6" s="196" t="e">
        <f t="shared" ref="V6:V11" si="7">V5-Y6</f>
        <v>#DIV/0!</v>
      </c>
      <c r="W6" s="197" t="e">
        <f t="shared" ref="W6:W63" si="8">H6*V5</f>
        <v>#VALUE!</v>
      </c>
      <c r="X6" s="190" t="e">
        <f>H6*Export!L4*V5</f>
        <v>#VALUE!</v>
      </c>
      <c r="Y6" s="190" t="e">
        <f t="shared" si="1"/>
        <v>#VALUE!</v>
      </c>
      <c r="Z6" s="190" t="e">
        <f>IF(Export!M4&lt;&gt;"",W6*Export!K4*(1/Export!M4),W6*Export!K4)</f>
        <v>#VALUE!</v>
      </c>
      <c r="AA6" s="190" t="e">
        <f>Y6*Export!J4</f>
        <v>#VALUE!</v>
      </c>
      <c r="AB6" s="144"/>
      <c r="AC6" s="143" t="e">
        <f t="shared" si="2"/>
        <v>#VALUE!</v>
      </c>
      <c r="AD6" s="144" t="e">
        <f t="shared" si="2"/>
        <v>#VALUE!</v>
      </c>
      <c r="AE6" s="144" t="e">
        <f t="shared" si="3"/>
        <v>#VALUE!</v>
      </c>
      <c r="AF6" s="144" t="e">
        <f t="shared" si="3"/>
        <v>#VALUE!</v>
      </c>
      <c r="AG6" s="144" t="e">
        <f t="shared" si="4"/>
        <v>#VALUE!</v>
      </c>
      <c r="AH6" s="145"/>
      <c r="AI6" s="145"/>
      <c r="AJ6" s="145"/>
      <c r="AK6" s="145"/>
      <c r="AL6" s="146"/>
      <c r="AM6" s="145"/>
      <c r="AN6" s="145"/>
      <c r="AO6" s="145"/>
      <c r="AP6" s="145"/>
      <c r="AQ6" s="146"/>
      <c r="AR6" s="144"/>
    </row>
    <row r="7" spans="1:45" x14ac:dyDescent="0.35">
      <c r="A7" s="130">
        <f>EffectivelyVax!B6</f>
        <v>0</v>
      </c>
      <c r="B7" s="131">
        <f>EffectivelyVax!C6</f>
        <v>0</v>
      </c>
      <c r="C7" s="132">
        <f>Export!N5</f>
        <v>0</v>
      </c>
      <c r="D7" s="177">
        <f>Export!B5</f>
        <v>0</v>
      </c>
      <c r="E7" s="178">
        <f>C7*D7*HelperFunctions!G$3</f>
        <v>0</v>
      </c>
      <c r="F7" s="179">
        <f>C7*D7*(1-HelperFunctions!G$3)</f>
        <v>0</v>
      </c>
      <c r="G7" s="180">
        <f>Export!C5</f>
        <v>0</v>
      </c>
      <c r="H7" s="191" t="e">
        <f>G7/(I6+'NotEffectivelyVax (current)'!F6*HelperFunctions!R5+'NotEffectivelyVax (current)'!I6*HelperFunctions!R4+'NotEffectivelyVax (current)'!L6*HelperFunctions!R3)</f>
        <v>#VALUE!</v>
      </c>
      <c r="I7" s="192" t="e">
        <f t="shared" ref="I7:I11" si="9">I6-M7-E7-F7+J7</f>
        <v>#VALUE!</v>
      </c>
      <c r="J7" s="153">
        <f>SUM(EffectivelyVax!D6:BK6)</f>
        <v>0</v>
      </c>
      <c r="K7" s="193" t="e">
        <f t="shared" si="5"/>
        <v>#VALUE!</v>
      </c>
      <c r="L7" s="194" t="e">
        <f>I6*H7*Export!L5</f>
        <v>#VALUE!</v>
      </c>
      <c r="M7" s="195" t="e">
        <f t="shared" si="0"/>
        <v>#VALUE!</v>
      </c>
      <c r="N7" s="178" t="e">
        <f>IF(Export!M5&lt;&gt;"",K7*Export!K5*(1/Export!M5),K7*Export!K5)</f>
        <v>#VALUE!</v>
      </c>
      <c r="O7" s="154" t="e">
        <f>M7*Export!J5</f>
        <v>#VALUE!</v>
      </c>
      <c r="P7" s="186" t="e">
        <f>SUM('NotEffectivelyVax (current)'!F7,'NotEffectivelyVax (current)'!I7,'NotEffectivelyVax (current)'!L7,'NotEffectivelyVax (current)'!O7,'NotEffectivelyVax (current)'!R7,'NotEffectivelyVax (current)'!U7,'NotEffectivelyVax (current)'!X7,'NotEffectivelyVax (current)'!AA7,'NotEffectivelyVax (current)'!AD7,'NotEffectivelyVax (current)'!AG7,'NotEffectivelyVax (current)'!AJ7,'NotEffectivelyVax (current)'!AM7,'NotEffectivelyVax (current)'!AP7,'NotEffectivelyVax (current)'!AS7,'NotEffectivelyVax (current)'!AV7,'NotEffectivelyVax (current)'!AY7,'NotEffectivelyVax (current)'!BB7,'NotEffectivelyVax (current)'!BE7,'NotEffectivelyVax (current)'!BH7,'NotEffectivelyVax (current)'!BK7,'NotEffectivelyVax (current)'!BN7,'NotEffectivelyVax (current)'!BQ7,'NotEffectivelyVax (current)'!BT7,'NotEffectivelyVax (current)'!BW7,'NotEffectivelyVax (current)'!BZ7,'NotEffectivelyVax (current)'!CC7,'NotEffectivelyVax (current)'!CF7,'NotEffectivelyVax (current)'!CI7,'NotEffectivelyVax (current)'!CL7,'NotEffectivelyVax (current)'!CO7,'NotEffectivelyVax (current)'!CR7,'NotEffectivelyVax (current)'!CU7,'NotEffectivelyVax (current)'!CX7,'NotEffectivelyVax (current)'!DA7,'NotEffectivelyVax (current)'!DD7,'NotEffectivelyVax (current)'!DG7,'NotEffectivelyVax (current)'!DJ7,'NotEffectivelyVax (current)'!DM7,'NotEffectivelyVax (current)'!DP7,'NotEffectivelyVax (current)'!DS7,'NotEffectivelyVax (current)'!DV7,'NotEffectivelyVax (current)'!DY7,'NotEffectivelyVax (current)'!EB7,'NotEffectivelyVax (current)'!EE7,'NotEffectivelyVax (current)'!EH7,'NotEffectivelyVax (current)'!EK7,'NotEffectivelyVax (current)'!EN7,'NotEffectivelyVax (current)'!EQ7,'NotEffectivelyVax (current)'!ET7,'NotEffectivelyVax (current)'!EW7,'NotEffectivelyVax (current)'!EZ7,'NotEffectivelyVax (current)'!FC7,'NotEffectivelyVax (current)'!FF7,'NotEffectivelyVax (current)'!FI7,'NotEffectivelyVax (current)'!FL7,'NotEffectivelyVax (current)'!FO7,'NotEffectivelyVax (current)'!FR7,'NotEffectivelyVax (current)'!FU7,'NotEffectivelyVax (current)'!FX7,'NotEffectivelyVax (current)'!GA7)</f>
        <v>#VALUE!</v>
      </c>
      <c r="Q7" s="155" t="e">
        <f>SUM('NotEffectivelyVax (current)'!D7,'NotEffectivelyVax (current)'!G7,'NotEffectivelyVax (current)'!J7,'NotEffectivelyVax (current)'!M7,'NotEffectivelyVax (current)'!P7,'NotEffectivelyVax (current)'!S7,'NotEffectivelyVax (current)'!V7,'NotEffectivelyVax (current)'!Y7,'NotEffectivelyVax (current)'!AB7,'NotEffectivelyVax (current)'!AE7,'NotEffectivelyVax (current)'!AH7,'NotEffectivelyVax (current)'!AK7,'NotEffectivelyVax (current)'!AN7,'NotEffectivelyVax (current)'!AQ7,'NotEffectivelyVax (current)'!AT7,'NotEffectivelyVax (current)'!AW7,'NotEffectivelyVax (current)'!AZ7,'NotEffectivelyVax (current)'!BC7,'NotEffectivelyVax (current)'!BF7,'NotEffectivelyVax (current)'!BI7,'NotEffectivelyVax (current)'!BL7,'NotEffectivelyVax (current)'!BO7,'NotEffectivelyVax (current)'!BR7,'NotEffectivelyVax (current)'!BU7,'NotEffectivelyVax (current)'!BX7,'NotEffectivelyVax (current)'!CA7,'NotEffectivelyVax (current)'!CD7,'NotEffectivelyVax (current)'!CG7,'NotEffectivelyVax (current)'!CJ7,'NotEffectivelyVax (current)'!CM7,'NotEffectivelyVax (current)'!CP7,'NotEffectivelyVax (current)'!CS7,'NotEffectivelyVax (current)'!CV7,'NotEffectivelyVax (current)'!CY7,'NotEffectivelyVax (current)'!DB7,'NotEffectivelyVax (current)'!DE7,'NotEffectivelyVax (current)'!DH7,'NotEffectivelyVax (current)'!DK7,'NotEffectivelyVax (current)'!DN7,'NotEffectivelyVax (current)'!DQ7,'NotEffectivelyVax (current)'!DT7,'NotEffectivelyVax (current)'!DW7,'NotEffectivelyVax (current)'!DZ7,'NotEffectivelyVax (current)'!EC7,'NotEffectivelyVax (current)'!EF7,'NotEffectivelyVax (current)'!EI7,'NotEffectivelyVax (current)'!EL7,'NotEffectivelyVax (current)'!EO7,'NotEffectivelyVax (current)'!ER7,'NotEffectivelyVax (current)'!EU7,'NotEffectivelyVax (current)'!EX7,'NotEffectivelyVax (current)'!FA7,'NotEffectivelyVax (current)'!FD7,'NotEffectivelyVax (current)'!FG7,'NotEffectivelyVax (current)'!FJ7,'NotEffectivelyVax (current)'!FM7,'NotEffectivelyVax (current)'!FP7,'NotEffectivelyVax (current)'!FS7,'NotEffectivelyVax (current)'!FV7,'NotEffectivelyVax (current)'!FY7)</f>
        <v>#VALUE!</v>
      </c>
      <c r="R7" s="155" t="e">
        <f>SUM('NotEffectivelyVax (current)'!E7,'NotEffectivelyVax (current)'!H7,'NotEffectivelyVax (current)'!K7,'NotEffectivelyVax (current)'!N7,'NotEffectivelyVax (current)'!Q7,'NotEffectivelyVax (current)'!T7,'NotEffectivelyVax (current)'!W7,'NotEffectivelyVax (current)'!Z7,'NotEffectivelyVax (current)'!AC7,'NotEffectivelyVax (current)'!AF7,'NotEffectivelyVax (current)'!AI7,'NotEffectivelyVax (current)'!AL7,'NotEffectivelyVax (current)'!AO7,'NotEffectivelyVax (current)'!AR7,'NotEffectivelyVax (current)'!AU7,'NotEffectivelyVax (current)'!AX7,'NotEffectivelyVax (current)'!BA7,'NotEffectivelyVax (current)'!BD7,'NotEffectivelyVax (current)'!BG7,'NotEffectivelyVax (current)'!BJ7,'NotEffectivelyVax (current)'!BM7,'NotEffectivelyVax (current)'!BP7,'NotEffectivelyVax (current)'!BS7,'NotEffectivelyVax (current)'!BV7,'NotEffectivelyVax (current)'!BY7,'NotEffectivelyVax (current)'!CB7,'NotEffectivelyVax (current)'!CE7,'NotEffectivelyVax (current)'!CH7,'NotEffectivelyVax (current)'!CK7,'NotEffectivelyVax (current)'!CN7,'NotEffectivelyVax (current)'!CQ7,'NotEffectivelyVax (current)'!CT7,'NotEffectivelyVax (current)'!CW7,'NotEffectivelyVax (current)'!CZ7,'NotEffectivelyVax (current)'!DC7,'NotEffectivelyVax (current)'!DF7,'NotEffectivelyVax (current)'!DI7,'NotEffectivelyVax (current)'!DL7,'NotEffectivelyVax (current)'!DO7,'NotEffectivelyVax (current)'!DR7,'NotEffectivelyVax (current)'!DU7,'NotEffectivelyVax (current)'!DX7,'NotEffectivelyVax (current)'!EA7,'NotEffectivelyVax (current)'!ED7,'NotEffectivelyVax (current)'!EG7,'NotEffectivelyVax (current)'!EJ7,'NotEffectivelyVax (current)'!EM7,'NotEffectivelyVax (current)'!EP7,'NotEffectivelyVax (current)'!ES7,'NotEffectivelyVax (current)'!EV7,'NotEffectivelyVax (current)'!EY7,'NotEffectivelyVax (current)'!FB7,'NotEffectivelyVax (current)'!FE7,'NotEffectivelyVax (current)'!FH7,'NotEffectivelyVax (current)'!FK7,'NotEffectivelyVax (current)'!FN7,'NotEffectivelyVax (current)'!FQ7,'NotEffectivelyVax (current)'!FT7,'NotEffectivelyVax (current)'!FW7,'NotEffectivelyVax (current)'!FZ7)</f>
        <v>#VALUE!</v>
      </c>
      <c r="S7" s="138" t="e">
        <f t="shared" si="6"/>
        <v>#VALUE!</v>
      </c>
      <c r="T7" s="187" t="e">
        <f>IF(Export!M5&lt;&gt;"",Q7*Export!K5*(1/Export!M5),Q7*Export!K5)</f>
        <v>#VALUE!</v>
      </c>
      <c r="U7" s="188" t="e">
        <f>S7*Export!J5</f>
        <v>#VALUE!</v>
      </c>
      <c r="V7" s="196" t="e">
        <f t="shared" si="7"/>
        <v>#DIV/0!</v>
      </c>
      <c r="W7" s="197" t="e">
        <f t="shared" si="8"/>
        <v>#VALUE!</v>
      </c>
      <c r="X7" s="190" t="e">
        <f>H7*Export!L5*V6</f>
        <v>#VALUE!</v>
      </c>
      <c r="Y7" s="190" t="e">
        <f t="shared" si="1"/>
        <v>#VALUE!</v>
      </c>
      <c r="Z7" s="190" t="e">
        <f>IF(Export!M5&lt;&gt;"",W7*Export!K5*(1/Export!M5),W7*Export!K5)</f>
        <v>#VALUE!</v>
      </c>
      <c r="AA7" s="190" t="e">
        <f>Y7*Export!J5</f>
        <v>#VALUE!</v>
      </c>
      <c r="AB7" s="144"/>
      <c r="AC7" s="143" t="e">
        <f t="shared" si="2"/>
        <v>#VALUE!</v>
      </c>
      <c r="AD7" s="144" t="e">
        <f t="shared" si="2"/>
        <v>#VALUE!</v>
      </c>
      <c r="AE7" s="144" t="e">
        <f t="shared" si="3"/>
        <v>#VALUE!</v>
      </c>
      <c r="AF7" s="144" t="e">
        <f t="shared" si="3"/>
        <v>#VALUE!</v>
      </c>
      <c r="AG7" s="144" t="e">
        <f t="shared" si="4"/>
        <v>#VALUE!</v>
      </c>
      <c r="AH7" s="145"/>
      <c r="AI7" s="145"/>
      <c r="AJ7" s="145"/>
      <c r="AK7" s="145"/>
      <c r="AL7" s="146"/>
      <c r="AM7" s="145"/>
      <c r="AN7" s="145"/>
      <c r="AO7" s="145"/>
      <c r="AP7" s="145"/>
      <c r="AQ7" s="146"/>
      <c r="AR7" s="144"/>
    </row>
    <row r="8" spans="1:45" x14ac:dyDescent="0.35">
      <c r="A8" s="130">
        <f>EffectivelyVax!B7</f>
        <v>0</v>
      </c>
      <c r="B8" s="131">
        <f>EffectivelyVax!C7</f>
        <v>0</v>
      </c>
      <c r="C8" s="132">
        <f>Export!N6</f>
        <v>0</v>
      </c>
      <c r="D8" s="177">
        <f>Export!B6</f>
        <v>0</v>
      </c>
      <c r="E8" s="178">
        <f>C8*D8*HelperFunctions!G$3</f>
        <v>0</v>
      </c>
      <c r="F8" s="179">
        <f>C8*D8*(1-HelperFunctions!G$3)</f>
        <v>0</v>
      </c>
      <c r="G8" s="180">
        <f>Export!C6</f>
        <v>0</v>
      </c>
      <c r="H8" s="191" t="e">
        <f>G8/(I7+'NotEffectivelyVax (current)'!F7*HelperFunctions!R6+'NotEffectivelyVax (current)'!I7*HelperFunctions!R5+'NotEffectivelyVax (current)'!L7*HelperFunctions!R4+'NotEffectivelyVax (current)'!O7*HelperFunctions!R3)</f>
        <v>#VALUE!</v>
      </c>
      <c r="I8" s="192" t="e">
        <f t="shared" si="9"/>
        <v>#VALUE!</v>
      </c>
      <c r="J8" s="153">
        <f>SUM(EffectivelyVax!D7:BK7)</f>
        <v>0</v>
      </c>
      <c r="K8" s="193" t="e">
        <f t="shared" si="5"/>
        <v>#VALUE!</v>
      </c>
      <c r="L8" s="194" t="e">
        <f>I7*H8*Export!L6</f>
        <v>#VALUE!</v>
      </c>
      <c r="M8" s="195" t="e">
        <f t="shared" si="0"/>
        <v>#VALUE!</v>
      </c>
      <c r="N8" s="178" t="e">
        <f>IF(Export!M6&lt;&gt;"",K8*Export!K6*(1/Export!M6),K8*Export!K6)</f>
        <v>#VALUE!</v>
      </c>
      <c r="O8" s="154" t="e">
        <f>M8*Export!J6</f>
        <v>#VALUE!</v>
      </c>
      <c r="P8" s="186" t="e">
        <f>SUM('NotEffectivelyVax (current)'!F8,'NotEffectivelyVax (current)'!I8,'NotEffectivelyVax (current)'!L8,'NotEffectivelyVax (current)'!O8,'NotEffectivelyVax (current)'!R8,'NotEffectivelyVax (current)'!U8,'NotEffectivelyVax (current)'!X8,'NotEffectivelyVax (current)'!AA8,'NotEffectivelyVax (current)'!AD8,'NotEffectivelyVax (current)'!AG8,'NotEffectivelyVax (current)'!AJ8,'NotEffectivelyVax (current)'!AM8,'NotEffectivelyVax (current)'!AP8,'NotEffectivelyVax (current)'!AS8,'NotEffectivelyVax (current)'!AV8,'NotEffectivelyVax (current)'!AY8,'NotEffectivelyVax (current)'!BB8,'NotEffectivelyVax (current)'!BE8,'NotEffectivelyVax (current)'!BH8,'NotEffectivelyVax (current)'!BK8,'NotEffectivelyVax (current)'!BN8,'NotEffectivelyVax (current)'!BQ8,'NotEffectivelyVax (current)'!BT8,'NotEffectivelyVax (current)'!BW8,'NotEffectivelyVax (current)'!BZ8,'NotEffectivelyVax (current)'!CC8,'NotEffectivelyVax (current)'!CF8,'NotEffectivelyVax (current)'!CI8,'NotEffectivelyVax (current)'!CL8,'NotEffectivelyVax (current)'!CO8,'NotEffectivelyVax (current)'!CR8,'NotEffectivelyVax (current)'!CU8,'NotEffectivelyVax (current)'!CX8,'NotEffectivelyVax (current)'!DA8,'NotEffectivelyVax (current)'!DD8,'NotEffectivelyVax (current)'!DG8,'NotEffectivelyVax (current)'!DJ8,'NotEffectivelyVax (current)'!DM8,'NotEffectivelyVax (current)'!DP8,'NotEffectivelyVax (current)'!DS8,'NotEffectivelyVax (current)'!DV8,'NotEffectivelyVax (current)'!DY8,'NotEffectivelyVax (current)'!EB8,'NotEffectivelyVax (current)'!EE8,'NotEffectivelyVax (current)'!EH8,'NotEffectivelyVax (current)'!EK8,'NotEffectivelyVax (current)'!EN8,'NotEffectivelyVax (current)'!EQ8,'NotEffectivelyVax (current)'!ET8,'NotEffectivelyVax (current)'!EW8,'NotEffectivelyVax (current)'!EZ8,'NotEffectivelyVax (current)'!FC8,'NotEffectivelyVax (current)'!FF8,'NotEffectivelyVax (current)'!FI8,'NotEffectivelyVax (current)'!FL8,'NotEffectivelyVax (current)'!FO8,'NotEffectivelyVax (current)'!FR8,'NotEffectivelyVax (current)'!FU8,'NotEffectivelyVax (current)'!FX8,'NotEffectivelyVax (current)'!GA8)</f>
        <v>#VALUE!</v>
      </c>
      <c r="Q8" s="155" t="e">
        <f>SUM('NotEffectivelyVax (current)'!D8,'NotEffectivelyVax (current)'!G8,'NotEffectivelyVax (current)'!J8,'NotEffectivelyVax (current)'!M8,'NotEffectivelyVax (current)'!P8,'NotEffectivelyVax (current)'!S8,'NotEffectivelyVax (current)'!V8,'NotEffectivelyVax (current)'!Y8,'NotEffectivelyVax (current)'!AB8,'NotEffectivelyVax (current)'!AE8,'NotEffectivelyVax (current)'!AH8,'NotEffectivelyVax (current)'!AK8,'NotEffectivelyVax (current)'!AN8,'NotEffectivelyVax (current)'!AQ8,'NotEffectivelyVax (current)'!AT8,'NotEffectivelyVax (current)'!AW8,'NotEffectivelyVax (current)'!AZ8,'NotEffectivelyVax (current)'!BC8,'NotEffectivelyVax (current)'!BF8,'NotEffectivelyVax (current)'!BI8,'NotEffectivelyVax (current)'!BL8,'NotEffectivelyVax (current)'!BO8,'NotEffectivelyVax (current)'!BR8,'NotEffectivelyVax (current)'!BU8,'NotEffectivelyVax (current)'!BX8,'NotEffectivelyVax (current)'!CA8,'NotEffectivelyVax (current)'!CD8,'NotEffectivelyVax (current)'!CG8,'NotEffectivelyVax (current)'!CJ8,'NotEffectivelyVax (current)'!CM8,'NotEffectivelyVax (current)'!CP8,'NotEffectivelyVax (current)'!CS8,'NotEffectivelyVax (current)'!CV8,'NotEffectivelyVax (current)'!CY8,'NotEffectivelyVax (current)'!DB8,'NotEffectivelyVax (current)'!DE8,'NotEffectivelyVax (current)'!DH8,'NotEffectivelyVax (current)'!DK8,'NotEffectivelyVax (current)'!DN8,'NotEffectivelyVax (current)'!DQ8,'NotEffectivelyVax (current)'!DT8,'NotEffectivelyVax (current)'!DW8,'NotEffectivelyVax (current)'!DZ8,'NotEffectivelyVax (current)'!EC8,'NotEffectivelyVax (current)'!EF8,'NotEffectivelyVax (current)'!EI8,'NotEffectivelyVax (current)'!EL8,'NotEffectivelyVax (current)'!EO8,'NotEffectivelyVax (current)'!ER8,'NotEffectivelyVax (current)'!EU8,'NotEffectivelyVax (current)'!EX8,'NotEffectivelyVax (current)'!FA8,'NotEffectivelyVax (current)'!FD8,'NotEffectivelyVax (current)'!FG8,'NotEffectivelyVax (current)'!FJ8,'NotEffectivelyVax (current)'!FM8,'NotEffectivelyVax (current)'!FP8,'NotEffectivelyVax (current)'!FS8,'NotEffectivelyVax (current)'!FV8,'NotEffectivelyVax (current)'!FY8)</f>
        <v>#VALUE!</v>
      </c>
      <c r="R8" s="155" t="e">
        <f>SUM('NotEffectivelyVax (current)'!E8,'NotEffectivelyVax (current)'!H8,'NotEffectivelyVax (current)'!K8,'NotEffectivelyVax (current)'!N8,'NotEffectivelyVax (current)'!Q8,'NotEffectivelyVax (current)'!T8,'NotEffectivelyVax (current)'!W8,'NotEffectivelyVax (current)'!Z8,'NotEffectivelyVax (current)'!AC8,'NotEffectivelyVax (current)'!AF8,'NotEffectivelyVax (current)'!AI8,'NotEffectivelyVax (current)'!AL8,'NotEffectivelyVax (current)'!AO8,'NotEffectivelyVax (current)'!AR8,'NotEffectivelyVax (current)'!AU8,'NotEffectivelyVax (current)'!AX8,'NotEffectivelyVax (current)'!BA8,'NotEffectivelyVax (current)'!BD8,'NotEffectivelyVax (current)'!BG8,'NotEffectivelyVax (current)'!BJ8,'NotEffectivelyVax (current)'!BM8,'NotEffectivelyVax (current)'!BP8,'NotEffectivelyVax (current)'!BS8,'NotEffectivelyVax (current)'!BV8,'NotEffectivelyVax (current)'!BY8,'NotEffectivelyVax (current)'!CB8,'NotEffectivelyVax (current)'!CE8,'NotEffectivelyVax (current)'!CH8,'NotEffectivelyVax (current)'!CK8,'NotEffectivelyVax (current)'!CN8,'NotEffectivelyVax (current)'!CQ8,'NotEffectivelyVax (current)'!CT8,'NotEffectivelyVax (current)'!CW8,'NotEffectivelyVax (current)'!CZ8,'NotEffectivelyVax (current)'!DC8,'NotEffectivelyVax (current)'!DF8,'NotEffectivelyVax (current)'!DI8,'NotEffectivelyVax (current)'!DL8,'NotEffectivelyVax (current)'!DO8,'NotEffectivelyVax (current)'!DR8,'NotEffectivelyVax (current)'!DU8,'NotEffectivelyVax (current)'!DX8,'NotEffectivelyVax (current)'!EA8,'NotEffectivelyVax (current)'!ED8,'NotEffectivelyVax (current)'!EG8,'NotEffectivelyVax (current)'!EJ8,'NotEffectivelyVax (current)'!EM8,'NotEffectivelyVax (current)'!EP8,'NotEffectivelyVax (current)'!ES8,'NotEffectivelyVax (current)'!EV8,'NotEffectivelyVax (current)'!EY8,'NotEffectivelyVax (current)'!FB8,'NotEffectivelyVax (current)'!FE8,'NotEffectivelyVax (current)'!FH8,'NotEffectivelyVax (current)'!FK8,'NotEffectivelyVax (current)'!FN8,'NotEffectivelyVax (current)'!FQ8,'NotEffectivelyVax (current)'!FT8,'NotEffectivelyVax (current)'!FW8,'NotEffectivelyVax (current)'!FZ8)</f>
        <v>#VALUE!</v>
      </c>
      <c r="S8" s="138" t="e">
        <f t="shared" si="6"/>
        <v>#VALUE!</v>
      </c>
      <c r="T8" s="187" t="e">
        <f>IF(Export!M6&lt;&gt;"",Q8*Export!K6*(1/Export!M6),Q8*Export!K6)</f>
        <v>#VALUE!</v>
      </c>
      <c r="U8" s="188" t="e">
        <f>S8*Export!J6</f>
        <v>#VALUE!</v>
      </c>
      <c r="V8" s="196" t="e">
        <f t="shared" si="7"/>
        <v>#DIV/0!</v>
      </c>
      <c r="W8" s="197" t="e">
        <f t="shared" si="8"/>
        <v>#VALUE!</v>
      </c>
      <c r="X8" s="190" t="e">
        <f>H8*Export!L6*V7</f>
        <v>#VALUE!</v>
      </c>
      <c r="Y8" s="190" t="e">
        <f t="shared" si="1"/>
        <v>#VALUE!</v>
      </c>
      <c r="Z8" s="190" t="e">
        <f>IF(Export!M6&lt;&gt;"",W8*Export!K6*(1/Export!M6),W8*Export!K6)</f>
        <v>#VALUE!</v>
      </c>
      <c r="AA8" s="190" t="e">
        <f>Y8*Export!J6</f>
        <v>#VALUE!</v>
      </c>
      <c r="AB8" s="144"/>
      <c r="AC8" s="143" t="e">
        <f t="shared" si="2"/>
        <v>#VALUE!</v>
      </c>
      <c r="AD8" s="144" t="e">
        <f t="shared" si="2"/>
        <v>#VALUE!</v>
      </c>
      <c r="AE8" s="144" t="e">
        <f t="shared" si="3"/>
        <v>#VALUE!</v>
      </c>
      <c r="AF8" s="144" t="e">
        <f t="shared" si="3"/>
        <v>#VALUE!</v>
      </c>
      <c r="AG8" s="144" t="e">
        <f t="shared" si="4"/>
        <v>#VALUE!</v>
      </c>
      <c r="AH8" s="145"/>
      <c r="AI8" s="145"/>
      <c r="AJ8" s="145"/>
      <c r="AK8" s="145"/>
      <c r="AL8" s="146"/>
      <c r="AM8" s="145"/>
      <c r="AN8" s="145"/>
      <c r="AO8" s="145"/>
      <c r="AP8" s="145"/>
      <c r="AQ8" s="146"/>
      <c r="AR8" s="144"/>
    </row>
    <row r="9" spans="1:45" x14ac:dyDescent="0.35">
      <c r="A9" s="130">
        <f>EffectivelyVax!B8</f>
        <v>0</v>
      </c>
      <c r="B9" s="131">
        <f>EffectivelyVax!C8</f>
        <v>0</v>
      </c>
      <c r="C9" s="132">
        <f>Export!N7</f>
        <v>0</v>
      </c>
      <c r="D9" s="177">
        <f>Export!B7</f>
        <v>0</v>
      </c>
      <c r="E9" s="178">
        <f>C9*D9*HelperFunctions!G$3</f>
        <v>0</v>
      </c>
      <c r="F9" s="179">
        <f>C9*D9*(1-HelperFunctions!G$3)</f>
        <v>0</v>
      </c>
      <c r="G9" s="180">
        <f>Export!C7</f>
        <v>0</v>
      </c>
      <c r="H9" s="191" t="e">
        <f>G9/(I8+'NotEffectivelyVax (current)'!F8*HelperFunctions!R7+'NotEffectivelyVax (current)'!I8*HelperFunctions!R6+'NotEffectivelyVax (current)'!L8*HelperFunctions!R5+'NotEffectivelyVax (current)'!O8*HelperFunctions!R4+'NotEffectivelyVax (current)'!R8*HelperFunctions!R3)</f>
        <v>#VALUE!</v>
      </c>
      <c r="I9" s="192" t="e">
        <f t="shared" si="9"/>
        <v>#VALUE!</v>
      </c>
      <c r="J9" s="153">
        <f>SUM(EffectivelyVax!D8:BK8)</f>
        <v>0</v>
      </c>
      <c r="K9" s="193" t="e">
        <f t="shared" si="5"/>
        <v>#VALUE!</v>
      </c>
      <c r="L9" s="194" t="e">
        <f>I8*H9*Export!L7</f>
        <v>#VALUE!</v>
      </c>
      <c r="M9" s="195" t="e">
        <f t="shared" si="0"/>
        <v>#VALUE!</v>
      </c>
      <c r="N9" s="178" t="e">
        <f>IF(Export!M7&lt;&gt;"",K9*Export!K7*(1/Export!M7),K9*Export!K7)</f>
        <v>#VALUE!</v>
      </c>
      <c r="O9" s="154" t="e">
        <f>M9*Export!J7</f>
        <v>#VALUE!</v>
      </c>
      <c r="P9" s="186" t="e">
        <f>SUM('NotEffectivelyVax (current)'!F9,'NotEffectivelyVax (current)'!I9,'NotEffectivelyVax (current)'!L9,'NotEffectivelyVax (current)'!O9,'NotEffectivelyVax (current)'!R9,'NotEffectivelyVax (current)'!U9,'NotEffectivelyVax (current)'!X9,'NotEffectivelyVax (current)'!AA9,'NotEffectivelyVax (current)'!AD9,'NotEffectivelyVax (current)'!AG9,'NotEffectivelyVax (current)'!AJ9,'NotEffectivelyVax (current)'!AM9,'NotEffectivelyVax (current)'!AP9,'NotEffectivelyVax (current)'!AS9,'NotEffectivelyVax (current)'!AV9,'NotEffectivelyVax (current)'!AY9,'NotEffectivelyVax (current)'!BB9,'NotEffectivelyVax (current)'!BE9,'NotEffectivelyVax (current)'!BH9,'NotEffectivelyVax (current)'!BK9,'NotEffectivelyVax (current)'!BN9,'NotEffectivelyVax (current)'!BQ9,'NotEffectivelyVax (current)'!BT9,'NotEffectivelyVax (current)'!BW9,'NotEffectivelyVax (current)'!BZ9,'NotEffectivelyVax (current)'!CC9,'NotEffectivelyVax (current)'!CF9,'NotEffectivelyVax (current)'!CI9,'NotEffectivelyVax (current)'!CL9,'NotEffectivelyVax (current)'!CO9,'NotEffectivelyVax (current)'!CR9,'NotEffectivelyVax (current)'!CU9,'NotEffectivelyVax (current)'!CX9,'NotEffectivelyVax (current)'!DA9,'NotEffectivelyVax (current)'!DD9,'NotEffectivelyVax (current)'!DG9,'NotEffectivelyVax (current)'!DJ9,'NotEffectivelyVax (current)'!DM9,'NotEffectivelyVax (current)'!DP9,'NotEffectivelyVax (current)'!DS9,'NotEffectivelyVax (current)'!DV9,'NotEffectivelyVax (current)'!DY9,'NotEffectivelyVax (current)'!EB9,'NotEffectivelyVax (current)'!EE9,'NotEffectivelyVax (current)'!EH9,'NotEffectivelyVax (current)'!EK9,'NotEffectivelyVax (current)'!EN9,'NotEffectivelyVax (current)'!EQ9,'NotEffectivelyVax (current)'!ET9,'NotEffectivelyVax (current)'!EW9,'NotEffectivelyVax (current)'!EZ9,'NotEffectivelyVax (current)'!FC9,'NotEffectivelyVax (current)'!FF9,'NotEffectivelyVax (current)'!FI9,'NotEffectivelyVax (current)'!FL9,'NotEffectivelyVax (current)'!FO9,'NotEffectivelyVax (current)'!FR9,'NotEffectivelyVax (current)'!FU9,'NotEffectivelyVax (current)'!FX9,'NotEffectivelyVax (current)'!GA9)</f>
        <v>#VALUE!</v>
      </c>
      <c r="Q9" s="155" t="e">
        <f>SUM('NotEffectivelyVax (current)'!D9,'NotEffectivelyVax (current)'!G9,'NotEffectivelyVax (current)'!J9,'NotEffectivelyVax (current)'!M9,'NotEffectivelyVax (current)'!P9,'NotEffectivelyVax (current)'!S9,'NotEffectivelyVax (current)'!V9,'NotEffectivelyVax (current)'!Y9,'NotEffectivelyVax (current)'!AB9,'NotEffectivelyVax (current)'!AE9,'NotEffectivelyVax (current)'!AH9,'NotEffectivelyVax (current)'!AK9,'NotEffectivelyVax (current)'!AN9,'NotEffectivelyVax (current)'!AQ9,'NotEffectivelyVax (current)'!AT9,'NotEffectivelyVax (current)'!AW9,'NotEffectivelyVax (current)'!AZ9,'NotEffectivelyVax (current)'!BC9,'NotEffectivelyVax (current)'!BF9,'NotEffectivelyVax (current)'!BI9,'NotEffectivelyVax (current)'!BL9,'NotEffectivelyVax (current)'!BO9,'NotEffectivelyVax (current)'!BR9,'NotEffectivelyVax (current)'!BU9,'NotEffectivelyVax (current)'!BX9,'NotEffectivelyVax (current)'!CA9,'NotEffectivelyVax (current)'!CD9,'NotEffectivelyVax (current)'!CG9,'NotEffectivelyVax (current)'!CJ9,'NotEffectivelyVax (current)'!CM9,'NotEffectivelyVax (current)'!CP9,'NotEffectivelyVax (current)'!CS9,'NotEffectivelyVax (current)'!CV9,'NotEffectivelyVax (current)'!CY9,'NotEffectivelyVax (current)'!DB9,'NotEffectivelyVax (current)'!DE9,'NotEffectivelyVax (current)'!DH9,'NotEffectivelyVax (current)'!DK9,'NotEffectivelyVax (current)'!DN9,'NotEffectivelyVax (current)'!DQ9,'NotEffectivelyVax (current)'!DT9,'NotEffectivelyVax (current)'!DW9,'NotEffectivelyVax (current)'!DZ9,'NotEffectivelyVax (current)'!EC9,'NotEffectivelyVax (current)'!EF9,'NotEffectivelyVax (current)'!EI9,'NotEffectivelyVax (current)'!EL9,'NotEffectivelyVax (current)'!EO9,'NotEffectivelyVax (current)'!ER9,'NotEffectivelyVax (current)'!EU9,'NotEffectivelyVax (current)'!EX9,'NotEffectivelyVax (current)'!FA9,'NotEffectivelyVax (current)'!FD9,'NotEffectivelyVax (current)'!FG9,'NotEffectivelyVax (current)'!FJ9,'NotEffectivelyVax (current)'!FM9,'NotEffectivelyVax (current)'!FP9,'NotEffectivelyVax (current)'!FS9,'NotEffectivelyVax (current)'!FV9,'NotEffectivelyVax (current)'!FY9)</f>
        <v>#VALUE!</v>
      </c>
      <c r="R9" s="155" t="e">
        <f>SUM('NotEffectivelyVax (current)'!E9,'NotEffectivelyVax (current)'!H9,'NotEffectivelyVax (current)'!K9,'NotEffectivelyVax (current)'!N9,'NotEffectivelyVax (current)'!Q9,'NotEffectivelyVax (current)'!T9,'NotEffectivelyVax (current)'!W9,'NotEffectivelyVax (current)'!Z9,'NotEffectivelyVax (current)'!AC9,'NotEffectivelyVax (current)'!AF9,'NotEffectivelyVax (current)'!AI9,'NotEffectivelyVax (current)'!AL9,'NotEffectivelyVax (current)'!AO9,'NotEffectivelyVax (current)'!AR9,'NotEffectivelyVax (current)'!AU9,'NotEffectivelyVax (current)'!AX9,'NotEffectivelyVax (current)'!BA9,'NotEffectivelyVax (current)'!BD9,'NotEffectivelyVax (current)'!BG9,'NotEffectivelyVax (current)'!BJ9,'NotEffectivelyVax (current)'!BM9,'NotEffectivelyVax (current)'!BP9,'NotEffectivelyVax (current)'!BS9,'NotEffectivelyVax (current)'!BV9,'NotEffectivelyVax (current)'!BY9,'NotEffectivelyVax (current)'!CB9,'NotEffectivelyVax (current)'!CE9,'NotEffectivelyVax (current)'!CH9,'NotEffectivelyVax (current)'!CK9,'NotEffectivelyVax (current)'!CN9,'NotEffectivelyVax (current)'!CQ9,'NotEffectivelyVax (current)'!CT9,'NotEffectivelyVax (current)'!CW9,'NotEffectivelyVax (current)'!CZ9,'NotEffectivelyVax (current)'!DC9,'NotEffectivelyVax (current)'!DF9,'NotEffectivelyVax (current)'!DI9,'NotEffectivelyVax (current)'!DL9,'NotEffectivelyVax (current)'!DO9,'NotEffectivelyVax (current)'!DR9,'NotEffectivelyVax (current)'!DU9,'NotEffectivelyVax (current)'!DX9,'NotEffectivelyVax (current)'!EA9,'NotEffectivelyVax (current)'!ED9,'NotEffectivelyVax (current)'!EG9,'NotEffectivelyVax (current)'!EJ9,'NotEffectivelyVax (current)'!EM9,'NotEffectivelyVax (current)'!EP9,'NotEffectivelyVax (current)'!ES9,'NotEffectivelyVax (current)'!EV9,'NotEffectivelyVax (current)'!EY9,'NotEffectivelyVax (current)'!FB9,'NotEffectivelyVax (current)'!FE9,'NotEffectivelyVax (current)'!FH9,'NotEffectivelyVax (current)'!FK9,'NotEffectivelyVax (current)'!FN9,'NotEffectivelyVax (current)'!FQ9,'NotEffectivelyVax (current)'!FT9,'NotEffectivelyVax (current)'!FW9,'NotEffectivelyVax (current)'!FZ9)</f>
        <v>#VALUE!</v>
      </c>
      <c r="S9" s="138" t="e">
        <f t="shared" si="6"/>
        <v>#VALUE!</v>
      </c>
      <c r="T9" s="187" t="e">
        <f>IF(Export!M7&lt;&gt;"",Q9*Export!K7*(1/Export!M7),Q9*Export!K7)</f>
        <v>#VALUE!</v>
      </c>
      <c r="U9" s="188" t="e">
        <f>S9*Export!J7</f>
        <v>#VALUE!</v>
      </c>
      <c r="V9" s="196" t="e">
        <f t="shared" si="7"/>
        <v>#DIV/0!</v>
      </c>
      <c r="W9" s="197" t="e">
        <f t="shared" si="8"/>
        <v>#VALUE!</v>
      </c>
      <c r="X9" s="190" t="e">
        <f>H9*Export!L7*V8</f>
        <v>#VALUE!</v>
      </c>
      <c r="Y9" s="190" t="e">
        <f t="shared" si="1"/>
        <v>#VALUE!</v>
      </c>
      <c r="Z9" s="190" t="e">
        <f>IF(Export!M7&lt;&gt;"",W9*Export!K7*(1/Export!M7),W9*Export!K7)</f>
        <v>#VALUE!</v>
      </c>
      <c r="AA9" s="190" t="e">
        <f>Y9*Export!J7</f>
        <v>#VALUE!</v>
      </c>
      <c r="AB9" s="144"/>
      <c r="AC9" s="143" t="e">
        <f t="shared" si="2"/>
        <v>#VALUE!</v>
      </c>
      <c r="AD9" s="144" t="e">
        <f t="shared" si="2"/>
        <v>#VALUE!</v>
      </c>
      <c r="AE9" s="144" t="e">
        <f t="shared" si="3"/>
        <v>#VALUE!</v>
      </c>
      <c r="AF9" s="144" t="e">
        <f t="shared" si="3"/>
        <v>#VALUE!</v>
      </c>
      <c r="AG9" s="144" t="e">
        <f t="shared" si="4"/>
        <v>#VALUE!</v>
      </c>
      <c r="AH9" s="145"/>
      <c r="AI9" s="145"/>
      <c r="AJ9" s="145"/>
      <c r="AK9" s="145"/>
      <c r="AL9" s="146"/>
      <c r="AM9" s="145"/>
      <c r="AN9" s="145"/>
      <c r="AO9" s="145"/>
      <c r="AP9" s="145"/>
      <c r="AQ9" s="146"/>
      <c r="AS9" s="79"/>
    </row>
    <row r="10" spans="1:45" x14ac:dyDescent="0.35">
      <c r="A10" s="130">
        <f>EffectivelyVax!B9</f>
        <v>0</v>
      </c>
      <c r="B10" s="131">
        <f>EffectivelyVax!C9</f>
        <v>0</v>
      </c>
      <c r="C10" s="132">
        <f>Export!N8</f>
        <v>0</v>
      </c>
      <c r="D10" s="177">
        <f>Export!B8</f>
        <v>0</v>
      </c>
      <c r="E10" s="178">
        <f>C10*D10*HelperFunctions!G$3</f>
        <v>0</v>
      </c>
      <c r="F10" s="179">
        <f>C10*D10*(1-HelperFunctions!G$3)</f>
        <v>0</v>
      </c>
      <c r="G10" s="180">
        <f>Export!C8</f>
        <v>0</v>
      </c>
      <c r="H10" s="191" t="e">
        <f>G10/(I9+'NotEffectivelyVax (current)'!F9*HelperFunctions!R8+'NotEffectivelyVax (current)'!I9*HelperFunctions!R7+'NotEffectivelyVax (current)'!L9*HelperFunctions!R6+'NotEffectivelyVax (current)'!O9*HelperFunctions!R5+'NotEffectivelyVax (current)'!R9*HelperFunctions!R4+'NotEffectivelyVax (current)'!U9*HelperFunctions!R3)</f>
        <v>#VALUE!</v>
      </c>
      <c r="I10" s="192" t="e">
        <f t="shared" si="9"/>
        <v>#VALUE!</v>
      </c>
      <c r="J10" s="153">
        <f>SUM(EffectivelyVax!D9:BK9)</f>
        <v>0</v>
      </c>
      <c r="K10" s="193" t="e">
        <f t="shared" si="5"/>
        <v>#VALUE!</v>
      </c>
      <c r="L10" s="194" t="e">
        <f>I9*H10*Export!L8</f>
        <v>#VALUE!</v>
      </c>
      <c r="M10" s="195" t="e">
        <f t="shared" si="0"/>
        <v>#VALUE!</v>
      </c>
      <c r="N10" s="178" t="e">
        <f>IF(Export!M8&lt;&gt;"",K10*Export!K8*(1/Export!M8),K10*Export!K8)</f>
        <v>#VALUE!</v>
      </c>
      <c r="O10" s="154" t="e">
        <f>M10*Export!J8</f>
        <v>#VALUE!</v>
      </c>
      <c r="P10" s="186" t="e">
        <f>SUM('NotEffectivelyVax (current)'!F10,'NotEffectivelyVax (current)'!I10,'NotEffectivelyVax (current)'!L10,'NotEffectivelyVax (current)'!O10,'NotEffectivelyVax (current)'!R10,'NotEffectivelyVax (current)'!U10,'NotEffectivelyVax (current)'!X10,'NotEffectivelyVax (current)'!AA10,'NotEffectivelyVax (current)'!AD10,'NotEffectivelyVax (current)'!AG10,'NotEffectivelyVax (current)'!AJ10,'NotEffectivelyVax (current)'!AM10,'NotEffectivelyVax (current)'!AP10,'NotEffectivelyVax (current)'!AS10,'NotEffectivelyVax (current)'!AV10,'NotEffectivelyVax (current)'!AY10,'NotEffectivelyVax (current)'!BB10,'NotEffectivelyVax (current)'!BE10,'NotEffectivelyVax (current)'!BH10,'NotEffectivelyVax (current)'!BK10,'NotEffectivelyVax (current)'!BN10,'NotEffectivelyVax (current)'!BQ10,'NotEffectivelyVax (current)'!BT10,'NotEffectivelyVax (current)'!BW10,'NotEffectivelyVax (current)'!BZ10,'NotEffectivelyVax (current)'!CC10,'NotEffectivelyVax (current)'!CF10,'NotEffectivelyVax (current)'!CI10,'NotEffectivelyVax (current)'!CL10,'NotEffectivelyVax (current)'!CO10,'NotEffectivelyVax (current)'!CR10,'NotEffectivelyVax (current)'!CU10,'NotEffectivelyVax (current)'!CX10,'NotEffectivelyVax (current)'!DA10,'NotEffectivelyVax (current)'!DD10,'NotEffectivelyVax (current)'!DG10,'NotEffectivelyVax (current)'!DJ10,'NotEffectivelyVax (current)'!DM10,'NotEffectivelyVax (current)'!DP10,'NotEffectivelyVax (current)'!DS10,'NotEffectivelyVax (current)'!DV10,'NotEffectivelyVax (current)'!DY10,'NotEffectivelyVax (current)'!EB10,'NotEffectivelyVax (current)'!EE10,'NotEffectivelyVax (current)'!EH10,'NotEffectivelyVax (current)'!EK10,'NotEffectivelyVax (current)'!EN10,'NotEffectivelyVax (current)'!EQ10,'NotEffectivelyVax (current)'!ET10,'NotEffectivelyVax (current)'!EW10,'NotEffectivelyVax (current)'!EZ10,'NotEffectivelyVax (current)'!FC10,'NotEffectivelyVax (current)'!FF10,'NotEffectivelyVax (current)'!FI10,'NotEffectivelyVax (current)'!FL10,'NotEffectivelyVax (current)'!FO10,'NotEffectivelyVax (current)'!FR10,'NotEffectivelyVax (current)'!FU10,'NotEffectivelyVax (current)'!FX10,'NotEffectivelyVax (current)'!GA10)</f>
        <v>#VALUE!</v>
      </c>
      <c r="Q10" s="155" t="e">
        <f>SUM('NotEffectivelyVax (current)'!D10,'NotEffectivelyVax (current)'!G10,'NotEffectivelyVax (current)'!J10,'NotEffectivelyVax (current)'!M10,'NotEffectivelyVax (current)'!P10,'NotEffectivelyVax (current)'!S10,'NotEffectivelyVax (current)'!V10,'NotEffectivelyVax (current)'!Y10,'NotEffectivelyVax (current)'!AB10,'NotEffectivelyVax (current)'!AE10,'NotEffectivelyVax (current)'!AH10,'NotEffectivelyVax (current)'!AK10,'NotEffectivelyVax (current)'!AN10,'NotEffectivelyVax (current)'!AQ10,'NotEffectivelyVax (current)'!AT10,'NotEffectivelyVax (current)'!AW10,'NotEffectivelyVax (current)'!AZ10,'NotEffectivelyVax (current)'!BC10,'NotEffectivelyVax (current)'!BF10,'NotEffectivelyVax (current)'!BI10,'NotEffectivelyVax (current)'!BL10,'NotEffectivelyVax (current)'!BO10,'NotEffectivelyVax (current)'!BR10,'NotEffectivelyVax (current)'!BU10,'NotEffectivelyVax (current)'!BX10,'NotEffectivelyVax (current)'!CA10,'NotEffectivelyVax (current)'!CD10,'NotEffectivelyVax (current)'!CG10,'NotEffectivelyVax (current)'!CJ10,'NotEffectivelyVax (current)'!CM10,'NotEffectivelyVax (current)'!CP10,'NotEffectivelyVax (current)'!CS10,'NotEffectivelyVax (current)'!CV10,'NotEffectivelyVax (current)'!CY10,'NotEffectivelyVax (current)'!DB10,'NotEffectivelyVax (current)'!DE10,'NotEffectivelyVax (current)'!DH10,'NotEffectivelyVax (current)'!DK10,'NotEffectivelyVax (current)'!DN10,'NotEffectivelyVax (current)'!DQ10,'NotEffectivelyVax (current)'!DT10,'NotEffectivelyVax (current)'!DW10,'NotEffectivelyVax (current)'!DZ10,'NotEffectivelyVax (current)'!EC10,'NotEffectivelyVax (current)'!EF10,'NotEffectivelyVax (current)'!EI10,'NotEffectivelyVax (current)'!EL10,'NotEffectivelyVax (current)'!EO10,'NotEffectivelyVax (current)'!ER10,'NotEffectivelyVax (current)'!EU10,'NotEffectivelyVax (current)'!EX10,'NotEffectivelyVax (current)'!FA10,'NotEffectivelyVax (current)'!FD10,'NotEffectivelyVax (current)'!FG10,'NotEffectivelyVax (current)'!FJ10,'NotEffectivelyVax (current)'!FM10,'NotEffectivelyVax (current)'!FP10,'NotEffectivelyVax (current)'!FS10,'NotEffectivelyVax (current)'!FV10,'NotEffectivelyVax (current)'!FY10)</f>
        <v>#VALUE!</v>
      </c>
      <c r="R10" s="155" t="e">
        <f>SUM('NotEffectivelyVax (current)'!E10,'NotEffectivelyVax (current)'!H10,'NotEffectivelyVax (current)'!K10,'NotEffectivelyVax (current)'!N10,'NotEffectivelyVax (current)'!Q10,'NotEffectivelyVax (current)'!T10,'NotEffectivelyVax (current)'!W10,'NotEffectivelyVax (current)'!Z10,'NotEffectivelyVax (current)'!AC10,'NotEffectivelyVax (current)'!AF10,'NotEffectivelyVax (current)'!AI10,'NotEffectivelyVax (current)'!AL10,'NotEffectivelyVax (current)'!AO10,'NotEffectivelyVax (current)'!AR10,'NotEffectivelyVax (current)'!AU10,'NotEffectivelyVax (current)'!AX10,'NotEffectivelyVax (current)'!BA10,'NotEffectivelyVax (current)'!BD10,'NotEffectivelyVax (current)'!BG10,'NotEffectivelyVax (current)'!BJ10,'NotEffectivelyVax (current)'!BM10,'NotEffectivelyVax (current)'!BP10,'NotEffectivelyVax (current)'!BS10,'NotEffectivelyVax (current)'!BV10,'NotEffectivelyVax (current)'!BY10,'NotEffectivelyVax (current)'!CB10,'NotEffectivelyVax (current)'!CE10,'NotEffectivelyVax (current)'!CH10,'NotEffectivelyVax (current)'!CK10,'NotEffectivelyVax (current)'!CN10,'NotEffectivelyVax (current)'!CQ10,'NotEffectivelyVax (current)'!CT10,'NotEffectivelyVax (current)'!CW10,'NotEffectivelyVax (current)'!CZ10,'NotEffectivelyVax (current)'!DC10,'NotEffectivelyVax (current)'!DF10,'NotEffectivelyVax (current)'!DI10,'NotEffectivelyVax (current)'!DL10,'NotEffectivelyVax (current)'!DO10,'NotEffectivelyVax (current)'!DR10,'NotEffectivelyVax (current)'!DU10,'NotEffectivelyVax (current)'!DX10,'NotEffectivelyVax (current)'!EA10,'NotEffectivelyVax (current)'!ED10,'NotEffectivelyVax (current)'!EG10,'NotEffectivelyVax (current)'!EJ10,'NotEffectivelyVax (current)'!EM10,'NotEffectivelyVax (current)'!EP10,'NotEffectivelyVax (current)'!ES10,'NotEffectivelyVax (current)'!EV10,'NotEffectivelyVax (current)'!EY10,'NotEffectivelyVax (current)'!FB10,'NotEffectivelyVax (current)'!FE10,'NotEffectivelyVax (current)'!FH10,'NotEffectivelyVax (current)'!FK10,'NotEffectivelyVax (current)'!FN10,'NotEffectivelyVax (current)'!FQ10,'NotEffectivelyVax (current)'!FT10,'NotEffectivelyVax (current)'!FW10,'NotEffectivelyVax (current)'!FZ10)</f>
        <v>#VALUE!</v>
      </c>
      <c r="S10" s="138" t="e">
        <f t="shared" si="6"/>
        <v>#VALUE!</v>
      </c>
      <c r="T10" s="187" t="e">
        <f>IF(Export!M8&lt;&gt;"",Q10*Export!K8*(1/Export!M8),Q10*Export!K8)</f>
        <v>#VALUE!</v>
      </c>
      <c r="U10" s="188" t="e">
        <f>S10*Export!J8</f>
        <v>#VALUE!</v>
      </c>
      <c r="V10" s="196" t="e">
        <f t="shared" si="7"/>
        <v>#DIV/0!</v>
      </c>
      <c r="W10" s="197" t="e">
        <f t="shared" si="8"/>
        <v>#VALUE!</v>
      </c>
      <c r="X10" s="190" t="e">
        <f>H10*Export!L8*V9</f>
        <v>#VALUE!</v>
      </c>
      <c r="Y10" s="190" t="e">
        <f t="shared" si="1"/>
        <v>#VALUE!</v>
      </c>
      <c r="Z10" s="190" t="e">
        <f>IF(Export!M8&lt;&gt;"",W10*Export!K8*(1/Export!M8),W10*Export!K8)</f>
        <v>#VALUE!</v>
      </c>
      <c r="AA10" s="190" t="e">
        <f>Y10*Export!J8</f>
        <v>#VALUE!</v>
      </c>
      <c r="AB10" s="144"/>
      <c r="AC10" s="143" t="e">
        <f t="shared" si="2"/>
        <v>#VALUE!</v>
      </c>
      <c r="AD10" s="144" t="e">
        <f t="shared" si="2"/>
        <v>#VALUE!</v>
      </c>
      <c r="AE10" s="144" t="e">
        <f t="shared" si="3"/>
        <v>#VALUE!</v>
      </c>
      <c r="AF10" s="144" t="e">
        <f t="shared" si="3"/>
        <v>#VALUE!</v>
      </c>
      <c r="AG10" s="144" t="e">
        <f t="shared" si="4"/>
        <v>#VALUE!</v>
      </c>
      <c r="AH10" s="145"/>
      <c r="AI10" s="145"/>
      <c r="AJ10" s="145"/>
      <c r="AK10" s="145"/>
      <c r="AL10" s="146"/>
      <c r="AM10" s="145"/>
      <c r="AN10" s="145"/>
      <c r="AO10" s="145"/>
      <c r="AP10" s="145"/>
      <c r="AQ10" s="146"/>
    </row>
    <row r="11" spans="1:45" x14ac:dyDescent="0.35">
      <c r="A11" s="130">
        <f>EffectivelyVax!B10</f>
        <v>0</v>
      </c>
      <c r="B11" s="131">
        <f>EffectivelyVax!C10</f>
        <v>0</v>
      </c>
      <c r="C11" s="132">
        <f>Export!N9</f>
        <v>0</v>
      </c>
      <c r="D11" s="177">
        <f>Export!B9</f>
        <v>0</v>
      </c>
      <c r="E11" s="178">
        <f>C11*D11*HelperFunctions!G$3</f>
        <v>0</v>
      </c>
      <c r="F11" s="179">
        <f>C11*D11*(1-HelperFunctions!G$3)</f>
        <v>0</v>
      </c>
      <c r="G11" s="180">
        <f>Export!C9</f>
        <v>0</v>
      </c>
      <c r="H11" s="191" t="e">
        <f>G11/(I10+'NotEffectivelyVax (current)'!F10*HelperFunctions!R9+'NotEffectivelyVax (current)'!I10*HelperFunctions!R8+'NotEffectivelyVax (current)'!L10*HelperFunctions!R7+'NotEffectivelyVax (current)'!O10*HelperFunctions!R6+'NotEffectivelyVax (current)'!R10*HelperFunctions!R5+'NotEffectivelyVax (current)'!U10*HelperFunctions!R4+'NotEffectivelyVax (current)'!X10*HelperFunctions!R3)</f>
        <v>#VALUE!</v>
      </c>
      <c r="I11" s="192" t="e">
        <f t="shared" si="9"/>
        <v>#VALUE!</v>
      </c>
      <c r="J11" s="153">
        <f>SUM(EffectivelyVax!D10:BK10)</f>
        <v>0</v>
      </c>
      <c r="K11" s="193" t="e">
        <f t="shared" si="5"/>
        <v>#VALUE!</v>
      </c>
      <c r="L11" s="194" t="e">
        <f>I10*H11*Export!L9</f>
        <v>#VALUE!</v>
      </c>
      <c r="M11" s="195" t="e">
        <f t="shared" si="0"/>
        <v>#VALUE!</v>
      </c>
      <c r="N11" s="178" t="e">
        <f>IF(Export!M9&lt;&gt;"",K11*Export!K9*(1/Export!M9),K11*Export!K9)</f>
        <v>#VALUE!</v>
      </c>
      <c r="O11" s="154" t="e">
        <f>M11*Export!J9</f>
        <v>#VALUE!</v>
      </c>
      <c r="P11" s="186" t="e">
        <f>SUM('NotEffectivelyVax (current)'!F11,'NotEffectivelyVax (current)'!I11,'NotEffectivelyVax (current)'!L11,'NotEffectivelyVax (current)'!O11,'NotEffectivelyVax (current)'!R11,'NotEffectivelyVax (current)'!U11,'NotEffectivelyVax (current)'!X11,'NotEffectivelyVax (current)'!AA11,'NotEffectivelyVax (current)'!AD11,'NotEffectivelyVax (current)'!AG11,'NotEffectivelyVax (current)'!AJ11,'NotEffectivelyVax (current)'!AM11,'NotEffectivelyVax (current)'!AP11,'NotEffectivelyVax (current)'!AS11,'NotEffectivelyVax (current)'!AV11,'NotEffectivelyVax (current)'!AY11,'NotEffectivelyVax (current)'!BB11,'NotEffectivelyVax (current)'!BE11,'NotEffectivelyVax (current)'!BH11,'NotEffectivelyVax (current)'!BK11,'NotEffectivelyVax (current)'!BN11,'NotEffectivelyVax (current)'!BQ11,'NotEffectivelyVax (current)'!BT11,'NotEffectivelyVax (current)'!BW11,'NotEffectivelyVax (current)'!BZ11,'NotEffectivelyVax (current)'!CC11,'NotEffectivelyVax (current)'!CF11,'NotEffectivelyVax (current)'!CI11,'NotEffectivelyVax (current)'!CL11,'NotEffectivelyVax (current)'!CO11,'NotEffectivelyVax (current)'!CR11,'NotEffectivelyVax (current)'!CU11,'NotEffectivelyVax (current)'!CX11,'NotEffectivelyVax (current)'!DA11,'NotEffectivelyVax (current)'!DD11,'NotEffectivelyVax (current)'!DG11,'NotEffectivelyVax (current)'!DJ11,'NotEffectivelyVax (current)'!DM11,'NotEffectivelyVax (current)'!DP11,'NotEffectivelyVax (current)'!DS11,'NotEffectivelyVax (current)'!DV11,'NotEffectivelyVax (current)'!DY11,'NotEffectivelyVax (current)'!EB11,'NotEffectivelyVax (current)'!EE11,'NotEffectivelyVax (current)'!EH11,'NotEffectivelyVax (current)'!EK11,'NotEffectivelyVax (current)'!EN11,'NotEffectivelyVax (current)'!EQ11,'NotEffectivelyVax (current)'!ET11,'NotEffectivelyVax (current)'!EW11,'NotEffectivelyVax (current)'!EZ11,'NotEffectivelyVax (current)'!FC11,'NotEffectivelyVax (current)'!FF11,'NotEffectivelyVax (current)'!FI11,'NotEffectivelyVax (current)'!FL11,'NotEffectivelyVax (current)'!FO11,'NotEffectivelyVax (current)'!FR11,'NotEffectivelyVax (current)'!FU11,'NotEffectivelyVax (current)'!FX11,'NotEffectivelyVax (current)'!GA11)</f>
        <v>#VALUE!</v>
      </c>
      <c r="Q11" s="155" t="e">
        <f>SUM('NotEffectivelyVax (current)'!D11,'NotEffectivelyVax (current)'!G11,'NotEffectivelyVax (current)'!J11,'NotEffectivelyVax (current)'!M11,'NotEffectivelyVax (current)'!P11,'NotEffectivelyVax (current)'!S11,'NotEffectivelyVax (current)'!V11,'NotEffectivelyVax (current)'!Y11,'NotEffectivelyVax (current)'!AB11,'NotEffectivelyVax (current)'!AE11,'NotEffectivelyVax (current)'!AH11,'NotEffectivelyVax (current)'!AK11,'NotEffectivelyVax (current)'!AN11,'NotEffectivelyVax (current)'!AQ11,'NotEffectivelyVax (current)'!AT11,'NotEffectivelyVax (current)'!AW11,'NotEffectivelyVax (current)'!AZ11,'NotEffectivelyVax (current)'!BC11,'NotEffectivelyVax (current)'!BF11,'NotEffectivelyVax (current)'!BI11,'NotEffectivelyVax (current)'!BL11,'NotEffectivelyVax (current)'!BO11,'NotEffectivelyVax (current)'!BR11,'NotEffectivelyVax (current)'!BU11,'NotEffectivelyVax (current)'!BX11,'NotEffectivelyVax (current)'!CA11,'NotEffectivelyVax (current)'!CD11,'NotEffectivelyVax (current)'!CG11,'NotEffectivelyVax (current)'!CJ11,'NotEffectivelyVax (current)'!CM11,'NotEffectivelyVax (current)'!CP11,'NotEffectivelyVax (current)'!CS11,'NotEffectivelyVax (current)'!CV11,'NotEffectivelyVax (current)'!CY11,'NotEffectivelyVax (current)'!DB11,'NotEffectivelyVax (current)'!DE11,'NotEffectivelyVax (current)'!DH11,'NotEffectivelyVax (current)'!DK11,'NotEffectivelyVax (current)'!DN11,'NotEffectivelyVax (current)'!DQ11,'NotEffectivelyVax (current)'!DT11,'NotEffectivelyVax (current)'!DW11,'NotEffectivelyVax (current)'!DZ11,'NotEffectivelyVax (current)'!EC11,'NotEffectivelyVax (current)'!EF11,'NotEffectivelyVax (current)'!EI11,'NotEffectivelyVax (current)'!EL11,'NotEffectivelyVax (current)'!EO11,'NotEffectivelyVax (current)'!ER11,'NotEffectivelyVax (current)'!EU11,'NotEffectivelyVax (current)'!EX11,'NotEffectivelyVax (current)'!FA11,'NotEffectivelyVax (current)'!FD11,'NotEffectivelyVax (current)'!FG11,'NotEffectivelyVax (current)'!FJ11,'NotEffectivelyVax (current)'!FM11,'NotEffectivelyVax (current)'!FP11,'NotEffectivelyVax (current)'!FS11,'NotEffectivelyVax (current)'!FV11,'NotEffectivelyVax (current)'!FY11)</f>
        <v>#VALUE!</v>
      </c>
      <c r="R11" s="155" t="e">
        <f>SUM('NotEffectivelyVax (current)'!E11,'NotEffectivelyVax (current)'!H11,'NotEffectivelyVax (current)'!K11,'NotEffectivelyVax (current)'!N11,'NotEffectivelyVax (current)'!Q11,'NotEffectivelyVax (current)'!T11,'NotEffectivelyVax (current)'!W11,'NotEffectivelyVax (current)'!Z11,'NotEffectivelyVax (current)'!AC11,'NotEffectivelyVax (current)'!AF11,'NotEffectivelyVax (current)'!AI11,'NotEffectivelyVax (current)'!AL11,'NotEffectivelyVax (current)'!AO11,'NotEffectivelyVax (current)'!AR11,'NotEffectivelyVax (current)'!AU11,'NotEffectivelyVax (current)'!AX11,'NotEffectivelyVax (current)'!BA11,'NotEffectivelyVax (current)'!BD11,'NotEffectivelyVax (current)'!BG11,'NotEffectivelyVax (current)'!BJ11,'NotEffectivelyVax (current)'!BM11,'NotEffectivelyVax (current)'!BP11,'NotEffectivelyVax (current)'!BS11,'NotEffectivelyVax (current)'!BV11,'NotEffectivelyVax (current)'!BY11,'NotEffectivelyVax (current)'!CB11,'NotEffectivelyVax (current)'!CE11,'NotEffectivelyVax (current)'!CH11,'NotEffectivelyVax (current)'!CK11,'NotEffectivelyVax (current)'!CN11,'NotEffectivelyVax (current)'!CQ11,'NotEffectivelyVax (current)'!CT11,'NotEffectivelyVax (current)'!CW11,'NotEffectivelyVax (current)'!CZ11,'NotEffectivelyVax (current)'!DC11,'NotEffectivelyVax (current)'!DF11,'NotEffectivelyVax (current)'!DI11,'NotEffectivelyVax (current)'!DL11,'NotEffectivelyVax (current)'!DO11,'NotEffectivelyVax (current)'!DR11,'NotEffectivelyVax (current)'!DU11,'NotEffectivelyVax (current)'!DX11,'NotEffectivelyVax (current)'!EA11,'NotEffectivelyVax (current)'!ED11,'NotEffectivelyVax (current)'!EG11,'NotEffectivelyVax (current)'!EJ11,'NotEffectivelyVax (current)'!EM11,'NotEffectivelyVax (current)'!EP11,'NotEffectivelyVax (current)'!ES11,'NotEffectivelyVax (current)'!EV11,'NotEffectivelyVax (current)'!EY11,'NotEffectivelyVax (current)'!FB11,'NotEffectivelyVax (current)'!FE11,'NotEffectivelyVax (current)'!FH11,'NotEffectivelyVax (current)'!FK11,'NotEffectivelyVax (current)'!FN11,'NotEffectivelyVax (current)'!FQ11,'NotEffectivelyVax (current)'!FT11,'NotEffectivelyVax (current)'!FW11,'NotEffectivelyVax (current)'!FZ11)</f>
        <v>#VALUE!</v>
      </c>
      <c r="S11" s="138" t="e">
        <f t="shared" si="6"/>
        <v>#VALUE!</v>
      </c>
      <c r="T11" s="187" t="e">
        <f>IF(Export!M9&lt;&gt;"",Q11*Export!K9*(1/Export!M9),Q11*Export!K9)</f>
        <v>#VALUE!</v>
      </c>
      <c r="U11" s="188" t="e">
        <f>S11*Export!J9</f>
        <v>#VALUE!</v>
      </c>
      <c r="V11" s="196" t="e">
        <f t="shared" si="7"/>
        <v>#DIV/0!</v>
      </c>
      <c r="W11" s="197" t="e">
        <f t="shared" si="8"/>
        <v>#VALUE!</v>
      </c>
      <c r="X11" s="190" t="e">
        <f>H11*Export!L9*V10</f>
        <v>#VALUE!</v>
      </c>
      <c r="Y11" s="190" t="e">
        <f t="shared" si="1"/>
        <v>#VALUE!</v>
      </c>
      <c r="Z11" s="190" t="e">
        <f>IF(Export!M9&lt;&gt;"",W11*Export!K9*(1/Export!M9),W11*Export!K9)</f>
        <v>#VALUE!</v>
      </c>
      <c r="AA11" s="190" t="e">
        <f>Y11*Export!J9</f>
        <v>#VALUE!</v>
      </c>
      <c r="AB11" s="144"/>
      <c r="AC11" s="143" t="e">
        <f t="shared" si="2"/>
        <v>#VALUE!</v>
      </c>
      <c r="AD11" s="144" t="e">
        <f t="shared" si="2"/>
        <v>#VALUE!</v>
      </c>
      <c r="AE11" s="144" t="e">
        <f t="shared" si="3"/>
        <v>#VALUE!</v>
      </c>
      <c r="AF11" s="144" t="e">
        <f t="shared" si="3"/>
        <v>#VALUE!</v>
      </c>
      <c r="AG11" s="144" t="e">
        <f t="shared" si="4"/>
        <v>#VALUE!</v>
      </c>
      <c r="AH11" s="145"/>
      <c r="AI11" s="145"/>
      <c r="AJ11" s="145"/>
      <c r="AK11" s="145"/>
      <c r="AL11" s="146"/>
      <c r="AM11" s="145"/>
      <c r="AN11" s="145"/>
      <c r="AO11" s="145"/>
      <c r="AP11" s="145"/>
      <c r="AQ11" s="146"/>
    </row>
    <row r="12" spans="1:45" x14ac:dyDescent="0.35">
      <c r="A12" s="130">
        <f>EffectivelyVax!B11</f>
        <v>0</v>
      </c>
      <c r="B12" s="131">
        <f>EffectivelyVax!C11</f>
        <v>0</v>
      </c>
      <c r="C12" s="132">
        <f>Export!N10</f>
        <v>0</v>
      </c>
      <c r="D12" s="177">
        <f>Export!B10</f>
        <v>0</v>
      </c>
      <c r="E12" s="178">
        <f>C12*D12*HelperFunctions!G$3</f>
        <v>0</v>
      </c>
      <c r="F12" s="179">
        <f>C12*D12*(1-HelperFunctions!G$3)</f>
        <v>0</v>
      </c>
      <c r="G12" s="180">
        <f>Export!C10</f>
        <v>0</v>
      </c>
      <c r="H12" s="191" t="e">
        <f>G12/(I11+'NotEffectivelyVax (current)'!F11*HelperFunctions!R10+'NotEffectivelyVax (current)'!I11*HelperFunctions!R9+'NotEffectivelyVax (current)'!L11*HelperFunctions!R8+'NotEffectivelyVax (current)'!O11*HelperFunctions!R7+'NotEffectivelyVax (current)'!R11*HelperFunctions!R6+'NotEffectivelyVax (current)'!U11*HelperFunctions!R5+'NotEffectivelyVax (current)'!X11*HelperFunctions!R4+'NotEffectivelyVax (current)'!AA11*HelperFunctions!R3)</f>
        <v>#VALUE!</v>
      </c>
      <c r="I12" s="192" t="e">
        <f>I11-M12-E12-F12+J12+(M4)+(S4)</f>
        <v>#VALUE!</v>
      </c>
      <c r="J12" s="153">
        <f>SUM(EffectivelyVax!D11:BK11)</f>
        <v>0</v>
      </c>
      <c r="K12" s="193" t="e">
        <f t="shared" si="5"/>
        <v>#VALUE!</v>
      </c>
      <c r="L12" s="194" t="e">
        <f>I11*H12*Export!L10</f>
        <v>#VALUE!</v>
      </c>
      <c r="M12" s="195" t="e">
        <f t="shared" si="0"/>
        <v>#VALUE!</v>
      </c>
      <c r="N12" s="178" t="e">
        <f>IF(Export!M10&lt;&gt;"",K12*Export!K10*(1/Export!M10),K12*Export!K10)</f>
        <v>#VALUE!</v>
      </c>
      <c r="O12" s="154" t="e">
        <f>M12*Export!J10</f>
        <v>#VALUE!</v>
      </c>
      <c r="P12" s="186" t="e">
        <f>SUM('NotEffectivelyVax (current)'!F12,'NotEffectivelyVax (current)'!I12,'NotEffectivelyVax (current)'!L12,'NotEffectivelyVax (current)'!O12,'NotEffectivelyVax (current)'!R12,'NotEffectivelyVax (current)'!U12,'NotEffectivelyVax (current)'!X12,'NotEffectivelyVax (current)'!AA12,'NotEffectivelyVax (current)'!AD12,'NotEffectivelyVax (current)'!AG12,'NotEffectivelyVax (current)'!AJ12,'NotEffectivelyVax (current)'!AM12,'NotEffectivelyVax (current)'!AP12,'NotEffectivelyVax (current)'!AS12,'NotEffectivelyVax (current)'!AV12,'NotEffectivelyVax (current)'!AY12,'NotEffectivelyVax (current)'!BB12,'NotEffectivelyVax (current)'!BE12,'NotEffectivelyVax (current)'!BH12,'NotEffectivelyVax (current)'!BK12,'NotEffectivelyVax (current)'!BN12,'NotEffectivelyVax (current)'!BQ12,'NotEffectivelyVax (current)'!BT12,'NotEffectivelyVax (current)'!BW12,'NotEffectivelyVax (current)'!BZ12,'NotEffectivelyVax (current)'!CC12,'NotEffectivelyVax (current)'!CF12,'NotEffectivelyVax (current)'!CI12,'NotEffectivelyVax (current)'!CL12,'NotEffectivelyVax (current)'!CO12,'NotEffectivelyVax (current)'!CR12,'NotEffectivelyVax (current)'!CU12,'NotEffectivelyVax (current)'!CX12,'NotEffectivelyVax (current)'!DA12,'NotEffectivelyVax (current)'!DD12,'NotEffectivelyVax (current)'!DG12,'NotEffectivelyVax (current)'!DJ12,'NotEffectivelyVax (current)'!DM12,'NotEffectivelyVax (current)'!DP12,'NotEffectivelyVax (current)'!DS12,'NotEffectivelyVax (current)'!DV12,'NotEffectivelyVax (current)'!DY12,'NotEffectivelyVax (current)'!EB12,'NotEffectivelyVax (current)'!EE12,'NotEffectivelyVax (current)'!EH12,'NotEffectivelyVax (current)'!EK12,'NotEffectivelyVax (current)'!EN12,'NotEffectivelyVax (current)'!EQ12,'NotEffectivelyVax (current)'!ET12,'NotEffectivelyVax (current)'!EW12,'NotEffectivelyVax (current)'!EZ12,'NotEffectivelyVax (current)'!FC12,'NotEffectivelyVax (current)'!FF12,'NotEffectivelyVax (current)'!FI12,'NotEffectivelyVax (current)'!FL12,'NotEffectivelyVax (current)'!FO12,'NotEffectivelyVax (current)'!FR12,'NotEffectivelyVax (current)'!FU12,'NotEffectivelyVax (current)'!FX12,'NotEffectivelyVax (current)'!GA12)</f>
        <v>#VALUE!</v>
      </c>
      <c r="Q12" s="155" t="e">
        <f>SUM('NotEffectivelyVax (current)'!D12,'NotEffectivelyVax (current)'!G12,'NotEffectivelyVax (current)'!J12,'NotEffectivelyVax (current)'!M12,'NotEffectivelyVax (current)'!P12,'NotEffectivelyVax (current)'!S12,'NotEffectivelyVax (current)'!V12,'NotEffectivelyVax (current)'!Y12,'NotEffectivelyVax (current)'!AB12,'NotEffectivelyVax (current)'!AE12,'NotEffectivelyVax (current)'!AH12,'NotEffectivelyVax (current)'!AK12,'NotEffectivelyVax (current)'!AN12,'NotEffectivelyVax (current)'!AQ12,'NotEffectivelyVax (current)'!AT12,'NotEffectivelyVax (current)'!AW12,'NotEffectivelyVax (current)'!AZ12,'NotEffectivelyVax (current)'!BC12,'NotEffectivelyVax (current)'!BF12,'NotEffectivelyVax (current)'!BI12,'NotEffectivelyVax (current)'!BL12,'NotEffectivelyVax (current)'!BO12,'NotEffectivelyVax (current)'!BR12,'NotEffectivelyVax (current)'!BU12,'NotEffectivelyVax (current)'!BX12,'NotEffectivelyVax (current)'!CA12,'NotEffectivelyVax (current)'!CD12,'NotEffectivelyVax (current)'!CG12,'NotEffectivelyVax (current)'!CJ12,'NotEffectivelyVax (current)'!CM12,'NotEffectivelyVax (current)'!CP12,'NotEffectivelyVax (current)'!CS12,'NotEffectivelyVax (current)'!CV12,'NotEffectivelyVax (current)'!CY12,'NotEffectivelyVax (current)'!DB12,'NotEffectivelyVax (current)'!DE12,'NotEffectivelyVax (current)'!DH12,'NotEffectivelyVax (current)'!DK12,'NotEffectivelyVax (current)'!DN12,'NotEffectivelyVax (current)'!DQ12,'NotEffectivelyVax (current)'!DT12,'NotEffectivelyVax (current)'!DW12,'NotEffectivelyVax (current)'!DZ12,'NotEffectivelyVax (current)'!EC12,'NotEffectivelyVax (current)'!EF12,'NotEffectivelyVax (current)'!EI12,'NotEffectivelyVax (current)'!EL12,'NotEffectivelyVax (current)'!EO12,'NotEffectivelyVax (current)'!ER12,'NotEffectivelyVax (current)'!EU12,'NotEffectivelyVax (current)'!EX12,'NotEffectivelyVax (current)'!FA12,'NotEffectivelyVax (current)'!FD12,'NotEffectivelyVax (current)'!FG12,'NotEffectivelyVax (current)'!FJ12,'NotEffectivelyVax (current)'!FM12,'NotEffectivelyVax (current)'!FP12,'NotEffectivelyVax (current)'!FS12,'NotEffectivelyVax (current)'!FV12,'NotEffectivelyVax (current)'!FY12)</f>
        <v>#VALUE!</v>
      </c>
      <c r="R12" s="155" t="e">
        <f>SUM('NotEffectivelyVax (current)'!E12,'NotEffectivelyVax (current)'!H12,'NotEffectivelyVax (current)'!K12,'NotEffectivelyVax (current)'!N12,'NotEffectivelyVax (current)'!Q12,'NotEffectivelyVax (current)'!T12,'NotEffectivelyVax (current)'!W12,'NotEffectivelyVax (current)'!Z12,'NotEffectivelyVax (current)'!AC12,'NotEffectivelyVax (current)'!AF12,'NotEffectivelyVax (current)'!AI12,'NotEffectivelyVax (current)'!AL12,'NotEffectivelyVax (current)'!AO12,'NotEffectivelyVax (current)'!AR12,'NotEffectivelyVax (current)'!AU12,'NotEffectivelyVax (current)'!AX12,'NotEffectivelyVax (current)'!BA12,'NotEffectivelyVax (current)'!BD12,'NotEffectivelyVax (current)'!BG12,'NotEffectivelyVax (current)'!BJ12,'NotEffectivelyVax (current)'!BM12,'NotEffectivelyVax (current)'!BP12,'NotEffectivelyVax (current)'!BS12,'NotEffectivelyVax (current)'!BV12,'NotEffectivelyVax (current)'!BY12,'NotEffectivelyVax (current)'!CB12,'NotEffectivelyVax (current)'!CE12,'NotEffectivelyVax (current)'!CH12,'NotEffectivelyVax (current)'!CK12,'NotEffectivelyVax (current)'!CN12,'NotEffectivelyVax (current)'!CQ12,'NotEffectivelyVax (current)'!CT12,'NotEffectivelyVax (current)'!CW12,'NotEffectivelyVax (current)'!CZ12,'NotEffectivelyVax (current)'!DC12,'NotEffectivelyVax (current)'!DF12,'NotEffectivelyVax (current)'!DI12,'NotEffectivelyVax (current)'!DL12,'NotEffectivelyVax (current)'!DO12,'NotEffectivelyVax (current)'!DR12,'NotEffectivelyVax (current)'!DU12,'NotEffectivelyVax (current)'!DX12,'NotEffectivelyVax (current)'!EA12,'NotEffectivelyVax (current)'!ED12,'NotEffectivelyVax (current)'!EG12,'NotEffectivelyVax (current)'!EJ12,'NotEffectivelyVax (current)'!EM12,'NotEffectivelyVax (current)'!EP12,'NotEffectivelyVax (current)'!ES12,'NotEffectivelyVax (current)'!EV12,'NotEffectivelyVax (current)'!EY12,'NotEffectivelyVax (current)'!FB12,'NotEffectivelyVax (current)'!FE12,'NotEffectivelyVax (current)'!FH12,'NotEffectivelyVax (current)'!FK12,'NotEffectivelyVax (current)'!FN12,'NotEffectivelyVax (current)'!FQ12,'NotEffectivelyVax (current)'!FT12,'NotEffectivelyVax (current)'!FW12,'NotEffectivelyVax (current)'!FZ12)</f>
        <v>#VALUE!</v>
      </c>
      <c r="S12" s="138" t="e">
        <f t="shared" si="6"/>
        <v>#VALUE!</v>
      </c>
      <c r="T12" s="187" t="e">
        <f>IF(Export!M10&lt;&gt;"",Q12*Export!K10*(1/Export!M10),Q12*Export!K10)</f>
        <v>#VALUE!</v>
      </c>
      <c r="U12" s="188" t="e">
        <f>S12*Export!J10</f>
        <v>#VALUE!</v>
      </c>
      <c r="V12" s="196" t="e">
        <f>V11-Y12+(Y4)</f>
        <v>#DIV/0!</v>
      </c>
      <c r="W12" s="197" t="e">
        <f t="shared" si="8"/>
        <v>#VALUE!</v>
      </c>
      <c r="X12" s="190" t="e">
        <f>H12*Export!L10*V11</f>
        <v>#VALUE!</v>
      </c>
      <c r="Y12" s="190" t="e">
        <f t="shared" si="1"/>
        <v>#VALUE!</v>
      </c>
      <c r="Z12" s="190" t="e">
        <f>IF(Export!M10&lt;&gt;"",W12*Export!K10*(1/Export!M10),W12*Export!K10)</f>
        <v>#VALUE!</v>
      </c>
      <c r="AA12" s="190" t="e">
        <f>Y12*Export!J10</f>
        <v>#VALUE!</v>
      </c>
      <c r="AB12" s="144"/>
      <c r="AC12" s="143" t="e">
        <f t="shared" si="2"/>
        <v>#VALUE!</v>
      </c>
      <c r="AD12" s="144" t="e">
        <f t="shared" si="2"/>
        <v>#VALUE!</v>
      </c>
      <c r="AE12" s="144" t="e">
        <f t="shared" si="3"/>
        <v>#VALUE!</v>
      </c>
      <c r="AF12" s="144" t="e">
        <f t="shared" si="3"/>
        <v>#VALUE!</v>
      </c>
      <c r="AG12" s="144" t="e">
        <f t="shared" si="4"/>
        <v>#VALUE!</v>
      </c>
      <c r="AH12" s="145"/>
      <c r="AI12" s="145"/>
      <c r="AJ12" s="145"/>
      <c r="AK12" s="145"/>
      <c r="AL12" s="146"/>
      <c r="AM12" s="145"/>
      <c r="AN12" s="145"/>
      <c r="AO12" s="145"/>
      <c r="AP12" s="145"/>
      <c r="AQ12" s="146"/>
    </row>
    <row r="13" spans="1:45" x14ac:dyDescent="0.35">
      <c r="A13" s="130">
        <f>EffectivelyVax!B12</f>
        <v>0</v>
      </c>
      <c r="B13" s="131">
        <f>EffectivelyVax!C12</f>
        <v>0</v>
      </c>
      <c r="C13" s="132">
        <f>Export!N11</f>
        <v>0</v>
      </c>
      <c r="D13" s="177">
        <f>Export!B11</f>
        <v>0</v>
      </c>
      <c r="E13" s="178">
        <f>C13*D13*HelperFunctions!G$3</f>
        <v>0</v>
      </c>
      <c r="F13" s="179">
        <f>C13*D13*(1-HelperFunctions!G$3)</f>
        <v>0</v>
      </c>
      <c r="G13" s="180">
        <f>Export!C11</f>
        <v>0</v>
      </c>
      <c r="H13" s="191" t="e">
        <f>G13/(I12+'NotEffectivelyVax (current)'!F12*HelperFunctions!R11+'NotEffectivelyVax (current)'!I12*HelperFunctions!R10+'NotEffectivelyVax (current)'!L12*HelperFunctions!R9+'NotEffectivelyVax (current)'!O12*HelperFunctions!R8+'NotEffectivelyVax (current)'!R12*HelperFunctions!R7+'NotEffectivelyVax (current)'!U12*HelperFunctions!R6+'NotEffectivelyVax (current)'!X12*HelperFunctions!R5+'NotEffectivelyVax (current)'!AA12*HelperFunctions!R4+'NotEffectivelyVax (current)'!AD12*HelperFunctions!R3)</f>
        <v>#VALUE!</v>
      </c>
      <c r="I13" s="192" t="e">
        <f t="shared" ref="I13:I63" si="10">I12-M13-E13-F13+J13+(M5)+(S5)</f>
        <v>#VALUE!</v>
      </c>
      <c r="J13" s="153">
        <f>SUM(EffectivelyVax!D12:BK12)</f>
        <v>0</v>
      </c>
      <c r="K13" s="193" t="e">
        <f t="shared" si="5"/>
        <v>#VALUE!</v>
      </c>
      <c r="L13" s="194" t="e">
        <f>I12*H13*Export!L11</f>
        <v>#VALUE!</v>
      </c>
      <c r="M13" s="195" t="e">
        <f t="shared" si="0"/>
        <v>#VALUE!</v>
      </c>
      <c r="N13" s="178" t="e">
        <f>IF(Export!M11&lt;&gt;"",K13*Export!K11*(1/Export!M11),K13*Export!K11)</f>
        <v>#VALUE!</v>
      </c>
      <c r="O13" s="154" t="e">
        <f>M13*Export!J11</f>
        <v>#VALUE!</v>
      </c>
      <c r="P13" s="186" t="e">
        <f>SUM('NotEffectivelyVax (current)'!F13,'NotEffectivelyVax (current)'!I13,'NotEffectivelyVax (current)'!L13,'NotEffectivelyVax (current)'!O13,'NotEffectivelyVax (current)'!R13,'NotEffectivelyVax (current)'!U13,'NotEffectivelyVax (current)'!X13,'NotEffectivelyVax (current)'!AA13,'NotEffectivelyVax (current)'!AD13,'NotEffectivelyVax (current)'!AG13,'NotEffectivelyVax (current)'!AJ13,'NotEffectivelyVax (current)'!AM13,'NotEffectivelyVax (current)'!AP13,'NotEffectivelyVax (current)'!AS13,'NotEffectivelyVax (current)'!AV13,'NotEffectivelyVax (current)'!AY13,'NotEffectivelyVax (current)'!BB13,'NotEffectivelyVax (current)'!BE13,'NotEffectivelyVax (current)'!BH13,'NotEffectivelyVax (current)'!BK13,'NotEffectivelyVax (current)'!BN13,'NotEffectivelyVax (current)'!BQ13,'NotEffectivelyVax (current)'!BT13,'NotEffectivelyVax (current)'!BW13,'NotEffectivelyVax (current)'!BZ13,'NotEffectivelyVax (current)'!CC13,'NotEffectivelyVax (current)'!CF13,'NotEffectivelyVax (current)'!CI13,'NotEffectivelyVax (current)'!CL13,'NotEffectivelyVax (current)'!CO13,'NotEffectivelyVax (current)'!CR13,'NotEffectivelyVax (current)'!CU13,'NotEffectivelyVax (current)'!CX13,'NotEffectivelyVax (current)'!DA13,'NotEffectivelyVax (current)'!DD13,'NotEffectivelyVax (current)'!DG13,'NotEffectivelyVax (current)'!DJ13,'NotEffectivelyVax (current)'!DM13,'NotEffectivelyVax (current)'!DP13,'NotEffectivelyVax (current)'!DS13,'NotEffectivelyVax (current)'!DV13,'NotEffectivelyVax (current)'!DY13,'NotEffectivelyVax (current)'!EB13,'NotEffectivelyVax (current)'!EE13,'NotEffectivelyVax (current)'!EH13,'NotEffectivelyVax (current)'!EK13,'NotEffectivelyVax (current)'!EN13,'NotEffectivelyVax (current)'!EQ13,'NotEffectivelyVax (current)'!ET13,'NotEffectivelyVax (current)'!EW13,'NotEffectivelyVax (current)'!EZ13,'NotEffectivelyVax (current)'!FC13,'NotEffectivelyVax (current)'!FF13,'NotEffectivelyVax (current)'!FI13,'NotEffectivelyVax (current)'!FL13,'NotEffectivelyVax (current)'!FO13,'NotEffectivelyVax (current)'!FR13,'NotEffectivelyVax (current)'!FU13,'NotEffectivelyVax (current)'!FX13,'NotEffectivelyVax (current)'!GA13)</f>
        <v>#VALUE!</v>
      </c>
      <c r="Q13" s="155" t="e">
        <f>SUM('NotEffectivelyVax (current)'!D13,'NotEffectivelyVax (current)'!G13,'NotEffectivelyVax (current)'!J13,'NotEffectivelyVax (current)'!M13,'NotEffectivelyVax (current)'!P13,'NotEffectivelyVax (current)'!S13,'NotEffectivelyVax (current)'!V13,'NotEffectivelyVax (current)'!Y13,'NotEffectivelyVax (current)'!AB13,'NotEffectivelyVax (current)'!AE13,'NotEffectivelyVax (current)'!AH13,'NotEffectivelyVax (current)'!AK13,'NotEffectivelyVax (current)'!AN13,'NotEffectivelyVax (current)'!AQ13,'NotEffectivelyVax (current)'!AT13,'NotEffectivelyVax (current)'!AW13,'NotEffectivelyVax (current)'!AZ13,'NotEffectivelyVax (current)'!BC13,'NotEffectivelyVax (current)'!BF13,'NotEffectivelyVax (current)'!BI13,'NotEffectivelyVax (current)'!BL13,'NotEffectivelyVax (current)'!BO13,'NotEffectivelyVax (current)'!BR13,'NotEffectivelyVax (current)'!BU13,'NotEffectivelyVax (current)'!BX13,'NotEffectivelyVax (current)'!CA13,'NotEffectivelyVax (current)'!CD13,'NotEffectivelyVax (current)'!CG13,'NotEffectivelyVax (current)'!CJ13,'NotEffectivelyVax (current)'!CM13,'NotEffectivelyVax (current)'!CP13,'NotEffectivelyVax (current)'!CS13,'NotEffectivelyVax (current)'!CV13,'NotEffectivelyVax (current)'!CY13,'NotEffectivelyVax (current)'!DB13,'NotEffectivelyVax (current)'!DE13,'NotEffectivelyVax (current)'!DH13,'NotEffectivelyVax (current)'!DK13,'NotEffectivelyVax (current)'!DN13,'NotEffectivelyVax (current)'!DQ13,'NotEffectivelyVax (current)'!DT13,'NotEffectivelyVax (current)'!DW13,'NotEffectivelyVax (current)'!DZ13,'NotEffectivelyVax (current)'!EC13,'NotEffectivelyVax (current)'!EF13,'NotEffectivelyVax (current)'!EI13,'NotEffectivelyVax (current)'!EL13,'NotEffectivelyVax (current)'!EO13,'NotEffectivelyVax (current)'!ER13,'NotEffectivelyVax (current)'!EU13,'NotEffectivelyVax (current)'!EX13,'NotEffectivelyVax (current)'!FA13,'NotEffectivelyVax (current)'!FD13,'NotEffectivelyVax (current)'!FG13,'NotEffectivelyVax (current)'!FJ13,'NotEffectivelyVax (current)'!FM13,'NotEffectivelyVax (current)'!FP13,'NotEffectivelyVax (current)'!FS13,'NotEffectivelyVax (current)'!FV13,'NotEffectivelyVax (current)'!FY13)</f>
        <v>#VALUE!</v>
      </c>
      <c r="R13" s="155" t="e">
        <f>SUM('NotEffectivelyVax (current)'!E13,'NotEffectivelyVax (current)'!H13,'NotEffectivelyVax (current)'!K13,'NotEffectivelyVax (current)'!N13,'NotEffectivelyVax (current)'!Q13,'NotEffectivelyVax (current)'!T13,'NotEffectivelyVax (current)'!W13,'NotEffectivelyVax (current)'!Z13,'NotEffectivelyVax (current)'!AC13,'NotEffectivelyVax (current)'!AF13,'NotEffectivelyVax (current)'!AI13,'NotEffectivelyVax (current)'!AL13,'NotEffectivelyVax (current)'!AO13,'NotEffectivelyVax (current)'!AR13,'NotEffectivelyVax (current)'!AU13,'NotEffectivelyVax (current)'!AX13,'NotEffectivelyVax (current)'!BA13,'NotEffectivelyVax (current)'!BD13,'NotEffectivelyVax (current)'!BG13,'NotEffectivelyVax (current)'!BJ13,'NotEffectivelyVax (current)'!BM13,'NotEffectivelyVax (current)'!BP13,'NotEffectivelyVax (current)'!BS13,'NotEffectivelyVax (current)'!BV13,'NotEffectivelyVax (current)'!BY13,'NotEffectivelyVax (current)'!CB13,'NotEffectivelyVax (current)'!CE13,'NotEffectivelyVax (current)'!CH13,'NotEffectivelyVax (current)'!CK13,'NotEffectivelyVax (current)'!CN13,'NotEffectivelyVax (current)'!CQ13,'NotEffectivelyVax (current)'!CT13,'NotEffectivelyVax (current)'!CW13,'NotEffectivelyVax (current)'!CZ13,'NotEffectivelyVax (current)'!DC13,'NotEffectivelyVax (current)'!DF13,'NotEffectivelyVax (current)'!DI13,'NotEffectivelyVax (current)'!DL13,'NotEffectivelyVax (current)'!DO13,'NotEffectivelyVax (current)'!DR13,'NotEffectivelyVax (current)'!DU13,'NotEffectivelyVax (current)'!DX13,'NotEffectivelyVax (current)'!EA13,'NotEffectivelyVax (current)'!ED13,'NotEffectivelyVax (current)'!EG13,'NotEffectivelyVax (current)'!EJ13,'NotEffectivelyVax (current)'!EM13,'NotEffectivelyVax (current)'!EP13,'NotEffectivelyVax (current)'!ES13,'NotEffectivelyVax (current)'!EV13,'NotEffectivelyVax (current)'!EY13,'NotEffectivelyVax (current)'!FB13,'NotEffectivelyVax (current)'!FE13,'NotEffectivelyVax (current)'!FH13,'NotEffectivelyVax (current)'!FK13,'NotEffectivelyVax (current)'!FN13,'NotEffectivelyVax (current)'!FQ13,'NotEffectivelyVax (current)'!FT13,'NotEffectivelyVax (current)'!FW13,'NotEffectivelyVax (current)'!FZ13)</f>
        <v>#VALUE!</v>
      </c>
      <c r="S13" s="138" t="e">
        <f t="shared" si="6"/>
        <v>#VALUE!</v>
      </c>
      <c r="T13" s="187" t="e">
        <f>IF(Export!M11&lt;&gt;"",Q13*Export!K11*(1/Export!M11),Q13*Export!K11)</f>
        <v>#VALUE!</v>
      </c>
      <c r="U13" s="188" t="e">
        <f>S13*Export!J11</f>
        <v>#VALUE!</v>
      </c>
      <c r="V13" s="196" t="e">
        <f t="shared" ref="V13:V63" si="11">V12-Y13+(Y5)</f>
        <v>#DIV/0!</v>
      </c>
      <c r="W13" s="197" t="e">
        <f t="shared" si="8"/>
        <v>#VALUE!</v>
      </c>
      <c r="X13" s="190" t="e">
        <f>H13*Export!L11*V12</f>
        <v>#VALUE!</v>
      </c>
      <c r="Y13" s="190" t="e">
        <f t="shared" si="1"/>
        <v>#VALUE!</v>
      </c>
      <c r="Z13" s="190" t="e">
        <f>IF(Export!M11&lt;&gt;"",W13*Export!K11*(1/Export!M11),W13*Export!K11)</f>
        <v>#VALUE!</v>
      </c>
      <c r="AA13" s="190" t="e">
        <f>Y13*Export!J11</f>
        <v>#VALUE!</v>
      </c>
      <c r="AB13" s="144"/>
      <c r="AC13" s="143" t="e">
        <f t="shared" si="2"/>
        <v>#VALUE!</v>
      </c>
      <c r="AD13" s="144" t="e">
        <f t="shared" si="2"/>
        <v>#VALUE!</v>
      </c>
      <c r="AE13" s="144" t="e">
        <f t="shared" si="3"/>
        <v>#VALUE!</v>
      </c>
      <c r="AF13" s="144" t="e">
        <f t="shared" si="3"/>
        <v>#VALUE!</v>
      </c>
      <c r="AG13" s="144" t="e">
        <f t="shared" si="4"/>
        <v>#VALUE!</v>
      </c>
      <c r="AH13" s="145"/>
      <c r="AI13" s="145"/>
      <c r="AJ13" s="145"/>
      <c r="AK13" s="145"/>
      <c r="AL13" s="146"/>
      <c r="AM13" s="145"/>
      <c r="AN13" s="145"/>
      <c r="AO13" s="145"/>
      <c r="AP13" s="145"/>
      <c r="AQ13" s="146"/>
    </row>
    <row r="14" spans="1:45" x14ac:dyDescent="0.35">
      <c r="A14" s="130">
        <f>EffectivelyVax!B13</f>
        <v>0</v>
      </c>
      <c r="B14" s="131">
        <f>EffectivelyVax!C13</f>
        <v>0</v>
      </c>
      <c r="C14" s="132">
        <f>Export!N12</f>
        <v>0</v>
      </c>
      <c r="D14" s="177">
        <f>Export!B12</f>
        <v>0</v>
      </c>
      <c r="E14" s="178">
        <f>C14*D14*HelperFunctions!G$3</f>
        <v>0</v>
      </c>
      <c r="F14" s="179">
        <f>C14*D14*(1-HelperFunctions!G$3)</f>
        <v>0</v>
      </c>
      <c r="G14" s="180">
        <f>Export!C12</f>
        <v>0</v>
      </c>
      <c r="H14" s="191" t="e">
        <f>G14/(I13+'NotEffectivelyVax (current)'!F13*HelperFunctions!R12+'NotEffectivelyVax (current)'!I13*HelperFunctions!R11+'NotEffectivelyVax (current)'!L13*HelperFunctions!R10+'NotEffectivelyVax (current)'!O13*HelperFunctions!R9+'NotEffectivelyVax (current)'!R13*HelperFunctions!R8+'NotEffectivelyVax (current)'!U13*HelperFunctions!R7+'NotEffectivelyVax (current)'!X13*HelperFunctions!R6+'NotEffectivelyVax (current)'!AA13*HelperFunctions!R5+'NotEffectivelyVax (current)'!AD13*HelperFunctions!R4+'NotEffectivelyVax (current)'!AG13*HelperFunctions!R3)</f>
        <v>#VALUE!</v>
      </c>
      <c r="I14" s="192" t="e">
        <f t="shared" si="10"/>
        <v>#VALUE!</v>
      </c>
      <c r="J14" s="153">
        <f>SUM(EffectivelyVax!D13:BK13)</f>
        <v>0</v>
      </c>
      <c r="K14" s="193" t="e">
        <f t="shared" si="5"/>
        <v>#VALUE!</v>
      </c>
      <c r="L14" s="194" t="e">
        <f>I13*H14*Export!L12</f>
        <v>#VALUE!</v>
      </c>
      <c r="M14" s="195" t="e">
        <f t="shared" si="0"/>
        <v>#VALUE!</v>
      </c>
      <c r="N14" s="178" t="e">
        <f>IF(Export!M12&lt;&gt;"",K14*Export!K12*(1/Export!M12),K14*Export!K12)</f>
        <v>#VALUE!</v>
      </c>
      <c r="O14" s="154" t="e">
        <f>M14*Export!J12</f>
        <v>#VALUE!</v>
      </c>
      <c r="P14" s="186" t="e">
        <f>SUM('NotEffectivelyVax (current)'!F14,'NotEffectivelyVax (current)'!I14,'NotEffectivelyVax (current)'!L14,'NotEffectivelyVax (current)'!O14,'NotEffectivelyVax (current)'!R14,'NotEffectivelyVax (current)'!U14,'NotEffectivelyVax (current)'!X14,'NotEffectivelyVax (current)'!AA14,'NotEffectivelyVax (current)'!AD14,'NotEffectivelyVax (current)'!AG14,'NotEffectivelyVax (current)'!AJ14,'NotEffectivelyVax (current)'!AM14,'NotEffectivelyVax (current)'!AP14,'NotEffectivelyVax (current)'!AS14,'NotEffectivelyVax (current)'!AV14,'NotEffectivelyVax (current)'!AY14,'NotEffectivelyVax (current)'!BB14,'NotEffectivelyVax (current)'!BE14,'NotEffectivelyVax (current)'!BH14,'NotEffectivelyVax (current)'!BK14,'NotEffectivelyVax (current)'!BN14,'NotEffectivelyVax (current)'!BQ14,'NotEffectivelyVax (current)'!BT14,'NotEffectivelyVax (current)'!BW14,'NotEffectivelyVax (current)'!BZ14,'NotEffectivelyVax (current)'!CC14,'NotEffectivelyVax (current)'!CF14,'NotEffectivelyVax (current)'!CI14,'NotEffectivelyVax (current)'!CL14,'NotEffectivelyVax (current)'!CO14,'NotEffectivelyVax (current)'!CR14,'NotEffectivelyVax (current)'!CU14,'NotEffectivelyVax (current)'!CX14,'NotEffectivelyVax (current)'!DA14,'NotEffectivelyVax (current)'!DD14,'NotEffectivelyVax (current)'!DG14,'NotEffectivelyVax (current)'!DJ14,'NotEffectivelyVax (current)'!DM14,'NotEffectivelyVax (current)'!DP14,'NotEffectivelyVax (current)'!DS14,'NotEffectivelyVax (current)'!DV14,'NotEffectivelyVax (current)'!DY14,'NotEffectivelyVax (current)'!EB14,'NotEffectivelyVax (current)'!EE14,'NotEffectivelyVax (current)'!EH14,'NotEffectivelyVax (current)'!EK14,'NotEffectivelyVax (current)'!EN14,'NotEffectivelyVax (current)'!EQ14,'NotEffectivelyVax (current)'!ET14,'NotEffectivelyVax (current)'!EW14,'NotEffectivelyVax (current)'!EZ14,'NotEffectivelyVax (current)'!FC14,'NotEffectivelyVax (current)'!FF14,'NotEffectivelyVax (current)'!FI14,'NotEffectivelyVax (current)'!FL14,'NotEffectivelyVax (current)'!FO14,'NotEffectivelyVax (current)'!FR14,'NotEffectivelyVax (current)'!FU14,'NotEffectivelyVax (current)'!FX14,'NotEffectivelyVax (current)'!GA14)</f>
        <v>#VALUE!</v>
      </c>
      <c r="Q14" s="155" t="e">
        <f>SUM('NotEffectivelyVax (current)'!D14,'NotEffectivelyVax (current)'!G14,'NotEffectivelyVax (current)'!J14,'NotEffectivelyVax (current)'!M14,'NotEffectivelyVax (current)'!P14,'NotEffectivelyVax (current)'!S14,'NotEffectivelyVax (current)'!V14,'NotEffectivelyVax (current)'!Y14,'NotEffectivelyVax (current)'!AB14,'NotEffectivelyVax (current)'!AE14,'NotEffectivelyVax (current)'!AH14,'NotEffectivelyVax (current)'!AK14,'NotEffectivelyVax (current)'!AN14,'NotEffectivelyVax (current)'!AQ14,'NotEffectivelyVax (current)'!AT14,'NotEffectivelyVax (current)'!AW14,'NotEffectivelyVax (current)'!AZ14,'NotEffectivelyVax (current)'!BC14,'NotEffectivelyVax (current)'!BF14,'NotEffectivelyVax (current)'!BI14,'NotEffectivelyVax (current)'!BL14,'NotEffectivelyVax (current)'!BO14,'NotEffectivelyVax (current)'!BR14,'NotEffectivelyVax (current)'!BU14,'NotEffectivelyVax (current)'!BX14,'NotEffectivelyVax (current)'!CA14,'NotEffectivelyVax (current)'!CD14,'NotEffectivelyVax (current)'!CG14,'NotEffectivelyVax (current)'!CJ14,'NotEffectivelyVax (current)'!CM14,'NotEffectivelyVax (current)'!CP14,'NotEffectivelyVax (current)'!CS14,'NotEffectivelyVax (current)'!CV14,'NotEffectivelyVax (current)'!CY14,'NotEffectivelyVax (current)'!DB14,'NotEffectivelyVax (current)'!DE14,'NotEffectivelyVax (current)'!DH14,'NotEffectivelyVax (current)'!DK14,'NotEffectivelyVax (current)'!DN14,'NotEffectivelyVax (current)'!DQ14,'NotEffectivelyVax (current)'!DT14,'NotEffectivelyVax (current)'!DW14,'NotEffectivelyVax (current)'!DZ14,'NotEffectivelyVax (current)'!EC14,'NotEffectivelyVax (current)'!EF14,'NotEffectivelyVax (current)'!EI14,'NotEffectivelyVax (current)'!EL14,'NotEffectivelyVax (current)'!EO14,'NotEffectivelyVax (current)'!ER14,'NotEffectivelyVax (current)'!EU14,'NotEffectivelyVax (current)'!EX14,'NotEffectivelyVax (current)'!FA14,'NotEffectivelyVax (current)'!FD14,'NotEffectivelyVax (current)'!FG14,'NotEffectivelyVax (current)'!FJ14,'NotEffectivelyVax (current)'!FM14,'NotEffectivelyVax (current)'!FP14,'NotEffectivelyVax (current)'!FS14,'NotEffectivelyVax (current)'!FV14,'NotEffectivelyVax (current)'!FY14)</f>
        <v>#VALUE!</v>
      </c>
      <c r="R14" s="155" t="e">
        <f>SUM('NotEffectivelyVax (current)'!E14,'NotEffectivelyVax (current)'!H14,'NotEffectivelyVax (current)'!K14,'NotEffectivelyVax (current)'!N14,'NotEffectivelyVax (current)'!Q14,'NotEffectivelyVax (current)'!T14,'NotEffectivelyVax (current)'!W14,'NotEffectivelyVax (current)'!Z14,'NotEffectivelyVax (current)'!AC14,'NotEffectivelyVax (current)'!AF14,'NotEffectivelyVax (current)'!AI14,'NotEffectivelyVax (current)'!AL14,'NotEffectivelyVax (current)'!AO14,'NotEffectivelyVax (current)'!AR14,'NotEffectivelyVax (current)'!AU14,'NotEffectivelyVax (current)'!AX14,'NotEffectivelyVax (current)'!BA14,'NotEffectivelyVax (current)'!BD14,'NotEffectivelyVax (current)'!BG14,'NotEffectivelyVax (current)'!BJ14,'NotEffectivelyVax (current)'!BM14,'NotEffectivelyVax (current)'!BP14,'NotEffectivelyVax (current)'!BS14,'NotEffectivelyVax (current)'!BV14,'NotEffectivelyVax (current)'!BY14,'NotEffectivelyVax (current)'!CB14,'NotEffectivelyVax (current)'!CE14,'NotEffectivelyVax (current)'!CH14,'NotEffectivelyVax (current)'!CK14,'NotEffectivelyVax (current)'!CN14,'NotEffectivelyVax (current)'!CQ14,'NotEffectivelyVax (current)'!CT14,'NotEffectivelyVax (current)'!CW14,'NotEffectivelyVax (current)'!CZ14,'NotEffectivelyVax (current)'!DC14,'NotEffectivelyVax (current)'!DF14,'NotEffectivelyVax (current)'!DI14,'NotEffectivelyVax (current)'!DL14,'NotEffectivelyVax (current)'!DO14,'NotEffectivelyVax (current)'!DR14,'NotEffectivelyVax (current)'!DU14,'NotEffectivelyVax (current)'!DX14,'NotEffectivelyVax (current)'!EA14,'NotEffectivelyVax (current)'!ED14,'NotEffectivelyVax (current)'!EG14,'NotEffectivelyVax (current)'!EJ14,'NotEffectivelyVax (current)'!EM14,'NotEffectivelyVax (current)'!EP14,'NotEffectivelyVax (current)'!ES14,'NotEffectivelyVax (current)'!EV14,'NotEffectivelyVax (current)'!EY14,'NotEffectivelyVax (current)'!FB14,'NotEffectivelyVax (current)'!FE14,'NotEffectivelyVax (current)'!FH14,'NotEffectivelyVax (current)'!FK14,'NotEffectivelyVax (current)'!FN14,'NotEffectivelyVax (current)'!FQ14,'NotEffectivelyVax (current)'!FT14,'NotEffectivelyVax (current)'!FW14,'NotEffectivelyVax (current)'!FZ14)</f>
        <v>#VALUE!</v>
      </c>
      <c r="S14" s="138" t="e">
        <f t="shared" si="6"/>
        <v>#VALUE!</v>
      </c>
      <c r="T14" s="187" t="e">
        <f>IF(Export!M12&lt;&gt;"",Q14*Export!K12*(1/Export!M12),Q14*Export!K12)</f>
        <v>#VALUE!</v>
      </c>
      <c r="U14" s="188" t="e">
        <f>S14*Export!J12</f>
        <v>#VALUE!</v>
      </c>
      <c r="V14" s="196" t="e">
        <f t="shared" si="11"/>
        <v>#DIV/0!</v>
      </c>
      <c r="W14" s="197" t="e">
        <f t="shared" si="8"/>
        <v>#VALUE!</v>
      </c>
      <c r="X14" s="190" t="e">
        <f>H14*Export!L12*V13</f>
        <v>#VALUE!</v>
      </c>
      <c r="Y14" s="190" t="e">
        <f t="shared" si="1"/>
        <v>#VALUE!</v>
      </c>
      <c r="Z14" s="190" t="e">
        <f>IF(Export!M12&lt;&gt;"",W14*Export!K12*(1/Export!M12),W14*Export!K12)</f>
        <v>#VALUE!</v>
      </c>
      <c r="AA14" s="190" t="e">
        <f>Y14*Export!J12</f>
        <v>#VALUE!</v>
      </c>
      <c r="AB14" s="144"/>
      <c r="AC14" s="143" t="e">
        <f t="shared" si="2"/>
        <v>#VALUE!</v>
      </c>
      <c r="AD14" s="144" t="e">
        <f t="shared" si="2"/>
        <v>#VALUE!</v>
      </c>
      <c r="AE14" s="144" t="e">
        <f t="shared" si="3"/>
        <v>#VALUE!</v>
      </c>
      <c r="AF14" s="144" t="e">
        <f t="shared" si="3"/>
        <v>#VALUE!</v>
      </c>
      <c r="AG14" s="144" t="e">
        <f t="shared" si="4"/>
        <v>#VALUE!</v>
      </c>
      <c r="AH14" s="145"/>
      <c r="AI14" s="145"/>
      <c r="AJ14" s="145"/>
      <c r="AK14" s="145"/>
      <c r="AL14" s="146"/>
      <c r="AM14" s="145"/>
      <c r="AN14" s="145"/>
      <c r="AO14" s="145"/>
      <c r="AP14" s="145"/>
      <c r="AQ14" s="146"/>
      <c r="AS14" s="79"/>
    </row>
    <row r="15" spans="1:45" ht="15.75" customHeight="1" x14ac:dyDescent="0.35">
      <c r="A15" s="202">
        <f>EffectivelyVax!B14</f>
        <v>0</v>
      </c>
      <c r="B15" s="203">
        <f>EffectivelyVax!C14</f>
        <v>0</v>
      </c>
      <c r="C15" s="204">
        <f>Export!N13</f>
        <v>0</v>
      </c>
      <c r="D15" s="205">
        <f>Export!B13</f>
        <v>0</v>
      </c>
      <c r="E15" s="206">
        <f>C15*D15*HelperFunctions!G$3</f>
        <v>0</v>
      </c>
      <c r="F15" s="207">
        <f>C15*D15*(1-HelperFunctions!G$3)</f>
        <v>0</v>
      </c>
      <c r="G15" s="208">
        <f>Export!C13</f>
        <v>0</v>
      </c>
      <c r="H15" s="209" t="e">
        <f>G15/(I14+'NotEffectivelyVax (current)'!F14*HelperFunctions!R13+'NotEffectivelyVax (current)'!I14*HelperFunctions!R12+'NotEffectivelyVax (current)'!L14*HelperFunctions!R11+'NotEffectivelyVax (current)'!O14*HelperFunctions!R10+'NotEffectivelyVax (current)'!R14*HelperFunctions!R9+'NotEffectivelyVax (current)'!U14*HelperFunctions!R8+'NotEffectivelyVax (current)'!X14*HelperFunctions!R7+'NotEffectivelyVax (current)'!AA14*HelperFunctions!R6+'NotEffectivelyVax (current)'!AD14*HelperFunctions!R5+'NotEffectivelyVax (current)'!AG14*HelperFunctions!R4+'NotEffectivelyVax (current)'!AJ14*HelperFunctions!R3)</f>
        <v>#VALUE!</v>
      </c>
      <c r="I15" s="245" t="e">
        <f t="shared" si="10"/>
        <v>#VALUE!</v>
      </c>
      <c r="J15" s="210">
        <f>SUM(EffectivelyVax!D14:BK14)</f>
        <v>0</v>
      </c>
      <c r="K15" s="211" t="e">
        <f t="shared" si="5"/>
        <v>#VALUE!</v>
      </c>
      <c r="L15" s="212" t="e">
        <f>I14*H15*Export!L13</f>
        <v>#VALUE!</v>
      </c>
      <c r="M15" s="213" t="e">
        <f t="shared" si="0"/>
        <v>#VALUE!</v>
      </c>
      <c r="N15" s="206" t="e">
        <f>IF(Export!M13&lt;&gt;"",K15*Export!K13*(1/Export!M13),K15*Export!K13)</f>
        <v>#VALUE!</v>
      </c>
      <c r="O15" s="214" t="e">
        <f>M15*Export!J13</f>
        <v>#VALUE!</v>
      </c>
      <c r="P15" s="215" t="e">
        <f>SUM('NotEffectivelyVax (current)'!F15,'NotEffectivelyVax (current)'!I15,'NotEffectivelyVax (current)'!L15,'NotEffectivelyVax (current)'!O15,'NotEffectivelyVax (current)'!R15,'NotEffectivelyVax (current)'!U15,'NotEffectivelyVax (current)'!X15,'NotEffectivelyVax (current)'!AA15,'NotEffectivelyVax (current)'!AD15,'NotEffectivelyVax (current)'!AG15,'NotEffectivelyVax (current)'!AJ15,'NotEffectivelyVax (current)'!AM15,'NotEffectivelyVax (current)'!AP15,'NotEffectivelyVax (current)'!AS15,'NotEffectivelyVax (current)'!AV15,'NotEffectivelyVax (current)'!AY15,'NotEffectivelyVax (current)'!BB15,'NotEffectivelyVax (current)'!BE15,'NotEffectivelyVax (current)'!BH15,'NotEffectivelyVax (current)'!BK15,'NotEffectivelyVax (current)'!BN15,'NotEffectivelyVax (current)'!BQ15,'NotEffectivelyVax (current)'!BT15,'NotEffectivelyVax (current)'!BW15,'NotEffectivelyVax (current)'!BZ15,'NotEffectivelyVax (current)'!CC15,'NotEffectivelyVax (current)'!CF15,'NotEffectivelyVax (current)'!CI15,'NotEffectivelyVax (current)'!CL15,'NotEffectivelyVax (current)'!CO15,'NotEffectivelyVax (current)'!CR15,'NotEffectivelyVax (current)'!CU15,'NotEffectivelyVax (current)'!CX15,'NotEffectivelyVax (current)'!DA15,'NotEffectivelyVax (current)'!DD15,'NotEffectivelyVax (current)'!DG15,'NotEffectivelyVax (current)'!DJ15,'NotEffectivelyVax (current)'!DM15,'NotEffectivelyVax (current)'!DP15,'NotEffectivelyVax (current)'!DS15,'NotEffectivelyVax (current)'!DV15,'NotEffectivelyVax (current)'!DY15,'NotEffectivelyVax (current)'!EB15,'NotEffectivelyVax (current)'!EE15,'NotEffectivelyVax (current)'!EH15,'NotEffectivelyVax (current)'!EK15,'NotEffectivelyVax (current)'!EN15,'NotEffectivelyVax (current)'!EQ15,'NotEffectivelyVax (current)'!ET15,'NotEffectivelyVax (current)'!EW15,'NotEffectivelyVax (current)'!EZ15,'NotEffectivelyVax (current)'!FC15,'NotEffectivelyVax (current)'!FF15,'NotEffectivelyVax (current)'!FI15,'NotEffectivelyVax (current)'!FL15,'NotEffectivelyVax (current)'!FO15,'NotEffectivelyVax (current)'!FR15,'NotEffectivelyVax (current)'!FU15,'NotEffectivelyVax (current)'!FX15,'NotEffectivelyVax (current)'!GA15)</f>
        <v>#VALUE!</v>
      </c>
      <c r="Q15" s="216" t="e">
        <f>SUM('NotEffectivelyVax (current)'!D15,'NotEffectivelyVax (current)'!G15,'NotEffectivelyVax (current)'!J15,'NotEffectivelyVax (current)'!M15,'NotEffectivelyVax (current)'!P15,'NotEffectivelyVax (current)'!S15,'NotEffectivelyVax (current)'!V15,'NotEffectivelyVax (current)'!Y15,'NotEffectivelyVax (current)'!AB15,'NotEffectivelyVax (current)'!AE15,'NotEffectivelyVax (current)'!AH15,'NotEffectivelyVax (current)'!AK15,'NotEffectivelyVax (current)'!AN15,'NotEffectivelyVax (current)'!AQ15,'NotEffectivelyVax (current)'!AT15,'NotEffectivelyVax (current)'!AW15,'NotEffectivelyVax (current)'!AZ15,'NotEffectivelyVax (current)'!BC15,'NotEffectivelyVax (current)'!BF15,'NotEffectivelyVax (current)'!BI15,'NotEffectivelyVax (current)'!BL15,'NotEffectivelyVax (current)'!BO15,'NotEffectivelyVax (current)'!BR15,'NotEffectivelyVax (current)'!BU15,'NotEffectivelyVax (current)'!BX15,'NotEffectivelyVax (current)'!CA15,'NotEffectivelyVax (current)'!CD15,'NotEffectivelyVax (current)'!CG15,'NotEffectivelyVax (current)'!CJ15,'NotEffectivelyVax (current)'!CM15,'NotEffectivelyVax (current)'!CP15,'NotEffectivelyVax (current)'!CS15,'NotEffectivelyVax (current)'!CV15,'NotEffectivelyVax (current)'!CY15,'NotEffectivelyVax (current)'!DB15,'NotEffectivelyVax (current)'!DE15,'NotEffectivelyVax (current)'!DH15,'NotEffectivelyVax (current)'!DK15,'NotEffectivelyVax (current)'!DN15,'NotEffectivelyVax (current)'!DQ15,'NotEffectivelyVax (current)'!DT15,'NotEffectivelyVax (current)'!DW15,'NotEffectivelyVax (current)'!DZ15,'NotEffectivelyVax (current)'!EC15,'NotEffectivelyVax (current)'!EF15,'NotEffectivelyVax (current)'!EI15,'NotEffectivelyVax (current)'!EL15,'NotEffectivelyVax (current)'!EO15,'NotEffectivelyVax (current)'!ER15,'NotEffectivelyVax (current)'!EU15,'NotEffectivelyVax (current)'!EX15,'NotEffectivelyVax (current)'!FA15,'NotEffectivelyVax (current)'!FD15,'NotEffectivelyVax (current)'!FG15,'NotEffectivelyVax (current)'!FJ15,'NotEffectivelyVax (current)'!FM15,'NotEffectivelyVax (current)'!FP15,'NotEffectivelyVax (current)'!FS15,'NotEffectivelyVax (current)'!FV15,'NotEffectivelyVax (current)'!FY15)</f>
        <v>#VALUE!</v>
      </c>
      <c r="R15" s="216" t="e">
        <f>SUM('NotEffectivelyVax (current)'!E15,'NotEffectivelyVax (current)'!H15,'NotEffectivelyVax (current)'!K15,'NotEffectivelyVax (current)'!N15,'NotEffectivelyVax (current)'!Q15,'NotEffectivelyVax (current)'!T15,'NotEffectivelyVax (current)'!W15,'NotEffectivelyVax (current)'!Z15,'NotEffectivelyVax (current)'!AC15,'NotEffectivelyVax (current)'!AF15,'NotEffectivelyVax (current)'!AI15,'NotEffectivelyVax (current)'!AL15,'NotEffectivelyVax (current)'!AO15,'NotEffectivelyVax (current)'!AR15,'NotEffectivelyVax (current)'!AU15,'NotEffectivelyVax (current)'!AX15,'NotEffectivelyVax (current)'!BA15,'NotEffectivelyVax (current)'!BD15,'NotEffectivelyVax (current)'!BG15,'NotEffectivelyVax (current)'!BJ15,'NotEffectivelyVax (current)'!BM15,'NotEffectivelyVax (current)'!BP15,'NotEffectivelyVax (current)'!BS15,'NotEffectivelyVax (current)'!BV15,'NotEffectivelyVax (current)'!BY15,'NotEffectivelyVax (current)'!CB15,'NotEffectivelyVax (current)'!CE15,'NotEffectivelyVax (current)'!CH15,'NotEffectivelyVax (current)'!CK15,'NotEffectivelyVax (current)'!CN15,'NotEffectivelyVax (current)'!CQ15,'NotEffectivelyVax (current)'!CT15,'NotEffectivelyVax (current)'!CW15,'NotEffectivelyVax (current)'!CZ15,'NotEffectivelyVax (current)'!DC15,'NotEffectivelyVax (current)'!DF15,'NotEffectivelyVax (current)'!DI15,'NotEffectivelyVax (current)'!DL15,'NotEffectivelyVax (current)'!DO15,'NotEffectivelyVax (current)'!DR15,'NotEffectivelyVax (current)'!DU15,'NotEffectivelyVax (current)'!DX15,'NotEffectivelyVax (current)'!EA15,'NotEffectivelyVax (current)'!ED15,'NotEffectivelyVax (current)'!EG15,'NotEffectivelyVax (current)'!EJ15,'NotEffectivelyVax (current)'!EM15,'NotEffectivelyVax (current)'!EP15,'NotEffectivelyVax (current)'!ES15,'NotEffectivelyVax (current)'!EV15,'NotEffectivelyVax (current)'!EY15,'NotEffectivelyVax (current)'!FB15,'NotEffectivelyVax (current)'!FE15,'NotEffectivelyVax (current)'!FH15,'NotEffectivelyVax (current)'!FK15,'NotEffectivelyVax (current)'!FN15,'NotEffectivelyVax (current)'!FQ15,'NotEffectivelyVax (current)'!FT15,'NotEffectivelyVax (current)'!FW15,'NotEffectivelyVax (current)'!FZ15)</f>
        <v>#VALUE!</v>
      </c>
      <c r="S15" s="217" t="e">
        <f t="shared" si="6"/>
        <v>#VALUE!</v>
      </c>
      <c r="T15" s="218" t="e">
        <f>IF(Export!M13&lt;&gt;"",Q15*Export!K13*(1/Export!M13),Q15*Export!K13)</f>
        <v>#VALUE!</v>
      </c>
      <c r="U15" s="219" t="e">
        <f>S15*Export!J13</f>
        <v>#VALUE!</v>
      </c>
      <c r="V15" s="244" t="e">
        <f t="shared" si="11"/>
        <v>#DIV/0!</v>
      </c>
      <c r="W15" s="220" t="e">
        <f t="shared" si="8"/>
        <v>#VALUE!</v>
      </c>
      <c r="X15" s="221" t="e">
        <f>H15*Export!L13*V14</f>
        <v>#VALUE!</v>
      </c>
      <c r="Y15" s="221" t="e">
        <f t="shared" si="1"/>
        <v>#VALUE!</v>
      </c>
      <c r="Z15" s="221" t="e">
        <f>IF(Export!M13&lt;&gt;"",W15*Export!K13*(1/Export!M13),W15*Export!K13)</f>
        <v>#VALUE!</v>
      </c>
      <c r="AA15" s="221" t="e">
        <f>Y15*Export!J13</f>
        <v>#VALUE!</v>
      </c>
      <c r="AB15" s="144"/>
      <c r="AC15" s="156" t="e">
        <f t="shared" si="2"/>
        <v>#VALUE!</v>
      </c>
      <c r="AD15" s="157" t="e">
        <f t="shared" si="2"/>
        <v>#VALUE!</v>
      </c>
      <c r="AE15" s="157" t="e">
        <f t="shared" si="3"/>
        <v>#VALUE!</v>
      </c>
      <c r="AF15" s="157" t="e">
        <f t="shared" si="3"/>
        <v>#VALUE!</v>
      </c>
      <c r="AG15" s="157" t="e">
        <f t="shared" si="4"/>
        <v>#VALUE!</v>
      </c>
      <c r="AH15" s="147" t="e">
        <f>SUM(AC4:AC15)/SUM(W4:W15)</f>
        <v>#DIV/0!</v>
      </c>
      <c r="AI15" s="147" t="e">
        <f>SUM(AD4:AD15)/SUM(X4:X15)</f>
        <v>#DIV/0!</v>
      </c>
      <c r="AJ15" s="147" t="e">
        <f>SUM(AE4:AE15)/SUM(Z4:Z15)</f>
        <v>#DIV/0!</v>
      </c>
      <c r="AK15" s="147" t="e">
        <f>SUM(AF4:AF15)/SUM(AA4:AA15)</f>
        <v>#DIV/0!</v>
      </c>
      <c r="AL15" s="241" t="e">
        <f>SUM(AG4:AG15)/SUM(W4:X15)</f>
        <v>#DIV/0!</v>
      </c>
      <c r="AM15" s="148" t="e">
        <f>SUM($E4:$F15)/SUM(AC4:AC15)</f>
        <v>#DIV/0!</v>
      </c>
      <c r="AN15" s="148" t="e">
        <f>SUM($E4:$F15)/SUM(AD4:AD15)</f>
        <v>#DIV/0!</v>
      </c>
      <c r="AO15" s="148" t="e">
        <f>SUM($E4:$F15)/SUM(AE4:AE15)</f>
        <v>#DIV/0!</v>
      </c>
      <c r="AP15" s="148" t="e">
        <f>SUM($E4:$F15)/SUM(AF4:AF15)</f>
        <v>#DIV/0!</v>
      </c>
      <c r="AQ15" s="148" t="e">
        <f>SUM($E4:$F15)/SUM(AG4:AG15)</f>
        <v>#DIV/0!</v>
      </c>
    </row>
    <row r="16" spans="1:45" x14ac:dyDescent="0.35">
      <c r="A16" s="222">
        <f>EffectivelyVax!B15</f>
        <v>1</v>
      </c>
      <c r="B16" s="223">
        <f>EffectivelyVax!C15</f>
        <v>0</v>
      </c>
      <c r="C16" s="224">
        <f>Export!N14</f>
        <v>0</v>
      </c>
      <c r="D16" s="225" t="str">
        <f>Export!B14</f>
        <v/>
      </c>
      <c r="E16" s="226" t="e">
        <f>C16*D16*HelperFunctions!G$17</f>
        <v>#VALUE!</v>
      </c>
      <c r="F16" s="227" t="e">
        <f>C16*D16*(1-HelperFunctions!G$3)</f>
        <v>#VALUE!</v>
      </c>
      <c r="G16" s="228" t="str">
        <f>Export!C14</f>
        <v/>
      </c>
      <c r="H16" s="229" t="e">
        <f>G16/(I15+'NotEffectivelyVax (current)'!F15*HelperFunctions!R$14+'NotEffectivelyVax (current)'!I15*HelperFunctions!R13+'NotEffectivelyVax (current)'!L15*HelperFunctions!R12+'NotEffectivelyVax (current)'!O15*HelperFunctions!R11+'NotEffectivelyVax (current)'!R15*HelperFunctions!R10+'NotEffectivelyVax (current)'!U15*HelperFunctions!R9+'NotEffectivelyVax (current)'!X15*HelperFunctions!R8+'NotEffectivelyVax (current)'!AA15*HelperFunctions!R7+'NotEffectivelyVax (current)'!AD15*HelperFunctions!R6+'NotEffectivelyVax (current)'!AG15*HelperFunctions!R5+'NotEffectivelyVax (current)'!AJ15*HelperFunctions!R4+'NotEffectivelyVax (current)'!AM15*HelperFunctions!R3)</f>
        <v>#VALUE!</v>
      </c>
      <c r="I16" s="182" t="e">
        <f t="shared" si="10"/>
        <v>#VALUE!</v>
      </c>
      <c r="J16" s="230">
        <f>SUM(EffectivelyVax!D15:BK15)</f>
        <v>0</v>
      </c>
      <c r="K16" s="231" t="e">
        <f t="shared" si="5"/>
        <v>#VALUE!</v>
      </c>
      <c r="L16" s="232" t="e">
        <f>I15*H16*Export!L14</f>
        <v>#VALUE!</v>
      </c>
      <c r="M16" s="233" t="e">
        <f t="shared" si="0"/>
        <v>#VALUE!</v>
      </c>
      <c r="N16" s="226" t="e">
        <f>IF(Export!M14&lt;&gt;"",K16*Export!K14*(1/Export!M14),K16*Export!K14)</f>
        <v>#VALUE!</v>
      </c>
      <c r="O16" s="234" t="e">
        <f>M16*Export!J14</f>
        <v>#VALUE!</v>
      </c>
      <c r="P16" s="235" t="e">
        <f>SUM('NotEffectivelyVax (current)'!F16,'NotEffectivelyVax (current)'!I16,'NotEffectivelyVax (current)'!L16,'NotEffectivelyVax (current)'!O16,'NotEffectivelyVax (current)'!R16,'NotEffectivelyVax (current)'!U16,'NotEffectivelyVax (current)'!X16,'NotEffectivelyVax (current)'!AA16,'NotEffectivelyVax (current)'!AD16,'NotEffectivelyVax (current)'!AG16,'NotEffectivelyVax (current)'!AJ16,'NotEffectivelyVax (current)'!AM16,'NotEffectivelyVax (current)'!AP16,'NotEffectivelyVax (current)'!AS16,'NotEffectivelyVax (current)'!AV16,'NotEffectivelyVax (current)'!AY16,'NotEffectivelyVax (current)'!BB16,'NotEffectivelyVax (current)'!BE16,'NotEffectivelyVax (current)'!BH16,'NotEffectivelyVax (current)'!BK16,'NotEffectivelyVax (current)'!BN16,'NotEffectivelyVax (current)'!BQ16,'NotEffectivelyVax (current)'!BT16,'NotEffectivelyVax (current)'!BW16,'NotEffectivelyVax (current)'!BZ16,'NotEffectivelyVax (current)'!CC16,'NotEffectivelyVax (current)'!CF16,'NotEffectivelyVax (current)'!CI16,'NotEffectivelyVax (current)'!CL16,'NotEffectivelyVax (current)'!CO16,'NotEffectivelyVax (current)'!CR16,'NotEffectivelyVax (current)'!CU16,'NotEffectivelyVax (current)'!CX16,'NotEffectivelyVax (current)'!DA16,'NotEffectivelyVax (current)'!DD16,'NotEffectivelyVax (current)'!DG16,'NotEffectivelyVax (current)'!DJ16,'NotEffectivelyVax (current)'!DM16,'NotEffectivelyVax (current)'!DP16,'NotEffectivelyVax (current)'!DS16,'NotEffectivelyVax (current)'!DV16,'NotEffectivelyVax (current)'!DY16,'NotEffectivelyVax (current)'!EB16,'NotEffectivelyVax (current)'!EE16,'NotEffectivelyVax (current)'!EH16,'NotEffectivelyVax (current)'!EK16,'NotEffectivelyVax (current)'!EN16,'NotEffectivelyVax (current)'!EQ16,'NotEffectivelyVax (current)'!ET16,'NotEffectivelyVax (current)'!EW16,'NotEffectivelyVax (current)'!EZ16,'NotEffectivelyVax (current)'!FC16,'NotEffectivelyVax (current)'!FF16,'NotEffectivelyVax (current)'!FI16,'NotEffectivelyVax (current)'!FL16,'NotEffectivelyVax (current)'!FO16,'NotEffectivelyVax (current)'!FR16,'NotEffectivelyVax (current)'!FU16,'NotEffectivelyVax (current)'!FX16,'NotEffectivelyVax (current)'!GA16)</f>
        <v>#VALUE!</v>
      </c>
      <c r="Q16" s="236" t="e">
        <f>SUM('NotEffectivelyVax (current)'!D16,'NotEffectivelyVax (current)'!G16,'NotEffectivelyVax (current)'!J16,'NotEffectivelyVax (current)'!M16,'NotEffectivelyVax (current)'!P16,'NotEffectivelyVax (current)'!S16,'NotEffectivelyVax (current)'!V16,'NotEffectivelyVax (current)'!Y16,'NotEffectivelyVax (current)'!AB16,'NotEffectivelyVax (current)'!AE16,'NotEffectivelyVax (current)'!AH16,'NotEffectivelyVax (current)'!AK16,'NotEffectivelyVax (current)'!AN16,'NotEffectivelyVax (current)'!AQ16,'NotEffectivelyVax (current)'!AT16,'NotEffectivelyVax (current)'!AW16,'NotEffectivelyVax (current)'!AZ16,'NotEffectivelyVax (current)'!BC16,'NotEffectivelyVax (current)'!BF16,'NotEffectivelyVax (current)'!BI16,'NotEffectivelyVax (current)'!BL16,'NotEffectivelyVax (current)'!BO16,'NotEffectivelyVax (current)'!BR16,'NotEffectivelyVax (current)'!BU16,'NotEffectivelyVax (current)'!BX16,'NotEffectivelyVax (current)'!CA16,'NotEffectivelyVax (current)'!CD16,'NotEffectivelyVax (current)'!CG16,'NotEffectivelyVax (current)'!CJ16,'NotEffectivelyVax (current)'!CM16,'NotEffectivelyVax (current)'!CP16,'NotEffectivelyVax (current)'!CS16,'NotEffectivelyVax (current)'!CV16,'NotEffectivelyVax (current)'!CY16,'NotEffectivelyVax (current)'!DB16,'NotEffectivelyVax (current)'!DE16,'NotEffectivelyVax (current)'!DH16,'NotEffectivelyVax (current)'!DK16,'NotEffectivelyVax (current)'!DN16,'NotEffectivelyVax (current)'!DQ16,'NotEffectivelyVax (current)'!DT16,'NotEffectivelyVax (current)'!DW16,'NotEffectivelyVax (current)'!DZ16,'NotEffectivelyVax (current)'!EC16,'NotEffectivelyVax (current)'!EF16,'NotEffectivelyVax (current)'!EI16,'NotEffectivelyVax (current)'!EL16,'NotEffectivelyVax (current)'!EO16,'NotEffectivelyVax (current)'!ER16,'NotEffectivelyVax (current)'!EU16,'NotEffectivelyVax (current)'!EX16,'NotEffectivelyVax (current)'!FA16,'NotEffectivelyVax (current)'!FD16,'NotEffectivelyVax (current)'!FG16,'NotEffectivelyVax (current)'!FJ16,'NotEffectivelyVax (current)'!FM16,'NotEffectivelyVax (current)'!FP16,'NotEffectivelyVax (current)'!FS16,'NotEffectivelyVax (current)'!FV16,'NotEffectivelyVax (current)'!FY16)</f>
        <v>#VALUE!</v>
      </c>
      <c r="R16" s="236" t="e">
        <f>SUM('NotEffectivelyVax (current)'!E16,'NotEffectivelyVax (current)'!H16,'NotEffectivelyVax (current)'!K16,'NotEffectivelyVax (current)'!N16,'NotEffectivelyVax (current)'!Q16,'NotEffectivelyVax (current)'!T16,'NotEffectivelyVax (current)'!W16,'NotEffectivelyVax (current)'!Z16,'NotEffectivelyVax (current)'!AC16,'NotEffectivelyVax (current)'!AF16,'NotEffectivelyVax (current)'!AI16,'NotEffectivelyVax (current)'!AL16,'NotEffectivelyVax (current)'!AO16,'NotEffectivelyVax (current)'!AR16,'NotEffectivelyVax (current)'!AU16,'NotEffectivelyVax (current)'!AX16,'NotEffectivelyVax (current)'!BA16,'NotEffectivelyVax (current)'!BD16,'NotEffectivelyVax (current)'!BG16,'NotEffectivelyVax (current)'!BJ16,'NotEffectivelyVax (current)'!BM16,'NotEffectivelyVax (current)'!BP16,'NotEffectivelyVax (current)'!BS16,'NotEffectivelyVax (current)'!BV16,'NotEffectivelyVax (current)'!BY16,'NotEffectivelyVax (current)'!CB16,'NotEffectivelyVax (current)'!CE16,'NotEffectivelyVax (current)'!CH16,'NotEffectivelyVax (current)'!CK16,'NotEffectivelyVax (current)'!CN16,'NotEffectivelyVax (current)'!CQ16,'NotEffectivelyVax (current)'!CT16,'NotEffectivelyVax (current)'!CW16,'NotEffectivelyVax (current)'!CZ16,'NotEffectivelyVax (current)'!DC16,'NotEffectivelyVax (current)'!DF16,'NotEffectivelyVax (current)'!DI16,'NotEffectivelyVax (current)'!DL16,'NotEffectivelyVax (current)'!DO16,'NotEffectivelyVax (current)'!DR16,'NotEffectivelyVax (current)'!DU16,'NotEffectivelyVax (current)'!DX16,'NotEffectivelyVax (current)'!EA16,'NotEffectivelyVax (current)'!ED16,'NotEffectivelyVax (current)'!EG16,'NotEffectivelyVax (current)'!EJ16,'NotEffectivelyVax (current)'!EM16,'NotEffectivelyVax (current)'!EP16,'NotEffectivelyVax (current)'!ES16,'NotEffectivelyVax (current)'!EV16,'NotEffectivelyVax (current)'!EY16,'NotEffectivelyVax (current)'!FB16,'NotEffectivelyVax (current)'!FE16,'NotEffectivelyVax (current)'!FH16,'NotEffectivelyVax (current)'!FK16,'NotEffectivelyVax (current)'!FN16,'NotEffectivelyVax (current)'!FQ16,'NotEffectivelyVax (current)'!FT16,'NotEffectivelyVax (current)'!FW16,'NotEffectivelyVax (current)'!FZ16)</f>
        <v>#VALUE!</v>
      </c>
      <c r="S16" s="236" t="e">
        <f t="shared" si="6"/>
        <v>#VALUE!</v>
      </c>
      <c r="T16" s="237" t="e">
        <f>IF(Export!M14&lt;&gt;"",Q16*Export!K14*(1/Export!M14),Q16*Export!K14)</f>
        <v>#VALUE!</v>
      </c>
      <c r="U16" s="238" t="e">
        <f>S16*Export!J14</f>
        <v>#VALUE!</v>
      </c>
      <c r="V16" s="243" t="e">
        <f t="shared" si="11"/>
        <v>#DIV/0!</v>
      </c>
      <c r="W16" s="239" t="e">
        <f>H16*V15</f>
        <v>#VALUE!</v>
      </c>
      <c r="X16" s="239" t="e">
        <f>H16*Export!L14*V15</f>
        <v>#VALUE!</v>
      </c>
      <c r="Y16" s="239" t="e">
        <f t="shared" si="1"/>
        <v>#VALUE!</v>
      </c>
      <c r="Z16" s="239" t="e">
        <f>IF(Export!M14&lt;&gt;"",W16*Export!K14*(1/Export!M14),W16*Export!K14)</f>
        <v>#VALUE!</v>
      </c>
      <c r="AA16" s="239" t="e">
        <f>Y16*Export!J14</f>
        <v>#VALUE!</v>
      </c>
      <c r="AB16" s="144"/>
      <c r="AC16" s="143" t="e">
        <f t="shared" si="2"/>
        <v>#VALUE!</v>
      </c>
      <c r="AD16" s="144" t="e">
        <f t="shared" si="2"/>
        <v>#VALUE!</v>
      </c>
      <c r="AE16" s="144" t="e">
        <f t="shared" si="3"/>
        <v>#VALUE!</v>
      </c>
      <c r="AF16" s="144" t="e">
        <f t="shared" si="3"/>
        <v>#VALUE!</v>
      </c>
      <c r="AG16" s="144" t="e">
        <f t="shared" si="4"/>
        <v>#VALUE!</v>
      </c>
      <c r="AH16" s="198"/>
      <c r="AI16" s="198"/>
      <c r="AJ16" s="198"/>
      <c r="AK16" s="198"/>
      <c r="AL16" s="199"/>
      <c r="AM16" s="150"/>
      <c r="AN16" s="150"/>
      <c r="AO16" s="150"/>
      <c r="AP16" s="150"/>
      <c r="AQ16" s="151"/>
      <c r="AR16" s="144"/>
    </row>
    <row r="17" spans="1:45" x14ac:dyDescent="0.35">
      <c r="A17" s="130">
        <f>EffectivelyVax!B16</f>
        <v>1</v>
      </c>
      <c r="B17" s="131">
        <f>EffectivelyVax!C16</f>
        <v>0</v>
      </c>
      <c r="C17" s="132">
        <f>Export!N15</f>
        <v>0</v>
      </c>
      <c r="D17" s="177" t="str">
        <f>Export!B15</f>
        <v/>
      </c>
      <c r="E17" s="178" t="e">
        <f>C17*D17*HelperFunctions!G$17</f>
        <v>#VALUE!</v>
      </c>
      <c r="F17" s="179" t="e">
        <f>C17*D17*(1-HelperFunctions!G$17)</f>
        <v>#VALUE!</v>
      </c>
      <c r="G17" s="180" t="str">
        <f>Export!C15</f>
        <v/>
      </c>
      <c r="H17" s="191" t="e">
        <f>G17/(I16+'NotEffectivelyVax (current)'!F16*HelperFunctions!R$14+'NotEffectivelyVax (current)'!I16*HelperFunctions!R$14+'NotEffectivelyVax (current)'!L16*HelperFunctions!R13+'NotEffectivelyVax (current)'!O16*HelperFunctions!R12+'NotEffectivelyVax (current)'!R16*HelperFunctions!R11+'NotEffectivelyVax (current)'!U16*HelperFunctions!R10+'NotEffectivelyVax (current)'!X16*HelperFunctions!R9+'NotEffectivelyVax (current)'!AA16*HelperFunctions!R8+'NotEffectivelyVax (current)'!AD16*HelperFunctions!R7+'NotEffectivelyVax (current)'!AG16*HelperFunctions!R6+'NotEffectivelyVax (current)'!AJ16*HelperFunctions!R5+'NotEffectivelyVax (current)'!AM16*HelperFunctions!R4+'NotEffectivelyVax (current)'!AP16*HelperFunctions!R17)</f>
        <v>#VALUE!</v>
      </c>
      <c r="I17" s="192" t="e">
        <f t="shared" si="10"/>
        <v>#VALUE!</v>
      </c>
      <c r="J17" s="153">
        <f>SUM(EffectivelyVax!D16:BK16)</f>
        <v>0</v>
      </c>
      <c r="K17" s="193" t="e">
        <f t="shared" si="5"/>
        <v>#VALUE!</v>
      </c>
      <c r="L17" s="194" t="e">
        <f>I16*H17*Export!L15</f>
        <v>#VALUE!</v>
      </c>
      <c r="M17" s="195" t="e">
        <f t="shared" si="0"/>
        <v>#VALUE!</v>
      </c>
      <c r="N17" s="178" t="e">
        <f>IF(Export!M15&lt;&gt;"",K17*Export!K15*(1/Export!M15),K17*Export!K15)</f>
        <v>#VALUE!</v>
      </c>
      <c r="O17" s="154" t="e">
        <f>M17*Export!J15</f>
        <v>#VALUE!</v>
      </c>
      <c r="P17" s="186" t="e">
        <f>SUM('NotEffectivelyVax (current)'!F17,'NotEffectivelyVax (current)'!I17,'NotEffectivelyVax (current)'!L17,'NotEffectivelyVax (current)'!O17,'NotEffectivelyVax (current)'!R17,'NotEffectivelyVax (current)'!U17,'NotEffectivelyVax (current)'!X17,'NotEffectivelyVax (current)'!AA17,'NotEffectivelyVax (current)'!AD17,'NotEffectivelyVax (current)'!AG17,'NotEffectivelyVax (current)'!AJ17,'NotEffectivelyVax (current)'!AM17,'NotEffectivelyVax (current)'!AP17,'NotEffectivelyVax (current)'!AS17,'NotEffectivelyVax (current)'!AV17,'NotEffectivelyVax (current)'!AY17,'NotEffectivelyVax (current)'!BB17,'NotEffectivelyVax (current)'!BE17,'NotEffectivelyVax (current)'!BH17,'NotEffectivelyVax (current)'!BK17,'NotEffectivelyVax (current)'!BN17,'NotEffectivelyVax (current)'!BQ17,'NotEffectivelyVax (current)'!BT17,'NotEffectivelyVax (current)'!BW17,'NotEffectivelyVax (current)'!BZ17,'NotEffectivelyVax (current)'!CC17,'NotEffectivelyVax (current)'!CF17,'NotEffectivelyVax (current)'!CI17,'NotEffectivelyVax (current)'!CL17,'NotEffectivelyVax (current)'!CO17,'NotEffectivelyVax (current)'!CR17,'NotEffectivelyVax (current)'!CU17,'NotEffectivelyVax (current)'!CX17,'NotEffectivelyVax (current)'!DA17,'NotEffectivelyVax (current)'!DD17,'NotEffectivelyVax (current)'!DG17,'NotEffectivelyVax (current)'!DJ17,'NotEffectivelyVax (current)'!DM17,'NotEffectivelyVax (current)'!DP17,'NotEffectivelyVax (current)'!DS17,'NotEffectivelyVax (current)'!DV17,'NotEffectivelyVax (current)'!DY17,'NotEffectivelyVax (current)'!EB17,'NotEffectivelyVax (current)'!EE17,'NotEffectivelyVax (current)'!EH17,'NotEffectivelyVax (current)'!EK17,'NotEffectivelyVax (current)'!EN17,'NotEffectivelyVax (current)'!EQ17,'NotEffectivelyVax (current)'!ET17,'NotEffectivelyVax (current)'!EW17,'NotEffectivelyVax (current)'!EZ17,'NotEffectivelyVax (current)'!FC17,'NotEffectivelyVax (current)'!FF17,'NotEffectivelyVax (current)'!FI17,'NotEffectivelyVax (current)'!FL17,'NotEffectivelyVax (current)'!FO17,'NotEffectivelyVax (current)'!FR17,'NotEffectivelyVax (current)'!FU17,'NotEffectivelyVax (current)'!FX17,'NotEffectivelyVax (current)'!GA17)</f>
        <v>#VALUE!</v>
      </c>
      <c r="Q17" s="155" t="e">
        <f>SUM('NotEffectivelyVax (current)'!D17,'NotEffectivelyVax (current)'!G17,'NotEffectivelyVax (current)'!J17,'NotEffectivelyVax (current)'!M17,'NotEffectivelyVax (current)'!P17,'NotEffectivelyVax (current)'!S17,'NotEffectivelyVax (current)'!V17,'NotEffectivelyVax (current)'!Y17,'NotEffectivelyVax (current)'!AB17,'NotEffectivelyVax (current)'!AE17,'NotEffectivelyVax (current)'!AH17,'NotEffectivelyVax (current)'!AK17,'NotEffectivelyVax (current)'!AN17,'NotEffectivelyVax (current)'!AQ17,'NotEffectivelyVax (current)'!AT17,'NotEffectivelyVax (current)'!AW17,'NotEffectivelyVax (current)'!AZ17,'NotEffectivelyVax (current)'!BC17,'NotEffectivelyVax (current)'!BF17,'NotEffectivelyVax (current)'!BI17,'NotEffectivelyVax (current)'!BL17,'NotEffectivelyVax (current)'!BO17,'NotEffectivelyVax (current)'!BR17,'NotEffectivelyVax (current)'!BU17,'NotEffectivelyVax (current)'!BX17,'NotEffectivelyVax (current)'!CA17,'NotEffectivelyVax (current)'!CD17,'NotEffectivelyVax (current)'!CG17,'NotEffectivelyVax (current)'!CJ17,'NotEffectivelyVax (current)'!CM17,'NotEffectivelyVax (current)'!CP17,'NotEffectivelyVax (current)'!CS17,'NotEffectivelyVax (current)'!CV17,'NotEffectivelyVax (current)'!CY17,'NotEffectivelyVax (current)'!DB17,'NotEffectivelyVax (current)'!DE17,'NotEffectivelyVax (current)'!DH17,'NotEffectivelyVax (current)'!DK17,'NotEffectivelyVax (current)'!DN17,'NotEffectivelyVax (current)'!DQ17,'NotEffectivelyVax (current)'!DT17,'NotEffectivelyVax (current)'!DW17,'NotEffectivelyVax (current)'!DZ17,'NotEffectivelyVax (current)'!EC17,'NotEffectivelyVax (current)'!EF17,'NotEffectivelyVax (current)'!EI17,'NotEffectivelyVax (current)'!EL17,'NotEffectivelyVax (current)'!EO17,'NotEffectivelyVax (current)'!ER17,'NotEffectivelyVax (current)'!EU17,'NotEffectivelyVax (current)'!EX17,'NotEffectivelyVax (current)'!FA17,'NotEffectivelyVax (current)'!FD17,'NotEffectivelyVax (current)'!FG17,'NotEffectivelyVax (current)'!FJ17,'NotEffectivelyVax (current)'!FM17,'NotEffectivelyVax (current)'!FP17,'NotEffectivelyVax (current)'!FS17,'NotEffectivelyVax (current)'!FV17,'NotEffectivelyVax (current)'!FY17)</f>
        <v>#VALUE!</v>
      </c>
      <c r="R17" s="155" t="e">
        <f>SUM('NotEffectivelyVax (current)'!E17,'NotEffectivelyVax (current)'!H17,'NotEffectivelyVax (current)'!K17,'NotEffectivelyVax (current)'!N17,'NotEffectivelyVax (current)'!Q17,'NotEffectivelyVax (current)'!T17,'NotEffectivelyVax (current)'!W17,'NotEffectivelyVax (current)'!Z17,'NotEffectivelyVax (current)'!AC17,'NotEffectivelyVax (current)'!AF17,'NotEffectivelyVax (current)'!AI17,'NotEffectivelyVax (current)'!AL17,'NotEffectivelyVax (current)'!AO17,'NotEffectivelyVax (current)'!AR17,'NotEffectivelyVax (current)'!AU17,'NotEffectivelyVax (current)'!AX17,'NotEffectivelyVax (current)'!BA17,'NotEffectivelyVax (current)'!BD17,'NotEffectivelyVax (current)'!BG17,'NotEffectivelyVax (current)'!BJ17,'NotEffectivelyVax (current)'!BM17,'NotEffectivelyVax (current)'!BP17,'NotEffectivelyVax (current)'!BS17,'NotEffectivelyVax (current)'!BV17,'NotEffectivelyVax (current)'!BY17,'NotEffectivelyVax (current)'!CB17,'NotEffectivelyVax (current)'!CE17,'NotEffectivelyVax (current)'!CH17,'NotEffectivelyVax (current)'!CK17,'NotEffectivelyVax (current)'!CN17,'NotEffectivelyVax (current)'!CQ17,'NotEffectivelyVax (current)'!CT17,'NotEffectivelyVax (current)'!CW17,'NotEffectivelyVax (current)'!CZ17,'NotEffectivelyVax (current)'!DC17,'NotEffectivelyVax (current)'!DF17,'NotEffectivelyVax (current)'!DI17,'NotEffectivelyVax (current)'!DL17,'NotEffectivelyVax (current)'!DO17,'NotEffectivelyVax (current)'!DR17,'NotEffectivelyVax (current)'!DU17,'NotEffectivelyVax (current)'!DX17,'NotEffectivelyVax (current)'!EA17,'NotEffectivelyVax (current)'!ED17,'NotEffectivelyVax (current)'!EG17,'NotEffectivelyVax (current)'!EJ17,'NotEffectivelyVax (current)'!EM17,'NotEffectivelyVax (current)'!EP17,'NotEffectivelyVax (current)'!ES17,'NotEffectivelyVax (current)'!EV17,'NotEffectivelyVax (current)'!EY17,'NotEffectivelyVax (current)'!FB17,'NotEffectivelyVax (current)'!FE17,'NotEffectivelyVax (current)'!FH17,'NotEffectivelyVax (current)'!FK17,'NotEffectivelyVax (current)'!FN17,'NotEffectivelyVax (current)'!FQ17,'NotEffectivelyVax (current)'!FT17,'NotEffectivelyVax (current)'!FW17,'NotEffectivelyVax (current)'!FZ17)</f>
        <v>#VALUE!</v>
      </c>
      <c r="S17" s="138" t="e">
        <f t="shared" si="6"/>
        <v>#VALUE!</v>
      </c>
      <c r="T17" s="187" t="e">
        <f>IF(Export!M15&lt;&gt;"",Q17*Export!K15*(1/Export!M15),Q17*Export!K15)</f>
        <v>#VALUE!</v>
      </c>
      <c r="U17" s="188" t="e">
        <f>S17*Export!J15</f>
        <v>#VALUE!</v>
      </c>
      <c r="V17" s="196" t="e">
        <f t="shared" si="11"/>
        <v>#DIV/0!</v>
      </c>
      <c r="W17" s="197" t="e">
        <f t="shared" si="8"/>
        <v>#VALUE!</v>
      </c>
      <c r="X17" s="190" t="e">
        <f>H17*Export!L15*V16</f>
        <v>#VALUE!</v>
      </c>
      <c r="Y17" s="190" t="e">
        <f t="shared" si="1"/>
        <v>#VALUE!</v>
      </c>
      <c r="Z17" s="190" t="e">
        <f>IF(Export!M15&lt;&gt;"",W17*Export!K15*(1/Export!M15),W17*Export!K15)</f>
        <v>#VALUE!</v>
      </c>
      <c r="AA17" s="190" t="e">
        <f>Y17*Export!J15</f>
        <v>#VALUE!</v>
      </c>
      <c r="AB17" s="144"/>
      <c r="AC17" s="143" t="e">
        <f t="shared" si="2"/>
        <v>#VALUE!</v>
      </c>
      <c r="AD17" s="144" t="e">
        <f t="shared" si="2"/>
        <v>#VALUE!</v>
      </c>
      <c r="AE17" s="144" t="e">
        <f t="shared" si="3"/>
        <v>#VALUE!</v>
      </c>
      <c r="AF17" s="144" t="e">
        <f t="shared" si="3"/>
        <v>#VALUE!</v>
      </c>
      <c r="AG17" s="144" t="e">
        <f t="shared" si="4"/>
        <v>#VALUE!</v>
      </c>
      <c r="AH17" s="198"/>
      <c r="AI17" s="198"/>
      <c r="AJ17" s="198"/>
      <c r="AK17" s="198"/>
      <c r="AL17" s="199"/>
      <c r="AM17" s="150"/>
      <c r="AN17" s="150"/>
      <c r="AO17" s="150"/>
      <c r="AP17" s="150"/>
      <c r="AQ17" s="151"/>
      <c r="AR17" s="144"/>
    </row>
    <row r="18" spans="1:45" x14ac:dyDescent="0.35">
      <c r="A18" s="130">
        <f>EffectivelyVax!B17</f>
        <v>1</v>
      </c>
      <c r="B18" s="131">
        <f>EffectivelyVax!C17</f>
        <v>0</v>
      </c>
      <c r="C18" s="132">
        <f>Export!N16</f>
        <v>0</v>
      </c>
      <c r="D18" s="177" t="str">
        <f>Export!B16</f>
        <v/>
      </c>
      <c r="E18" s="178" t="e">
        <f>C18*D18*HelperFunctions!G$17</f>
        <v>#VALUE!</v>
      </c>
      <c r="F18" s="179" t="e">
        <f>C18*D18*(1-HelperFunctions!G$17)</f>
        <v>#VALUE!</v>
      </c>
      <c r="G18" s="180" t="str">
        <f>Export!C16</f>
        <v/>
      </c>
      <c r="H18" s="191" t="e">
        <f>G18/(I17+'NotEffectivelyVax (current)'!F17*HelperFunctions!R$14+'NotEffectivelyVax (current)'!I17*HelperFunctions!R$14+'NotEffectivelyVax (current)'!L17*HelperFunctions!R$14+'NotEffectivelyVax (current)'!O17*HelperFunctions!R13+'NotEffectivelyVax (current)'!R17*HelperFunctions!R12+'NotEffectivelyVax (current)'!U17*HelperFunctions!R11+'NotEffectivelyVax (current)'!X17*HelperFunctions!R10+'NotEffectivelyVax (current)'!AA17*HelperFunctions!R9+'NotEffectivelyVax (current)'!AD17*HelperFunctions!R8+'NotEffectivelyVax (current)'!AG17*HelperFunctions!R7+'NotEffectivelyVax (current)'!AJ17*HelperFunctions!R6+'NotEffectivelyVax (current)'!AM17*HelperFunctions!R5+'NotEffectivelyVax (current)'!AP17*HelperFunctions!R18+'NotEffectivelyVax (current)'!AS17*HelperFunctions!R17)</f>
        <v>#VALUE!</v>
      </c>
      <c r="I18" s="192" t="e">
        <f t="shared" si="10"/>
        <v>#VALUE!</v>
      </c>
      <c r="J18" s="153">
        <f>SUM(EffectivelyVax!D17:BK17)</f>
        <v>0</v>
      </c>
      <c r="K18" s="193" t="e">
        <f t="shared" si="5"/>
        <v>#VALUE!</v>
      </c>
      <c r="L18" s="194" t="e">
        <f>I17*H18*Export!L16</f>
        <v>#VALUE!</v>
      </c>
      <c r="M18" s="195" t="e">
        <f t="shared" si="0"/>
        <v>#VALUE!</v>
      </c>
      <c r="N18" s="178" t="e">
        <f>IF(Export!M16&lt;&gt;"",K18*Export!K16*(1/Export!M16),K18*Export!K16)</f>
        <v>#VALUE!</v>
      </c>
      <c r="O18" s="154" t="e">
        <f>M18*Export!J16</f>
        <v>#VALUE!</v>
      </c>
      <c r="P18" s="186" t="e">
        <f>SUM('NotEffectivelyVax (current)'!F18,'NotEffectivelyVax (current)'!I18,'NotEffectivelyVax (current)'!L18,'NotEffectivelyVax (current)'!O18,'NotEffectivelyVax (current)'!R18,'NotEffectivelyVax (current)'!U18,'NotEffectivelyVax (current)'!X18,'NotEffectivelyVax (current)'!AA18,'NotEffectivelyVax (current)'!AD18,'NotEffectivelyVax (current)'!AG18,'NotEffectivelyVax (current)'!AJ18,'NotEffectivelyVax (current)'!AM18,'NotEffectivelyVax (current)'!AP18,'NotEffectivelyVax (current)'!AS18,'NotEffectivelyVax (current)'!AV18,'NotEffectivelyVax (current)'!AY18,'NotEffectivelyVax (current)'!BB18,'NotEffectivelyVax (current)'!BE18,'NotEffectivelyVax (current)'!BH18,'NotEffectivelyVax (current)'!BK18,'NotEffectivelyVax (current)'!BN18,'NotEffectivelyVax (current)'!BQ18,'NotEffectivelyVax (current)'!BT18,'NotEffectivelyVax (current)'!BW18,'NotEffectivelyVax (current)'!BZ18,'NotEffectivelyVax (current)'!CC18,'NotEffectivelyVax (current)'!CF18,'NotEffectivelyVax (current)'!CI18,'NotEffectivelyVax (current)'!CL18,'NotEffectivelyVax (current)'!CO18,'NotEffectivelyVax (current)'!CR18,'NotEffectivelyVax (current)'!CU18,'NotEffectivelyVax (current)'!CX18,'NotEffectivelyVax (current)'!DA18,'NotEffectivelyVax (current)'!DD18,'NotEffectivelyVax (current)'!DG18,'NotEffectivelyVax (current)'!DJ18,'NotEffectivelyVax (current)'!DM18,'NotEffectivelyVax (current)'!DP18,'NotEffectivelyVax (current)'!DS18,'NotEffectivelyVax (current)'!DV18,'NotEffectivelyVax (current)'!DY18,'NotEffectivelyVax (current)'!EB18,'NotEffectivelyVax (current)'!EE18,'NotEffectivelyVax (current)'!EH18,'NotEffectivelyVax (current)'!EK18,'NotEffectivelyVax (current)'!EN18,'NotEffectivelyVax (current)'!EQ18,'NotEffectivelyVax (current)'!ET18,'NotEffectivelyVax (current)'!EW18,'NotEffectivelyVax (current)'!EZ18,'NotEffectivelyVax (current)'!FC18,'NotEffectivelyVax (current)'!FF18,'NotEffectivelyVax (current)'!FI18,'NotEffectivelyVax (current)'!FL18,'NotEffectivelyVax (current)'!FO18,'NotEffectivelyVax (current)'!FR18,'NotEffectivelyVax (current)'!FU18,'NotEffectivelyVax (current)'!FX18,'NotEffectivelyVax (current)'!GA18)</f>
        <v>#VALUE!</v>
      </c>
      <c r="Q18" s="155" t="e">
        <f>SUM('NotEffectivelyVax (current)'!D18,'NotEffectivelyVax (current)'!G18,'NotEffectivelyVax (current)'!J18,'NotEffectivelyVax (current)'!M18,'NotEffectivelyVax (current)'!P18,'NotEffectivelyVax (current)'!S18,'NotEffectivelyVax (current)'!V18,'NotEffectivelyVax (current)'!Y18,'NotEffectivelyVax (current)'!AB18,'NotEffectivelyVax (current)'!AE18,'NotEffectivelyVax (current)'!AH18,'NotEffectivelyVax (current)'!AK18,'NotEffectivelyVax (current)'!AN18,'NotEffectivelyVax (current)'!AQ18,'NotEffectivelyVax (current)'!AT18,'NotEffectivelyVax (current)'!AW18,'NotEffectivelyVax (current)'!AZ18,'NotEffectivelyVax (current)'!BC18,'NotEffectivelyVax (current)'!BF18,'NotEffectivelyVax (current)'!BI18,'NotEffectivelyVax (current)'!BL18,'NotEffectivelyVax (current)'!BO18,'NotEffectivelyVax (current)'!BR18,'NotEffectivelyVax (current)'!BU18,'NotEffectivelyVax (current)'!BX18,'NotEffectivelyVax (current)'!CA18,'NotEffectivelyVax (current)'!CD18,'NotEffectivelyVax (current)'!CG18,'NotEffectivelyVax (current)'!CJ18,'NotEffectivelyVax (current)'!CM18,'NotEffectivelyVax (current)'!CP18,'NotEffectivelyVax (current)'!CS18,'NotEffectivelyVax (current)'!CV18,'NotEffectivelyVax (current)'!CY18,'NotEffectivelyVax (current)'!DB18,'NotEffectivelyVax (current)'!DE18,'NotEffectivelyVax (current)'!DH18,'NotEffectivelyVax (current)'!DK18,'NotEffectivelyVax (current)'!DN18,'NotEffectivelyVax (current)'!DQ18,'NotEffectivelyVax (current)'!DT18,'NotEffectivelyVax (current)'!DW18,'NotEffectivelyVax (current)'!DZ18,'NotEffectivelyVax (current)'!EC18,'NotEffectivelyVax (current)'!EF18,'NotEffectivelyVax (current)'!EI18,'NotEffectivelyVax (current)'!EL18,'NotEffectivelyVax (current)'!EO18,'NotEffectivelyVax (current)'!ER18,'NotEffectivelyVax (current)'!EU18,'NotEffectivelyVax (current)'!EX18,'NotEffectivelyVax (current)'!FA18,'NotEffectivelyVax (current)'!FD18,'NotEffectivelyVax (current)'!FG18,'NotEffectivelyVax (current)'!FJ18,'NotEffectivelyVax (current)'!FM18,'NotEffectivelyVax (current)'!FP18,'NotEffectivelyVax (current)'!FS18,'NotEffectivelyVax (current)'!FV18,'NotEffectivelyVax (current)'!FY18)</f>
        <v>#VALUE!</v>
      </c>
      <c r="R18" s="155" t="e">
        <f>SUM('NotEffectivelyVax (current)'!E18,'NotEffectivelyVax (current)'!H18,'NotEffectivelyVax (current)'!K18,'NotEffectivelyVax (current)'!N18,'NotEffectivelyVax (current)'!Q18,'NotEffectivelyVax (current)'!T18,'NotEffectivelyVax (current)'!W18,'NotEffectivelyVax (current)'!Z18,'NotEffectivelyVax (current)'!AC18,'NotEffectivelyVax (current)'!AF18,'NotEffectivelyVax (current)'!AI18,'NotEffectivelyVax (current)'!AL18,'NotEffectivelyVax (current)'!AO18,'NotEffectivelyVax (current)'!AR18,'NotEffectivelyVax (current)'!AU18,'NotEffectivelyVax (current)'!AX18,'NotEffectivelyVax (current)'!BA18,'NotEffectivelyVax (current)'!BD18,'NotEffectivelyVax (current)'!BG18,'NotEffectivelyVax (current)'!BJ18,'NotEffectivelyVax (current)'!BM18,'NotEffectivelyVax (current)'!BP18,'NotEffectivelyVax (current)'!BS18,'NotEffectivelyVax (current)'!BV18,'NotEffectivelyVax (current)'!BY18,'NotEffectivelyVax (current)'!CB18,'NotEffectivelyVax (current)'!CE18,'NotEffectivelyVax (current)'!CH18,'NotEffectivelyVax (current)'!CK18,'NotEffectivelyVax (current)'!CN18,'NotEffectivelyVax (current)'!CQ18,'NotEffectivelyVax (current)'!CT18,'NotEffectivelyVax (current)'!CW18,'NotEffectivelyVax (current)'!CZ18,'NotEffectivelyVax (current)'!DC18,'NotEffectivelyVax (current)'!DF18,'NotEffectivelyVax (current)'!DI18,'NotEffectivelyVax (current)'!DL18,'NotEffectivelyVax (current)'!DO18,'NotEffectivelyVax (current)'!DR18,'NotEffectivelyVax (current)'!DU18,'NotEffectivelyVax (current)'!DX18,'NotEffectivelyVax (current)'!EA18,'NotEffectivelyVax (current)'!ED18,'NotEffectivelyVax (current)'!EG18,'NotEffectivelyVax (current)'!EJ18,'NotEffectivelyVax (current)'!EM18,'NotEffectivelyVax (current)'!EP18,'NotEffectivelyVax (current)'!ES18,'NotEffectivelyVax (current)'!EV18,'NotEffectivelyVax (current)'!EY18,'NotEffectivelyVax (current)'!FB18,'NotEffectivelyVax (current)'!FE18,'NotEffectivelyVax (current)'!FH18,'NotEffectivelyVax (current)'!FK18,'NotEffectivelyVax (current)'!FN18,'NotEffectivelyVax (current)'!FQ18,'NotEffectivelyVax (current)'!FT18,'NotEffectivelyVax (current)'!FW18,'NotEffectivelyVax (current)'!FZ18)</f>
        <v>#VALUE!</v>
      </c>
      <c r="S18" s="138" t="e">
        <f t="shared" si="6"/>
        <v>#VALUE!</v>
      </c>
      <c r="T18" s="187" t="e">
        <f>IF(Export!M16&lt;&gt;"",Q18*Export!K16*(1/Export!M16),Q18*Export!K16)</f>
        <v>#VALUE!</v>
      </c>
      <c r="U18" s="188" t="e">
        <f>S18*Export!J16</f>
        <v>#VALUE!</v>
      </c>
      <c r="V18" s="196" t="e">
        <f t="shared" si="11"/>
        <v>#DIV/0!</v>
      </c>
      <c r="W18" s="197" t="e">
        <f t="shared" si="8"/>
        <v>#VALUE!</v>
      </c>
      <c r="X18" s="190" t="e">
        <f>H18*Export!L16*V17</f>
        <v>#VALUE!</v>
      </c>
      <c r="Y18" s="190" t="e">
        <f t="shared" si="1"/>
        <v>#VALUE!</v>
      </c>
      <c r="Z18" s="190" t="e">
        <f>IF(Export!M16&lt;&gt;"",W18*Export!K16*(1/Export!M16),W18*Export!K16)</f>
        <v>#VALUE!</v>
      </c>
      <c r="AA18" s="190" t="e">
        <f>Y18*Export!J16</f>
        <v>#VALUE!</v>
      </c>
      <c r="AB18" s="144"/>
      <c r="AC18" s="143" t="e">
        <f t="shared" si="2"/>
        <v>#VALUE!</v>
      </c>
      <c r="AD18" s="144" t="e">
        <f>X18-(L18+R18)</f>
        <v>#VALUE!</v>
      </c>
      <c r="AE18" s="144" t="e">
        <f t="shared" si="3"/>
        <v>#VALUE!</v>
      </c>
      <c r="AF18" s="144" t="e">
        <f t="shared" si="3"/>
        <v>#VALUE!</v>
      </c>
      <c r="AG18" s="144" t="e">
        <f t="shared" si="4"/>
        <v>#VALUE!</v>
      </c>
      <c r="AH18" s="198"/>
      <c r="AI18" s="198"/>
      <c r="AJ18" s="198"/>
      <c r="AK18" s="198"/>
      <c r="AL18" s="199"/>
      <c r="AM18" s="150"/>
      <c r="AN18" s="150"/>
      <c r="AO18" s="150"/>
      <c r="AP18" s="150"/>
      <c r="AQ18" s="151"/>
      <c r="AR18" s="144"/>
    </row>
    <row r="19" spans="1:45" x14ac:dyDescent="0.35">
      <c r="A19" s="130">
        <f>EffectivelyVax!B18</f>
        <v>1</v>
      </c>
      <c r="B19" s="131">
        <f>EffectivelyVax!C18</f>
        <v>0</v>
      </c>
      <c r="C19" s="132">
        <f>Export!N17</f>
        <v>0</v>
      </c>
      <c r="D19" s="177" t="str">
        <f>Export!B17</f>
        <v/>
      </c>
      <c r="E19" s="178" t="e">
        <f>C19*D19*HelperFunctions!G$17</f>
        <v>#VALUE!</v>
      </c>
      <c r="F19" s="179" t="e">
        <f>C19*D19*(1-HelperFunctions!G$17)</f>
        <v>#VALUE!</v>
      </c>
      <c r="G19" s="180" t="str">
        <f>Export!C17</f>
        <v/>
      </c>
      <c r="H19" s="191" t="e">
        <f>G19/(I18+'NotEffectivelyVax (current)'!F18*HelperFunctions!R$14+'NotEffectivelyVax (current)'!I18*HelperFunctions!R$14+'NotEffectivelyVax (current)'!L18*HelperFunctions!R$14+'NotEffectivelyVax (current)'!O18*HelperFunctions!R$14+'NotEffectivelyVax (current)'!R18*HelperFunctions!R13+'NotEffectivelyVax (current)'!U18*HelperFunctions!R12+'NotEffectivelyVax (current)'!X18*HelperFunctions!R11+'NotEffectivelyVax (current)'!AA18*HelperFunctions!R10+'NotEffectivelyVax (current)'!AD18*HelperFunctions!R9+'NotEffectivelyVax (current)'!AG18*HelperFunctions!R8+'NotEffectivelyVax (current)'!AJ18*HelperFunctions!R7+'NotEffectivelyVax (current)'!AM18*HelperFunctions!R6+'NotEffectivelyVax (current)'!AP18*HelperFunctions!R19+'NotEffectivelyVax (current)'!AS18*HelperFunctions!R18+'NotEffectivelyVax (current)'!AV18*HelperFunctions!R17)</f>
        <v>#VALUE!</v>
      </c>
      <c r="I19" s="192" t="e">
        <f t="shared" si="10"/>
        <v>#VALUE!</v>
      </c>
      <c r="J19" s="153">
        <f>SUM(EffectivelyVax!D18:BK18)</f>
        <v>0</v>
      </c>
      <c r="K19" s="193" t="e">
        <f t="shared" si="5"/>
        <v>#VALUE!</v>
      </c>
      <c r="L19" s="194" t="e">
        <f>I18*H19*Export!L17</f>
        <v>#VALUE!</v>
      </c>
      <c r="M19" s="195" t="e">
        <f t="shared" si="0"/>
        <v>#VALUE!</v>
      </c>
      <c r="N19" s="178" t="e">
        <f>IF(Export!M17&lt;&gt;"",K19*Export!K17*(1/Export!M17),K19*Export!K17)</f>
        <v>#VALUE!</v>
      </c>
      <c r="O19" s="154" t="e">
        <f>M19*Export!J17</f>
        <v>#VALUE!</v>
      </c>
      <c r="P19" s="186" t="e">
        <f>SUM('NotEffectivelyVax (current)'!F19,'NotEffectivelyVax (current)'!I19,'NotEffectivelyVax (current)'!L19,'NotEffectivelyVax (current)'!O19,'NotEffectivelyVax (current)'!R19,'NotEffectivelyVax (current)'!U19,'NotEffectivelyVax (current)'!X19,'NotEffectivelyVax (current)'!AA19,'NotEffectivelyVax (current)'!AD19,'NotEffectivelyVax (current)'!AG19,'NotEffectivelyVax (current)'!AJ19,'NotEffectivelyVax (current)'!AM19,'NotEffectivelyVax (current)'!AP19,'NotEffectivelyVax (current)'!AS19,'NotEffectivelyVax (current)'!AV19,'NotEffectivelyVax (current)'!AY19,'NotEffectivelyVax (current)'!BB19,'NotEffectivelyVax (current)'!BE19,'NotEffectivelyVax (current)'!BH19,'NotEffectivelyVax (current)'!BK19,'NotEffectivelyVax (current)'!BN19,'NotEffectivelyVax (current)'!BQ19,'NotEffectivelyVax (current)'!BT19,'NotEffectivelyVax (current)'!BW19,'NotEffectivelyVax (current)'!BZ19,'NotEffectivelyVax (current)'!CC19,'NotEffectivelyVax (current)'!CF19,'NotEffectivelyVax (current)'!CI19,'NotEffectivelyVax (current)'!CL19,'NotEffectivelyVax (current)'!CO19,'NotEffectivelyVax (current)'!CR19,'NotEffectivelyVax (current)'!CU19,'NotEffectivelyVax (current)'!CX19,'NotEffectivelyVax (current)'!DA19,'NotEffectivelyVax (current)'!DD19,'NotEffectivelyVax (current)'!DG19,'NotEffectivelyVax (current)'!DJ19,'NotEffectivelyVax (current)'!DM19,'NotEffectivelyVax (current)'!DP19,'NotEffectivelyVax (current)'!DS19,'NotEffectivelyVax (current)'!DV19,'NotEffectivelyVax (current)'!DY19,'NotEffectivelyVax (current)'!EB19,'NotEffectivelyVax (current)'!EE19,'NotEffectivelyVax (current)'!EH19,'NotEffectivelyVax (current)'!EK19,'NotEffectivelyVax (current)'!EN19,'NotEffectivelyVax (current)'!EQ19,'NotEffectivelyVax (current)'!ET19,'NotEffectivelyVax (current)'!EW19,'NotEffectivelyVax (current)'!EZ19,'NotEffectivelyVax (current)'!FC19,'NotEffectivelyVax (current)'!FF19,'NotEffectivelyVax (current)'!FI19,'NotEffectivelyVax (current)'!FL19,'NotEffectivelyVax (current)'!FO19,'NotEffectivelyVax (current)'!FR19,'NotEffectivelyVax (current)'!FU19,'NotEffectivelyVax (current)'!FX19,'NotEffectivelyVax (current)'!GA19)</f>
        <v>#VALUE!</v>
      </c>
      <c r="Q19" s="155" t="e">
        <f>SUM('NotEffectivelyVax (current)'!D19,'NotEffectivelyVax (current)'!G19,'NotEffectivelyVax (current)'!J19,'NotEffectivelyVax (current)'!M19,'NotEffectivelyVax (current)'!P19,'NotEffectivelyVax (current)'!S19,'NotEffectivelyVax (current)'!V19,'NotEffectivelyVax (current)'!Y19,'NotEffectivelyVax (current)'!AB19,'NotEffectivelyVax (current)'!AE19,'NotEffectivelyVax (current)'!AH19,'NotEffectivelyVax (current)'!AK19,'NotEffectivelyVax (current)'!AN19,'NotEffectivelyVax (current)'!AQ19,'NotEffectivelyVax (current)'!AT19,'NotEffectivelyVax (current)'!AW19,'NotEffectivelyVax (current)'!AZ19,'NotEffectivelyVax (current)'!BC19,'NotEffectivelyVax (current)'!BF19,'NotEffectivelyVax (current)'!BI19,'NotEffectivelyVax (current)'!BL19,'NotEffectivelyVax (current)'!BO19,'NotEffectivelyVax (current)'!BR19,'NotEffectivelyVax (current)'!BU19,'NotEffectivelyVax (current)'!BX19,'NotEffectivelyVax (current)'!CA19,'NotEffectivelyVax (current)'!CD19,'NotEffectivelyVax (current)'!CG19,'NotEffectivelyVax (current)'!CJ19,'NotEffectivelyVax (current)'!CM19,'NotEffectivelyVax (current)'!CP19,'NotEffectivelyVax (current)'!CS19,'NotEffectivelyVax (current)'!CV19,'NotEffectivelyVax (current)'!CY19,'NotEffectivelyVax (current)'!DB19,'NotEffectivelyVax (current)'!DE19,'NotEffectivelyVax (current)'!DH19,'NotEffectivelyVax (current)'!DK19,'NotEffectivelyVax (current)'!DN19,'NotEffectivelyVax (current)'!DQ19,'NotEffectivelyVax (current)'!DT19,'NotEffectivelyVax (current)'!DW19,'NotEffectivelyVax (current)'!DZ19,'NotEffectivelyVax (current)'!EC19,'NotEffectivelyVax (current)'!EF19,'NotEffectivelyVax (current)'!EI19,'NotEffectivelyVax (current)'!EL19,'NotEffectivelyVax (current)'!EO19,'NotEffectivelyVax (current)'!ER19,'NotEffectivelyVax (current)'!EU19,'NotEffectivelyVax (current)'!EX19,'NotEffectivelyVax (current)'!FA19,'NotEffectivelyVax (current)'!FD19,'NotEffectivelyVax (current)'!FG19,'NotEffectivelyVax (current)'!FJ19,'NotEffectivelyVax (current)'!FM19,'NotEffectivelyVax (current)'!FP19,'NotEffectivelyVax (current)'!FS19,'NotEffectivelyVax (current)'!FV19,'NotEffectivelyVax (current)'!FY19)</f>
        <v>#VALUE!</v>
      </c>
      <c r="R19" s="155" t="e">
        <f>SUM('NotEffectivelyVax (current)'!E19,'NotEffectivelyVax (current)'!H19,'NotEffectivelyVax (current)'!K19,'NotEffectivelyVax (current)'!N19,'NotEffectivelyVax (current)'!Q19,'NotEffectivelyVax (current)'!T19,'NotEffectivelyVax (current)'!W19,'NotEffectivelyVax (current)'!Z19,'NotEffectivelyVax (current)'!AC19,'NotEffectivelyVax (current)'!AF19,'NotEffectivelyVax (current)'!AI19,'NotEffectivelyVax (current)'!AL19,'NotEffectivelyVax (current)'!AO19,'NotEffectivelyVax (current)'!AR19,'NotEffectivelyVax (current)'!AU19,'NotEffectivelyVax (current)'!AX19,'NotEffectivelyVax (current)'!BA19,'NotEffectivelyVax (current)'!BD19,'NotEffectivelyVax (current)'!BG19,'NotEffectivelyVax (current)'!BJ19,'NotEffectivelyVax (current)'!BM19,'NotEffectivelyVax (current)'!BP19,'NotEffectivelyVax (current)'!BS19,'NotEffectivelyVax (current)'!BV19,'NotEffectivelyVax (current)'!BY19,'NotEffectivelyVax (current)'!CB19,'NotEffectivelyVax (current)'!CE19,'NotEffectivelyVax (current)'!CH19,'NotEffectivelyVax (current)'!CK19,'NotEffectivelyVax (current)'!CN19,'NotEffectivelyVax (current)'!CQ19,'NotEffectivelyVax (current)'!CT19,'NotEffectivelyVax (current)'!CW19,'NotEffectivelyVax (current)'!CZ19,'NotEffectivelyVax (current)'!DC19,'NotEffectivelyVax (current)'!DF19,'NotEffectivelyVax (current)'!DI19,'NotEffectivelyVax (current)'!DL19,'NotEffectivelyVax (current)'!DO19,'NotEffectivelyVax (current)'!DR19,'NotEffectivelyVax (current)'!DU19,'NotEffectivelyVax (current)'!DX19,'NotEffectivelyVax (current)'!EA19,'NotEffectivelyVax (current)'!ED19,'NotEffectivelyVax (current)'!EG19,'NotEffectivelyVax (current)'!EJ19,'NotEffectivelyVax (current)'!EM19,'NotEffectivelyVax (current)'!EP19,'NotEffectivelyVax (current)'!ES19,'NotEffectivelyVax (current)'!EV19,'NotEffectivelyVax (current)'!EY19,'NotEffectivelyVax (current)'!FB19,'NotEffectivelyVax (current)'!FE19,'NotEffectivelyVax (current)'!FH19,'NotEffectivelyVax (current)'!FK19,'NotEffectivelyVax (current)'!FN19,'NotEffectivelyVax (current)'!FQ19,'NotEffectivelyVax (current)'!FT19,'NotEffectivelyVax (current)'!FW19,'NotEffectivelyVax (current)'!FZ19)</f>
        <v>#VALUE!</v>
      </c>
      <c r="S19" s="138" t="e">
        <f t="shared" si="6"/>
        <v>#VALUE!</v>
      </c>
      <c r="T19" s="187" t="e">
        <f>IF(Export!M17&lt;&gt;"",Q19*Export!K17*(1/Export!M17),Q19*Export!K17)</f>
        <v>#VALUE!</v>
      </c>
      <c r="U19" s="188" t="e">
        <f>S19*Export!J17</f>
        <v>#VALUE!</v>
      </c>
      <c r="V19" s="196" t="e">
        <f t="shared" si="11"/>
        <v>#DIV/0!</v>
      </c>
      <c r="W19" s="197" t="e">
        <f t="shared" si="8"/>
        <v>#VALUE!</v>
      </c>
      <c r="X19" s="190" t="e">
        <f>H19*Export!L17*V18</f>
        <v>#VALUE!</v>
      </c>
      <c r="Y19" s="190" t="e">
        <f t="shared" si="1"/>
        <v>#VALUE!</v>
      </c>
      <c r="Z19" s="190" t="e">
        <f>IF(Export!M17&lt;&gt;"",W19*Export!K17*(1/Export!M17),W19*Export!K17)</f>
        <v>#VALUE!</v>
      </c>
      <c r="AA19" s="190" t="e">
        <f>Y19*Export!J17</f>
        <v>#VALUE!</v>
      </c>
      <c r="AB19" s="144"/>
      <c r="AC19" s="143" t="e">
        <f t="shared" si="2"/>
        <v>#VALUE!</v>
      </c>
      <c r="AD19" s="144" t="e">
        <f t="shared" si="2"/>
        <v>#VALUE!</v>
      </c>
      <c r="AE19" s="144" t="e">
        <f t="shared" si="3"/>
        <v>#VALUE!</v>
      </c>
      <c r="AF19" s="144" t="e">
        <f t="shared" si="3"/>
        <v>#VALUE!</v>
      </c>
      <c r="AG19" s="144" t="e">
        <f t="shared" si="4"/>
        <v>#VALUE!</v>
      </c>
      <c r="AH19" s="198"/>
      <c r="AI19" s="198"/>
      <c r="AJ19" s="198"/>
      <c r="AK19" s="198"/>
      <c r="AL19" s="199"/>
      <c r="AM19" s="150"/>
      <c r="AN19" s="150"/>
      <c r="AO19" s="150"/>
      <c r="AP19" s="150"/>
      <c r="AQ19" s="151"/>
      <c r="AR19" s="144"/>
      <c r="AS19" s="79"/>
    </row>
    <row r="20" spans="1:45" x14ac:dyDescent="0.35">
      <c r="A20" s="130">
        <f>EffectivelyVax!B19</f>
        <v>1</v>
      </c>
      <c r="B20" s="131">
        <f>EffectivelyVax!C19</f>
        <v>0</v>
      </c>
      <c r="C20" s="132">
        <f>Export!N18</f>
        <v>0</v>
      </c>
      <c r="D20" s="177" t="str">
        <f>Export!B18</f>
        <v/>
      </c>
      <c r="E20" s="178" t="e">
        <f>C20*D20*HelperFunctions!G$17</f>
        <v>#VALUE!</v>
      </c>
      <c r="F20" s="179" t="e">
        <f>C20*D20*(1-HelperFunctions!G$17)</f>
        <v>#VALUE!</v>
      </c>
      <c r="G20" s="180" t="str">
        <f>Export!C18</f>
        <v/>
      </c>
      <c r="H20" s="191" t="e">
        <f>G20/(I19+'NotEffectivelyVax (current)'!F19*HelperFunctions!R$14+'NotEffectivelyVax (current)'!I19*HelperFunctions!R$14+'NotEffectivelyVax (current)'!L19*HelperFunctions!R$14+'NotEffectivelyVax (current)'!O19*HelperFunctions!R$14+'NotEffectivelyVax (current)'!R19*HelperFunctions!R$14+'NotEffectivelyVax (current)'!U19*HelperFunctions!R13+'NotEffectivelyVax (current)'!X19*HelperFunctions!R12+'NotEffectivelyVax (current)'!AA19*HelperFunctions!R11+'NotEffectivelyVax (current)'!AD19*HelperFunctions!R10+'NotEffectivelyVax (current)'!AG19*HelperFunctions!R9+'NotEffectivelyVax (current)'!AJ19*HelperFunctions!R8+'NotEffectivelyVax (current)'!AM19*HelperFunctions!R7+'NotEffectivelyVax (current)'!AP19*HelperFunctions!R20+'NotEffectivelyVax (current)'!AS19*HelperFunctions!R19+'NotEffectivelyVax (current)'!AV19*HelperFunctions!R18+'NotEffectivelyVax (current)'!AY19*HelperFunctions!R17)</f>
        <v>#VALUE!</v>
      </c>
      <c r="I20" s="192" t="e">
        <f t="shared" si="10"/>
        <v>#VALUE!</v>
      </c>
      <c r="J20" s="153">
        <f>SUM(EffectivelyVax!D19:BK19)</f>
        <v>0</v>
      </c>
      <c r="K20" s="193" t="e">
        <f t="shared" si="5"/>
        <v>#VALUE!</v>
      </c>
      <c r="L20" s="194" t="e">
        <f>I19*H20*Export!L18</f>
        <v>#VALUE!</v>
      </c>
      <c r="M20" s="195" t="e">
        <f t="shared" si="0"/>
        <v>#VALUE!</v>
      </c>
      <c r="N20" s="178" t="e">
        <f>IF(Export!M18&lt;&gt;"",K20*Export!K18*(1/Export!M18),K20*Export!K18)</f>
        <v>#VALUE!</v>
      </c>
      <c r="O20" s="154" t="e">
        <f>M20*Export!J18</f>
        <v>#VALUE!</v>
      </c>
      <c r="P20" s="186" t="e">
        <f>SUM('NotEffectivelyVax (current)'!F20,'NotEffectivelyVax (current)'!I20,'NotEffectivelyVax (current)'!L20,'NotEffectivelyVax (current)'!O20,'NotEffectivelyVax (current)'!R20,'NotEffectivelyVax (current)'!U20,'NotEffectivelyVax (current)'!X20,'NotEffectivelyVax (current)'!AA20,'NotEffectivelyVax (current)'!AD20,'NotEffectivelyVax (current)'!AG20,'NotEffectivelyVax (current)'!AJ20,'NotEffectivelyVax (current)'!AM20,'NotEffectivelyVax (current)'!AP20,'NotEffectivelyVax (current)'!AS20,'NotEffectivelyVax (current)'!AV20,'NotEffectivelyVax (current)'!AY20,'NotEffectivelyVax (current)'!BB20,'NotEffectivelyVax (current)'!BE20,'NotEffectivelyVax (current)'!BH20,'NotEffectivelyVax (current)'!BK20,'NotEffectivelyVax (current)'!BN20,'NotEffectivelyVax (current)'!BQ20,'NotEffectivelyVax (current)'!BT20,'NotEffectivelyVax (current)'!BW20,'NotEffectivelyVax (current)'!BZ20,'NotEffectivelyVax (current)'!CC20,'NotEffectivelyVax (current)'!CF20,'NotEffectivelyVax (current)'!CI20,'NotEffectivelyVax (current)'!CL20,'NotEffectivelyVax (current)'!CO20,'NotEffectivelyVax (current)'!CR20,'NotEffectivelyVax (current)'!CU20,'NotEffectivelyVax (current)'!CX20,'NotEffectivelyVax (current)'!DA20,'NotEffectivelyVax (current)'!DD20,'NotEffectivelyVax (current)'!DG20,'NotEffectivelyVax (current)'!DJ20,'NotEffectivelyVax (current)'!DM20,'NotEffectivelyVax (current)'!DP20,'NotEffectivelyVax (current)'!DS20,'NotEffectivelyVax (current)'!DV20,'NotEffectivelyVax (current)'!DY20,'NotEffectivelyVax (current)'!EB20,'NotEffectivelyVax (current)'!EE20,'NotEffectivelyVax (current)'!EH20,'NotEffectivelyVax (current)'!EK20,'NotEffectivelyVax (current)'!EN20,'NotEffectivelyVax (current)'!EQ20,'NotEffectivelyVax (current)'!ET20,'NotEffectivelyVax (current)'!EW20,'NotEffectivelyVax (current)'!EZ20,'NotEffectivelyVax (current)'!FC20,'NotEffectivelyVax (current)'!FF20,'NotEffectivelyVax (current)'!FI20,'NotEffectivelyVax (current)'!FL20,'NotEffectivelyVax (current)'!FO20,'NotEffectivelyVax (current)'!FR20,'NotEffectivelyVax (current)'!FU20,'NotEffectivelyVax (current)'!FX20,'NotEffectivelyVax (current)'!GA20)</f>
        <v>#VALUE!</v>
      </c>
      <c r="Q20" s="155" t="e">
        <f>SUM('NotEffectivelyVax (current)'!D20,'NotEffectivelyVax (current)'!G20,'NotEffectivelyVax (current)'!J20,'NotEffectivelyVax (current)'!M20,'NotEffectivelyVax (current)'!P20,'NotEffectivelyVax (current)'!S20,'NotEffectivelyVax (current)'!V20,'NotEffectivelyVax (current)'!Y20,'NotEffectivelyVax (current)'!AB20,'NotEffectivelyVax (current)'!AE20,'NotEffectivelyVax (current)'!AH20,'NotEffectivelyVax (current)'!AK20,'NotEffectivelyVax (current)'!AN20,'NotEffectivelyVax (current)'!AQ20,'NotEffectivelyVax (current)'!AT20,'NotEffectivelyVax (current)'!AW20,'NotEffectivelyVax (current)'!AZ20,'NotEffectivelyVax (current)'!BC20,'NotEffectivelyVax (current)'!BF20,'NotEffectivelyVax (current)'!BI20,'NotEffectivelyVax (current)'!BL20,'NotEffectivelyVax (current)'!BO20,'NotEffectivelyVax (current)'!BR20,'NotEffectivelyVax (current)'!BU20,'NotEffectivelyVax (current)'!BX20,'NotEffectivelyVax (current)'!CA20,'NotEffectivelyVax (current)'!CD20,'NotEffectivelyVax (current)'!CG20,'NotEffectivelyVax (current)'!CJ20,'NotEffectivelyVax (current)'!CM20,'NotEffectivelyVax (current)'!CP20,'NotEffectivelyVax (current)'!CS20,'NotEffectivelyVax (current)'!CV20,'NotEffectivelyVax (current)'!CY20,'NotEffectivelyVax (current)'!DB20,'NotEffectivelyVax (current)'!DE20,'NotEffectivelyVax (current)'!DH20,'NotEffectivelyVax (current)'!DK20,'NotEffectivelyVax (current)'!DN20,'NotEffectivelyVax (current)'!DQ20,'NotEffectivelyVax (current)'!DT20,'NotEffectivelyVax (current)'!DW20,'NotEffectivelyVax (current)'!DZ20,'NotEffectivelyVax (current)'!EC20,'NotEffectivelyVax (current)'!EF20,'NotEffectivelyVax (current)'!EI20,'NotEffectivelyVax (current)'!EL20,'NotEffectivelyVax (current)'!EO20,'NotEffectivelyVax (current)'!ER20,'NotEffectivelyVax (current)'!EU20,'NotEffectivelyVax (current)'!EX20,'NotEffectivelyVax (current)'!FA20,'NotEffectivelyVax (current)'!FD20,'NotEffectivelyVax (current)'!FG20,'NotEffectivelyVax (current)'!FJ20,'NotEffectivelyVax (current)'!FM20,'NotEffectivelyVax (current)'!FP20,'NotEffectivelyVax (current)'!FS20,'NotEffectivelyVax (current)'!FV20,'NotEffectivelyVax (current)'!FY20)</f>
        <v>#VALUE!</v>
      </c>
      <c r="R20" s="155" t="e">
        <f>SUM('NotEffectivelyVax (current)'!E20,'NotEffectivelyVax (current)'!H20,'NotEffectivelyVax (current)'!K20,'NotEffectivelyVax (current)'!N20,'NotEffectivelyVax (current)'!Q20,'NotEffectivelyVax (current)'!T20,'NotEffectivelyVax (current)'!W20,'NotEffectivelyVax (current)'!Z20,'NotEffectivelyVax (current)'!AC20,'NotEffectivelyVax (current)'!AF20,'NotEffectivelyVax (current)'!AI20,'NotEffectivelyVax (current)'!AL20,'NotEffectivelyVax (current)'!AO20,'NotEffectivelyVax (current)'!AR20,'NotEffectivelyVax (current)'!AU20,'NotEffectivelyVax (current)'!AX20,'NotEffectivelyVax (current)'!BA20,'NotEffectivelyVax (current)'!BD20,'NotEffectivelyVax (current)'!BG20,'NotEffectivelyVax (current)'!BJ20,'NotEffectivelyVax (current)'!BM20,'NotEffectivelyVax (current)'!BP20,'NotEffectivelyVax (current)'!BS20,'NotEffectivelyVax (current)'!BV20,'NotEffectivelyVax (current)'!BY20,'NotEffectivelyVax (current)'!CB20,'NotEffectivelyVax (current)'!CE20,'NotEffectivelyVax (current)'!CH20,'NotEffectivelyVax (current)'!CK20,'NotEffectivelyVax (current)'!CN20,'NotEffectivelyVax (current)'!CQ20,'NotEffectivelyVax (current)'!CT20,'NotEffectivelyVax (current)'!CW20,'NotEffectivelyVax (current)'!CZ20,'NotEffectivelyVax (current)'!DC20,'NotEffectivelyVax (current)'!DF20,'NotEffectivelyVax (current)'!DI20,'NotEffectivelyVax (current)'!DL20,'NotEffectivelyVax (current)'!DO20,'NotEffectivelyVax (current)'!DR20,'NotEffectivelyVax (current)'!DU20,'NotEffectivelyVax (current)'!DX20,'NotEffectivelyVax (current)'!EA20,'NotEffectivelyVax (current)'!ED20,'NotEffectivelyVax (current)'!EG20,'NotEffectivelyVax (current)'!EJ20,'NotEffectivelyVax (current)'!EM20,'NotEffectivelyVax (current)'!EP20,'NotEffectivelyVax (current)'!ES20,'NotEffectivelyVax (current)'!EV20,'NotEffectivelyVax (current)'!EY20,'NotEffectivelyVax (current)'!FB20,'NotEffectivelyVax (current)'!FE20,'NotEffectivelyVax (current)'!FH20,'NotEffectivelyVax (current)'!FK20,'NotEffectivelyVax (current)'!FN20,'NotEffectivelyVax (current)'!FQ20,'NotEffectivelyVax (current)'!FT20,'NotEffectivelyVax (current)'!FW20,'NotEffectivelyVax (current)'!FZ20)</f>
        <v>#VALUE!</v>
      </c>
      <c r="S20" s="138" t="e">
        <f t="shared" si="6"/>
        <v>#VALUE!</v>
      </c>
      <c r="T20" s="187" t="e">
        <f>IF(Export!M18&lt;&gt;"",Q20*Export!K18*(1/Export!M18),Q20*Export!K18)</f>
        <v>#VALUE!</v>
      </c>
      <c r="U20" s="188" t="e">
        <f>S20*Export!J18</f>
        <v>#VALUE!</v>
      </c>
      <c r="V20" s="196" t="e">
        <f t="shared" si="11"/>
        <v>#DIV/0!</v>
      </c>
      <c r="W20" s="197" t="e">
        <f t="shared" si="8"/>
        <v>#VALUE!</v>
      </c>
      <c r="X20" s="190" t="e">
        <f>H20*Export!L18*V19</f>
        <v>#VALUE!</v>
      </c>
      <c r="Y20" s="190" t="e">
        <f t="shared" si="1"/>
        <v>#VALUE!</v>
      </c>
      <c r="Z20" s="190" t="e">
        <f>IF(Export!M18&lt;&gt;"",W20*Export!K18*(1/Export!M18),W20*Export!K18)</f>
        <v>#VALUE!</v>
      </c>
      <c r="AA20" s="190" t="e">
        <f>Y20*Export!J18</f>
        <v>#VALUE!</v>
      </c>
      <c r="AB20" s="144"/>
      <c r="AC20" s="143" t="e">
        <f t="shared" si="2"/>
        <v>#VALUE!</v>
      </c>
      <c r="AD20" s="144" t="e">
        <f t="shared" si="2"/>
        <v>#VALUE!</v>
      </c>
      <c r="AE20" s="144" t="e">
        <f t="shared" si="3"/>
        <v>#VALUE!</v>
      </c>
      <c r="AF20" s="144" t="e">
        <f t="shared" si="3"/>
        <v>#VALUE!</v>
      </c>
      <c r="AG20" s="144" t="e">
        <f t="shared" si="4"/>
        <v>#VALUE!</v>
      </c>
      <c r="AH20" s="198"/>
      <c r="AI20" s="198"/>
      <c r="AJ20" s="198"/>
      <c r="AK20" s="198"/>
      <c r="AL20" s="199"/>
      <c r="AM20" s="150"/>
      <c r="AN20" s="150"/>
      <c r="AO20" s="150"/>
      <c r="AP20" s="150"/>
      <c r="AQ20" s="151"/>
      <c r="AR20" s="144"/>
    </row>
    <row r="21" spans="1:45" x14ac:dyDescent="0.35">
      <c r="A21" s="130">
        <f>EffectivelyVax!B20</f>
        <v>1</v>
      </c>
      <c r="B21" s="131">
        <f>EffectivelyVax!C20</f>
        <v>0</v>
      </c>
      <c r="C21" s="132">
        <f>Export!N19</f>
        <v>0</v>
      </c>
      <c r="D21" s="177" t="str">
        <f>Export!B19</f>
        <v/>
      </c>
      <c r="E21" s="178" t="e">
        <f>C21*D21*HelperFunctions!G$17</f>
        <v>#VALUE!</v>
      </c>
      <c r="F21" s="179" t="e">
        <f>C21*D21*(1-HelperFunctions!G$17)</f>
        <v>#VALUE!</v>
      </c>
      <c r="G21" s="180" t="str">
        <f>Export!C19</f>
        <v/>
      </c>
      <c r="H21" s="191" t="e">
        <f>G21/(I20+'NotEffectivelyVax (current)'!F20*HelperFunctions!R$14+'NotEffectivelyVax (current)'!I20*HelperFunctions!R$14+'NotEffectivelyVax (current)'!L20*HelperFunctions!R$14+'NotEffectivelyVax (current)'!O20*HelperFunctions!R$14+'NotEffectivelyVax (current)'!R20*HelperFunctions!R$14+'NotEffectivelyVax (current)'!U20*HelperFunctions!R$14+'NotEffectivelyVax (current)'!X20*HelperFunctions!R13+'NotEffectivelyVax (current)'!AA20*HelperFunctions!R12+'NotEffectivelyVax (current)'!AD20*HelperFunctions!R11+'NotEffectivelyVax (current)'!AG20*HelperFunctions!R10+'NotEffectivelyVax (current)'!AJ20*HelperFunctions!R9+'NotEffectivelyVax (current)'!AM20*HelperFunctions!R8+'NotEffectivelyVax (current)'!AP20*HelperFunctions!R21+'NotEffectivelyVax (current)'!AS20*HelperFunctions!R20+'NotEffectivelyVax (current)'!AV20*HelperFunctions!R19+'NotEffectivelyVax (current)'!AY20*HelperFunctions!R18+'NotEffectivelyVax (current)'!BB20*HelperFunctions!R17)</f>
        <v>#VALUE!</v>
      </c>
      <c r="I21" s="192" t="e">
        <f t="shared" si="10"/>
        <v>#VALUE!</v>
      </c>
      <c r="J21" s="153">
        <f>SUM(EffectivelyVax!D20:BK20)</f>
        <v>0</v>
      </c>
      <c r="K21" s="193" t="e">
        <f t="shared" si="5"/>
        <v>#VALUE!</v>
      </c>
      <c r="L21" s="194" t="e">
        <f>I20*H21*Export!L19</f>
        <v>#VALUE!</v>
      </c>
      <c r="M21" s="195" t="e">
        <f t="shared" si="0"/>
        <v>#VALUE!</v>
      </c>
      <c r="N21" s="178" t="e">
        <f>IF(Export!M19&lt;&gt;"",K21*Export!K19*(1/Export!M19),K21*Export!K19)</f>
        <v>#VALUE!</v>
      </c>
      <c r="O21" s="154" t="e">
        <f>M21*Export!J19</f>
        <v>#VALUE!</v>
      </c>
      <c r="P21" s="186" t="e">
        <f>SUM('NotEffectivelyVax (current)'!F21,'NotEffectivelyVax (current)'!I21,'NotEffectivelyVax (current)'!L21,'NotEffectivelyVax (current)'!O21,'NotEffectivelyVax (current)'!R21,'NotEffectivelyVax (current)'!U21,'NotEffectivelyVax (current)'!X21,'NotEffectivelyVax (current)'!AA21,'NotEffectivelyVax (current)'!AD21,'NotEffectivelyVax (current)'!AG21,'NotEffectivelyVax (current)'!AJ21,'NotEffectivelyVax (current)'!AM21,'NotEffectivelyVax (current)'!AP21,'NotEffectivelyVax (current)'!AS21,'NotEffectivelyVax (current)'!AV21,'NotEffectivelyVax (current)'!AY21,'NotEffectivelyVax (current)'!BB21,'NotEffectivelyVax (current)'!BE21,'NotEffectivelyVax (current)'!BH21,'NotEffectivelyVax (current)'!BK21,'NotEffectivelyVax (current)'!BN21,'NotEffectivelyVax (current)'!BQ21,'NotEffectivelyVax (current)'!BT21,'NotEffectivelyVax (current)'!BW21,'NotEffectivelyVax (current)'!BZ21,'NotEffectivelyVax (current)'!CC21,'NotEffectivelyVax (current)'!CF21,'NotEffectivelyVax (current)'!CI21,'NotEffectivelyVax (current)'!CL21,'NotEffectivelyVax (current)'!CO21,'NotEffectivelyVax (current)'!CR21,'NotEffectivelyVax (current)'!CU21,'NotEffectivelyVax (current)'!CX21,'NotEffectivelyVax (current)'!DA21,'NotEffectivelyVax (current)'!DD21,'NotEffectivelyVax (current)'!DG21,'NotEffectivelyVax (current)'!DJ21,'NotEffectivelyVax (current)'!DM21,'NotEffectivelyVax (current)'!DP21,'NotEffectivelyVax (current)'!DS21,'NotEffectivelyVax (current)'!DV21,'NotEffectivelyVax (current)'!DY21,'NotEffectivelyVax (current)'!EB21,'NotEffectivelyVax (current)'!EE21,'NotEffectivelyVax (current)'!EH21,'NotEffectivelyVax (current)'!EK21,'NotEffectivelyVax (current)'!EN21,'NotEffectivelyVax (current)'!EQ21,'NotEffectivelyVax (current)'!ET21,'NotEffectivelyVax (current)'!EW21,'NotEffectivelyVax (current)'!EZ21,'NotEffectivelyVax (current)'!FC21,'NotEffectivelyVax (current)'!FF21,'NotEffectivelyVax (current)'!FI21,'NotEffectivelyVax (current)'!FL21,'NotEffectivelyVax (current)'!FO21,'NotEffectivelyVax (current)'!FR21,'NotEffectivelyVax (current)'!FU21,'NotEffectivelyVax (current)'!FX21,'NotEffectivelyVax (current)'!GA21)</f>
        <v>#VALUE!</v>
      </c>
      <c r="Q21" s="155" t="e">
        <f>SUM('NotEffectivelyVax (current)'!D21,'NotEffectivelyVax (current)'!G21,'NotEffectivelyVax (current)'!J21,'NotEffectivelyVax (current)'!M21,'NotEffectivelyVax (current)'!P21,'NotEffectivelyVax (current)'!S21,'NotEffectivelyVax (current)'!V21,'NotEffectivelyVax (current)'!Y21,'NotEffectivelyVax (current)'!AB21,'NotEffectivelyVax (current)'!AE21,'NotEffectivelyVax (current)'!AH21,'NotEffectivelyVax (current)'!AK21,'NotEffectivelyVax (current)'!AN21,'NotEffectivelyVax (current)'!AQ21,'NotEffectivelyVax (current)'!AT21,'NotEffectivelyVax (current)'!AW21,'NotEffectivelyVax (current)'!AZ21,'NotEffectivelyVax (current)'!BC21,'NotEffectivelyVax (current)'!BF21,'NotEffectivelyVax (current)'!BI21,'NotEffectivelyVax (current)'!BL21,'NotEffectivelyVax (current)'!BO21,'NotEffectivelyVax (current)'!BR21,'NotEffectivelyVax (current)'!BU21,'NotEffectivelyVax (current)'!BX21,'NotEffectivelyVax (current)'!CA21,'NotEffectivelyVax (current)'!CD21,'NotEffectivelyVax (current)'!CG21,'NotEffectivelyVax (current)'!CJ21,'NotEffectivelyVax (current)'!CM21,'NotEffectivelyVax (current)'!CP21,'NotEffectivelyVax (current)'!CS21,'NotEffectivelyVax (current)'!CV21,'NotEffectivelyVax (current)'!CY21,'NotEffectivelyVax (current)'!DB21,'NotEffectivelyVax (current)'!DE21,'NotEffectivelyVax (current)'!DH21,'NotEffectivelyVax (current)'!DK21,'NotEffectivelyVax (current)'!DN21,'NotEffectivelyVax (current)'!DQ21,'NotEffectivelyVax (current)'!DT21,'NotEffectivelyVax (current)'!DW21,'NotEffectivelyVax (current)'!DZ21,'NotEffectivelyVax (current)'!EC21,'NotEffectivelyVax (current)'!EF21,'NotEffectivelyVax (current)'!EI21,'NotEffectivelyVax (current)'!EL21,'NotEffectivelyVax (current)'!EO21,'NotEffectivelyVax (current)'!ER21,'NotEffectivelyVax (current)'!EU21,'NotEffectivelyVax (current)'!EX21,'NotEffectivelyVax (current)'!FA21,'NotEffectivelyVax (current)'!FD21,'NotEffectivelyVax (current)'!FG21,'NotEffectivelyVax (current)'!FJ21,'NotEffectivelyVax (current)'!FM21,'NotEffectivelyVax (current)'!FP21,'NotEffectivelyVax (current)'!FS21,'NotEffectivelyVax (current)'!FV21,'NotEffectivelyVax (current)'!FY21)</f>
        <v>#VALUE!</v>
      </c>
      <c r="R21" s="155" t="e">
        <f>SUM('NotEffectivelyVax (current)'!E21,'NotEffectivelyVax (current)'!H21,'NotEffectivelyVax (current)'!K21,'NotEffectivelyVax (current)'!N21,'NotEffectivelyVax (current)'!Q21,'NotEffectivelyVax (current)'!T21,'NotEffectivelyVax (current)'!W21,'NotEffectivelyVax (current)'!Z21,'NotEffectivelyVax (current)'!AC21,'NotEffectivelyVax (current)'!AF21,'NotEffectivelyVax (current)'!AI21,'NotEffectivelyVax (current)'!AL21,'NotEffectivelyVax (current)'!AO21,'NotEffectivelyVax (current)'!AR21,'NotEffectivelyVax (current)'!AU21,'NotEffectivelyVax (current)'!AX21,'NotEffectivelyVax (current)'!BA21,'NotEffectivelyVax (current)'!BD21,'NotEffectivelyVax (current)'!BG21,'NotEffectivelyVax (current)'!BJ21,'NotEffectivelyVax (current)'!BM21,'NotEffectivelyVax (current)'!BP21,'NotEffectivelyVax (current)'!BS21,'NotEffectivelyVax (current)'!BV21,'NotEffectivelyVax (current)'!BY21,'NotEffectivelyVax (current)'!CB21,'NotEffectivelyVax (current)'!CE21,'NotEffectivelyVax (current)'!CH21,'NotEffectivelyVax (current)'!CK21,'NotEffectivelyVax (current)'!CN21,'NotEffectivelyVax (current)'!CQ21,'NotEffectivelyVax (current)'!CT21,'NotEffectivelyVax (current)'!CW21,'NotEffectivelyVax (current)'!CZ21,'NotEffectivelyVax (current)'!DC21,'NotEffectivelyVax (current)'!DF21,'NotEffectivelyVax (current)'!DI21,'NotEffectivelyVax (current)'!DL21,'NotEffectivelyVax (current)'!DO21,'NotEffectivelyVax (current)'!DR21,'NotEffectivelyVax (current)'!DU21,'NotEffectivelyVax (current)'!DX21,'NotEffectivelyVax (current)'!EA21,'NotEffectivelyVax (current)'!ED21,'NotEffectivelyVax (current)'!EG21,'NotEffectivelyVax (current)'!EJ21,'NotEffectivelyVax (current)'!EM21,'NotEffectivelyVax (current)'!EP21,'NotEffectivelyVax (current)'!ES21,'NotEffectivelyVax (current)'!EV21,'NotEffectivelyVax (current)'!EY21,'NotEffectivelyVax (current)'!FB21,'NotEffectivelyVax (current)'!FE21,'NotEffectivelyVax (current)'!FH21,'NotEffectivelyVax (current)'!FK21,'NotEffectivelyVax (current)'!FN21,'NotEffectivelyVax (current)'!FQ21,'NotEffectivelyVax (current)'!FT21,'NotEffectivelyVax (current)'!FW21,'NotEffectivelyVax (current)'!FZ21)</f>
        <v>#VALUE!</v>
      </c>
      <c r="S21" s="138" t="e">
        <f t="shared" si="6"/>
        <v>#VALUE!</v>
      </c>
      <c r="T21" s="187" t="e">
        <f>IF(Export!M19&lt;&gt;"",Q21*Export!K19*(1/Export!M19),Q21*Export!K19)</f>
        <v>#VALUE!</v>
      </c>
      <c r="U21" s="188" t="e">
        <f>S21*Export!J19</f>
        <v>#VALUE!</v>
      </c>
      <c r="V21" s="196" t="e">
        <f t="shared" si="11"/>
        <v>#DIV/0!</v>
      </c>
      <c r="W21" s="197" t="e">
        <f t="shared" si="8"/>
        <v>#VALUE!</v>
      </c>
      <c r="X21" s="190" t="e">
        <f>H21*Export!L19*V20</f>
        <v>#VALUE!</v>
      </c>
      <c r="Y21" s="190" t="e">
        <f t="shared" si="1"/>
        <v>#VALUE!</v>
      </c>
      <c r="Z21" s="190" t="e">
        <f>IF(Export!M19&lt;&gt;"",W21*Export!K19*(1/Export!M19),W21*Export!K19)</f>
        <v>#VALUE!</v>
      </c>
      <c r="AA21" s="190" t="e">
        <f>Y21*Export!J19</f>
        <v>#VALUE!</v>
      </c>
      <c r="AB21" s="144"/>
      <c r="AC21" s="143" t="e">
        <f t="shared" si="2"/>
        <v>#VALUE!</v>
      </c>
      <c r="AD21" s="144" t="e">
        <f t="shared" si="2"/>
        <v>#VALUE!</v>
      </c>
      <c r="AE21" s="144" t="e">
        <f t="shared" si="3"/>
        <v>#VALUE!</v>
      </c>
      <c r="AF21" s="144" t="e">
        <f t="shared" si="3"/>
        <v>#VALUE!</v>
      </c>
      <c r="AG21" s="144" t="e">
        <f t="shared" si="4"/>
        <v>#VALUE!</v>
      </c>
      <c r="AH21" s="198"/>
      <c r="AI21" s="198"/>
      <c r="AJ21" s="198"/>
      <c r="AK21" s="198"/>
      <c r="AL21" s="199"/>
      <c r="AM21" s="150"/>
      <c r="AN21" s="150"/>
      <c r="AO21" s="150"/>
      <c r="AP21" s="150"/>
      <c r="AQ21" s="151"/>
    </row>
    <row r="22" spans="1:45" x14ac:dyDescent="0.35">
      <c r="A22" s="130">
        <f>EffectivelyVax!B21</f>
        <v>1</v>
      </c>
      <c r="B22" s="131">
        <f>EffectivelyVax!C21</f>
        <v>0</v>
      </c>
      <c r="C22" s="132">
        <f>Export!N20</f>
        <v>0</v>
      </c>
      <c r="D22" s="177" t="str">
        <f>Export!B20</f>
        <v/>
      </c>
      <c r="E22" s="178" t="e">
        <f>C22*D22*HelperFunctions!G$17</f>
        <v>#VALUE!</v>
      </c>
      <c r="F22" s="179" t="e">
        <f>C22*D22*(1-HelperFunctions!G$17)</f>
        <v>#VALUE!</v>
      </c>
      <c r="G22" s="180" t="str">
        <f>Export!C20</f>
        <v/>
      </c>
      <c r="H22" s="191" t="e">
        <f>G22/(I21+'NotEffectivelyVax (current)'!F21*HelperFunctions!R$14+'NotEffectivelyVax (current)'!I21*HelperFunctions!R$14+'NotEffectivelyVax (current)'!L21*HelperFunctions!R$14+'NotEffectivelyVax (current)'!O21*HelperFunctions!R$14+'NotEffectivelyVax (current)'!R21*HelperFunctions!R$14+'NotEffectivelyVax (current)'!U21*HelperFunctions!R$14+'NotEffectivelyVax (current)'!X21*HelperFunctions!R$14+'NotEffectivelyVax (current)'!AA21*HelperFunctions!R13+'NotEffectivelyVax (current)'!AD21*HelperFunctions!R12+'NotEffectivelyVax (current)'!AG21*HelperFunctions!R11+'NotEffectivelyVax (current)'!AJ21*HelperFunctions!R10+'NotEffectivelyVax (current)'!AM21*HelperFunctions!R9+'NotEffectivelyVax (current)'!AP21*HelperFunctions!R22+'NotEffectivelyVax (current)'!AS21*HelperFunctions!R21+'NotEffectivelyVax (current)'!AV21*HelperFunctions!R20+'NotEffectivelyVax (current)'!AY21*HelperFunctions!R19+'NotEffectivelyVax (current)'!BB21*HelperFunctions!R18+'NotEffectivelyVax (current)'!BE21*HelperFunctions!R17)</f>
        <v>#VALUE!</v>
      </c>
      <c r="I22" s="192" t="e">
        <f t="shared" si="10"/>
        <v>#VALUE!</v>
      </c>
      <c r="J22" s="153">
        <f>SUM(EffectivelyVax!D21:BK21)</f>
        <v>0</v>
      </c>
      <c r="K22" s="193" t="e">
        <f t="shared" si="5"/>
        <v>#VALUE!</v>
      </c>
      <c r="L22" s="194" t="e">
        <f>I21*H22*Export!L20</f>
        <v>#VALUE!</v>
      </c>
      <c r="M22" s="195" t="e">
        <f t="shared" si="0"/>
        <v>#VALUE!</v>
      </c>
      <c r="N22" s="178" t="e">
        <f>IF(Export!M20&lt;&gt;"",K22*Export!K20*(1/Export!M20),K22*Export!K20)</f>
        <v>#VALUE!</v>
      </c>
      <c r="O22" s="154" t="e">
        <f>M22*Export!J20</f>
        <v>#VALUE!</v>
      </c>
      <c r="P22" s="186" t="e">
        <f>SUM('NotEffectivelyVax (current)'!F22,'NotEffectivelyVax (current)'!I22,'NotEffectivelyVax (current)'!L22,'NotEffectivelyVax (current)'!O22,'NotEffectivelyVax (current)'!R22,'NotEffectivelyVax (current)'!U22,'NotEffectivelyVax (current)'!X22,'NotEffectivelyVax (current)'!AA22,'NotEffectivelyVax (current)'!AD22,'NotEffectivelyVax (current)'!AG22,'NotEffectivelyVax (current)'!AJ22,'NotEffectivelyVax (current)'!AM22,'NotEffectivelyVax (current)'!AP22,'NotEffectivelyVax (current)'!AS22,'NotEffectivelyVax (current)'!AV22,'NotEffectivelyVax (current)'!AY22,'NotEffectivelyVax (current)'!BB22,'NotEffectivelyVax (current)'!BE22,'NotEffectivelyVax (current)'!BH22,'NotEffectivelyVax (current)'!BK22,'NotEffectivelyVax (current)'!BN22,'NotEffectivelyVax (current)'!BQ22,'NotEffectivelyVax (current)'!BT22,'NotEffectivelyVax (current)'!BW22,'NotEffectivelyVax (current)'!BZ22,'NotEffectivelyVax (current)'!CC22,'NotEffectivelyVax (current)'!CF22,'NotEffectivelyVax (current)'!CI22,'NotEffectivelyVax (current)'!CL22,'NotEffectivelyVax (current)'!CO22,'NotEffectivelyVax (current)'!CR22,'NotEffectivelyVax (current)'!CU22,'NotEffectivelyVax (current)'!CX22,'NotEffectivelyVax (current)'!DA22,'NotEffectivelyVax (current)'!DD22,'NotEffectivelyVax (current)'!DG22,'NotEffectivelyVax (current)'!DJ22,'NotEffectivelyVax (current)'!DM22,'NotEffectivelyVax (current)'!DP22,'NotEffectivelyVax (current)'!DS22,'NotEffectivelyVax (current)'!DV22,'NotEffectivelyVax (current)'!DY22,'NotEffectivelyVax (current)'!EB22,'NotEffectivelyVax (current)'!EE22,'NotEffectivelyVax (current)'!EH22,'NotEffectivelyVax (current)'!EK22,'NotEffectivelyVax (current)'!EN22,'NotEffectivelyVax (current)'!EQ22,'NotEffectivelyVax (current)'!ET22,'NotEffectivelyVax (current)'!EW22,'NotEffectivelyVax (current)'!EZ22,'NotEffectivelyVax (current)'!FC22,'NotEffectivelyVax (current)'!FF22,'NotEffectivelyVax (current)'!FI22,'NotEffectivelyVax (current)'!FL22,'NotEffectivelyVax (current)'!FO22,'NotEffectivelyVax (current)'!FR22,'NotEffectivelyVax (current)'!FU22,'NotEffectivelyVax (current)'!FX22,'NotEffectivelyVax (current)'!GA22)</f>
        <v>#VALUE!</v>
      </c>
      <c r="Q22" s="155" t="e">
        <f>SUM('NotEffectivelyVax (current)'!D22,'NotEffectivelyVax (current)'!G22,'NotEffectivelyVax (current)'!J22,'NotEffectivelyVax (current)'!M22,'NotEffectivelyVax (current)'!P22,'NotEffectivelyVax (current)'!S22,'NotEffectivelyVax (current)'!V22,'NotEffectivelyVax (current)'!Y22,'NotEffectivelyVax (current)'!AB22,'NotEffectivelyVax (current)'!AE22,'NotEffectivelyVax (current)'!AH22,'NotEffectivelyVax (current)'!AK22,'NotEffectivelyVax (current)'!AN22,'NotEffectivelyVax (current)'!AQ22,'NotEffectivelyVax (current)'!AT22,'NotEffectivelyVax (current)'!AW22,'NotEffectivelyVax (current)'!AZ22,'NotEffectivelyVax (current)'!BC22,'NotEffectivelyVax (current)'!BF22,'NotEffectivelyVax (current)'!BI22,'NotEffectivelyVax (current)'!BL22,'NotEffectivelyVax (current)'!BO22,'NotEffectivelyVax (current)'!BR22,'NotEffectivelyVax (current)'!BU22,'NotEffectivelyVax (current)'!BX22,'NotEffectivelyVax (current)'!CA22,'NotEffectivelyVax (current)'!CD22,'NotEffectivelyVax (current)'!CG22,'NotEffectivelyVax (current)'!CJ22,'NotEffectivelyVax (current)'!CM22,'NotEffectivelyVax (current)'!CP22,'NotEffectivelyVax (current)'!CS22,'NotEffectivelyVax (current)'!CV22,'NotEffectivelyVax (current)'!CY22,'NotEffectivelyVax (current)'!DB22,'NotEffectivelyVax (current)'!DE22,'NotEffectivelyVax (current)'!DH22,'NotEffectivelyVax (current)'!DK22,'NotEffectivelyVax (current)'!DN22,'NotEffectivelyVax (current)'!DQ22,'NotEffectivelyVax (current)'!DT22,'NotEffectivelyVax (current)'!DW22,'NotEffectivelyVax (current)'!DZ22,'NotEffectivelyVax (current)'!EC22,'NotEffectivelyVax (current)'!EF22,'NotEffectivelyVax (current)'!EI22,'NotEffectivelyVax (current)'!EL22,'NotEffectivelyVax (current)'!EO22,'NotEffectivelyVax (current)'!ER22,'NotEffectivelyVax (current)'!EU22,'NotEffectivelyVax (current)'!EX22,'NotEffectivelyVax (current)'!FA22,'NotEffectivelyVax (current)'!FD22,'NotEffectivelyVax (current)'!FG22,'NotEffectivelyVax (current)'!FJ22,'NotEffectivelyVax (current)'!FM22,'NotEffectivelyVax (current)'!FP22,'NotEffectivelyVax (current)'!FS22,'NotEffectivelyVax (current)'!FV22,'NotEffectivelyVax (current)'!FY22)</f>
        <v>#VALUE!</v>
      </c>
      <c r="R22" s="155" t="e">
        <f>SUM('NotEffectivelyVax (current)'!E22,'NotEffectivelyVax (current)'!H22,'NotEffectivelyVax (current)'!K22,'NotEffectivelyVax (current)'!N22,'NotEffectivelyVax (current)'!Q22,'NotEffectivelyVax (current)'!T22,'NotEffectivelyVax (current)'!W22,'NotEffectivelyVax (current)'!Z22,'NotEffectivelyVax (current)'!AC22,'NotEffectivelyVax (current)'!AF22,'NotEffectivelyVax (current)'!AI22,'NotEffectivelyVax (current)'!AL22,'NotEffectivelyVax (current)'!AO22,'NotEffectivelyVax (current)'!AR22,'NotEffectivelyVax (current)'!AU22,'NotEffectivelyVax (current)'!AX22,'NotEffectivelyVax (current)'!BA22,'NotEffectivelyVax (current)'!BD22,'NotEffectivelyVax (current)'!BG22,'NotEffectivelyVax (current)'!BJ22,'NotEffectivelyVax (current)'!BM22,'NotEffectivelyVax (current)'!BP22,'NotEffectivelyVax (current)'!BS22,'NotEffectivelyVax (current)'!BV22,'NotEffectivelyVax (current)'!BY22,'NotEffectivelyVax (current)'!CB22,'NotEffectivelyVax (current)'!CE22,'NotEffectivelyVax (current)'!CH22,'NotEffectivelyVax (current)'!CK22,'NotEffectivelyVax (current)'!CN22,'NotEffectivelyVax (current)'!CQ22,'NotEffectivelyVax (current)'!CT22,'NotEffectivelyVax (current)'!CW22,'NotEffectivelyVax (current)'!CZ22,'NotEffectivelyVax (current)'!DC22,'NotEffectivelyVax (current)'!DF22,'NotEffectivelyVax (current)'!DI22,'NotEffectivelyVax (current)'!DL22,'NotEffectivelyVax (current)'!DO22,'NotEffectivelyVax (current)'!DR22,'NotEffectivelyVax (current)'!DU22,'NotEffectivelyVax (current)'!DX22,'NotEffectivelyVax (current)'!EA22,'NotEffectivelyVax (current)'!ED22,'NotEffectivelyVax (current)'!EG22,'NotEffectivelyVax (current)'!EJ22,'NotEffectivelyVax (current)'!EM22,'NotEffectivelyVax (current)'!EP22,'NotEffectivelyVax (current)'!ES22,'NotEffectivelyVax (current)'!EV22,'NotEffectivelyVax (current)'!EY22,'NotEffectivelyVax (current)'!FB22,'NotEffectivelyVax (current)'!FE22,'NotEffectivelyVax (current)'!FH22,'NotEffectivelyVax (current)'!FK22,'NotEffectivelyVax (current)'!FN22,'NotEffectivelyVax (current)'!FQ22,'NotEffectivelyVax (current)'!FT22,'NotEffectivelyVax (current)'!FW22,'NotEffectivelyVax (current)'!FZ22)</f>
        <v>#VALUE!</v>
      </c>
      <c r="S22" s="138" t="e">
        <f t="shared" si="6"/>
        <v>#VALUE!</v>
      </c>
      <c r="T22" s="187" t="e">
        <f>IF(Export!M20&lt;&gt;"",Q22*Export!K20*(1/Export!M20),Q22*Export!K20)</f>
        <v>#VALUE!</v>
      </c>
      <c r="U22" s="188" t="e">
        <f>S22*Export!J20</f>
        <v>#VALUE!</v>
      </c>
      <c r="V22" s="196" t="e">
        <f t="shared" si="11"/>
        <v>#DIV/0!</v>
      </c>
      <c r="W22" s="197" t="e">
        <f t="shared" si="8"/>
        <v>#VALUE!</v>
      </c>
      <c r="X22" s="190" t="e">
        <f>H22*Export!L20*V21</f>
        <v>#VALUE!</v>
      </c>
      <c r="Y22" s="190" t="e">
        <f t="shared" si="1"/>
        <v>#VALUE!</v>
      </c>
      <c r="Z22" s="190" t="e">
        <f>IF(Export!M20&lt;&gt;"",W22*Export!K20*(1/Export!M20),W22*Export!K20)</f>
        <v>#VALUE!</v>
      </c>
      <c r="AA22" s="190" t="e">
        <f>Y22*Export!J20</f>
        <v>#VALUE!</v>
      </c>
      <c r="AB22" s="144"/>
      <c r="AC22" s="143" t="e">
        <f t="shared" si="2"/>
        <v>#VALUE!</v>
      </c>
      <c r="AD22" s="144" t="e">
        <f t="shared" si="2"/>
        <v>#VALUE!</v>
      </c>
      <c r="AE22" s="144" t="e">
        <f t="shared" si="3"/>
        <v>#VALUE!</v>
      </c>
      <c r="AF22" s="144" t="e">
        <f t="shared" si="3"/>
        <v>#VALUE!</v>
      </c>
      <c r="AG22" s="144" t="e">
        <f t="shared" si="4"/>
        <v>#VALUE!</v>
      </c>
      <c r="AH22" s="198"/>
      <c r="AI22" s="198"/>
      <c r="AJ22" s="198"/>
      <c r="AK22" s="198"/>
      <c r="AL22" s="199"/>
      <c r="AM22" s="150"/>
      <c r="AN22" s="150"/>
      <c r="AO22" s="150"/>
      <c r="AP22" s="150"/>
      <c r="AQ22" s="151"/>
    </row>
    <row r="23" spans="1:45" x14ac:dyDescent="0.35">
      <c r="A23" s="130">
        <f>EffectivelyVax!B22</f>
        <v>1</v>
      </c>
      <c r="B23" s="131">
        <f>EffectivelyVax!C22</f>
        <v>0</v>
      </c>
      <c r="C23" s="132">
        <f>Export!N21</f>
        <v>0</v>
      </c>
      <c r="D23" s="177" t="str">
        <f>Export!B21</f>
        <v/>
      </c>
      <c r="E23" s="178" t="e">
        <f>C23*D23*HelperFunctions!G$17</f>
        <v>#VALUE!</v>
      </c>
      <c r="F23" s="179" t="e">
        <f>C23*D23*(1-HelperFunctions!G$17)</f>
        <v>#VALUE!</v>
      </c>
      <c r="G23" s="180" t="str">
        <f>Export!C21</f>
        <v/>
      </c>
      <c r="H23" s="191" t="e">
        <f>G23/(I22+'NotEffectivelyVax (current)'!F22*HelperFunctions!R$14+'NotEffectivelyVax (current)'!I22*HelperFunctions!R$14+'NotEffectivelyVax (current)'!L22*HelperFunctions!R$14+'NotEffectivelyVax (current)'!O22*HelperFunctions!R$14+'NotEffectivelyVax (current)'!R22*HelperFunctions!R$14+'NotEffectivelyVax (current)'!U22*HelperFunctions!R$14+'NotEffectivelyVax (current)'!X22*HelperFunctions!R$14+'NotEffectivelyVax (current)'!AA22*HelperFunctions!R$14+'NotEffectivelyVax (current)'!AD22*HelperFunctions!R13+'NotEffectivelyVax (current)'!AG22*HelperFunctions!R12+'NotEffectivelyVax (current)'!AJ22*HelperFunctions!R11+'NotEffectivelyVax (current)'!AM22*HelperFunctions!R10+'NotEffectivelyVax (current)'!AP22*HelperFunctions!R23+'NotEffectivelyVax (current)'!AS22*HelperFunctions!R22+'NotEffectivelyVax (current)'!AV22*HelperFunctions!R21+'NotEffectivelyVax (current)'!AY22*HelperFunctions!R20+'NotEffectivelyVax (current)'!BB22*HelperFunctions!R19+'NotEffectivelyVax (current)'!BE22*HelperFunctions!R18+'NotEffectivelyVax (current)'!BH22*HelperFunctions!R17)</f>
        <v>#VALUE!</v>
      </c>
      <c r="I23" s="192" t="e">
        <f t="shared" si="10"/>
        <v>#VALUE!</v>
      </c>
      <c r="J23" s="153">
        <f>SUM(EffectivelyVax!D22:BK22)</f>
        <v>0</v>
      </c>
      <c r="K23" s="193" t="e">
        <f t="shared" si="5"/>
        <v>#VALUE!</v>
      </c>
      <c r="L23" s="194" t="e">
        <f>I22*H23*Export!L21</f>
        <v>#VALUE!</v>
      </c>
      <c r="M23" s="195" t="e">
        <f t="shared" si="0"/>
        <v>#VALUE!</v>
      </c>
      <c r="N23" s="178" t="e">
        <f>IF(Export!M21&lt;&gt;"",K23*Export!K21*(1/Export!M21),K23*Export!K21)</f>
        <v>#VALUE!</v>
      </c>
      <c r="O23" s="154" t="e">
        <f>M23*Export!J21</f>
        <v>#VALUE!</v>
      </c>
      <c r="P23" s="186" t="e">
        <f>SUM('NotEffectivelyVax (current)'!F23,'NotEffectivelyVax (current)'!I23,'NotEffectivelyVax (current)'!L23,'NotEffectivelyVax (current)'!O23,'NotEffectivelyVax (current)'!R23,'NotEffectivelyVax (current)'!U23,'NotEffectivelyVax (current)'!X23,'NotEffectivelyVax (current)'!AA23,'NotEffectivelyVax (current)'!AD23,'NotEffectivelyVax (current)'!AG23,'NotEffectivelyVax (current)'!AJ23,'NotEffectivelyVax (current)'!AM23,'NotEffectivelyVax (current)'!AP23,'NotEffectivelyVax (current)'!AS23,'NotEffectivelyVax (current)'!AV23,'NotEffectivelyVax (current)'!AY23,'NotEffectivelyVax (current)'!BB23,'NotEffectivelyVax (current)'!BE23,'NotEffectivelyVax (current)'!BH23,'NotEffectivelyVax (current)'!BK23,'NotEffectivelyVax (current)'!BN23,'NotEffectivelyVax (current)'!BQ23,'NotEffectivelyVax (current)'!BT23,'NotEffectivelyVax (current)'!BW23,'NotEffectivelyVax (current)'!BZ23,'NotEffectivelyVax (current)'!CC23,'NotEffectivelyVax (current)'!CF23,'NotEffectivelyVax (current)'!CI23,'NotEffectivelyVax (current)'!CL23,'NotEffectivelyVax (current)'!CO23,'NotEffectivelyVax (current)'!CR23,'NotEffectivelyVax (current)'!CU23,'NotEffectivelyVax (current)'!CX23,'NotEffectivelyVax (current)'!DA23,'NotEffectivelyVax (current)'!DD23,'NotEffectivelyVax (current)'!DG23,'NotEffectivelyVax (current)'!DJ23,'NotEffectivelyVax (current)'!DM23,'NotEffectivelyVax (current)'!DP23,'NotEffectivelyVax (current)'!DS23,'NotEffectivelyVax (current)'!DV23,'NotEffectivelyVax (current)'!DY23,'NotEffectivelyVax (current)'!EB23,'NotEffectivelyVax (current)'!EE23,'NotEffectivelyVax (current)'!EH23,'NotEffectivelyVax (current)'!EK23,'NotEffectivelyVax (current)'!EN23,'NotEffectivelyVax (current)'!EQ23,'NotEffectivelyVax (current)'!ET23,'NotEffectivelyVax (current)'!EW23,'NotEffectivelyVax (current)'!EZ23,'NotEffectivelyVax (current)'!FC23,'NotEffectivelyVax (current)'!FF23,'NotEffectivelyVax (current)'!FI23,'NotEffectivelyVax (current)'!FL23,'NotEffectivelyVax (current)'!FO23,'NotEffectivelyVax (current)'!FR23,'NotEffectivelyVax (current)'!FU23,'NotEffectivelyVax (current)'!FX23,'NotEffectivelyVax (current)'!GA23)</f>
        <v>#VALUE!</v>
      </c>
      <c r="Q23" s="155" t="e">
        <f>SUM('NotEffectivelyVax (current)'!D23,'NotEffectivelyVax (current)'!G23,'NotEffectivelyVax (current)'!J23,'NotEffectivelyVax (current)'!M23,'NotEffectivelyVax (current)'!P23,'NotEffectivelyVax (current)'!S23,'NotEffectivelyVax (current)'!V23,'NotEffectivelyVax (current)'!Y23,'NotEffectivelyVax (current)'!AB23,'NotEffectivelyVax (current)'!AE23,'NotEffectivelyVax (current)'!AH23,'NotEffectivelyVax (current)'!AK23,'NotEffectivelyVax (current)'!AN23,'NotEffectivelyVax (current)'!AQ23,'NotEffectivelyVax (current)'!AT23,'NotEffectivelyVax (current)'!AW23,'NotEffectivelyVax (current)'!AZ23,'NotEffectivelyVax (current)'!BC23,'NotEffectivelyVax (current)'!BF23,'NotEffectivelyVax (current)'!BI23,'NotEffectivelyVax (current)'!BL23,'NotEffectivelyVax (current)'!BO23,'NotEffectivelyVax (current)'!BR23,'NotEffectivelyVax (current)'!BU23,'NotEffectivelyVax (current)'!BX23,'NotEffectivelyVax (current)'!CA23,'NotEffectivelyVax (current)'!CD23,'NotEffectivelyVax (current)'!CG23,'NotEffectivelyVax (current)'!CJ23,'NotEffectivelyVax (current)'!CM23,'NotEffectivelyVax (current)'!CP23,'NotEffectivelyVax (current)'!CS23,'NotEffectivelyVax (current)'!CV23,'NotEffectivelyVax (current)'!CY23,'NotEffectivelyVax (current)'!DB23,'NotEffectivelyVax (current)'!DE23,'NotEffectivelyVax (current)'!DH23,'NotEffectivelyVax (current)'!DK23,'NotEffectivelyVax (current)'!DN23,'NotEffectivelyVax (current)'!DQ23,'NotEffectivelyVax (current)'!DT23,'NotEffectivelyVax (current)'!DW23,'NotEffectivelyVax (current)'!DZ23,'NotEffectivelyVax (current)'!EC23,'NotEffectivelyVax (current)'!EF23,'NotEffectivelyVax (current)'!EI23,'NotEffectivelyVax (current)'!EL23,'NotEffectivelyVax (current)'!EO23,'NotEffectivelyVax (current)'!ER23,'NotEffectivelyVax (current)'!EU23,'NotEffectivelyVax (current)'!EX23,'NotEffectivelyVax (current)'!FA23,'NotEffectivelyVax (current)'!FD23,'NotEffectivelyVax (current)'!FG23,'NotEffectivelyVax (current)'!FJ23,'NotEffectivelyVax (current)'!FM23,'NotEffectivelyVax (current)'!FP23,'NotEffectivelyVax (current)'!FS23,'NotEffectivelyVax (current)'!FV23,'NotEffectivelyVax (current)'!FY23)</f>
        <v>#VALUE!</v>
      </c>
      <c r="R23" s="155" t="e">
        <f>SUM('NotEffectivelyVax (current)'!E23,'NotEffectivelyVax (current)'!H23,'NotEffectivelyVax (current)'!K23,'NotEffectivelyVax (current)'!N23,'NotEffectivelyVax (current)'!Q23,'NotEffectivelyVax (current)'!T23,'NotEffectivelyVax (current)'!W23,'NotEffectivelyVax (current)'!Z23,'NotEffectivelyVax (current)'!AC23,'NotEffectivelyVax (current)'!AF23,'NotEffectivelyVax (current)'!AI23,'NotEffectivelyVax (current)'!AL23,'NotEffectivelyVax (current)'!AO23,'NotEffectivelyVax (current)'!AR23,'NotEffectivelyVax (current)'!AU23,'NotEffectivelyVax (current)'!AX23,'NotEffectivelyVax (current)'!BA23,'NotEffectivelyVax (current)'!BD23,'NotEffectivelyVax (current)'!BG23,'NotEffectivelyVax (current)'!BJ23,'NotEffectivelyVax (current)'!BM23,'NotEffectivelyVax (current)'!BP23,'NotEffectivelyVax (current)'!BS23,'NotEffectivelyVax (current)'!BV23,'NotEffectivelyVax (current)'!BY23,'NotEffectivelyVax (current)'!CB23,'NotEffectivelyVax (current)'!CE23,'NotEffectivelyVax (current)'!CH23,'NotEffectivelyVax (current)'!CK23,'NotEffectivelyVax (current)'!CN23,'NotEffectivelyVax (current)'!CQ23,'NotEffectivelyVax (current)'!CT23,'NotEffectivelyVax (current)'!CW23,'NotEffectivelyVax (current)'!CZ23,'NotEffectivelyVax (current)'!DC23,'NotEffectivelyVax (current)'!DF23,'NotEffectivelyVax (current)'!DI23,'NotEffectivelyVax (current)'!DL23,'NotEffectivelyVax (current)'!DO23,'NotEffectivelyVax (current)'!DR23,'NotEffectivelyVax (current)'!DU23,'NotEffectivelyVax (current)'!DX23,'NotEffectivelyVax (current)'!EA23,'NotEffectivelyVax (current)'!ED23,'NotEffectivelyVax (current)'!EG23,'NotEffectivelyVax (current)'!EJ23,'NotEffectivelyVax (current)'!EM23,'NotEffectivelyVax (current)'!EP23,'NotEffectivelyVax (current)'!ES23,'NotEffectivelyVax (current)'!EV23,'NotEffectivelyVax (current)'!EY23,'NotEffectivelyVax (current)'!FB23,'NotEffectivelyVax (current)'!FE23,'NotEffectivelyVax (current)'!FH23,'NotEffectivelyVax (current)'!FK23,'NotEffectivelyVax (current)'!FN23,'NotEffectivelyVax (current)'!FQ23,'NotEffectivelyVax (current)'!FT23,'NotEffectivelyVax (current)'!FW23,'NotEffectivelyVax (current)'!FZ23)</f>
        <v>#VALUE!</v>
      </c>
      <c r="S23" s="138" t="e">
        <f t="shared" si="6"/>
        <v>#VALUE!</v>
      </c>
      <c r="T23" s="187" t="e">
        <f>IF(Export!M21&lt;&gt;"",Q23*Export!K21*(1/Export!M21),Q23*Export!K21)</f>
        <v>#VALUE!</v>
      </c>
      <c r="U23" s="188" t="e">
        <f>S23*Export!J21</f>
        <v>#VALUE!</v>
      </c>
      <c r="V23" s="196" t="e">
        <f t="shared" si="11"/>
        <v>#DIV/0!</v>
      </c>
      <c r="W23" s="197" t="e">
        <f t="shared" si="8"/>
        <v>#VALUE!</v>
      </c>
      <c r="X23" s="190" t="e">
        <f>H23*Export!L21*V22</f>
        <v>#VALUE!</v>
      </c>
      <c r="Y23" s="190" t="e">
        <f t="shared" si="1"/>
        <v>#VALUE!</v>
      </c>
      <c r="Z23" s="190" t="e">
        <f>IF(Export!M21&lt;&gt;"",W23*Export!K21*(1/Export!M21),W23*Export!K21)</f>
        <v>#VALUE!</v>
      </c>
      <c r="AA23" s="190" t="e">
        <f>Y23*Export!J21</f>
        <v>#VALUE!</v>
      </c>
      <c r="AB23" s="144"/>
      <c r="AC23" s="143" t="e">
        <f t="shared" si="2"/>
        <v>#VALUE!</v>
      </c>
      <c r="AD23" s="144" t="e">
        <f t="shared" si="2"/>
        <v>#VALUE!</v>
      </c>
      <c r="AE23" s="144" t="e">
        <f t="shared" si="3"/>
        <v>#VALUE!</v>
      </c>
      <c r="AF23" s="144" t="e">
        <f t="shared" si="3"/>
        <v>#VALUE!</v>
      </c>
      <c r="AG23" s="144" t="e">
        <f t="shared" si="4"/>
        <v>#VALUE!</v>
      </c>
      <c r="AH23" s="198"/>
      <c r="AI23" s="198"/>
      <c r="AJ23" s="198"/>
      <c r="AK23" s="198"/>
      <c r="AL23" s="199"/>
      <c r="AM23" s="150"/>
      <c r="AN23" s="150"/>
      <c r="AO23" s="150"/>
      <c r="AP23" s="150"/>
      <c r="AQ23" s="151"/>
    </row>
    <row r="24" spans="1:45" x14ac:dyDescent="0.35">
      <c r="A24" s="130">
        <f>EffectivelyVax!B23</f>
        <v>1</v>
      </c>
      <c r="B24" s="131">
        <f>EffectivelyVax!C23</f>
        <v>0</v>
      </c>
      <c r="C24" s="132">
        <f>Export!N22</f>
        <v>0</v>
      </c>
      <c r="D24" s="177" t="str">
        <f>Export!B22</f>
        <v/>
      </c>
      <c r="E24" s="178" t="e">
        <f>C24*D24*HelperFunctions!G$17</f>
        <v>#VALUE!</v>
      </c>
      <c r="F24" s="179" t="e">
        <f>C24*D24*(1-HelperFunctions!G$17)</f>
        <v>#VALUE!</v>
      </c>
      <c r="G24" s="180" t="str">
        <f>Export!C22</f>
        <v/>
      </c>
      <c r="H24" s="191" t="e">
        <f>G24/(I23+'NotEffectivelyVax (current)'!F23*HelperFunctions!R$14+'NotEffectivelyVax (current)'!I23*HelperFunctions!R$14+'NotEffectivelyVax (current)'!L23*HelperFunctions!R$14+'NotEffectivelyVax (current)'!O23*HelperFunctions!R$14+'NotEffectivelyVax (current)'!R23*HelperFunctions!R$14+'NotEffectivelyVax (current)'!U23*HelperFunctions!R$14+'NotEffectivelyVax (current)'!X23*HelperFunctions!R$14+'NotEffectivelyVax (current)'!AA23*HelperFunctions!R$14+'NotEffectivelyVax (current)'!AD23*HelperFunctions!R$14+'NotEffectivelyVax (current)'!AG23*HelperFunctions!R13+'NotEffectivelyVax (current)'!AJ23*HelperFunctions!R12+'NotEffectivelyVax (current)'!AM23*HelperFunctions!R11+'NotEffectivelyVax (current)'!AP23*HelperFunctions!R24+'NotEffectivelyVax (current)'!AS23*HelperFunctions!R23+'NotEffectivelyVax (current)'!AV23*HelperFunctions!R22+'NotEffectivelyVax (current)'!AY23*HelperFunctions!R21+'NotEffectivelyVax (current)'!BB23*HelperFunctions!R20+'NotEffectivelyVax (current)'!BE23*HelperFunctions!R19+'NotEffectivelyVax (current)'!BH23*HelperFunctions!R18+'NotEffectivelyVax (current)'!BK23*HelperFunctions!R17)</f>
        <v>#VALUE!</v>
      </c>
      <c r="I24" s="192" t="e">
        <f t="shared" si="10"/>
        <v>#VALUE!</v>
      </c>
      <c r="J24" s="153">
        <f>SUM(EffectivelyVax!D23:BK23)</f>
        <v>0</v>
      </c>
      <c r="K24" s="193" t="e">
        <f t="shared" si="5"/>
        <v>#VALUE!</v>
      </c>
      <c r="L24" s="194" t="e">
        <f>I23*H24*Export!L22</f>
        <v>#VALUE!</v>
      </c>
      <c r="M24" s="195" t="e">
        <f t="shared" si="0"/>
        <v>#VALUE!</v>
      </c>
      <c r="N24" s="178" t="e">
        <f>IF(Export!M22&lt;&gt;"",K24*Export!K22*(1/Export!M22),K24*Export!K22)</f>
        <v>#VALUE!</v>
      </c>
      <c r="O24" s="154" t="e">
        <f>M24*Export!J22</f>
        <v>#VALUE!</v>
      </c>
      <c r="P24" s="186" t="e">
        <f>SUM('NotEffectivelyVax (current)'!F24,'NotEffectivelyVax (current)'!I24,'NotEffectivelyVax (current)'!L24,'NotEffectivelyVax (current)'!O24,'NotEffectivelyVax (current)'!R24,'NotEffectivelyVax (current)'!U24,'NotEffectivelyVax (current)'!X24,'NotEffectivelyVax (current)'!AA24,'NotEffectivelyVax (current)'!AD24,'NotEffectivelyVax (current)'!AG24,'NotEffectivelyVax (current)'!AJ24,'NotEffectivelyVax (current)'!AM24,'NotEffectivelyVax (current)'!AP24,'NotEffectivelyVax (current)'!AS24,'NotEffectivelyVax (current)'!AV24,'NotEffectivelyVax (current)'!AY24,'NotEffectivelyVax (current)'!BB24,'NotEffectivelyVax (current)'!BE24,'NotEffectivelyVax (current)'!BH24,'NotEffectivelyVax (current)'!BK24,'NotEffectivelyVax (current)'!BN24,'NotEffectivelyVax (current)'!BQ24,'NotEffectivelyVax (current)'!BT24,'NotEffectivelyVax (current)'!BW24,'NotEffectivelyVax (current)'!BZ24,'NotEffectivelyVax (current)'!CC24,'NotEffectivelyVax (current)'!CF24,'NotEffectivelyVax (current)'!CI24,'NotEffectivelyVax (current)'!CL24,'NotEffectivelyVax (current)'!CO24,'NotEffectivelyVax (current)'!CR24,'NotEffectivelyVax (current)'!CU24,'NotEffectivelyVax (current)'!CX24,'NotEffectivelyVax (current)'!DA24,'NotEffectivelyVax (current)'!DD24,'NotEffectivelyVax (current)'!DG24,'NotEffectivelyVax (current)'!DJ24,'NotEffectivelyVax (current)'!DM24,'NotEffectivelyVax (current)'!DP24,'NotEffectivelyVax (current)'!DS24,'NotEffectivelyVax (current)'!DV24,'NotEffectivelyVax (current)'!DY24,'NotEffectivelyVax (current)'!EB24,'NotEffectivelyVax (current)'!EE24,'NotEffectivelyVax (current)'!EH24,'NotEffectivelyVax (current)'!EK24,'NotEffectivelyVax (current)'!EN24,'NotEffectivelyVax (current)'!EQ24,'NotEffectivelyVax (current)'!ET24,'NotEffectivelyVax (current)'!EW24,'NotEffectivelyVax (current)'!EZ24,'NotEffectivelyVax (current)'!FC24,'NotEffectivelyVax (current)'!FF24,'NotEffectivelyVax (current)'!FI24,'NotEffectivelyVax (current)'!FL24,'NotEffectivelyVax (current)'!FO24,'NotEffectivelyVax (current)'!FR24,'NotEffectivelyVax (current)'!FU24,'NotEffectivelyVax (current)'!FX24,'NotEffectivelyVax (current)'!GA24)</f>
        <v>#VALUE!</v>
      </c>
      <c r="Q24" s="155" t="e">
        <f>SUM('NotEffectivelyVax (current)'!D24,'NotEffectivelyVax (current)'!G24,'NotEffectivelyVax (current)'!J24,'NotEffectivelyVax (current)'!M24,'NotEffectivelyVax (current)'!P24,'NotEffectivelyVax (current)'!S24,'NotEffectivelyVax (current)'!V24,'NotEffectivelyVax (current)'!Y24,'NotEffectivelyVax (current)'!AB24,'NotEffectivelyVax (current)'!AE24,'NotEffectivelyVax (current)'!AH24,'NotEffectivelyVax (current)'!AK24,'NotEffectivelyVax (current)'!AN24,'NotEffectivelyVax (current)'!AQ24,'NotEffectivelyVax (current)'!AT24,'NotEffectivelyVax (current)'!AW24,'NotEffectivelyVax (current)'!AZ24,'NotEffectivelyVax (current)'!BC24,'NotEffectivelyVax (current)'!BF24,'NotEffectivelyVax (current)'!BI24,'NotEffectivelyVax (current)'!BL24,'NotEffectivelyVax (current)'!BO24,'NotEffectivelyVax (current)'!BR24,'NotEffectivelyVax (current)'!BU24,'NotEffectivelyVax (current)'!BX24,'NotEffectivelyVax (current)'!CA24,'NotEffectivelyVax (current)'!CD24,'NotEffectivelyVax (current)'!CG24,'NotEffectivelyVax (current)'!CJ24,'NotEffectivelyVax (current)'!CM24,'NotEffectivelyVax (current)'!CP24,'NotEffectivelyVax (current)'!CS24,'NotEffectivelyVax (current)'!CV24,'NotEffectivelyVax (current)'!CY24,'NotEffectivelyVax (current)'!DB24,'NotEffectivelyVax (current)'!DE24,'NotEffectivelyVax (current)'!DH24,'NotEffectivelyVax (current)'!DK24,'NotEffectivelyVax (current)'!DN24,'NotEffectivelyVax (current)'!DQ24,'NotEffectivelyVax (current)'!DT24,'NotEffectivelyVax (current)'!DW24,'NotEffectivelyVax (current)'!DZ24,'NotEffectivelyVax (current)'!EC24,'NotEffectivelyVax (current)'!EF24,'NotEffectivelyVax (current)'!EI24,'NotEffectivelyVax (current)'!EL24,'NotEffectivelyVax (current)'!EO24,'NotEffectivelyVax (current)'!ER24,'NotEffectivelyVax (current)'!EU24,'NotEffectivelyVax (current)'!EX24,'NotEffectivelyVax (current)'!FA24,'NotEffectivelyVax (current)'!FD24,'NotEffectivelyVax (current)'!FG24,'NotEffectivelyVax (current)'!FJ24,'NotEffectivelyVax (current)'!FM24,'NotEffectivelyVax (current)'!FP24,'NotEffectivelyVax (current)'!FS24,'NotEffectivelyVax (current)'!FV24,'NotEffectivelyVax (current)'!FY24)</f>
        <v>#VALUE!</v>
      </c>
      <c r="R24" s="155" t="e">
        <f>SUM('NotEffectivelyVax (current)'!E24,'NotEffectivelyVax (current)'!H24,'NotEffectivelyVax (current)'!K24,'NotEffectivelyVax (current)'!N24,'NotEffectivelyVax (current)'!Q24,'NotEffectivelyVax (current)'!T24,'NotEffectivelyVax (current)'!W24,'NotEffectivelyVax (current)'!Z24,'NotEffectivelyVax (current)'!AC24,'NotEffectivelyVax (current)'!AF24,'NotEffectivelyVax (current)'!AI24,'NotEffectivelyVax (current)'!AL24,'NotEffectivelyVax (current)'!AO24,'NotEffectivelyVax (current)'!AR24,'NotEffectivelyVax (current)'!AU24,'NotEffectivelyVax (current)'!AX24,'NotEffectivelyVax (current)'!BA24,'NotEffectivelyVax (current)'!BD24,'NotEffectivelyVax (current)'!BG24,'NotEffectivelyVax (current)'!BJ24,'NotEffectivelyVax (current)'!BM24,'NotEffectivelyVax (current)'!BP24,'NotEffectivelyVax (current)'!BS24,'NotEffectivelyVax (current)'!BV24,'NotEffectivelyVax (current)'!BY24,'NotEffectivelyVax (current)'!CB24,'NotEffectivelyVax (current)'!CE24,'NotEffectivelyVax (current)'!CH24,'NotEffectivelyVax (current)'!CK24,'NotEffectivelyVax (current)'!CN24,'NotEffectivelyVax (current)'!CQ24,'NotEffectivelyVax (current)'!CT24,'NotEffectivelyVax (current)'!CW24,'NotEffectivelyVax (current)'!CZ24,'NotEffectivelyVax (current)'!DC24,'NotEffectivelyVax (current)'!DF24,'NotEffectivelyVax (current)'!DI24,'NotEffectivelyVax (current)'!DL24,'NotEffectivelyVax (current)'!DO24,'NotEffectivelyVax (current)'!DR24,'NotEffectivelyVax (current)'!DU24,'NotEffectivelyVax (current)'!DX24,'NotEffectivelyVax (current)'!EA24,'NotEffectivelyVax (current)'!ED24,'NotEffectivelyVax (current)'!EG24,'NotEffectivelyVax (current)'!EJ24,'NotEffectivelyVax (current)'!EM24,'NotEffectivelyVax (current)'!EP24,'NotEffectivelyVax (current)'!ES24,'NotEffectivelyVax (current)'!EV24,'NotEffectivelyVax (current)'!EY24,'NotEffectivelyVax (current)'!FB24,'NotEffectivelyVax (current)'!FE24,'NotEffectivelyVax (current)'!FH24,'NotEffectivelyVax (current)'!FK24,'NotEffectivelyVax (current)'!FN24,'NotEffectivelyVax (current)'!FQ24,'NotEffectivelyVax (current)'!FT24,'NotEffectivelyVax (current)'!FW24,'NotEffectivelyVax (current)'!FZ24)</f>
        <v>#VALUE!</v>
      </c>
      <c r="S24" s="138" t="e">
        <f t="shared" si="6"/>
        <v>#VALUE!</v>
      </c>
      <c r="T24" s="187" t="e">
        <f>IF(Export!M22&lt;&gt;"",Q24*Export!K22*(1/Export!M22),Q24*Export!K22)</f>
        <v>#VALUE!</v>
      </c>
      <c r="U24" s="188" t="e">
        <f>S24*Export!J22</f>
        <v>#VALUE!</v>
      </c>
      <c r="V24" s="196" t="e">
        <f t="shared" si="11"/>
        <v>#DIV/0!</v>
      </c>
      <c r="W24" s="197" t="e">
        <f t="shared" si="8"/>
        <v>#VALUE!</v>
      </c>
      <c r="X24" s="190" t="e">
        <f>H24*Export!L22*V23</f>
        <v>#VALUE!</v>
      </c>
      <c r="Y24" s="190" t="e">
        <f t="shared" si="1"/>
        <v>#VALUE!</v>
      </c>
      <c r="Z24" s="190" t="e">
        <f>IF(Export!M22&lt;&gt;"",W24*Export!K22*(1/Export!M22),W24*Export!K22)</f>
        <v>#VALUE!</v>
      </c>
      <c r="AA24" s="190" t="e">
        <f>Y24*Export!J22</f>
        <v>#VALUE!</v>
      </c>
      <c r="AB24" s="144"/>
      <c r="AC24" s="143" t="e">
        <f t="shared" si="2"/>
        <v>#VALUE!</v>
      </c>
      <c r="AD24" s="144" t="e">
        <f t="shared" si="2"/>
        <v>#VALUE!</v>
      </c>
      <c r="AE24" s="144" t="e">
        <f t="shared" si="3"/>
        <v>#VALUE!</v>
      </c>
      <c r="AF24" s="144" t="e">
        <f t="shared" si="3"/>
        <v>#VALUE!</v>
      </c>
      <c r="AG24" s="144" t="e">
        <f t="shared" si="4"/>
        <v>#VALUE!</v>
      </c>
      <c r="AH24" s="198"/>
      <c r="AI24" s="198"/>
      <c r="AJ24" s="198"/>
      <c r="AK24" s="198"/>
      <c r="AL24" s="199"/>
      <c r="AM24" s="150"/>
      <c r="AN24" s="150"/>
      <c r="AO24" s="150"/>
      <c r="AP24" s="150"/>
      <c r="AQ24" s="151"/>
    </row>
    <row r="25" spans="1:45" x14ac:dyDescent="0.35">
      <c r="A25" s="130">
        <f>EffectivelyVax!B24</f>
        <v>1</v>
      </c>
      <c r="B25" s="131">
        <f>EffectivelyVax!C24</f>
        <v>0</v>
      </c>
      <c r="C25" s="132">
        <f>Export!N23</f>
        <v>0</v>
      </c>
      <c r="D25" s="177" t="str">
        <f>Export!B23</f>
        <v/>
      </c>
      <c r="E25" s="178" t="e">
        <f>C25*D25*HelperFunctions!G$17</f>
        <v>#VALUE!</v>
      </c>
      <c r="F25" s="179" t="e">
        <f>C25*D25*(1-HelperFunctions!G$17)</f>
        <v>#VALUE!</v>
      </c>
      <c r="G25" s="180" t="str">
        <f>Export!C23</f>
        <v/>
      </c>
      <c r="H25" s="191" t="e">
        <f>G25/(I24+'NotEffectivelyVax (current)'!F24*HelperFunctions!R$14+'NotEffectivelyVax (current)'!I24*HelperFunctions!R$14+'NotEffectivelyVax (current)'!L24*HelperFunctions!R$14+'NotEffectivelyVax (current)'!O24*HelperFunctions!R$14+'NotEffectivelyVax (current)'!R24*HelperFunctions!R$14+'NotEffectivelyVax (current)'!U24*HelperFunctions!R$14+'NotEffectivelyVax (current)'!X24*HelperFunctions!R$14+'NotEffectivelyVax (current)'!AA24*HelperFunctions!R$14+'NotEffectivelyVax (current)'!AD24*HelperFunctions!R$14+'NotEffectivelyVax (current)'!AG24*HelperFunctions!R$14+'NotEffectivelyVax (current)'!AJ24*HelperFunctions!R13+'NotEffectivelyVax (current)'!AM24*HelperFunctions!R12+'NotEffectivelyVax (current)'!AP24*HelperFunctions!R25+'NotEffectivelyVax (current)'!AS24*HelperFunctions!R24+'NotEffectivelyVax (current)'!AV24*HelperFunctions!R23+'NotEffectivelyVax (current)'!AY24*HelperFunctions!R22+'NotEffectivelyVax (current)'!BB24*HelperFunctions!R21+'NotEffectivelyVax (current)'!BE24*HelperFunctions!R20+'NotEffectivelyVax (current)'!BH24*HelperFunctions!R19+'NotEffectivelyVax (current)'!BK24*HelperFunctions!R18+'NotEffectivelyVax (current)'!BN24*HelperFunctions!R17)</f>
        <v>#VALUE!</v>
      </c>
      <c r="I25" s="192" t="e">
        <f t="shared" si="10"/>
        <v>#VALUE!</v>
      </c>
      <c r="J25" s="153">
        <f>SUM(EffectivelyVax!D24:BK24)</f>
        <v>0</v>
      </c>
      <c r="K25" s="193" t="e">
        <f t="shared" si="5"/>
        <v>#VALUE!</v>
      </c>
      <c r="L25" s="194" t="e">
        <f>I24*H25*Export!L23</f>
        <v>#VALUE!</v>
      </c>
      <c r="M25" s="195" t="e">
        <f t="shared" si="0"/>
        <v>#VALUE!</v>
      </c>
      <c r="N25" s="178" t="e">
        <f>IF(Export!M23&lt;&gt;"",K25*Export!K23*(1/Export!M23),K25*Export!K23)</f>
        <v>#VALUE!</v>
      </c>
      <c r="O25" s="154" t="e">
        <f>M25*Export!J23</f>
        <v>#VALUE!</v>
      </c>
      <c r="P25" s="186" t="e">
        <f>SUM('NotEffectivelyVax (current)'!F25,'NotEffectivelyVax (current)'!I25,'NotEffectivelyVax (current)'!L25,'NotEffectivelyVax (current)'!O25,'NotEffectivelyVax (current)'!R25,'NotEffectivelyVax (current)'!U25,'NotEffectivelyVax (current)'!X25,'NotEffectivelyVax (current)'!AA25,'NotEffectivelyVax (current)'!AD25,'NotEffectivelyVax (current)'!AG25,'NotEffectivelyVax (current)'!AJ25,'NotEffectivelyVax (current)'!AM25,'NotEffectivelyVax (current)'!AP25,'NotEffectivelyVax (current)'!AS25,'NotEffectivelyVax (current)'!AV25,'NotEffectivelyVax (current)'!AY25,'NotEffectivelyVax (current)'!BB25,'NotEffectivelyVax (current)'!BE25,'NotEffectivelyVax (current)'!BH25,'NotEffectivelyVax (current)'!BK25,'NotEffectivelyVax (current)'!BN25,'NotEffectivelyVax (current)'!BQ25,'NotEffectivelyVax (current)'!BT25,'NotEffectivelyVax (current)'!BW25,'NotEffectivelyVax (current)'!BZ25,'NotEffectivelyVax (current)'!CC25,'NotEffectivelyVax (current)'!CF25,'NotEffectivelyVax (current)'!CI25,'NotEffectivelyVax (current)'!CL25,'NotEffectivelyVax (current)'!CO25,'NotEffectivelyVax (current)'!CR25,'NotEffectivelyVax (current)'!CU25,'NotEffectivelyVax (current)'!CX25,'NotEffectivelyVax (current)'!DA25,'NotEffectivelyVax (current)'!DD25,'NotEffectivelyVax (current)'!DG25,'NotEffectivelyVax (current)'!DJ25,'NotEffectivelyVax (current)'!DM25,'NotEffectivelyVax (current)'!DP25,'NotEffectivelyVax (current)'!DS25,'NotEffectivelyVax (current)'!DV25,'NotEffectivelyVax (current)'!DY25,'NotEffectivelyVax (current)'!EB25,'NotEffectivelyVax (current)'!EE25,'NotEffectivelyVax (current)'!EH25,'NotEffectivelyVax (current)'!EK25,'NotEffectivelyVax (current)'!EN25,'NotEffectivelyVax (current)'!EQ25,'NotEffectivelyVax (current)'!ET25,'NotEffectivelyVax (current)'!EW25,'NotEffectivelyVax (current)'!EZ25,'NotEffectivelyVax (current)'!FC25,'NotEffectivelyVax (current)'!FF25,'NotEffectivelyVax (current)'!FI25,'NotEffectivelyVax (current)'!FL25,'NotEffectivelyVax (current)'!FO25,'NotEffectivelyVax (current)'!FR25,'NotEffectivelyVax (current)'!FU25,'NotEffectivelyVax (current)'!FX25,'NotEffectivelyVax (current)'!GA25)</f>
        <v>#VALUE!</v>
      </c>
      <c r="Q25" s="155" t="e">
        <f>SUM('NotEffectivelyVax (current)'!D25,'NotEffectivelyVax (current)'!G25,'NotEffectivelyVax (current)'!J25,'NotEffectivelyVax (current)'!M25,'NotEffectivelyVax (current)'!P25,'NotEffectivelyVax (current)'!S25,'NotEffectivelyVax (current)'!V25,'NotEffectivelyVax (current)'!Y25,'NotEffectivelyVax (current)'!AB25,'NotEffectivelyVax (current)'!AE25,'NotEffectivelyVax (current)'!AH25,'NotEffectivelyVax (current)'!AK25,'NotEffectivelyVax (current)'!AN25,'NotEffectivelyVax (current)'!AQ25,'NotEffectivelyVax (current)'!AT25,'NotEffectivelyVax (current)'!AW25,'NotEffectivelyVax (current)'!AZ25,'NotEffectivelyVax (current)'!BC25,'NotEffectivelyVax (current)'!BF25,'NotEffectivelyVax (current)'!BI25,'NotEffectivelyVax (current)'!BL25,'NotEffectivelyVax (current)'!BO25,'NotEffectivelyVax (current)'!BR25,'NotEffectivelyVax (current)'!BU25,'NotEffectivelyVax (current)'!BX25,'NotEffectivelyVax (current)'!CA25,'NotEffectivelyVax (current)'!CD25,'NotEffectivelyVax (current)'!CG25,'NotEffectivelyVax (current)'!CJ25,'NotEffectivelyVax (current)'!CM25,'NotEffectivelyVax (current)'!CP25,'NotEffectivelyVax (current)'!CS25,'NotEffectivelyVax (current)'!CV25,'NotEffectivelyVax (current)'!CY25,'NotEffectivelyVax (current)'!DB25,'NotEffectivelyVax (current)'!DE25,'NotEffectivelyVax (current)'!DH25,'NotEffectivelyVax (current)'!DK25,'NotEffectivelyVax (current)'!DN25,'NotEffectivelyVax (current)'!DQ25,'NotEffectivelyVax (current)'!DT25,'NotEffectivelyVax (current)'!DW25,'NotEffectivelyVax (current)'!DZ25,'NotEffectivelyVax (current)'!EC25,'NotEffectivelyVax (current)'!EF25,'NotEffectivelyVax (current)'!EI25,'NotEffectivelyVax (current)'!EL25,'NotEffectivelyVax (current)'!EO25,'NotEffectivelyVax (current)'!ER25,'NotEffectivelyVax (current)'!EU25,'NotEffectivelyVax (current)'!EX25,'NotEffectivelyVax (current)'!FA25,'NotEffectivelyVax (current)'!FD25,'NotEffectivelyVax (current)'!FG25,'NotEffectivelyVax (current)'!FJ25,'NotEffectivelyVax (current)'!FM25,'NotEffectivelyVax (current)'!FP25,'NotEffectivelyVax (current)'!FS25,'NotEffectivelyVax (current)'!FV25,'NotEffectivelyVax (current)'!FY25)</f>
        <v>#VALUE!</v>
      </c>
      <c r="R25" s="155" t="e">
        <f>SUM('NotEffectivelyVax (current)'!E25,'NotEffectivelyVax (current)'!H25,'NotEffectivelyVax (current)'!K25,'NotEffectivelyVax (current)'!N25,'NotEffectivelyVax (current)'!Q25,'NotEffectivelyVax (current)'!T25,'NotEffectivelyVax (current)'!W25,'NotEffectivelyVax (current)'!Z25,'NotEffectivelyVax (current)'!AC25,'NotEffectivelyVax (current)'!AF25,'NotEffectivelyVax (current)'!AI25,'NotEffectivelyVax (current)'!AL25,'NotEffectivelyVax (current)'!AO25,'NotEffectivelyVax (current)'!AR25,'NotEffectivelyVax (current)'!AU25,'NotEffectivelyVax (current)'!AX25,'NotEffectivelyVax (current)'!BA25,'NotEffectivelyVax (current)'!BD25,'NotEffectivelyVax (current)'!BG25,'NotEffectivelyVax (current)'!BJ25,'NotEffectivelyVax (current)'!BM25,'NotEffectivelyVax (current)'!BP25,'NotEffectivelyVax (current)'!BS25,'NotEffectivelyVax (current)'!BV25,'NotEffectivelyVax (current)'!BY25,'NotEffectivelyVax (current)'!CB25,'NotEffectivelyVax (current)'!CE25,'NotEffectivelyVax (current)'!CH25,'NotEffectivelyVax (current)'!CK25,'NotEffectivelyVax (current)'!CN25,'NotEffectivelyVax (current)'!CQ25,'NotEffectivelyVax (current)'!CT25,'NotEffectivelyVax (current)'!CW25,'NotEffectivelyVax (current)'!CZ25,'NotEffectivelyVax (current)'!DC25,'NotEffectivelyVax (current)'!DF25,'NotEffectivelyVax (current)'!DI25,'NotEffectivelyVax (current)'!DL25,'NotEffectivelyVax (current)'!DO25,'NotEffectivelyVax (current)'!DR25,'NotEffectivelyVax (current)'!DU25,'NotEffectivelyVax (current)'!DX25,'NotEffectivelyVax (current)'!EA25,'NotEffectivelyVax (current)'!ED25,'NotEffectivelyVax (current)'!EG25,'NotEffectivelyVax (current)'!EJ25,'NotEffectivelyVax (current)'!EM25,'NotEffectivelyVax (current)'!EP25,'NotEffectivelyVax (current)'!ES25,'NotEffectivelyVax (current)'!EV25,'NotEffectivelyVax (current)'!EY25,'NotEffectivelyVax (current)'!FB25,'NotEffectivelyVax (current)'!FE25,'NotEffectivelyVax (current)'!FH25,'NotEffectivelyVax (current)'!FK25,'NotEffectivelyVax (current)'!FN25,'NotEffectivelyVax (current)'!FQ25,'NotEffectivelyVax (current)'!FT25,'NotEffectivelyVax (current)'!FW25,'NotEffectivelyVax (current)'!FZ25)</f>
        <v>#VALUE!</v>
      </c>
      <c r="S25" s="138" t="e">
        <f t="shared" si="6"/>
        <v>#VALUE!</v>
      </c>
      <c r="T25" s="187" t="e">
        <f>IF(Export!M23&lt;&gt;"",Q25*Export!K23*(1/Export!M23),Q25*Export!K23)</f>
        <v>#VALUE!</v>
      </c>
      <c r="U25" s="188" t="e">
        <f>S25*Export!J23</f>
        <v>#VALUE!</v>
      </c>
      <c r="V25" s="196" t="e">
        <f t="shared" si="11"/>
        <v>#DIV/0!</v>
      </c>
      <c r="W25" s="197" t="e">
        <f t="shared" si="8"/>
        <v>#VALUE!</v>
      </c>
      <c r="X25" s="190" t="e">
        <f>H25*Export!L23*V24</f>
        <v>#VALUE!</v>
      </c>
      <c r="Y25" s="190" t="e">
        <f t="shared" si="1"/>
        <v>#VALUE!</v>
      </c>
      <c r="Z25" s="190" t="e">
        <f>IF(Export!M23&lt;&gt;"",W25*Export!K23*(1/Export!M23),W25*Export!K23)</f>
        <v>#VALUE!</v>
      </c>
      <c r="AA25" s="190" t="e">
        <f>Y25*Export!J23</f>
        <v>#VALUE!</v>
      </c>
      <c r="AB25" s="144"/>
      <c r="AC25" s="143" t="e">
        <f t="shared" si="2"/>
        <v>#VALUE!</v>
      </c>
      <c r="AD25" s="144" t="e">
        <f t="shared" si="2"/>
        <v>#VALUE!</v>
      </c>
      <c r="AE25" s="144" t="e">
        <f t="shared" si="3"/>
        <v>#VALUE!</v>
      </c>
      <c r="AF25" s="144" t="e">
        <f t="shared" si="3"/>
        <v>#VALUE!</v>
      </c>
      <c r="AG25" s="144" t="e">
        <f t="shared" si="4"/>
        <v>#VALUE!</v>
      </c>
      <c r="AH25" s="198"/>
      <c r="AI25" s="198"/>
      <c r="AJ25" s="198"/>
      <c r="AK25" s="198"/>
      <c r="AL25" s="199"/>
      <c r="AM25" s="150"/>
      <c r="AN25" s="150"/>
      <c r="AO25" s="150"/>
      <c r="AP25" s="150"/>
      <c r="AQ25" s="151"/>
    </row>
    <row r="26" spans="1:45" x14ac:dyDescent="0.35">
      <c r="A26" s="130">
        <f>EffectivelyVax!B25</f>
        <v>1</v>
      </c>
      <c r="B26" s="131">
        <f>EffectivelyVax!C25</f>
        <v>0</v>
      </c>
      <c r="C26" s="132">
        <f>Export!N24</f>
        <v>0</v>
      </c>
      <c r="D26" s="177" t="str">
        <f>Export!B24</f>
        <v/>
      </c>
      <c r="E26" s="178" t="e">
        <f>C26*D26*HelperFunctions!G$17</f>
        <v>#VALUE!</v>
      </c>
      <c r="F26" s="179" t="e">
        <f>C26*D26*(1-HelperFunctions!G$17)</f>
        <v>#VALUE!</v>
      </c>
      <c r="G26" s="180" t="str">
        <f>Export!C24</f>
        <v/>
      </c>
      <c r="H26" s="191" t="e">
        <f>G26/(I25+'NotEffectivelyVax (current)'!F25*HelperFunctions!R$14+'NotEffectivelyVax (current)'!I25*HelperFunctions!R$14+'NotEffectivelyVax (current)'!L25*HelperFunctions!R$14+'NotEffectivelyVax (current)'!O25*HelperFunctions!R$14+'NotEffectivelyVax (current)'!R25*HelperFunctions!R$14+'NotEffectivelyVax (current)'!U25*HelperFunctions!R$14+'NotEffectivelyVax (current)'!X25*HelperFunctions!R$14+'NotEffectivelyVax (current)'!AA25*HelperFunctions!R$14+'NotEffectivelyVax (current)'!AD25*HelperFunctions!R$14+'NotEffectivelyVax (current)'!AG25*HelperFunctions!R$14+'NotEffectivelyVax (current)'!AJ25*HelperFunctions!R$14+'NotEffectivelyVax (current)'!AM25*HelperFunctions!R13+'NotEffectivelyVax (current)'!AP25*HelperFunctions!R26+'NotEffectivelyVax (current)'!AS25*HelperFunctions!R25+'NotEffectivelyVax (current)'!AV25*HelperFunctions!R24+'NotEffectivelyVax (current)'!AY25*HelperFunctions!R23+'NotEffectivelyVax (current)'!BB25*HelperFunctions!R22+'NotEffectivelyVax (current)'!BE25*HelperFunctions!R21+'NotEffectivelyVax (current)'!BH25*HelperFunctions!R20+'NotEffectivelyVax (current)'!BK25*HelperFunctions!R19+'NotEffectivelyVax (current)'!BN25*HelperFunctions!R18+'NotEffectivelyVax (current)'!BQ25*HelperFunctions!R17)</f>
        <v>#VALUE!</v>
      </c>
      <c r="I26" s="192" t="e">
        <f t="shared" si="10"/>
        <v>#VALUE!</v>
      </c>
      <c r="J26" s="153">
        <f>SUM(EffectivelyVax!D25:BK25)</f>
        <v>0</v>
      </c>
      <c r="K26" s="193" t="e">
        <f t="shared" si="5"/>
        <v>#VALUE!</v>
      </c>
      <c r="L26" s="194" t="e">
        <f>I25*H26*Export!L24</f>
        <v>#VALUE!</v>
      </c>
      <c r="M26" s="195" t="e">
        <f t="shared" si="0"/>
        <v>#VALUE!</v>
      </c>
      <c r="N26" s="178" t="e">
        <f>IF(Export!M24&lt;&gt;"",K26*Export!K24*(1/Export!M24),K26*Export!K24)</f>
        <v>#VALUE!</v>
      </c>
      <c r="O26" s="154" t="e">
        <f>M26*Export!J24</f>
        <v>#VALUE!</v>
      </c>
      <c r="P26" s="186" t="e">
        <f>SUM('NotEffectivelyVax (current)'!F26,'NotEffectivelyVax (current)'!I26,'NotEffectivelyVax (current)'!L26,'NotEffectivelyVax (current)'!O26,'NotEffectivelyVax (current)'!R26,'NotEffectivelyVax (current)'!U26,'NotEffectivelyVax (current)'!X26,'NotEffectivelyVax (current)'!AA26,'NotEffectivelyVax (current)'!AD26,'NotEffectivelyVax (current)'!AG26,'NotEffectivelyVax (current)'!AJ26,'NotEffectivelyVax (current)'!AM26,'NotEffectivelyVax (current)'!AP26,'NotEffectivelyVax (current)'!AS26,'NotEffectivelyVax (current)'!AV26,'NotEffectivelyVax (current)'!AY26,'NotEffectivelyVax (current)'!BB26,'NotEffectivelyVax (current)'!BE26,'NotEffectivelyVax (current)'!BH26,'NotEffectivelyVax (current)'!BK26,'NotEffectivelyVax (current)'!BN26,'NotEffectivelyVax (current)'!BQ26,'NotEffectivelyVax (current)'!BT26,'NotEffectivelyVax (current)'!BW26,'NotEffectivelyVax (current)'!BZ26,'NotEffectivelyVax (current)'!CC26,'NotEffectivelyVax (current)'!CF26,'NotEffectivelyVax (current)'!CI26,'NotEffectivelyVax (current)'!CL26,'NotEffectivelyVax (current)'!CO26,'NotEffectivelyVax (current)'!CR26,'NotEffectivelyVax (current)'!CU26,'NotEffectivelyVax (current)'!CX26,'NotEffectivelyVax (current)'!DA26,'NotEffectivelyVax (current)'!DD26,'NotEffectivelyVax (current)'!DG26,'NotEffectivelyVax (current)'!DJ26,'NotEffectivelyVax (current)'!DM26,'NotEffectivelyVax (current)'!DP26,'NotEffectivelyVax (current)'!DS26,'NotEffectivelyVax (current)'!DV26,'NotEffectivelyVax (current)'!DY26,'NotEffectivelyVax (current)'!EB26,'NotEffectivelyVax (current)'!EE26,'NotEffectivelyVax (current)'!EH26,'NotEffectivelyVax (current)'!EK26,'NotEffectivelyVax (current)'!EN26,'NotEffectivelyVax (current)'!EQ26,'NotEffectivelyVax (current)'!ET26,'NotEffectivelyVax (current)'!EW26,'NotEffectivelyVax (current)'!EZ26,'NotEffectivelyVax (current)'!FC26,'NotEffectivelyVax (current)'!FF26,'NotEffectivelyVax (current)'!FI26,'NotEffectivelyVax (current)'!FL26,'NotEffectivelyVax (current)'!FO26,'NotEffectivelyVax (current)'!FR26,'NotEffectivelyVax (current)'!FU26,'NotEffectivelyVax (current)'!FX26,'NotEffectivelyVax (current)'!GA26)</f>
        <v>#VALUE!</v>
      </c>
      <c r="Q26" s="155" t="e">
        <f>SUM('NotEffectivelyVax (current)'!D26,'NotEffectivelyVax (current)'!G26,'NotEffectivelyVax (current)'!J26,'NotEffectivelyVax (current)'!M26,'NotEffectivelyVax (current)'!P26,'NotEffectivelyVax (current)'!S26,'NotEffectivelyVax (current)'!V26,'NotEffectivelyVax (current)'!Y26,'NotEffectivelyVax (current)'!AB26,'NotEffectivelyVax (current)'!AE26,'NotEffectivelyVax (current)'!AH26,'NotEffectivelyVax (current)'!AK26,'NotEffectivelyVax (current)'!AN26,'NotEffectivelyVax (current)'!AQ26,'NotEffectivelyVax (current)'!AT26,'NotEffectivelyVax (current)'!AW26,'NotEffectivelyVax (current)'!AZ26,'NotEffectivelyVax (current)'!BC26,'NotEffectivelyVax (current)'!BF26,'NotEffectivelyVax (current)'!BI26,'NotEffectivelyVax (current)'!BL26,'NotEffectivelyVax (current)'!BO26,'NotEffectivelyVax (current)'!BR26,'NotEffectivelyVax (current)'!BU26,'NotEffectivelyVax (current)'!BX26,'NotEffectivelyVax (current)'!CA26,'NotEffectivelyVax (current)'!CD26,'NotEffectivelyVax (current)'!CG26,'NotEffectivelyVax (current)'!CJ26,'NotEffectivelyVax (current)'!CM26,'NotEffectivelyVax (current)'!CP26,'NotEffectivelyVax (current)'!CS26,'NotEffectivelyVax (current)'!CV26,'NotEffectivelyVax (current)'!CY26,'NotEffectivelyVax (current)'!DB26,'NotEffectivelyVax (current)'!DE26,'NotEffectivelyVax (current)'!DH26,'NotEffectivelyVax (current)'!DK26,'NotEffectivelyVax (current)'!DN26,'NotEffectivelyVax (current)'!DQ26,'NotEffectivelyVax (current)'!DT26,'NotEffectivelyVax (current)'!DW26,'NotEffectivelyVax (current)'!DZ26,'NotEffectivelyVax (current)'!EC26,'NotEffectivelyVax (current)'!EF26,'NotEffectivelyVax (current)'!EI26,'NotEffectivelyVax (current)'!EL26,'NotEffectivelyVax (current)'!EO26,'NotEffectivelyVax (current)'!ER26,'NotEffectivelyVax (current)'!EU26,'NotEffectivelyVax (current)'!EX26,'NotEffectivelyVax (current)'!FA26,'NotEffectivelyVax (current)'!FD26,'NotEffectivelyVax (current)'!FG26,'NotEffectivelyVax (current)'!FJ26,'NotEffectivelyVax (current)'!FM26,'NotEffectivelyVax (current)'!FP26,'NotEffectivelyVax (current)'!FS26,'NotEffectivelyVax (current)'!FV26,'NotEffectivelyVax (current)'!FY26)</f>
        <v>#VALUE!</v>
      </c>
      <c r="R26" s="155" t="e">
        <f>SUM('NotEffectivelyVax (current)'!E26,'NotEffectivelyVax (current)'!H26,'NotEffectivelyVax (current)'!K26,'NotEffectivelyVax (current)'!N26,'NotEffectivelyVax (current)'!Q26,'NotEffectivelyVax (current)'!T26,'NotEffectivelyVax (current)'!W26,'NotEffectivelyVax (current)'!Z26,'NotEffectivelyVax (current)'!AC26,'NotEffectivelyVax (current)'!AF26,'NotEffectivelyVax (current)'!AI26,'NotEffectivelyVax (current)'!AL26,'NotEffectivelyVax (current)'!AO26,'NotEffectivelyVax (current)'!AR26,'NotEffectivelyVax (current)'!AU26,'NotEffectivelyVax (current)'!AX26,'NotEffectivelyVax (current)'!BA26,'NotEffectivelyVax (current)'!BD26,'NotEffectivelyVax (current)'!BG26,'NotEffectivelyVax (current)'!BJ26,'NotEffectivelyVax (current)'!BM26,'NotEffectivelyVax (current)'!BP26,'NotEffectivelyVax (current)'!BS26,'NotEffectivelyVax (current)'!BV26,'NotEffectivelyVax (current)'!BY26,'NotEffectivelyVax (current)'!CB26,'NotEffectivelyVax (current)'!CE26,'NotEffectivelyVax (current)'!CH26,'NotEffectivelyVax (current)'!CK26,'NotEffectivelyVax (current)'!CN26,'NotEffectivelyVax (current)'!CQ26,'NotEffectivelyVax (current)'!CT26,'NotEffectivelyVax (current)'!CW26,'NotEffectivelyVax (current)'!CZ26,'NotEffectivelyVax (current)'!DC26,'NotEffectivelyVax (current)'!DF26,'NotEffectivelyVax (current)'!DI26,'NotEffectivelyVax (current)'!DL26,'NotEffectivelyVax (current)'!DO26,'NotEffectivelyVax (current)'!DR26,'NotEffectivelyVax (current)'!DU26,'NotEffectivelyVax (current)'!DX26,'NotEffectivelyVax (current)'!EA26,'NotEffectivelyVax (current)'!ED26,'NotEffectivelyVax (current)'!EG26,'NotEffectivelyVax (current)'!EJ26,'NotEffectivelyVax (current)'!EM26,'NotEffectivelyVax (current)'!EP26,'NotEffectivelyVax (current)'!ES26,'NotEffectivelyVax (current)'!EV26,'NotEffectivelyVax (current)'!EY26,'NotEffectivelyVax (current)'!FB26,'NotEffectivelyVax (current)'!FE26,'NotEffectivelyVax (current)'!FH26,'NotEffectivelyVax (current)'!FK26,'NotEffectivelyVax (current)'!FN26,'NotEffectivelyVax (current)'!FQ26,'NotEffectivelyVax (current)'!FT26,'NotEffectivelyVax (current)'!FW26,'NotEffectivelyVax (current)'!FZ26)</f>
        <v>#VALUE!</v>
      </c>
      <c r="S26" s="138" t="e">
        <f t="shared" si="6"/>
        <v>#VALUE!</v>
      </c>
      <c r="T26" s="187" t="e">
        <f>IF(Export!M24&lt;&gt;"",Q26*Export!K24*(1/Export!M24),Q26*Export!K24)</f>
        <v>#VALUE!</v>
      </c>
      <c r="U26" s="188" t="e">
        <f>S26*Export!J24</f>
        <v>#VALUE!</v>
      </c>
      <c r="V26" s="196" t="e">
        <f t="shared" si="11"/>
        <v>#DIV/0!</v>
      </c>
      <c r="W26" s="197" t="e">
        <f t="shared" si="8"/>
        <v>#VALUE!</v>
      </c>
      <c r="X26" s="190" t="e">
        <f>H26*Export!L24*V25</f>
        <v>#VALUE!</v>
      </c>
      <c r="Y26" s="190" t="e">
        <f t="shared" si="1"/>
        <v>#VALUE!</v>
      </c>
      <c r="Z26" s="190" t="e">
        <f>IF(Export!M24&lt;&gt;"",W26*Export!K24*(1/Export!M24),W26*Export!K24)</f>
        <v>#VALUE!</v>
      </c>
      <c r="AA26" s="190" t="e">
        <f>Y26*Export!J24</f>
        <v>#VALUE!</v>
      </c>
      <c r="AB26" s="144"/>
      <c r="AC26" s="143" t="e">
        <f t="shared" si="2"/>
        <v>#VALUE!</v>
      </c>
      <c r="AD26" s="144" t="e">
        <f t="shared" si="2"/>
        <v>#VALUE!</v>
      </c>
      <c r="AE26" s="144" t="e">
        <f t="shared" si="3"/>
        <v>#VALUE!</v>
      </c>
      <c r="AF26" s="144" t="e">
        <f t="shared" si="3"/>
        <v>#VALUE!</v>
      </c>
      <c r="AG26" s="144" t="e">
        <f t="shared" si="4"/>
        <v>#VALUE!</v>
      </c>
      <c r="AH26" s="198"/>
      <c r="AI26" s="198"/>
      <c r="AJ26" s="198"/>
      <c r="AK26" s="198"/>
      <c r="AL26" s="199"/>
      <c r="AM26" s="150"/>
      <c r="AN26" s="150"/>
      <c r="AO26" s="150"/>
      <c r="AP26" s="150"/>
      <c r="AQ26" s="151"/>
    </row>
    <row r="27" spans="1:45" ht="15.75" customHeight="1" x14ac:dyDescent="0.35">
      <c r="A27" s="202">
        <f>EffectivelyVax!B26</f>
        <v>1</v>
      </c>
      <c r="B27" s="203">
        <f>EffectivelyVax!C26</f>
        <v>0</v>
      </c>
      <c r="C27" s="204">
        <f>Export!N25</f>
        <v>0</v>
      </c>
      <c r="D27" s="205" t="str">
        <f>Export!B25</f>
        <v/>
      </c>
      <c r="E27" s="206" t="e">
        <f>C27*D27*HelperFunctions!G$17</f>
        <v>#VALUE!</v>
      </c>
      <c r="F27" s="207" t="e">
        <f>C27*D27*(1-HelperFunctions!G$17)</f>
        <v>#VALUE!</v>
      </c>
      <c r="G27" s="208" t="str">
        <f>Export!C25</f>
        <v/>
      </c>
      <c r="H27" s="209" t="e">
        <f>G27/(I26+'NotEffectivelyVax (current)'!F26*HelperFunctions!R$14+'NotEffectivelyVax (current)'!I26*HelperFunctions!R$14+'NotEffectivelyVax (current)'!L26*HelperFunctions!R$14+'NotEffectivelyVax (current)'!O26*HelperFunctions!R$14+'NotEffectivelyVax (current)'!R26*HelperFunctions!R$14+'NotEffectivelyVax (current)'!U26*HelperFunctions!R$14+'NotEffectivelyVax (current)'!X26*HelperFunctions!R$14+'NotEffectivelyVax (current)'!AA26*HelperFunctions!R$14+'NotEffectivelyVax (current)'!AD26*HelperFunctions!R$14+'NotEffectivelyVax (current)'!AG26*HelperFunctions!R$14+'NotEffectivelyVax (current)'!AJ26*HelperFunctions!R$14+'NotEffectivelyVax (current)'!AM26*HelperFunctions!R$14+'NotEffectivelyVax (current)'!AP26*HelperFunctions!R27+'NotEffectivelyVax (current)'!AS26*HelperFunctions!R26+'NotEffectivelyVax (current)'!AV26*HelperFunctions!R25+'NotEffectivelyVax (current)'!AY26*HelperFunctions!R24+'NotEffectivelyVax (current)'!BB26*HelperFunctions!R23+'NotEffectivelyVax (current)'!BE26*HelperFunctions!R22+'NotEffectivelyVax (current)'!BH26*HelperFunctions!R21+'NotEffectivelyVax (current)'!BK26*HelperFunctions!R20+'NotEffectivelyVax (current)'!BN26*HelperFunctions!R19+'NotEffectivelyVax (current)'!BQ26*HelperFunctions!R18+'NotEffectivelyVax (current)'!BT26*HelperFunctions!R17)</f>
        <v>#VALUE!</v>
      </c>
      <c r="I27" s="245" t="e">
        <f t="shared" si="10"/>
        <v>#VALUE!</v>
      </c>
      <c r="J27" s="210">
        <f>SUM(EffectivelyVax!D26:BK26)</f>
        <v>0</v>
      </c>
      <c r="K27" s="211" t="e">
        <f t="shared" si="5"/>
        <v>#VALUE!</v>
      </c>
      <c r="L27" s="212" t="e">
        <f>I26*H27*Export!L25</f>
        <v>#VALUE!</v>
      </c>
      <c r="M27" s="213" t="e">
        <f t="shared" si="0"/>
        <v>#VALUE!</v>
      </c>
      <c r="N27" s="206" t="e">
        <f>IF(Export!M25&lt;&gt;"",K27*Export!K25*(1/Export!M25),K27*Export!K25)</f>
        <v>#VALUE!</v>
      </c>
      <c r="O27" s="214" t="e">
        <f>M27*Export!J25</f>
        <v>#VALUE!</v>
      </c>
      <c r="P27" s="215" t="e">
        <f>SUM('NotEffectivelyVax (current)'!F27,'NotEffectivelyVax (current)'!I27,'NotEffectivelyVax (current)'!L27,'NotEffectivelyVax (current)'!O27,'NotEffectivelyVax (current)'!R27,'NotEffectivelyVax (current)'!U27,'NotEffectivelyVax (current)'!X27,'NotEffectivelyVax (current)'!AA27,'NotEffectivelyVax (current)'!AD27,'NotEffectivelyVax (current)'!AG27,'NotEffectivelyVax (current)'!AJ27,'NotEffectivelyVax (current)'!AM27,'NotEffectivelyVax (current)'!AP27,'NotEffectivelyVax (current)'!AS27,'NotEffectivelyVax (current)'!AV27,'NotEffectivelyVax (current)'!AY27,'NotEffectivelyVax (current)'!BB27,'NotEffectivelyVax (current)'!BE27,'NotEffectivelyVax (current)'!BH27,'NotEffectivelyVax (current)'!BK27,'NotEffectivelyVax (current)'!BN27,'NotEffectivelyVax (current)'!BQ27,'NotEffectivelyVax (current)'!BT27,'NotEffectivelyVax (current)'!BW27,'NotEffectivelyVax (current)'!BZ27,'NotEffectivelyVax (current)'!CC27,'NotEffectivelyVax (current)'!CF27,'NotEffectivelyVax (current)'!CI27,'NotEffectivelyVax (current)'!CL27,'NotEffectivelyVax (current)'!CO27,'NotEffectivelyVax (current)'!CR27,'NotEffectivelyVax (current)'!CU27,'NotEffectivelyVax (current)'!CX27,'NotEffectivelyVax (current)'!DA27,'NotEffectivelyVax (current)'!DD27,'NotEffectivelyVax (current)'!DG27,'NotEffectivelyVax (current)'!DJ27,'NotEffectivelyVax (current)'!DM27,'NotEffectivelyVax (current)'!DP27,'NotEffectivelyVax (current)'!DS27,'NotEffectivelyVax (current)'!DV27,'NotEffectivelyVax (current)'!DY27,'NotEffectivelyVax (current)'!EB27,'NotEffectivelyVax (current)'!EE27,'NotEffectivelyVax (current)'!EH27,'NotEffectivelyVax (current)'!EK27,'NotEffectivelyVax (current)'!EN27,'NotEffectivelyVax (current)'!EQ27,'NotEffectivelyVax (current)'!ET27,'NotEffectivelyVax (current)'!EW27,'NotEffectivelyVax (current)'!EZ27,'NotEffectivelyVax (current)'!FC27,'NotEffectivelyVax (current)'!FF27,'NotEffectivelyVax (current)'!FI27,'NotEffectivelyVax (current)'!FL27,'NotEffectivelyVax (current)'!FO27,'NotEffectivelyVax (current)'!FR27,'NotEffectivelyVax (current)'!FU27,'NotEffectivelyVax (current)'!FX27,'NotEffectivelyVax (current)'!GA27)</f>
        <v>#VALUE!</v>
      </c>
      <c r="Q27" s="216" t="e">
        <f>SUM('NotEffectivelyVax (current)'!D27,'NotEffectivelyVax (current)'!G27,'NotEffectivelyVax (current)'!J27,'NotEffectivelyVax (current)'!M27,'NotEffectivelyVax (current)'!P27,'NotEffectivelyVax (current)'!S27,'NotEffectivelyVax (current)'!V27,'NotEffectivelyVax (current)'!Y27,'NotEffectivelyVax (current)'!AB27,'NotEffectivelyVax (current)'!AE27,'NotEffectivelyVax (current)'!AH27,'NotEffectivelyVax (current)'!AK27,'NotEffectivelyVax (current)'!AN27,'NotEffectivelyVax (current)'!AQ27,'NotEffectivelyVax (current)'!AT27,'NotEffectivelyVax (current)'!AW27,'NotEffectivelyVax (current)'!AZ27,'NotEffectivelyVax (current)'!BC27,'NotEffectivelyVax (current)'!BF27,'NotEffectivelyVax (current)'!BI27,'NotEffectivelyVax (current)'!BL27,'NotEffectivelyVax (current)'!BO27,'NotEffectivelyVax (current)'!BR27,'NotEffectivelyVax (current)'!BU27,'NotEffectivelyVax (current)'!BX27,'NotEffectivelyVax (current)'!CA27,'NotEffectivelyVax (current)'!CD27,'NotEffectivelyVax (current)'!CG27,'NotEffectivelyVax (current)'!CJ27,'NotEffectivelyVax (current)'!CM27,'NotEffectivelyVax (current)'!CP27,'NotEffectivelyVax (current)'!CS27,'NotEffectivelyVax (current)'!CV27,'NotEffectivelyVax (current)'!CY27,'NotEffectivelyVax (current)'!DB27,'NotEffectivelyVax (current)'!DE27,'NotEffectivelyVax (current)'!DH27,'NotEffectivelyVax (current)'!DK27,'NotEffectivelyVax (current)'!DN27,'NotEffectivelyVax (current)'!DQ27,'NotEffectivelyVax (current)'!DT27,'NotEffectivelyVax (current)'!DW27,'NotEffectivelyVax (current)'!DZ27,'NotEffectivelyVax (current)'!EC27,'NotEffectivelyVax (current)'!EF27,'NotEffectivelyVax (current)'!EI27,'NotEffectivelyVax (current)'!EL27,'NotEffectivelyVax (current)'!EO27,'NotEffectivelyVax (current)'!ER27,'NotEffectivelyVax (current)'!EU27,'NotEffectivelyVax (current)'!EX27,'NotEffectivelyVax (current)'!FA27,'NotEffectivelyVax (current)'!FD27,'NotEffectivelyVax (current)'!FG27,'NotEffectivelyVax (current)'!FJ27,'NotEffectivelyVax (current)'!FM27,'NotEffectivelyVax (current)'!FP27,'NotEffectivelyVax (current)'!FS27,'NotEffectivelyVax (current)'!FV27,'NotEffectivelyVax (current)'!FY27)</f>
        <v>#VALUE!</v>
      </c>
      <c r="R27" s="216" t="e">
        <f>SUM('NotEffectivelyVax (current)'!E27,'NotEffectivelyVax (current)'!H27,'NotEffectivelyVax (current)'!K27,'NotEffectivelyVax (current)'!N27,'NotEffectivelyVax (current)'!Q27,'NotEffectivelyVax (current)'!T27,'NotEffectivelyVax (current)'!W27,'NotEffectivelyVax (current)'!Z27,'NotEffectivelyVax (current)'!AC27,'NotEffectivelyVax (current)'!AF27,'NotEffectivelyVax (current)'!AI27,'NotEffectivelyVax (current)'!AL27,'NotEffectivelyVax (current)'!AO27,'NotEffectivelyVax (current)'!AR27,'NotEffectivelyVax (current)'!AU27,'NotEffectivelyVax (current)'!AX27,'NotEffectivelyVax (current)'!BA27,'NotEffectivelyVax (current)'!BD27,'NotEffectivelyVax (current)'!BG27,'NotEffectivelyVax (current)'!BJ27,'NotEffectivelyVax (current)'!BM27,'NotEffectivelyVax (current)'!BP27,'NotEffectivelyVax (current)'!BS27,'NotEffectivelyVax (current)'!BV27,'NotEffectivelyVax (current)'!BY27,'NotEffectivelyVax (current)'!CB27,'NotEffectivelyVax (current)'!CE27,'NotEffectivelyVax (current)'!CH27,'NotEffectivelyVax (current)'!CK27,'NotEffectivelyVax (current)'!CN27,'NotEffectivelyVax (current)'!CQ27,'NotEffectivelyVax (current)'!CT27,'NotEffectivelyVax (current)'!CW27,'NotEffectivelyVax (current)'!CZ27,'NotEffectivelyVax (current)'!DC27,'NotEffectivelyVax (current)'!DF27,'NotEffectivelyVax (current)'!DI27,'NotEffectivelyVax (current)'!DL27,'NotEffectivelyVax (current)'!DO27,'NotEffectivelyVax (current)'!DR27,'NotEffectivelyVax (current)'!DU27,'NotEffectivelyVax (current)'!DX27,'NotEffectivelyVax (current)'!EA27,'NotEffectivelyVax (current)'!ED27,'NotEffectivelyVax (current)'!EG27,'NotEffectivelyVax (current)'!EJ27,'NotEffectivelyVax (current)'!EM27,'NotEffectivelyVax (current)'!EP27,'NotEffectivelyVax (current)'!ES27,'NotEffectivelyVax (current)'!EV27,'NotEffectivelyVax (current)'!EY27,'NotEffectivelyVax (current)'!FB27,'NotEffectivelyVax (current)'!FE27,'NotEffectivelyVax (current)'!FH27,'NotEffectivelyVax (current)'!FK27,'NotEffectivelyVax (current)'!FN27,'NotEffectivelyVax (current)'!FQ27,'NotEffectivelyVax (current)'!FT27,'NotEffectivelyVax (current)'!FW27,'NotEffectivelyVax (current)'!FZ27)</f>
        <v>#VALUE!</v>
      </c>
      <c r="S27" s="217" t="e">
        <f t="shared" si="6"/>
        <v>#VALUE!</v>
      </c>
      <c r="T27" s="218" t="e">
        <f>IF(Export!M25&lt;&gt;"",Q27*Export!K25*(1/Export!M25),Q27*Export!K25)</f>
        <v>#VALUE!</v>
      </c>
      <c r="U27" s="219" t="e">
        <f>S27*Export!J25</f>
        <v>#VALUE!</v>
      </c>
      <c r="V27" s="244" t="e">
        <f t="shared" si="11"/>
        <v>#DIV/0!</v>
      </c>
      <c r="W27" s="220" t="e">
        <f t="shared" si="8"/>
        <v>#VALUE!</v>
      </c>
      <c r="X27" s="221" t="e">
        <f>H27*Export!L25*V26</f>
        <v>#VALUE!</v>
      </c>
      <c r="Y27" s="221" t="e">
        <f t="shared" si="1"/>
        <v>#VALUE!</v>
      </c>
      <c r="Z27" s="221" t="e">
        <f>IF(Export!M25&lt;&gt;"",W27*Export!K25*(1/Export!M25),W27*Export!K25)</f>
        <v>#VALUE!</v>
      </c>
      <c r="AA27" s="221" t="e">
        <f>Y27*Export!J25</f>
        <v>#VALUE!</v>
      </c>
      <c r="AB27" s="144"/>
      <c r="AC27" s="156" t="e">
        <f t="shared" si="2"/>
        <v>#VALUE!</v>
      </c>
      <c r="AD27" s="157" t="e">
        <f t="shared" si="2"/>
        <v>#VALUE!</v>
      </c>
      <c r="AE27" s="157" t="e">
        <f t="shared" si="3"/>
        <v>#VALUE!</v>
      </c>
      <c r="AF27" s="157" t="e">
        <f t="shared" si="3"/>
        <v>#VALUE!</v>
      </c>
      <c r="AG27" s="157" t="e">
        <f t="shared" si="4"/>
        <v>#VALUE!</v>
      </c>
      <c r="AH27" s="147" t="e">
        <f>SUM(AC16:AC27)/SUM(W16:W27)</f>
        <v>#VALUE!</v>
      </c>
      <c r="AI27" s="147" t="e">
        <f>SUM(AD16:AD27)/SUM(X16:X27)</f>
        <v>#VALUE!</v>
      </c>
      <c r="AJ27" s="147" t="e">
        <f>SUM(AE16:AE27)/SUM(Z16:Z27)</f>
        <v>#VALUE!</v>
      </c>
      <c r="AK27" s="147" t="e">
        <f>SUM(AF16:AF27)/SUM(AA16:AA27)</f>
        <v>#VALUE!</v>
      </c>
      <c r="AL27" s="241" t="e">
        <f>SUM(AG16:AG27)/SUM(W16:X27)</f>
        <v>#VALUE!</v>
      </c>
      <c r="AM27" s="148" t="e">
        <f>SUM($E16:$F27)/SUM(AC16:AC27)</f>
        <v>#VALUE!</v>
      </c>
      <c r="AN27" s="148" t="e">
        <f>SUM($E16:$F27)/SUM(AD16:AD27)</f>
        <v>#VALUE!</v>
      </c>
      <c r="AO27" s="148" t="e">
        <f>SUM($E16:$F27)/SUM(AE16:AE27)</f>
        <v>#VALUE!</v>
      </c>
      <c r="AP27" s="148" t="e">
        <f>SUM($E16:$F27)/SUM(AF16:AF27)</f>
        <v>#VALUE!</v>
      </c>
      <c r="AQ27" s="148" t="e">
        <f>SUM($E16:$F27)/SUM(AG16:AG27)</f>
        <v>#VALUE!</v>
      </c>
    </row>
    <row r="28" spans="1:45" x14ac:dyDescent="0.35">
      <c r="A28" s="222">
        <f>EffectivelyVax!B27</f>
        <v>2</v>
      </c>
      <c r="B28" s="223" t="str">
        <f>EffectivelyVax!C27</f>
        <v/>
      </c>
      <c r="C28" s="224" t="str">
        <f>Export!N26</f>
        <v/>
      </c>
      <c r="D28" s="225" t="str">
        <f>Export!B26</f>
        <v/>
      </c>
      <c r="E28" s="226" t="e">
        <f>C28*D28*HelperFunctions!G$31</f>
        <v>#VALUE!</v>
      </c>
      <c r="F28" s="227" t="e">
        <f>C28*D28*(1-HelperFunctions!G$31)</f>
        <v>#VALUE!</v>
      </c>
      <c r="G28" s="228" t="str">
        <f>Export!C26</f>
        <v/>
      </c>
      <c r="H28" s="229" t="e">
        <f>G28/(I27+'NotEffectivelyVax (current)'!F27*HelperFunctions!R$14+'NotEffectivelyVax (current)'!I27*HelperFunctions!R$14+'NotEffectivelyVax (current)'!L27*HelperFunctions!R$14+'NotEffectivelyVax (current)'!O27*HelperFunctions!R$14+'NotEffectivelyVax (current)'!R27*HelperFunctions!R$14+'NotEffectivelyVax (current)'!U27*HelperFunctions!R$14+'NotEffectivelyVax (current)'!X27*HelperFunctions!R$14+'NotEffectivelyVax (current)'!AA27*HelperFunctions!R$14+'NotEffectivelyVax (current)'!AD27*HelperFunctions!R$14+'NotEffectivelyVax (current)'!AG27*HelperFunctions!R$14+'NotEffectivelyVax (current)'!AJ27*HelperFunctions!R$14+'NotEffectivelyVax (current)'!AM27*HelperFunctions!R$14+'NotEffectivelyVax (current)'!AP27*HelperFunctions!R$28+'NotEffectivelyVax (current)'!AS27*HelperFunctions!R27+'NotEffectivelyVax (current)'!AV27*HelperFunctions!R26+'NotEffectivelyVax (current)'!AY27*HelperFunctions!R25+'NotEffectivelyVax (current)'!BB27*HelperFunctions!R24+'NotEffectivelyVax (current)'!BE27*HelperFunctions!R23+'NotEffectivelyVax (current)'!BH27*HelperFunctions!R22+'NotEffectivelyVax (current)'!BK27*HelperFunctions!R21+'NotEffectivelyVax (current)'!BN27*HelperFunctions!R20+'NotEffectivelyVax (current)'!BQ27*HelperFunctions!R19+'NotEffectivelyVax (current)'!BT27*HelperFunctions!R18+'NotEffectivelyVax (current)'!BW27*HelperFunctions!R17)</f>
        <v>#VALUE!</v>
      </c>
      <c r="I28" s="182" t="e">
        <f t="shared" si="10"/>
        <v>#VALUE!</v>
      </c>
      <c r="J28" s="230">
        <f>SUM(EffectivelyVax!D27:BK27)</f>
        <v>0</v>
      </c>
      <c r="K28" s="231" t="e">
        <f t="shared" si="5"/>
        <v>#VALUE!</v>
      </c>
      <c r="L28" s="232" t="e">
        <f>I27*H28*Export!L26</f>
        <v>#VALUE!</v>
      </c>
      <c r="M28" s="233" t="e">
        <f t="shared" si="0"/>
        <v>#VALUE!</v>
      </c>
      <c r="N28" s="226" t="e">
        <f>IF(Export!M26&lt;&gt;"",K28*Export!K26*(1/Export!M26),K28*Export!K26)</f>
        <v>#VALUE!</v>
      </c>
      <c r="O28" s="234" t="e">
        <f>M28*Export!J26</f>
        <v>#VALUE!</v>
      </c>
      <c r="P28" s="235" t="e">
        <f>SUM('NotEffectivelyVax (current)'!F28,'NotEffectivelyVax (current)'!I28,'NotEffectivelyVax (current)'!L28,'NotEffectivelyVax (current)'!O28,'NotEffectivelyVax (current)'!R28,'NotEffectivelyVax (current)'!U28,'NotEffectivelyVax (current)'!X28,'NotEffectivelyVax (current)'!AA28,'NotEffectivelyVax (current)'!AD28,'NotEffectivelyVax (current)'!AG28,'NotEffectivelyVax (current)'!AJ28,'NotEffectivelyVax (current)'!AM28,'NotEffectivelyVax (current)'!AP28,'NotEffectivelyVax (current)'!AS28,'NotEffectivelyVax (current)'!AV28,'NotEffectivelyVax (current)'!AY28,'NotEffectivelyVax (current)'!BB28,'NotEffectivelyVax (current)'!BE28,'NotEffectivelyVax (current)'!BH28,'NotEffectivelyVax (current)'!BK28,'NotEffectivelyVax (current)'!BN28,'NotEffectivelyVax (current)'!BQ28,'NotEffectivelyVax (current)'!BT28,'NotEffectivelyVax (current)'!BW28,'NotEffectivelyVax (current)'!BZ28,'NotEffectivelyVax (current)'!CC28,'NotEffectivelyVax (current)'!CF28,'NotEffectivelyVax (current)'!CI28,'NotEffectivelyVax (current)'!CL28,'NotEffectivelyVax (current)'!CO28,'NotEffectivelyVax (current)'!CR28,'NotEffectivelyVax (current)'!CU28,'NotEffectivelyVax (current)'!CX28,'NotEffectivelyVax (current)'!DA28,'NotEffectivelyVax (current)'!DD28,'NotEffectivelyVax (current)'!DG28,'NotEffectivelyVax (current)'!DJ28,'NotEffectivelyVax (current)'!DM28,'NotEffectivelyVax (current)'!DP28,'NotEffectivelyVax (current)'!DS28,'NotEffectivelyVax (current)'!DV28,'NotEffectivelyVax (current)'!DY28,'NotEffectivelyVax (current)'!EB28,'NotEffectivelyVax (current)'!EE28,'NotEffectivelyVax (current)'!EH28,'NotEffectivelyVax (current)'!EK28,'NotEffectivelyVax (current)'!EN28,'NotEffectivelyVax (current)'!EQ28,'NotEffectivelyVax (current)'!ET28,'NotEffectivelyVax (current)'!EW28,'NotEffectivelyVax (current)'!EZ28,'NotEffectivelyVax (current)'!FC28,'NotEffectivelyVax (current)'!FF28,'NotEffectivelyVax (current)'!FI28,'NotEffectivelyVax (current)'!FL28,'NotEffectivelyVax (current)'!FO28,'NotEffectivelyVax (current)'!FR28,'NotEffectivelyVax (current)'!FU28,'NotEffectivelyVax (current)'!FX28,'NotEffectivelyVax (current)'!GA28)</f>
        <v>#VALUE!</v>
      </c>
      <c r="Q28" s="236" t="e">
        <f>SUM('NotEffectivelyVax (current)'!D28,'NotEffectivelyVax (current)'!G28,'NotEffectivelyVax (current)'!J28,'NotEffectivelyVax (current)'!M28,'NotEffectivelyVax (current)'!P28,'NotEffectivelyVax (current)'!S28,'NotEffectivelyVax (current)'!V28,'NotEffectivelyVax (current)'!Y28,'NotEffectivelyVax (current)'!AB28,'NotEffectivelyVax (current)'!AE28,'NotEffectivelyVax (current)'!AH28,'NotEffectivelyVax (current)'!AK28,'NotEffectivelyVax (current)'!AN28,'NotEffectivelyVax (current)'!AQ28,'NotEffectivelyVax (current)'!AT28,'NotEffectivelyVax (current)'!AW28,'NotEffectivelyVax (current)'!AZ28,'NotEffectivelyVax (current)'!BC28,'NotEffectivelyVax (current)'!BF28,'NotEffectivelyVax (current)'!BI28,'NotEffectivelyVax (current)'!BL28,'NotEffectivelyVax (current)'!BO28,'NotEffectivelyVax (current)'!BR28,'NotEffectivelyVax (current)'!BU28,'NotEffectivelyVax (current)'!BX28,'NotEffectivelyVax (current)'!CA28,'NotEffectivelyVax (current)'!CD28,'NotEffectivelyVax (current)'!CG28,'NotEffectivelyVax (current)'!CJ28,'NotEffectivelyVax (current)'!CM28,'NotEffectivelyVax (current)'!CP28,'NotEffectivelyVax (current)'!CS28,'NotEffectivelyVax (current)'!CV28,'NotEffectivelyVax (current)'!CY28,'NotEffectivelyVax (current)'!DB28,'NotEffectivelyVax (current)'!DE28,'NotEffectivelyVax (current)'!DH28,'NotEffectivelyVax (current)'!DK28,'NotEffectivelyVax (current)'!DN28,'NotEffectivelyVax (current)'!DQ28,'NotEffectivelyVax (current)'!DT28,'NotEffectivelyVax (current)'!DW28,'NotEffectivelyVax (current)'!DZ28,'NotEffectivelyVax (current)'!EC28,'NotEffectivelyVax (current)'!EF28,'NotEffectivelyVax (current)'!EI28,'NotEffectivelyVax (current)'!EL28,'NotEffectivelyVax (current)'!EO28,'NotEffectivelyVax (current)'!ER28,'NotEffectivelyVax (current)'!EU28,'NotEffectivelyVax (current)'!EX28,'NotEffectivelyVax (current)'!FA28,'NotEffectivelyVax (current)'!FD28,'NotEffectivelyVax (current)'!FG28,'NotEffectivelyVax (current)'!FJ28,'NotEffectivelyVax (current)'!FM28,'NotEffectivelyVax (current)'!FP28,'NotEffectivelyVax (current)'!FS28,'NotEffectivelyVax (current)'!FV28,'NotEffectivelyVax (current)'!FY28)</f>
        <v>#VALUE!</v>
      </c>
      <c r="R28" s="236" t="e">
        <f>SUM('NotEffectivelyVax (current)'!E28,'NotEffectivelyVax (current)'!H28,'NotEffectivelyVax (current)'!K28,'NotEffectivelyVax (current)'!N28,'NotEffectivelyVax (current)'!Q28,'NotEffectivelyVax (current)'!T28,'NotEffectivelyVax (current)'!W28,'NotEffectivelyVax (current)'!Z28,'NotEffectivelyVax (current)'!AC28,'NotEffectivelyVax (current)'!AF28,'NotEffectivelyVax (current)'!AI28,'NotEffectivelyVax (current)'!AL28,'NotEffectivelyVax (current)'!AO28,'NotEffectivelyVax (current)'!AR28,'NotEffectivelyVax (current)'!AU28,'NotEffectivelyVax (current)'!AX28,'NotEffectivelyVax (current)'!BA28,'NotEffectivelyVax (current)'!BD28,'NotEffectivelyVax (current)'!BG28,'NotEffectivelyVax (current)'!BJ28,'NotEffectivelyVax (current)'!BM28,'NotEffectivelyVax (current)'!BP28,'NotEffectivelyVax (current)'!BS28,'NotEffectivelyVax (current)'!BV28,'NotEffectivelyVax (current)'!BY28,'NotEffectivelyVax (current)'!CB28,'NotEffectivelyVax (current)'!CE28,'NotEffectivelyVax (current)'!CH28,'NotEffectivelyVax (current)'!CK28,'NotEffectivelyVax (current)'!CN28,'NotEffectivelyVax (current)'!CQ28,'NotEffectivelyVax (current)'!CT28,'NotEffectivelyVax (current)'!CW28,'NotEffectivelyVax (current)'!CZ28,'NotEffectivelyVax (current)'!DC28,'NotEffectivelyVax (current)'!DF28,'NotEffectivelyVax (current)'!DI28,'NotEffectivelyVax (current)'!DL28,'NotEffectivelyVax (current)'!DO28,'NotEffectivelyVax (current)'!DR28,'NotEffectivelyVax (current)'!DU28,'NotEffectivelyVax (current)'!DX28,'NotEffectivelyVax (current)'!EA28,'NotEffectivelyVax (current)'!ED28,'NotEffectivelyVax (current)'!EG28,'NotEffectivelyVax (current)'!EJ28,'NotEffectivelyVax (current)'!EM28,'NotEffectivelyVax (current)'!EP28,'NotEffectivelyVax (current)'!ES28,'NotEffectivelyVax (current)'!EV28,'NotEffectivelyVax (current)'!EY28,'NotEffectivelyVax (current)'!FB28,'NotEffectivelyVax (current)'!FE28,'NotEffectivelyVax (current)'!FH28,'NotEffectivelyVax (current)'!FK28,'NotEffectivelyVax (current)'!FN28,'NotEffectivelyVax (current)'!FQ28,'NotEffectivelyVax (current)'!FT28,'NotEffectivelyVax (current)'!FW28,'NotEffectivelyVax (current)'!FZ28)</f>
        <v>#VALUE!</v>
      </c>
      <c r="S28" s="236" t="e">
        <f t="shared" si="6"/>
        <v>#VALUE!</v>
      </c>
      <c r="T28" s="237" t="e">
        <f>IF(Export!M26&lt;&gt;"",Q28*Export!K26*(1/Export!M26),Q28*Export!K26)</f>
        <v>#VALUE!</v>
      </c>
      <c r="U28" s="238" t="e">
        <f>S28*Export!J26</f>
        <v>#VALUE!</v>
      </c>
      <c r="V28" s="243" t="e">
        <f t="shared" si="11"/>
        <v>#DIV/0!</v>
      </c>
      <c r="W28" s="239" t="e">
        <f t="shared" si="8"/>
        <v>#VALUE!</v>
      </c>
      <c r="X28" s="239" t="e">
        <f>H28*Export!L26*V27</f>
        <v>#VALUE!</v>
      </c>
      <c r="Y28" s="239" t="e">
        <f t="shared" si="1"/>
        <v>#VALUE!</v>
      </c>
      <c r="Z28" s="239" t="e">
        <f>IF(Export!M26&lt;&gt;"",W28*Export!K26*(1/Export!M26),W28*Export!K26)</f>
        <v>#VALUE!</v>
      </c>
      <c r="AA28" s="239" t="e">
        <f>Y28*Export!J26</f>
        <v>#VALUE!</v>
      </c>
      <c r="AC28" s="143" t="e">
        <f t="shared" si="2"/>
        <v>#VALUE!</v>
      </c>
      <c r="AD28" s="144" t="e">
        <f t="shared" si="2"/>
        <v>#VALUE!</v>
      </c>
      <c r="AE28" s="144" t="e">
        <f t="shared" si="3"/>
        <v>#VALUE!</v>
      </c>
      <c r="AF28" s="144" t="e">
        <f t="shared" si="3"/>
        <v>#VALUE!</v>
      </c>
      <c r="AG28" s="144" t="e">
        <f t="shared" si="4"/>
        <v>#VALUE!</v>
      </c>
      <c r="AH28" s="198"/>
      <c r="AI28" s="198"/>
      <c r="AJ28" s="198"/>
      <c r="AK28" s="198"/>
      <c r="AL28" s="199"/>
      <c r="AM28" s="150"/>
      <c r="AN28" s="150"/>
      <c r="AO28" s="150"/>
      <c r="AP28" s="150"/>
      <c r="AQ28" s="151"/>
      <c r="AR28" s="144"/>
    </row>
    <row r="29" spans="1:45" x14ac:dyDescent="0.35">
      <c r="A29" s="130">
        <f>EffectivelyVax!B28</f>
        <v>2</v>
      </c>
      <c r="B29" s="131" t="str">
        <f>EffectivelyVax!C28</f>
        <v/>
      </c>
      <c r="C29" s="132" t="str">
        <f>Export!N27</f>
        <v/>
      </c>
      <c r="D29" s="177" t="str">
        <f>Export!B27</f>
        <v/>
      </c>
      <c r="E29" s="178" t="e">
        <f>C29*D29*HelperFunctions!G$31</f>
        <v>#VALUE!</v>
      </c>
      <c r="F29" s="179" t="e">
        <f>C29*D29*(1-HelperFunctions!G$31)</f>
        <v>#VALUE!</v>
      </c>
      <c r="G29" s="180" t="str">
        <f>Export!C27</f>
        <v/>
      </c>
      <c r="H29" s="191" t="e">
        <f>G29/(I28+'NotEffectivelyVax (current)'!F28*HelperFunctions!R$14+'NotEffectivelyVax (current)'!I28*HelperFunctions!R$14+'NotEffectivelyVax (current)'!L28*HelperFunctions!R$14+'NotEffectivelyVax (current)'!O28*HelperFunctions!R$14+'NotEffectivelyVax (current)'!R28*HelperFunctions!R$14+'NotEffectivelyVax (current)'!U28*HelperFunctions!R$14+'NotEffectivelyVax (current)'!X28*HelperFunctions!R$14+'NotEffectivelyVax (current)'!AA28*HelperFunctions!R$14+'NotEffectivelyVax (current)'!AD28*HelperFunctions!R$14+'NotEffectivelyVax (current)'!AG28*HelperFunctions!R$14+'NotEffectivelyVax (current)'!AJ28*HelperFunctions!R$14+'NotEffectivelyVax (current)'!AM28*HelperFunctions!R$14+'NotEffectivelyVax (current)'!AP28*HelperFunctions!R$28+'NotEffectivelyVax (current)'!AS28*HelperFunctions!R$28+'NotEffectivelyVax (current)'!AV28*HelperFunctions!R27+'NotEffectivelyVax (current)'!AY28*HelperFunctions!R26+'NotEffectivelyVax (current)'!BB28*HelperFunctions!R25+'NotEffectivelyVax (current)'!BE28*HelperFunctions!R24+'NotEffectivelyVax (current)'!BH28*HelperFunctions!R23+'NotEffectivelyVax (current)'!BK28*HelperFunctions!R22+'NotEffectivelyVax (current)'!BN28*HelperFunctions!R21+'NotEffectivelyVax (current)'!BQ28*HelperFunctions!R20+'NotEffectivelyVax (current)'!BT28*HelperFunctions!R19+'NotEffectivelyVax (current)'!BW28*HelperFunctions!R18+'NotEffectivelyVax (current)'!BZ28*HelperFunctions!R31)</f>
        <v>#VALUE!</v>
      </c>
      <c r="I29" s="192" t="e">
        <f t="shared" si="10"/>
        <v>#VALUE!</v>
      </c>
      <c r="J29" s="153">
        <f>SUM(EffectivelyVax!D28:BK28)</f>
        <v>0</v>
      </c>
      <c r="K29" s="193" t="e">
        <f t="shared" si="5"/>
        <v>#VALUE!</v>
      </c>
      <c r="L29" s="194" t="e">
        <f>I28*H29*Export!L27</f>
        <v>#VALUE!</v>
      </c>
      <c r="M29" s="195" t="e">
        <f t="shared" si="0"/>
        <v>#VALUE!</v>
      </c>
      <c r="N29" s="178" t="e">
        <f>IF(Export!M27&lt;&gt;"",K29*Export!K27*(1/Export!M27),K29*Export!K27)</f>
        <v>#VALUE!</v>
      </c>
      <c r="O29" s="154" t="e">
        <f>M29*Export!J27</f>
        <v>#VALUE!</v>
      </c>
      <c r="P29" s="186" t="e">
        <f>SUM('NotEffectivelyVax (current)'!F29,'NotEffectivelyVax (current)'!I29,'NotEffectivelyVax (current)'!L29,'NotEffectivelyVax (current)'!O29,'NotEffectivelyVax (current)'!R29,'NotEffectivelyVax (current)'!U29,'NotEffectivelyVax (current)'!X29,'NotEffectivelyVax (current)'!AA29,'NotEffectivelyVax (current)'!AD29,'NotEffectivelyVax (current)'!AG29,'NotEffectivelyVax (current)'!AJ29,'NotEffectivelyVax (current)'!AM29,'NotEffectivelyVax (current)'!AP29,'NotEffectivelyVax (current)'!AS29,'NotEffectivelyVax (current)'!AV29,'NotEffectivelyVax (current)'!AY29,'NotEffectivelyVax (current)'!BB29,'NotEffectivelyVax (current)'!BE29,'NotEffectivelyVax (current)'!BH29,'NotEffectivelyVax (current)'!BK29,'NotEffectivelyVax (current)'!BN29,'NotEffectivelyVax (current)'!BQ29,'NotEffectivelyVax (current)'!BT29,'NotEffectivelyVax (current)'!BW29,'NotEffectivelyVax (current)'!BZ29,'NotEffectivelyVax (current)'!CC29,'NotEffectivelyVax (current)'!CF29,'NotEffectivelyVax (current)'!CI29,'NotEffectivelyVax (current)'!CL29,'NotEffectivelyVax (current)'!CO29,'NotEffectivelyVax (current)'!CR29,'NotEffectivelyVax (current)'!CU29,'NotEffectivelyVax (current)'!CX29,'NotEffectivelyVax (current)'!DA29,'NotEffectivelyVax (current)'!DD29,'NotEffectivelyVax (current)'!DG29,'NotEffectivelyVax (current)'!DJ29,'NotEffectivelyVax (current)'!DM29,'NotEffectivelyVax (current)'!DP29,'NotEffectivelyVax (current)'!DS29,'NotEffectivelyVax (current)'!DV29,'NotEffectivelyVax (current)'!DY29,'NotEffectivelyVax (current)'!EB29,'NotEffectivelyVax (current)'!EE29,'NotEffectivelyVax (current)'!EH29,'NotEffectivelyVax (current)'!EK29,'NotEffectivelyVax (current)'!EN29,'NotEffectivelyVax (current)'!EQ29,'NotEffectivelyVax (current)'!ET29,'NotEffectivelyVax (current)'!EW29,'NotEffectivelyVax (current)'!EZ29,'NotEffectivelyVax (current)'!FC29,'NotEffectivelyVax (current)'!FF29,'NotEffectivelyVax (current)'!FI29,'NotEffectivelyVax (current)'!FL29,'NotEffectivelyVax (current)'!FO29,'NotEffectivelyVax (current)'!FR29,'NotEffectivelyVax (current)'!FU29,'NotEffectivelyVax (current)'!FX29,'NotEffectivelyVax (current)'!GA29)</f>
        <v>#VALUE!</v>
      </c>
      <c r="Q29" s="155" t="e">
        <f>SUM('NotEffectivelyVax (current)'!D29,'NotEffectivelyVax (current)'!G29,'NotEffectivelyVax (current)'!J29,'NotEffectivelyVax (current)'!M29,'NotEffectivelyVax (current)'!P29,'NotEffectivelyVax (current)'!S29,'NotEffectivelyVax (current)'!V29,'NotEffectivelyVax (current)'!Y29,'NotEffectivelyVax (current)'!AB29,'NotEffectivelyVax (current)'!AE29,'NotEffectivelyVax (current)'!AH29,'NotEffectivelyVax (current)'!AK29,'NotEffectivelyVax (current)'!AN29,'NotEffectivelyVax (current)'!AQ29,'NotEffectivelyVax (current)'!AT29,'NotEffectivelyVax (current)'!AW29,'NotEffectivelyVax (current)'!AZ29,'NotEffectivelyVax (current)'!BC29,'NotEffectivelyVax (current)'!BF29,'NotEffectivelyVax (current)'!BI29,'NotEffectivelyVax (current)'!BL29,'NotEffectivelyVax (current)'!BO29,'NotEffectivelyVax (current)'!BR29,'NotEffectivelyVax (current)'!BU29,'NotEffectivelyVax (current)'!BX29,'NotEffectivelyVax (current)'!CA29,'NotEffectivelyVax (current)'!CD29,'NotEffectivelyVax (current)'!CG29,'NotEffectivelyVax (current)'!CJ29,'NotEffectivelyVax (current)'!CM29,'NotEffectivelyVax (current)'!CP29,'NotEffectivelyVax (current)'!CS29,'NotEffectivelyVax (current)'!CV29,'NotEffectivelyVax (current)'!CY29,'NotEffectivelyVax (current)'!DB29,'NotEffectivelyVax (current)'!DE29,'NotEffectivelyVax (current)'!DH29,'NotEffectivelyVax (current)'!DK29,'NotEffectivelyVax (current)'!DN29,'NotEffectivelyVax (current)'!DQ29,'NotEffectivelyVax (current)'!DT29,'NotEffectivelyVax (current)'!DW29,'NotEffectivelyVax (current)'!DZ29,'NotEffectivelyVax (current)'!EC29,'NotEffectivelyVax (current)'!EF29,'NotEffectivelyVax (current)'!EI29,'NotEffectivelyVax (current)'!EL29,'NotEffectivelyVax (current)'!EO29,'NotEffectivelyVax (current)'!ER29,'NotEffectivelyVax (current)'!EU29,'NotEffectivelyVax (current)'!EX29,'NotEffectivelyVax (current)'!FA29,'NotEffectivelyVax (current)'!FD29,'NotEffectivelyVax (current)'!FG29,'NotEffectivelyVax (current)'!FJ29,'NotEffectivelyVax (current)'!FM29,'NotEffectivelyVax (current)'!FP29,'NotEffectivelyVax (current)'!FS29,'NotEffectivelyVax (current)'!FV29,'NotEffectivelyVax (current)'!FY29)</f>
        <v>#VALUE!</v>
      </c>
      <c r="R29" s="155" t="e">
        <f>SUM('NotEffectivelyVax (current)'!E29,'NotEffectivelyVax (current)'!H29,'NotEffectivelyVax (current)'!K29,'NotEffectivelyVax (current)'!N29,'NotEffectivelyVax (current)'!Q29,'NotEffectivelyVax (current)'!T29,'NotEffectivelyVax (current)'!W29,'NotEffectivelyVax (current)'!Z29,'NotEffectivelyVax (current)'!AC29,'NotEffectivelyVax (current)'!AF29,'NotEffectivelyVax (current)'!AI29,'NotEffectivelyVax (current)'!AL29,'NotEffectivelyVax (current)'!AO29,'NotEffectivelyVax (current)'!AR29,'NotEffectivelyVax (current)'!AU29,'NotEffectivelyVax (current)'!AX29,'NotEffectivelyVax (current)'!BA29,'NotEffectivelyVax (current)'!BD29,'NotEffectivelyVax (current)'!BG29,'NotEffectivelyVax (current)'!BJ29,'NotEffectivelyVax (current)'!BM29,'NotEffectivelyVax (current)'!BP29,'NotEffectivelyVax (current)'!BS29,'NotEffectivelyVax (current)'!BV29,'NotEffectivelyVax (current)'!BY29,'NotEffectivelyVax (current)'!CB29,'NotEffectivelyVax (current)'!CE29,'NotEffectivelyVax (current)'!CH29,'NotEffectivelyVax (current)'!CK29,'NotEffectivelyVax (current)'!CN29,'NotEffectivelyVax (current)'!CQ29,'NotEffectivelyVax (current)'!CT29,'NotEffectivelyVax (current)'!CW29,'NotEffectivelyVax (current)'!CZ29,'NotEffectivelyVax (current)'!DC29,'NotEffectivelyVax (current)'!DF29,'NotEffectivelyVax (current)'!DI29,'NotEffectivelyVax (current)'!DL29,'NotEffectivelyVax (current)'!DO29,'NotEffectivelyVax (current)'!DR29,'NotEffectivelyVax (current)'!DU29,'NotEffectivelyVax (current)'!DX29,'NotEffectivelyVax (current)'!EA29,'NotEffectivelyVax (current)'!ED29,'NotEffectivelyVax (current)'!EG29,'NotEffectivelyVax (current)'!EJ29,'NotEffectivelyVax (current)'!EM29,'NotEffectivelyVax (current)'!EP29,'NotEffectivelyVax (current)'!ES29,'NotEffectivelyVax (current)'!EV29,'NotEffectivelyVax (current)'!EY29,'NotEffectivelyVax (current)'!FB29,'NotEffectivelyVax (current)'!FE29,'NotEffectivelyVax (current)'!FH29,'NotEffectivelyVax (current)'!FK29,'NotEffectivelyVax (current)'!FN29,'NotEffectivelyVax (current)'!FQ29,'NotEffectivelyVax (current)'!FT29,'NotEffectivelyVax (current)'!FW29,'NotEffectivelyVax (current)'!FZ29)</f>
        <v>#VALUE!</v>
      </c>
      <c r="S29" s="138" t="e">
        <f t="shared" si="6"/>
        <v>#VALUE!</v>
      </c>
      <c r="T29" s="187" t="e">
        <f>IF(Export!M27&lt;&gt;"",Q29*Export!K27*(1/Export!M27),Q29*Export!K27)</f>
        <v>#VALUE!</v>
      </c>
      <c r="U29" s="188" t="e">
        <f>S29*Export!J27</f>
        <v>#VALUE!</v>
      </c>
      <c r="V29" s="196" t="e">
        <f t="shared" si="11"/>
        <v>#DIV/0!</v>
      </c>
      <c r="W29" s="197" t="e">
        <f t="shared" si="8"/>
        <v>#VALUE!</v>
      </c>
      <c r="X29" s="190" t="e">
        <f>H29*Export!L27*V28</f>
        <v>#VALUE!</v>
      </c>
      <c r="Y29" s="190" t="e">
        <f t="shared" si="1"/>
        <v>#VALUE!</v>
      </c>
      <c r="Z29" s="190" t="e">
        <f>IF(Export!M27&lt;&gt;"",W29*Export!K27*(1/Export!M27),W29*Export!K27)</f>
        <v>#VALUE!</v>
      </c>
      <c r="AA29" s="190" t="e">
        <f>Y29*Export!J27</f>
        <v>#VALUE!</v>
      </c>
      <c r="AC29" s="143" t="e">
        <f t="shared" ref="AC29:AD63" si="12">W29-(K29+Q29)</f>
        <v>#VALUE!</v>
      </c>
      <c r="AD29" s="144" t="e">
        <f t="shared" si="12"/>
        <v>#VALUE!</v>
      </c>
      <c r="AE29" s="144" t="e">
        <f t="shared" ref="AE29:AF63" si="13">Z29-(N29+T29)</f>
        <v>#VALUE!</v>
      </c>
      <c r="AF29" s="144" t="e">
        <f t="shared" si="13"/>
        <v>#VALUE!</v>
      </c>
      <c r="AG29" s="144" t="e">
        <f t="shared" si="4"/>
        <v>#VALUE!</v>
      </c>
      <c r="AH29" s="198"/>
      <c r="AI29" s="198"/>
      <c r="AJ29" s="198"/>
      <c r="AK29" s="198"/>
      <c r="AL29" s="199"/>
      <c r="AM29" s="150"/>
      <c r="AN29" s="150"/>
      <c r="AO29" s="150"/>
      <c r="AP29" s="150"/>
      <c r="AQ29" s="151"/>
      <c r="AR29" s="144"/>
    </row>
    <row r="30" spans="1:45" x14ac:dyDescent="0.35">
      <c r="A30" s="130">
        <f>EffectivelyVax!B29</f>
        <v>2</v>
      </c>
      <c r="B30" s="131" t="str">
        <f>EffectivelyVax!C29</f>
        <v/>
      </c>
      <c r="C30" s="132" t="str">
        <f>Export!N28</f>
        <v/>
      </c>
      <c r="D30" s="177" t="str">
        <f>Export!B28</f>
        <v/>
      </c>
      <c r="E30" s="178" t="e">
        <f>C30*D30*HelperFunctions!G$31</f>
        <v>#VALUE!</v>
      </c>
      <c r="F30" s="179" t="e">
        <f>C30*D30*(1-HelperFunctions!G$31)</f>
        <v>#VALUE!</v>
      </c>
      <c r="G30" s="180" t="str">
        <f>Export!C28</f>
        <v/>
      </c>
      <c r="H30" s="191" t="e">
        <f>G30/(I29+'NotEffectivelyVax (current)'!F29*HelperFunctions!R$14+'NotEffectivelyVax (current)'!I29*HelperFunctions!R$14+'NotEffectivelyVax (current)'!L29*HelperFunctions!R$14+'NotEffectivelyVax (current)'!O29*HelperFunctions!R$14+'NotEffectivelyVax (current)'!R29*HelperFunctions!R$14+'NotEffectivelyVax (current)'!U29*HelperFunctions!R$14+'NotEffectivelyVax (current)'!X29*HelperFunctions!R$14+'NotEffectivelyVax (current)'!AA29*HelperFunctions!R$14+'NotEffectivelyVax (current)'!AD29*HelperFunctions!R$14+'NotEffectivelyVax (current)'!AG29*HelperFunctions!R$14+'NotEffectivelyVax (current)'!AJ29*HelperFunctions!R$14+'NotEffectivelyVax (current)'!AM29*HelperFunctions!R$14+'NotEffectivelyVax (current)'!AP29*HelperFunctions!R$28+'NotEffectivelyVax (current)'!AS29*HelperFunctions!R$28+'NotEffectivelyVax (current)'!AV29*HelperFunctions!R$28+'NotEffectivelyVax (current)'!AY29*HelperFunctions!R27+'NotEffectivelyVax (current)'!BB29*HelperFunctions!R26+'NotEffectivelyVax (current)'!BE29*HelperFunctions!R25+'NotEffectivelyVax (current)'!BH29*HelperFunctions!R24+'NotEffectivelyVax (current)'!BK29*HelperFunctions!R23+'NotEffectivelyVax (current)'!BN29*HelperFunctions!R22+'NotEffectivelyVax (current)'!BQ29*HelperFunctions!R21+'NotEffectivelyVax (current)'!BT29*HelperFunctions!R20+'NotEffectivelyVax (current)'!BW29*HelperFunctions!R19+'NotEffectivelyVax (current)'!BZ29*HelperFunctions!R32+'NotEffectivelyVax (current)'!CC29*HelperFunctions!R31)</f>
        <v>#VALUE!</v>
      </c>
      <c r="I30" s="192" t="e">
        <f t="shared" si="10"/>
        <v>#VALUE!</v>
      </c>
      <c r="J30" s="153">
        <f>SUM(EffectivelyVax!D29:BK29)</f>
        <v>0</v>
      </c>
      <c r="K30" s="193" t="e">
        <f t="shared" si="5"/>
        <v>#VALUE!</v>
      </c>
      <c r="L30" s="194" t="e">
        <f>I29*H30*Export!L28</f>
        <v>#VALUE!</v>
      </c>
      <c r="M30" s="195" t="e">
        <f t="shared" si="0"/>
        <v>#VALUE!</v>
      </c>
      <c r="N30" s="178" t="e">
        <f>IF(Export!M28&lt;&gt;"",K30*Export!K28*(1/Export!M28),K30*Export!K28)</f>
        <v>#VALUE!</v>
      </c>
      <c r="O30" s="154" t="e">
        <f>M30*Export!J28</f>
        <v>#VALUE!</v>
      </c>
      <c r="P30" s="186" t="e">
        <f>SUM('NotEffectivelyVax (current)'!F30,'NotEffectivelyVax (current)'!I30,'NotEffectivelyVax (current)'!L30,'NotEffectivelyVax (current)'!O30,'NotEffectivelyVax (current)'!R30,'NotEffectivelyVax (current)'!U30,'NotEffectivelyVax (current)'!X30,'NotEffectivelyVax (current)'!AA30,'NotEffectivelyVax (current)'!AD30,'NotEffectivelyVax (current)'!AG30,'NotEffectivelyVax (current)'!AJ30,'NotEffectivelyVax (current)'!AM30,'NotEffectivelyVax (current)'!AP30,'NotEffectivelyVax (current)'!AS30,'NotEffectivelyVax (current)'!AV30,'NotEffectivelyVax (current)'!AY30,'NotEffectivelyVax (current)'!BB30,'NotEffectivelyVax (current)'!BE30,'NotEffectivelyVax (current)'!BH30,'NotEffectivelyVax (current)'!BK30,'NotEffectivelyVax (current)'!BN30,'NotEffectivelyVax (current)'!BQ30,'NotEffectivelyVax (current)'!BT30,'NotEffectivelyVax (current)'!BW30,'NotEffectivelyVax (current)'!BZ30,'NotEffectivelyVax (current)'!CC30,'NotEffectivelyVax (current)'!CF30,'NotEffectivelyVax (current)'!CI30,'NotEffectivelyVax (current)'!CL30,'NotEffectivelyVax (current)'!CO30,'NotEffectivelyVax (current)'!CR30,'NotEffectivelyVax (current)'!CU30,'NotEffectivelyVax (current)'!CX30,'NotEffectivelyVax (current)'!DA30,'NotEffectivelyVax (current)'!DD30,'NotEffectivelyVax (current)'!DG30,'NotEffectivelyVax (current)'!DJ30,'NotEffectivelyVax (current)'!DM30,'NotEffectivelyVax (current)'!DP30,'NotEffectivelyVax (current)'!DS30,'NotEffectivelyVax (current)'!DV30,'NotEffectivelyVax (current)'!DY30,'NotEffectivelyVax (current)'!EB30,'NotEffectivelyVax (current)'!EE30,'NotEffectivelyVax (current)'!EH30,'NotEffectivelyVax (current)'!EK30,'NotEffectivelyVax (current)'!EN30,'NotEffectivelyVax (current)'!EQ30,'NotEffectivelyVax (current)'!ET30,'NotEffectivelyVax (current)'!EW30,'NotEffectivelyVax (current)'!EZ30,'NotEffectivelyVax (current)'!FC30,'NotEffectivelyVax (current)'!FF30,'NotEffectivelyVax (current)'!FI30,'NotEffectivelyVax (current)'!FL30,'NotEffectivelyVax (current)'!FO30,'NotEffectivelyVax (current)'!FR30,'NotEffectivelyVax (current)'!FU30,'NotEffectivelyVax (current)'!FX30,'NotEffectivelyVax (current)'!GA30)</f>
        <v>#VALUE!</v>
      </c>
      <c r="Q30" s="155" t="e">
        <f>SUM('NotEffectivelyVax (current)'!D30,'NotEffectivelyVax (current)'!G30,'NotEffectivelyVax (current)'!J30,'NotEffectivelyVax (current)'!M30,'NotEffectivelyVax (current)'!P30,'NotEffectivelyVax (current)'!S30,'NotEffectivelyVax (current)'!V30,'NotEffectivelyVax (current)'!Y30,'NotEffectivelyVax (current)'!AB30,'NotEffectivelyVax (current)'!AE30,'NotEffectivelyVax (current)'!AH30,'NotEffectivelyVax (current)'!AK30,'NotEffectivelyVax (current)'!AN30,'NotEffectivelyVax (current)'!AQ30,'NotEffectivelyVax (current)'!AT30,'NotEffectivelyVax (current)'!AW30,'NotEffectivelyVax (current)'!AZ30,'NotEffectivelyVax (current)'!BC30,'NotEffectivelyVax (current)'!BF30,'NotEffectivelyVax (current)'!BI30,'NotEffectivelyVax (current)'!BL30,'NotEffectivelyVax (current)'!BO30,'NotEffectivelyVax (current)'!BR30,'NotEffectivelyVax (current)'!BU30,'NotEffectivelyVax (current)'!BX30,'NotEffectivelyVax (current)'!CA30,'NotEffectivelyVax (current)'!CD30,'NotEffectivelyVax (current)'!CG30,'NotEffectivelyVax (current)'!CJ30,'NotEffectivelyVax (current)'!CM30,'NotEffectivelyVax (current)'!CP30,'NotEffectivelyVax (current)'!CS30,'NotEffectivelyVax (current)'!CV30,'NotEffectivelyVax (current)'!CY30,'NotEffectivelyVax (current)'!DB30,'NotEffectivelyVax (current)'!DE30,'NotEffectivelyVax (current)'!DH30,'NotEffectivelyVax (current)'!DK30,'NotEffectivelyVax (current)'!DN30,'NotEffectivelyVax (current)'!DQ30,'NotEffectivelyVax (current)'!DT30,'NotEffectivelyVax (current)'!DW30,'NotEffectivelyVax (current)'!DZ30,'NotEffectivelyVax (current)'!EC30,'NotEffectivelyVax (current)'!EF30,'NotEffectivelyVax (current)'!EI30,'NotEffectivelyVax (current)'!EL30,'NotEffectivelyVax (current)'!EO30,'NotEffectivelyVax (current)'!ER30,'NotEffectivelyVax (current)'!EU30,'NotEffectivelyVax (current)'!EX30,'NotEffectivelyVax (current)'!FA30,'NotEffectivelyVax (current)'!FD30,'NotEffectivelyVax (current)'!FG30,'NotEffectivelyVax (current)'!FJ30,'NotEffectivelyVax (current)'!FM30,'NotEffectivelyVax (current)'!FP30,'NotEffectivelyVax (current)'!FS30,'NotEffectivelyVax (current)'!FV30,'NotEffectivelyVax (current)'!FY30)</f>
        <v>#VALUE!</v>
      </c>
      <c r="R30" s="155" t="e">
        <f>SUM('NotEffectivelyVax (current)'!E30,'NotEffectivelyVax (current)'!H30,'NotEffectivelyVax (current)'!K30,'NotEffectivelyVax (current)'!N30,'NotEffectivelyVax (current)'!Q30,'NotEffectivelyVax (current)'!T30,'NotEffectivelyVax (current)'!W30,'NotEffectivelyVax (current)'!Z30,'NotEffectivelyVax (current)'!AC30,'NotEffectivelyVax (current)'!AF30,'NotEffectivelyVax (current)'!AI30,'NotEffectivelyVax (current)'!AL30,'NotEffectivelyVax (current)'!AO30,'NotEffectivelyVax (current)'!AR30,'NotEffectivelyVax (current)'!AU30,'NotEffectivelyVax (current)'!AX30,'NotEffectivelyVax (current)'!BA30,'NotEffectivelyVax (current)'!BD30,'NotEffectivelyVax (current)'!BG30,'NotEffectivelyVax (current)'!BJ30,'NotEffectivelyVax (current)'!BM30,'NotEffectivelyVax (current)'!BP30,'NotEffectivelyVax (current)'!BS30,'NotEffectivelyVax (current)'!BV30,'NotEffectivelyVax (current)'!BY30,'NotEffectivelyVax (current)'!CB30,'NotEffectivelyVax (current)'!CE30,'NotEffectivelyVax (current)'!CH30,'NotEffectivelyVax (current)'!CK30,'NotEffectivelyVax (current)'!CN30,'NotEffectivelyVax (current)'!CQ30,'NotEffectivelyVax (current)'!CT30,'NotEffectivelyVax (current)'!CW30,'NotEffectivelyVax (current)'!CZ30,'NotEffectivelyVax (current)'!DC30,'NotEffectivelyVax (current)'!DF30,'NotEffectivelyVax (current)'!DI30,'NotEffectivelyVax (current)'!DL30,'NotEffectivelyVax (current)'!DO30,'NotEffectivelyVax (current)'!DR30,'NotEffectivelyVax (current)'!DU30,'NotEffectivelyVax (current)'!DX30,'NotEffectivelyVax (current)'!EA30,'NotEffectivelyVax (current)'!ED30,'NotEffectivelyVax (current)'!EG30,'NotEffectivelyVax (current)'!EJ30,'NotEffectivelyVax (current)'!EM30,'NotEffectivelyVax (current)'!EP30,'NotEffectivelyVax (current)'!ES30,'NotEffectivelyVax (current)'!EV30,'NotEffectivelyVax (current)'!EY30,'NotEffectivelyVax (current)'!FB30,'NotEffectivelyVax (current)'!FE30,'NotEffectivelyVax (current)'!FH30,'NotEffectivelyVax (current)'!FK30,'NotEffectivelyVax (current)'!FN30,'NotEffectivelyVax (current)'!FQ30,'NotEffectivelyVax (current)'!FT30,'NotEffectivelyVax (current)'!FW30,'NotEffectivelyVax (current)'!FZ30)</f>
        <v>#VALUE!</v>
      </c>
      <c r="S30" s="138" t="e">
        <f t="shared" si="6"/>
        <v>#VALUE!</v>
      </c>
      <c r="T30" s="187" t="e">
        <f>IF(Export!M28&lt;&gt;"",Q30*Export!K28*(1/Export!M28),Q30*Export!K28)</f>
        <v>#VALUE!</v>
      </c>
      <c r="U30" s="188" t="e">
        <f>S30*Export!J28</f>
        <v>#VALUE!</v>
      </c>
      <c r="V30" s="196" t="e">
        <f t="shared" si="11"/>
        <v>#DIV/0!</v>
      </c>
      <c r="W30" s="197" t="e">
        <f t="shared" si="8"/>
        <v>#VALUE!</v>
      </c>
      <c r="X30" s="190" t="e">
        <f>H30*Export!L28*V29</f>
        <v>#VALUE!</v>
      </c>
      <c r="Y30" s="190" t="e">
        <f t="shared" si="1"/>
        <v>#VALUE!</v>
      </c>
      <c r="Z30" s="190" t="e">
        <f>IF(Export!M28&lt;&gt;"",W30*Export!K28*(1/Export!M28),W30*Export!K28)</f>
        <v>#VALUE!</v>
      </c>
      <c r="AA30" s="190" t="e">
        <f>Y30*Export!J28</f>
        <v>#VALUE!</v>
      </c>
      <c r="AC30" s="143" t="e">
        <f t="shared" si="12"/>
        <v>#VALUE!</v>
      </c>
      <c r="AD30" s="144" t="e">
        <f t="shared" si="12"/>
        <v>#VALUE!</v>
      </c>
      <c r="AE30" s="144" t="e">
        <f t="shared" si="13"/>
        <v>#VALUE!</v>
      </c>
      <c r="AF30" s="144" t="e">
        <f t="shared" si="13"/>
        <v>#VALUE!</v>
      </c>
      <c r="AG30" s="144" t="e">
        <f t="shared" si="4"/>
        <v>#VALUE!</v>
      </c>
      <c r="AH30" s="198"/>
      <c r="AI30" s="198"/>
      <c r="AJ30" s="198"/>
      <c r="AK30" s="198"/>
      <c r="AL30" s="199"/>
      <c r="AM30" s="150"/>
      <c r="AN30" s="150"/>
      <c r="AO30" s="150"/>
      <c r="AP30" s="150"/>
      <c r="AQ30" s="151"/>
      <c r="AR30" s="144"/>
    </row>
    <row r="31" spans="1:45" x14ac:dyDescent="0.35">
      <c r="A31" s="130">
        <f>EffectivelyVax!B30</f>
        <v>2</v>
      </c>
      <c r="B31" s="131" t="str">
        <f>EffectivelyVax!C30</f>
        <v/>
      </c>
      <c r="C31" s="132" t="str">
        <f>Export!N29</f>
        <v/>
      </c>
      <c r="D31" s="177" t="str">
        <f>Export!B29</f>
        <v/>
      </c>
      <c r="E31" s="178" t="e">
        <f>C31*D31*HelperFunctions!G$31</f>
        <v>#VALUE!</v>
      </c>
      <c r="F31" s="179" t="e">
        <f>C31*D31*(1-HelperFunctions!G$31)</f>
        <v>#VALUE!</v>
      </c>
      <c r="G31" s="180" t="str">
        <f>Export!C29</f>
        <v/>
      </c>
      <c r="H31" s="191" t="e">
        <f>G31/(I30+'NotEffectivelyVax (current)'!F30*HelperFunctions!R$14+'NotEffectivelyVax (current)'!I30*HelperFunctions!R$14+'NotEffectivelyVax (current)'!L30*HelperFunctions!R$14+'NotEffectivelyVax (current)'!O30*HelperFunctions!R$14+'NotEffectivelyVax (current)'!R30*HelperFunctions!R$14+'NotEffectivelyVax (current)'!U30*HelperFunctions!R$14+'NotEffectivelyVax (current)'!X30*HelperFunctions!R$14+'NotEffectivelyVax (current)'!AA30*HelperFunctions!R$14+'NotEffectivelyVax (current)'!AD30*HelperFunctions!R$14+'NotEffectivelyVax (current)'!AG30*HelperFunctions!R$14+'NotEffectivelyVax (current)'!AJ30*HelperFunctions!R$14+'NotEffectivelyVax (current)'!AM30*HelperFunctions!R$14+'NotEffectivelyVax (current)'!AP30*HelperFunctions!R$28+'NotEffectivelyVax (current)'!AS30*HelperFunctions!R$28+'NotEffectivelyVax (current)'!AV30*HelperFunctions!R$28+'NotEffectivelyVax (current)'!AY30*HelperFunctions!R$28+'NotEffectivelyVax (current)'!BB30*HelperFunctions!R27+'NotEffectivelyVax (current)'!BE30*HelperFunctions!R26+'NotEffectivelyVax (current)'!BH30*HelperFunctions!R25+'NotEffectivelyVax (current)'!BK30*HelperFunctions!R24+'NotEffectivelyVax (current)'!BN30*HelperFunctions!R23+'NotEffectivelyVax (current)'!BQ30*HelperFunctions!R22+'NotEffectivelyVax (current)'!BT30*HelperFunctions!R21+'NotEffectivelyVax (current)'!BW30*HelperFunctions!R20+'NotEffectivelyVax (current)'!BZ30*HelperFunctions!R33+'NotEffectivelyVax (current)'!CC30*HelperFunctions!R32+'NotEffectivelyVax (current)'!CF30*HelperFunctions!R31)</f>
        <v>#VALUE!</v>
      </c>
      <c r="I31" s="192" t="e">
        <f t="shared" si="10"/>
        <v>#VALUE!</v>
      </c>
      <c r="J31" s="153">
        <f>SUM(EffectivelyVax!D30:BK30)</f>
        <v>0</v>
      </c>
      <c r="K31" s="193" t="e">
        <f t="shared" si="5"/>
        <v>#VALUE!</v>
      </c>
      <c r="L31" s="194" t="e">
        <f>I30*H31*Export!L29</f>
        <v>#VALUE!</v>
      </c>
      <c r="M31" s="195" t="e">
        <f t="shared" si="0"/>
        <v>#VALUE!</v>
      </c>
      <c r="N31" s="178" t="e">
        <f>IF(Export!M29&lt;&gt;"",K31*Export!K29*(1/Export!M29),K31*Export!K29)</f>
        <v>#VALUE!</v>
      </c>
      <c r="O31" s="154" t="e">
        <f>M31*Export!J29</f>
        <v>#VALUE!</v>
      </c>
      <c r="P31" s="186" t="e">
        <f>SUM('NotEffectivelyVax (current)'!F31,'NotEffectivelyVax (current)'!I31,'NotEffectivelyVax (current)'!L31,'NotEffectivelyVax (current)'!O31,'NotEffectivelyVax (current)'!R31,'NotEffectivelyVax (current)'!U31,'NotEffectivelyVax (current)'!X31,'NotEffectivelyVax (current)'!AA31,'NotEffectivelyVax (current)'!AD31,'NotEffectivelyVax (current)'!AG31,'NotEffectivelyVax (current)'!AJ31,'NotEffectivelyVax (current)'!AM31,'NotEffectivelyVax (current)'!AP31,'NotEffectivelyVax (current)'!AS31,'NotEffectivelyVax (current)'!AV31,'NotEffectivelyVax (current)'!AY31,'NotEffectivelyVax (current)'!BB31,'NotEffectivelyVax (current)'!BE31,'NotEffectivelyVax (current)'!BH31,'NotEffectivelyVax (current)'!BK31,'NotEffectivelyVax (current)'!BN31,'NotEffectivelyVax (current)'!BQ31,'NotEffectivelyVax (current)'!BT31,'NotEffectivelyVax (current)'!BW31,'NotEffectivelyVax (current)'!BZ31,'NotEffectivelyVax (current)'!CC31,'NotEffectivelyVax (current)'!CF31,'NotEffectivelyVax (current)'!CI31,'NotEffectivelyVax (current)'!CL31,'NotEffectivelyVax (current)'!CO31,'NotEffectivelyVax (current)'!CR31,'NotEffectivelyVax (current)'!CU31,'NotEffectivelyVax (current)'!CX31,'NotEffectivelyVax (current)'!DA31,'NotEffectivelyVax (current)'!DD31,'NotEffectivelyVax (current)'!DG31,'NotEffectivelyVax (current)'!DJ31,'NotEffectivelyVax (current)'!DM31,'NotEffectivelyVax (current)'!DP31,'NotEffectivelyVax (current)'!DS31,'NotEffectivelyVax (current)'!DV31,'NotEffectivelyVax (current)'!DY31,'NotEffectivelyVax (current)'!EB31,'NotEffectivelyVax (current)'!EE31,'NotEffectivelyVax (current)'!EH31,'NotEffectivelyVax (current)'!EK31,'NotEffectivelyVax (current)'!EN31,'NotEffectivelyVax (current)'!EQ31,'NotEffectivelyVax (current)'!ET31,'NotEffectivelyVax (current)'!EW31,'NotEffectivelyVax (current)'!EZ31,'NotEffectivelyVax (current)'!FC31,'NotEffectivelyVax (current)'!FF31,'NotEffectivelyVax (current)'!FI31,'NotEffectivelyVax (current)'!FL31,'NotEffectivelyVax (current)'!FO31,'NotEffectivelyVax (current)'!FR31,'NotEffectivelyVax (current)'!FU31,'NotEffectivelyVax (current)'!FX31,'NotEffectivelyVax (current)'!GA31)</f>
        <v>#VALUE!</v>
      </c>
      <c r="Q31" s="155" t="e">
        <f>SUM('NotEffectivelyVax (current)'!D31,'NotEffectivelyVax (current)'!G31,'NotEffectivelyVax (current)'!J31,'NotEffectivelyVax (current)'!M31,'NotEffectivelyVax (current)'!P31,'NotEffectivelyVax (current)'!S31,'NotEffectivelyVax (current)'!V31,'NotEffectivelyVax (current)'!Y31,'NotEffectivelyVax (current)'!AB31,'NotEffectivelyVax (current)'!AE31,'NotEffectivelyVax (current)'!AH31,'NotEffectivelyVax (current)'!AK31,'NotEffectivelyVax (current)'!AN31,'NotEffectivelyVax (current)'!AQ31,'NotEffectivelyVax (current)'!AT31,'NotEffectivelyVax (current)'!AW31,'NotEffectivelyVax (current)'!AZ31,'NotEffectivelyVax (current)'!BC31,'NotEffectivelyVax (current)'!BF31,'NotEffectivelyVax (current)'!BI31,'NotEffectivelyVax (current)'!BL31,'NotEffectivelyVax (current)'!BO31,'NotEffectivelyVax (current)'!BR31,'NotEffectivelyVax (current)'!BU31,'NotEffectivelyVax (current)'!BX31,'NotEffectivelyVax (current)'!CA31,'NotEffectivelyVax (current)'!CD31,'NotEffectivelyVax (current)'!CG31,'NotEffectivelyVax (current)'!CJ31,'NotEffectivelyVax (current)'!CM31,'NotEffectivelyVax (current)'!CP31,'NotEffectivelyVax (current)'!CS31,'NotEffectivelyVax (current)'!CV31,'NotEffectivelyVax (current)'!CY31,'NotEffectivelyVax (current)'!DB31,'NotEffectivelyVax (current)'!DE31,'NotEffectivelyVax (current)'!DH31,'NotEffectivelyVax (current)'!DK31,'NotEffectivelyVax (current)'!DN31,'NotEffectivelyVax (current)'!DQ31,'NotEffectivelyVax (current)'!DT31,'NotEffectivelyVax (current)'!DW31,'NotEffectivelyVax (current)'!DZ31,'NotEffectivelyVax (current)'!EC31,'NotEffectivelyVax (current)'!EF31,'NotEffectivelyVax (current)'!EI31,'NotEffectivelyVax (current)'!EL31,'NotEffectivelyVax (current)'!EO31,'NotEffectivelyVax (current)'!ER31,'NotEffectivelyVax (current)'!EU31,'NotEffectivelyVax (current)'!EX31,'NotEffectivelyVax (current)'!FA31,'NotEffectivelyVax (current)'!FD31,'NotEffectivelyVax (current)'!FG31,'NotEffectivelyVax (current)'!FJ31,'NotEffectivelyVax (current)'!FM31,'NotEffectivelyVax (current)'!FP31,'NotEffectivelyVax (current)'!FS31,'NotEffectivelyVax (current)'!FV31,'NotEffectivelyVax (current)'!FY31)</f>
        <v>#VALUE!</v>
      </c>
      <c r="R31" s="155" t="e">
        <f>SUM('NotEffectivelyVax (current)'!E31,'NotEffectivelyVax (current)'!H31,'NotEffectivelyVax (current)'!K31,'NotEffectivelyVax (current)'!N31,'NotEffectivelyVax (current)'!Q31,'NotEffectivelyVax (current)'!T31,'NotEffectivelyVax (current)'!W31,'NotEffectivelyVax (current)'!Z31,'NotEffectivelyVax (current)'!AC31,'NotEffectivelyVax (current)'!AF31,'NotEffectivelyVax (current)'!AI31,'NotEffectivelyVax (current)'!AL31,'NotEffectivelyVax (current)'!AO31,'NotEffectivelyVax (current)'!AR31,'NotEffectivelyVax (current)'!AU31,'NotEffectivelyVax (current)'!AX31,'NotEffectivelyVax (current)'!BA31,'NotEffectivelyVax (current)'!BD31,'NotEffectivelyVax (current)'!BG31,'NotEffectivelyVax (current)'!BJ31,'NotEffectivelyVax (current)'!BM31,'NotEffectivelyVax (current)'!BP31,'NotEffectivelyVax (current)'!BS31,'NotEffectivelyVax (current)'!BV31,'NotEffectivelyVax (current)'!BY31,'NotEffectivelyVax (current)'!CB31,'NotEffectivelyVax (current)'!CE31,'NotEffectivelyVax (current)'!CH31,'NotEffectivelyVax (current)'!CK31,'NotEffectivelyVax (current)'!CN31,'NotEffectivelyVax (current)'!CQ31,'NotEffectivelyVax (current)'!CT31,'NotEffectivelyVax (current)'!CW31,'NotEffectivelyVax (current)'!CZ31,'NotEffectivelyVax (current)'!DC31,'NotEffectivelyVax (current)'!DF31,'NotEffectivelyVax (current)'!DI31,'NotEffectivelyVax (current)'!DL31,'NotEffectivelyVax (current)'!DO31,'NotEffectivelyVax (current)'!DR31,'NotEffectivelyVax (current)'!DU31,'NotEffectivelyVax (current)'!DX31,'NotEffectivelyVax (current)'!EA31,'NotEffectivelyVax (current)'!ED31,'NotEffectivelyVax (current)'!EG31,'NotEffectivelyVax (current)'!EJ31,'NotEffectivelyVax (current)'!EM31,'NotEffectivelyVax (current)'!EP31,'NotEffectivelyVax (current)'!ES31,'NotEffectivelyVax (current)'!EV31,'NotEffectivelyVax (current)'!EY31,'NotEffectivelyVax (current)'!FB31,'NotEffectivelyVax (current)'!FE31,'NotEffectivelyVax (current)'!FH31,'NotEffectivelyVax (current)'!FK31,'NotEffectivelyVax (current)'!FN31,'NotEffectivelyVax (current)'!FQ31,'NotEffectivelyVax (current)'!FT31,'NotEffectivelyVax (current)'!FW31,'NotEffectivelyVax (current)'!FZ31)</f>
        <v>#VALUE!</v>
      </c>
      <c r="S31" s="138" t="e">
        <f t="shared" si="6"/>
        <v>#VALUE!</v>
      </c>
      <c r="T31" s="187" t="e">
        <f>IF(Export!M29&lt;&gt;"",Q31*Export!K29*(1/Export!M29),Q31*Export!K29)</f>
        <v>#VALUE!</v>
      </c>
      <c r="U31" s="188" t="e">
        <f>S31*Export!J29</f>
        <v>#VALUE!</v>
      </c>
      <c r="V31" s="196" t="e">
        <f t="shared" si="11"/>
        <v>#DIV/0!</v>
      </c>
      <c r="W31" s="197" t="e">
        <f t="shared" si="8"/>
        <v>#VALUE!</v>
      </c>
      <c r="X31" s="190" t="e">
        <f>H31*Export!L29*V30</f>
        <v>#VALUE!</v>
      </c>
      <c r="Y31" s="190" t="e">
        <f t="shared" si="1"/>
        <v>#VALUE!</v>
      </c>
      <c r="Z31" s="190" t="e">
        <f>IF(Export!M29&lt;&gt;"",W31*Export!K29*(1/Export!M29),W31*Export!K29)</f>
        <v>#VALUE!</v>
      </c>
      <c r="AA31" s="190" t="e">
        <f>Y31*Export!J29</f>
        <v>#VALUE!</v>
      </c>
      <c r="AC31" s="143" t="e">
        <f t="shared" si="12"/>
        <v>#VALUE!</v>
      </c>
      <c r="AD31" s="144" t="e">
        <f t="shared" si="12"/>
        <v>#VALUE!</v>
      </c>
      <c r="AE31" s="144" t="e">
        <f t="shared" si="13"/>
        <v>#VALUE!</v>
      </c>
      <c r="AF31" s="144" t="e">
        <f t="shared" si="13"/>
        <v>#VALUE!</v>
      </c>
      <c r="AG31" s="144" t="e">
        <f t="shared" si="4"/>
        <v>#VALUE!</v>
      </c>
      <c r="AH31" s="198"/>
      <c r="AI31" s="198"/>
      <c r="AJ31" s="198"/>
      <c r="AK31" s="198"/>
      <c r="AL31" s="199"/>
      <c r="AM31" s="150"/>
      <c r="AN31" s="150"/>
      <c r="AO31" s="150"/>
      <c r="AP31" s="150"/>
      <c r="AQ31" s="151"/>
      <c r="AR31" s="144"/>
    </row>
    <row r="32" spans="1:45" x14ac:dyDescent="0.35">
      <c r="A32" s="130">
        <f>EffectivelyVax!B31</f>
        <v>2</v>
      </c>
      <c r="B32" s="131" t="str">
        <f>EffectivelyVax!C31</f>
        <v/>
      </c>
      <c r="C32" s="132" t="str">
        <f>Export!N30</f>
        <v/>
      </c>
      <c r="D32" s="177" t="str">
        <f>Export!B30</f>
        <v/>
      </c>
      <c r="E32" s="178" t="e">
        <f>C32*D32*HelperFunctions!G$31</f>
        <v>#VALUE!</v>
      </c>
      <c r="F32" s="179" t="e">
        <f>C32*D32*(1-HelperFunctions!G$31)</f>
        <v>#VALUE!</v>
      </c>
      <c r="G32" s="180" t="str">
        <f>Export!C30</f>
        <v/>
      </c>
      <c r="H32" s="191" t="e">
        <f>G32/(I31+'NotEffectivelyVax (current)'!F31*HelperFunctions!R$14+'NotEffectivelyVax (current)'!I31*HelperFunctions!R$14+'NotEffectivelyVax (current)'!L31*HelperFunctions!R$14+'NotEffectivelyVax (current)'!O31*HelperFunctions!R$14+'NotEffectivelyVax (current)'!R31*HelperFunctions!R$14+'NotEffectivelyVax (current)'!U31*HelperFunctions!R$14+'NotEffectivelyVax (current)'!X31*HelperFunctions!R$14+'NotEffectivelyVax (current)'!AA31*HelperFunctions!R$14+'NotEffectivelyVax (current)'!AD31*HelperFunctions!R$14+'NotEffectivelyVax (current)'!AG31*HelperFunctions!R$14+'NotEffectivelyVax (current)'!AJ31*HelperFunctions!R$14+'NotEffectivelyVax (current)'!AM31*HelperFunctions!R$14+'NotEffectivelyVax (current)'!AP31*HelperFunctions!R$28+'NotEffectivelyVax (current)'!AS31*HelperFunctions!R$28+'NotEffectivelyVax (current)'!AV31*HelperFunctions!R$28+'NotEffectivelyVax (current)'!AY31*HelperFunctions!R$28+'NotEffectivelyVax (current)'!BB31*HelperFunctions!R$28+'NotEffectivelyVax (current)'!BE31*HelperFunctions!R27+'NotEffectivelyVax (current)'!BH31*HelperFunctions!R26+'NotEffectivelyVax (current)'!BK31*HelperFunctions!R25+'NotEffectivelyVax (current)'!BN31*HelperFunctions!R24+'NotEffectivelyVax (current)'!BQ31*HelperFunctions!R23+'NotEffectivelyVax (current)'!BT31*HelperFunctions!R22+'NotEffectivelyVax (current)'!BW31*HelperFunctions!R21+'NotEffectivelyVax (current)'!BZ31*HelperFunctions!R34+'NotEffectivelyVax (current)'!CC31*HelperFunctions!R33+'NotEffectivelyVax (current)'!CF31*HelperFunctions!R32+'NotEffectivelyVax (current)'!CI31*HelperFunctions!R31)</f>
        <v>#VALUE!</v>
      </c>
      <c r="I32" s="192" t="e">
        <f t="shared" si="10"/>
        <v>#VALUE!</v>
      </c>
      <c r="J32" s="153">
        <f>SUM(EffectivelyVax!D31:BK31)</f>
        <v>0</v>
      </c>
      <c r="K32" s="193" t="e">
        <f t="shared" si="5"/>
        <v>#VALUE!</v>
      </c>
      <c r="L32" s="194" t="e">
        <f>I31*H32*Export!L30</f>
        <v>#VALUE!</v>
      </c>
      <c r="M32" s="195" t="e">
        <f t="shared" si="0"/>
        <v>#VALUE!</v>
      </c>
      <c r="N32" s="178" t="e">
        <f>IF(Export!M30&lt;&gt;"",K32*Export!K30*(1/Export!M30),K32*Export!K30)</f>
        <v>#VALUE!</v>
      </c>
      <c r="O32" s="154" t="e">
        <f>M32*Export!J30</f>
        <v>#VALUE!</v>
      </c>
      <c r="P32" s="186" t="e">
        <f>SUM('NotEffectivelyVax (current)'!F32,'NotEffectivelyVax (current)'!I32,'NotEffectivelyVax (current)'!L32,'NotEffectivelyVax (current)'!O32,'NotEffectivelyVax (current)'!R32,'NotEffectivelyVax (current)'!U32,'NotEffectivelyVax (current)'!X32,'NotEffectivelyVax (current)'!AA32,'NotEffectivelyVax (current)'!AD32,'NotEffectivelyVax (current)'!AG32,'NotEffectivelyVax (current)'!AJ32,'NotEffectivelyVax (current)'!AM32,'NotEffectivelyVax (current)'!AP32,'NotEffectivelyVax (current)'!AS32,'NotEffectivelyVax (current)'!AV32,'NotEffectivelyVax (current)'!AY32,'NotEffectivelyVax (current)'!BB32,'NotEffectivelyVax (current)'!BE32,'NotEffectivelyVax (current)'!BH32,'NotEffectivelyVax (current)'!BK32,'NotEffectivelyVax (current)'!BN32,'NotEffectivelyVax (current)'!BQ32,'NotEffectivelyVax (current)'!BT32,'NotEffectivelyVax (current)'!BW32,'NotEffectivelyVax (current)'!BZ32,'NotEffectivelyVax (current)'!CC32,'NotEffectivelyVax (current)'!CF32,'NotEffectivelyVax (current)'!CI32,'NotEffectivelyVax (current)'!CL32,'NotEffectivelyVax (current)'!CO32,'NotEffectivelyVax (current)'!CR32,'NotEffectivelyVax (current)'!CU32,'NotEffectivelyVax (current)'!CX32,'NotEffectivelyVax (current)'!DA32,'NotEffectivelyVax (current)'!DD32,'NotEffectivelyVax (current)'!DG32,'NotEffectivelyVax (current)'!DJ32,'NotEffectivelyVax (current)'!DM32,'NotEffectivelyVax (current)'!DP32,'NotEffectivelyVax (current)'!DS32,'NotEffectivelyVax (current)'!DV32,'NotEffectivelyVax (current)'!DY32,'NotEffectivelyVax (current)'!EB32,'NotEffectivelyVax (current)'!EE32,'NotEffectivelyVax (current)'!EH32,'NotEffectivelyVax (current)'!EK32,'NotEffectivelyVax (current)'!EN32,'NotEffectivelyVax (current)'!EQ32,'NotEffectivelyVax (current)'!ET32,'NotEffectivelyVax (current)'!EW32,'NotEffectivelyVax (current)'!EZ32,'NotEffectivelyVax (current)'!FC32,'NotEffectivelyVax (current)'!FF32,'NotEffectivelyVax (current)'!FI32,'NotEffectivelyVax (current)'!FL32,'NotEffectivelyVax (current)'!FO32,'NotEffectivelyVax (current)'!FR32,'NotEffectivelyVax (current)'!FU32,'NotEffectivelyVax (current)'!FX32,'NotEffectivelyVax (current)'!GA32)</f>
        <v>#VALUE!</v>
      </c>
      <c r="Q32" s="155" t="e">
        <f>SUM('NotEffectivelyVax (current)'!D32,'NotEffectivelyVax (current)'!G32,'NotEffectivelyVax (current)'!J32,'NotEffectivelyVax (current)'!M32,'NotEffectivelyVax (current)'!P32,'NotEffectivelyVax (current)'!S32,'NotEffectivelyVax (current)'!V32,'NotEffectivelyVax (current)'!Y32,'NotEffectivelyVax (current)'!AB32,'NotEffectivelyVax (current)'!AE32,'NotEffectivelyVax (current)'!AH32,'NotEffectivelyVax (current)'!AK32,'NotEffectivelyVax (current)'!AN32,'NotEffectivelyVax (current)'!AQ32,'NotEffectivelyVax (current)'!AT32,'NotEffectivelyVax (current)'!AW32,'NotEffectivelyVax (current)'!AZ32,'NotEffectivelyVax (current)'!BC32,'NotEffectivelyVax (current)'!BF32,'NotEffectivelyVax (current)'!BI32,'NotEffectivelyVax (current)'!BL32,'NotEffectivelyVax (current)'!BO32,'NotEffectivelyVax (current)'!BR32,'NotEffectivelyVax (current)'!BU32,'NotEffectivelyVax (current)'!BX32,'NotEffectivelyVax (current)'!CA32,'NotEffectivelyVax (current)'!CD32,'NotEffectivelyVax (current)'!CG32,'NotEffectivelyVax (current)'!CJ32,'NotEffectivelyVax (current)'!CM32,'NotEffectivelyVax (current)'!CP32,'NotEffectivelyVax (current)'!CS32,'NotEffectivelyVax (current)'!CV32,'NotEffectivelyVax (current)'!CY32,'NotEffectivelyVax (current)'!DB32,'NotEffectivelyVax (current)'!DE32,'NotEffectivelyVax (current)'!DH32,'NotEffectivelyVax (current)'!DK32,'NotEffectivelyVax (current)'!DN32,'NotEffectivelyVax (current)'!DQ32,'NotEffectivelyVax (current)'!DT32,'NotEffectivelyVax (current)'!DW32,'NotEffectivelyVax (current)'!DZ32,'NotEffectivelyVax (current)'!EC32,'NotEffectivelyVax (current)'!EF32,'NotEffectivelyVax (current)'!EI32,'NotEffectivelyVax (current)'!EL32,'NotEffectivelyVax (current)'!EO32,'NotEffectivelyVax (current)'!ER32,'NotEffectivelyVax (current)'!EU32,'NotEffectivelyVax (current)'!EX32,'NotEffectivelyVax (current)'!FA32,'NotEffectivelyVax (current)'!FD32,'NotEffectivelyVax (current)'!FG32,'NotEffectivelyVax (current)'!FJ32,'NotEffectivelyVax (current)'!FM32,'NotEffectivelyVax (current)'!FP32,'NotEffectivelyVax (current)'!FS32,'NotEffectivelyVax (current)'!FV32,'NotEffectivelyVax (current)'!FY32)</f>
        <v>#VALUE!</v>
      </c>
      <c r="R32" s="155" t="e">
        <f>SUM('NotEffectivelyVax (current)'!E32,'NotEffectivelyVax (current)'!H32,'NotEffectivelyVax (current)'!K32,'NotEffectivelyVax (current)'!N32,'NotEffectivelyVax (current)'!Q32,'NotEffectivelyVax (current)'!T32,'NotEffectivelyVax (current)'!W32,'NotEffectivelyVax (current)'!Z32,'NotEffectivelyVax (current)'!AC32,'NotEffectivelyVax (current)'!AF32,'NotEffectivelyVax (current)'!AI32,'NotEffectivelyVax (current)'!AL32,'NotEffectivelyVax (current)'!AO32,'NotEffectivelyVax (current)'!AR32,'NotEffectivelyVax (current)'!AU32,'NotEffectivelyVax (current)'!AX32,'NotEffectivelyVax (current)'!BA32,'NotEffectivelyVax (current)'!BD32,'NotEffectivelyVax (current)'!BG32,'NotEffectivelyVax (current)'!BJ32,'NotEffectivelyVax (current)'!BM32,'NotEffectivelyVax (current)'!BP32,'NotEffectivelyVax (current)'!BS32,'NotEffectivelyVax (current)'!BV32,'NotEffectivelyVax (current)'!BY32,'NotEffectivelyVax (current)'!CB32,'NotEffectivelyVax (current)'!CE32,'NotEffectivelyVax (current)'!CH32,'NotEffectivelyVax (current)'!CK32,'NotEffectivelyVax (current)'!CN32,'NotEffectivelyVax (current)'!CQ32,'NotEffectivelyVax (current)'!CT32,'NotEffectivelyVax (current)'!CW32,'NotEffectivelyVax (current)'!CZ32,'NotEffectivelyVax (current)'!DC32,'NotEffectivelyVax (current)'!DF32,'NotEffectivelyVax (current)'!DI32,'NotEffectivelyVax (current)'!DL32,'NotEffectivelyVax (current)'!DO32,'NotEffectivelyVax (current)'!DR32,'NotEffectivelyVax (current)'!DU32,'NotEffectivelyVax (current)'!DX32,'NotEffectivelyVax (current)'!EA32,'NotEffectivelyVax (current)'!ED32,'NotEffectivelyVax (current)'!EG32,'NotEffectivelyVax (current)'!EJ32,'NotEffectivelyVax (current)'!EM32,'NotEffectivelyVax (current)'!EP32,'NotEffectivelyVax (current)'!ES32,'NotEffectivelyVax (current)'!EV32,'NotEffectivelyVax (current)'!EY32,'NotEffectivelyVax (current)'!FB32,'NotEffectivelyVax (current)'!FE32,'NotEffectivelyVax (current)'!FH32,'NotEffectivelyVax (current)'!FK32,'NotEffectivelyVax (current)'!FN32,'NotEffectivelyVax (current)'!FQ32,'NotEffectivelyVax (current)'!FT32,'NotEffectivelyVax (current)'!FW32,'NotEffectivelyVax (current)'!FZ32)</f>
        <v>#VALUE!</v>
      </c>
      <c r="S32" s="138" t="e">
        <f t="shared" si="6"/>
        <v>#VALUE!</v>
      </c>
      <c r="T32" s="187" t="e">
        <f>IF(Export!M30&lt;&gt;"",Q32*Export!K30*(1/Export!M30),Q32*Export!K30)</f>
        <v>#VALUE!</v>
      </c>
      <c r="U32" s="188" t="e">
        <f>S32*Export!J30</f>
        <v>#VALUE!</v>
      </c>
      <c r="V32" s="196" t="e">
        <f t="shared" si="11"/>
        <v>#DIV/0!</v>
      </c>
      <c r="W32" s="197" t="e">
        <f t="shared" si="8"/>
        <v>#VALUE!</v>
      </c>
      <c r="X32" s="190" t="e">
        <f>H32*Export!L30*V31</f>
        <v>#VALUE!</v>
      </c>
      <c r="Y32" s="190" t="e">
        <f t="shared" si="1"/>
        <v>#VALUE!</v>
      </c>
      <c r="Z32" s="190" t="e">
        <f>IF(Export!M30&lt;&gt;"",W32*Export!K30*(1/Export!M30),W32*Export!K30)</f>
        <v>#VALUE!</v>
      </c>
      <c r="AA32" s="190" t="e">
        <f>Y32*Export!J30</f>
        <v>#VALUE!</v>
      </c>
      <c r="AC32" s="143" t="e">
        <f t="shared" si="12"/>
        <v>#VALUE!</v>
      </c>
      <c r="AD32" s="144" t="e">
        <f t="shared" si="12"/>
        <v>#VALUE!</v>
      </c>
      <c r="AE32" s="144" t="e">
        <f t="shared" si="13"/>
        <v>#VALUE!</v>
      </c>
      <c r="AF32" s="144" t="e">
        <f t="shared" si="13"/>
        <v>#VALUE!</v>
      </c>
      <c r="AG32" s="144" t="e">
        <f t="shared" si="4"/>
        <v>#VALUE!</v>
      </c>
      <c r="AH32" s="198"/>
      <c r="AI32" s="198"/>
      <c r="AJ32" s="198"/>
      <c r="AK32" s="198"/>
      <c r="AL32" s="199"/>
      <c r="AM32" s="150"/>
      <c r="AN32" s="150"/>
      <c r="AO32" s="150"/>
      <c r="AP32" s="150"/>
      <c r="AQ32" s="151"/>
      <c r="AR32" s="144"/>
    </row>
    <row r="33" spans="1:44" x14ac:dyDescent="0.35">
      <c r="A33" s="130">
        <f>EffectivelyVax!B32</f>
        <v>2</v>
      </c>
      <c r="B33" s="131" t="str">
        <f>EffectivelyVax!C32</f>
        <v/>
      </c>
      <c r="C33" s="132" t="str">
        <f>Export!N31</f>
        <v/>
      </c>
      <c r="D33" s="177" t="str">
        <f>Export!B31</f>
        <v/>
      </c>
      <c r="E33" s="178" t="e">
        <f>C33*D33*HelperFunctions!G$31</f>
        <v>#VALUE!</v>
      </c>
      <c r="F33" s="179" t="e">
        <f>C33*D33*(1-HelperFunctions!G$31)</f>
        <v>#VALUE!</v>
      </c>
      <c r="G33" s="180" t="str">
        <f>Export!C31</f>
        <v/>
      </c>
      <c r="H33" s="191" t="e">
        <f>G33/(I32+'NotEffectivelyVax (current)'!F32*HelperFunctions!R$14+'NotEffectivelyVax (current)'!I32*HelperFunctions!R$14+'NotEffectivelyVax (current)'!L32*HelperFunctions!R$14+'NotEffectivelyVax (current)'!O32*HelperFunctions!R$14+'NotEffectivelyVax (current)'!R32*HelperFunctions!R$14+'NotEffectivelyVax (current)'!U32*HelperFunctions!R$14+'NotEffectivelyVax (current)'!X32*HelperFunctions!R$14+'NotEffectivelyVax (current)'!AA32*HelperFunctions!R$14+'NotEffectivelyVax (current)'!AD32*HelperFunctions!R$14+'NotEffectivelyVax (current)'!AG32*HelperFunctions!R$14+'NotEffectivelyVax (current)'!AJ32*HelperFunctions!R$14+'NotEffectivelyVax (current)'!AM32*HelperFunctions!R$14+'NotEffectivelyVax (current)'!AP32*HelperFunctions!R$28+'NotEffectivelyVax (current)'!AS32*HelperFunctions!R$28+'NotEffectivelyVax (current)'!AV32*HelperFunctions!R$28+'NotEffectivelyVax (current)'!AY32*HelperFunctions!R$28+'NotEffectivelyVax (current)'!BB32*HelperFunctions!R$28+'NotEffectivelyVax (current)'!BE32*HelperFunctions!R$28+'NotEffectivelyVax (current)'!BH32*HelperFunctions!R27+'NotEffectivelyVax (current)'!BK32*HelperFunctions!R26+'NotEffectivelyVax (current)'!BN32*HelperFunctions!R25+'NotEffectivelyVax (current)'!BQ32*HelperFunctions!R24+'NotEffectivelyVax (current)'!BT32*HelperFunctions!R23+'NotEffectivelyVax (current)'!BW32*HelperFunctions!R22+'NotEffectivelyVax (current)'!BZ32*HelperFunctions!R35+'NotEffectivelyVax (current)'!CC32*HelperFunctions!R34+'NotEffectivelyVax (current)'!CF32*HelperFunctions!R33+'NotEffectivelyVax (current)'!CI32*HelperFunctions!R32+'NotEffectivelyVax (current)'!CL32*HelperFunctions!R31)</f>
        <v>#VALUE!</v>
      </c>
      <c r="I33" s="192" t="e">
        <f t="shared" si="10"/>
        <v>#VALUE!</v>
      </c>
      <c r="J33" s="153">
        <f>SUM(EffectivelyVax!D32:BK32)</f>
        <v>0</v>
      </c>
      <c r="K33" s="193" t="e">
        <f t="shared" si="5"/>
        <v>#VALUE!</v>
      </c>
      <c r="L33" s="194" t="e">
        <f>I32*H33*Export!L31</f>
        <v>#VALUE!</v>
      </c>
      <c r="M33" s="195" t="e">
        <f t="shared" si="0"/>
        <v>#VALUE!</v>
      </c>
      <c r="N33" s="178" t="e">
        <f>IF(Export!M31&lt;&gt;"",K33*Export!K31*(1/Export!M31),K33*Export!K31)</f>
        <v>#VALUE!</v>
      </c>
      <c r="O33" s="154" t="e">
        <f>M33*Export!J31</f>
        <v>#VALUE!</v>
      </c>
      <c r="P33" s="186" t="e">
        <f>SUM('NotEffectivelyVax (current)'!F33,'NotEffectivelyVax (current)'!I33,'NotEffectivelyVax (current)'!L33,'NotEffectivelyVax (current)'!O33,'NotEffectivelyVax (current)'!R33,'NotEffectivelyVax (current)'!U33,'NotEffectivelyVax (current)'!X33,'NotEffectivelyVax (current)'!AA33,'NotEffectivelyVax (current)'!AD33,'NotEffectivelyVax (current)'!AG33,'NotEffectivelyVax (current)'!AJ33,'NotEffectivelyVax (current)'!AM33,'NotEffectivelyVax (current)'!AP33,'NotEffectivelyVax (current)'!AS33,'NotEffectivelyVax (current)'!AV33,'NotEffectivelyVax (current)'!AY33,'NotEffectivelyVax (current)'!BB33,'NotEffectivelyVax (current)'!BE33,'NotEffectivelyVax (current)'!BH33,'NotEffectivelyVax (current)'!BK33,'NotEffectivelyVax (current)'!BN33,'NotEffectivelyVax (current)'!BQ33,'NotEffectivelyVax (current)'!BT33,'NotEffectivelyVax (current)'!BW33,'NotEffectivelyVax (current)'!BZ33,'NotEffectivelyVax (current)'!CC33,'NotEffectivelyVax (current)'!CF33,'NotEffectivelyVax (current)'!CI33,'NotEffectivelyVax (current)'!CL33,'NotEffectivelyVax (current)'!CO33,'NotEffectivelyVax (current)'!CR33,'NotEffectivelyVax (current)'!CU33,'NotEffectivelyVax (current)'!CX33,'NotEffectivelyVax (current)'!DA33,'NotEffectivelyVax (current)'!DD33,'NotEffectivelyVax (current)'!DG33,'NotEffectivelyVax (current)'!DJ33,'NotEffectivelyVax (current)'!DM33,'NotEffectivelyVax (current)'!DP33,'NotEffectivelyVax (current)'!DS33,'NotEffectivelyVax (current)'!DV33,'NotEffectivelyVax (current)'!DY33,'NotEffectivelyVax (current)'!EB33,'NotEffectivelyVax (current)'!EE33,'NotEffectivelyVax (current)'!EH33,'NotEffectivelyVax (current)'!EK33,'NotEffectivelyVax (current)'!EN33,'NotEffectivelyVax (current)'!EQ33,'NotEffectivelyVax (current)'!ET33,'NotEffectivelyVax (current)'!EW33,'NotEffectivelyVax (current)'!EZ33,'NotEffectivelyVax (current)'!FC33,'NotEffectivelyVax (current)'!FF33,'NotEffectivelyVax (current)'!FI33,'NotEffectivelyVax (current)'!FL33,'NotEffectivelyVax (current)'!FO33,'NotEffectivelyVax (current)'!FR33,'NotEffectivelyVax (current)'!FU33,'NotEffectivelyVax (current)'!FX33,'NotEffectivelyVax (current)'!GA33)</f>
        <v>#VALUE!</v>
      </c>
      <c r="Q33" s="155" t="e">
        <f>SUM('NotEffectivelyVax (current)'!D33,'NotEffectivelyVax (current)'!G33,'NotEffectivelyVax (current)'!J33,'NotEffectivelyVax (current)'!M33,'NotEffectivelyVax (current)'!P33,'NotEffectivelyVax (current)'!S33,'NotEffectivelyVax (current)'!V33,'NotEffectivelyVax (current)'!Y33,'NotEffectivelyVax (current)'!AB33,'NotEffectivelyVax (current)'!AE33,'NotEffectivelyVax (current)'!AH33,'NotEffectivelyVax (current)'!AK33,'NotEffectivelyVax (current)'!AN33,'NotEffectivelyVax (current)'!AQ33,'NotEffectivelyVax (current)'!AT33,'NotEffectivelyVax (current)'!AW33,'NotEffectivelyVax (current)'!AZ33,'NotEffectivelyVax (current)'!BC33,'NotEffectivelyVax (current)'!BF33,'NotEffectivelyVax (current)'!BI33,'NotEffectivelyVax (current)'!BL33,'NotEffectivelyVax (current)'!BO33,'NotEffectivelyVax (current)'!BR33,'NotEffectivelyVax (current)'!BU33,'NotEffectivelyVax (current)'!BX33,'NotEffectivelyVax (current)'!CA33,'NotEffectivelyVax (current)'!CD33,'NotEffectivelyVax (current)'!CG33,'NotEffectivelyVax (current)'!CJ33,'NotEffectivelyVax (current)'!CM33,'NotEffectivelyVax (current)'!CP33,'NotEffectivelyVax (current)'!CS33,'NotEffectivelyVax (current)'!CV33,'NotEffectivelyVax (current)'!CY33,'NotEffectivelyVax (current)'!DB33,'NotEffectivelyVax (current)'!DE33,'NotEffectivelyVax (current)'!DH33,'NotEffectivelyVax (current)'!DK33,'NotEffectivelyVax (current)'!DN33,'NotEffectivelyVax (current)'!DQ33,'NotEffectivelyVax (current)'!DT33,'NotEffectivelyVax (current)'!DW33,'NotEffectivelyVax (current)'!DZ33,'NotEffectivelyVax (current)'!EC33,'NotEffectivelyVax (current)'!EF33,'NotEffectivelyVax (current)'!EI33,'NotEffectivelyVax (current)'!EL33,'NotEffectivelyVax (current)'!EO33,'NotEffectivelyVax (current)'!ER33,'NotEffectivelyVax (current)'!EU33,'NotEffectivelyVax (current)'!EX33,'NotEffectivelyVax (current)'!FA33,'NotEffectivelyVax (current)'!FD33,'NotEffectivelyVax (current)'!FG33,'NotEffectivelyVax (current)'!FJ33,'NotEffectivelyVax (current)'!FM33,'NotEffectivelyVax (current)'!FP33,'NotEffectivelyVax (current)'!FS33,'NotEffectivelyVax (current)'!FV33,'NotEffectivelyVax (current)'!FY33)</f>
        <v>#VALUE!</v>
      </c>
      <c r="R33" s="155" t="e">
        <f>SUM('NotEffectivelyVax (current)'!E33,'NotEffectivelyVax (current)'!H33,'NotEffectivelyVax (current)'!K33,'NotEffectivelyVax (current)'!N33,'NotEffectivelyVax (current)'!Q33,'NotEffectivelyVax (current)'!T33,'NotEffectivelyVax (current)'!W33,'NotEffectivelyVax (current)'!Z33,'NotEffectivelyVax (current)'!AC33,'NotEffectivelyVax (current)'!AF33,'NotEffectivelyVax (current)'!AI33,'NotEffectivelyVax (current)'!AL33,'NotEffectivelyVax (current)'!AO33,'NotEffectivelyVax (current)'!AR33,'NotEffectivelyVax (current)'!AU33,'NotEffectivelyVax (current)'!AX33,'NotEffectivelyVax (current)'!BA33,'NotEffectivelyVax (current)'!BD33,'NotEffectivelyVax (current)'!BG33,'NotEffectivelyVax (current)'!BJ33,'NotEffectivelyVax (current)'!BM33,'NotEffectivelyVax (current)'!BP33,'NotEffectivelyVax (current)'!BS33,'NotEffectivelyVax (current)'!BV33,'NotEffectivelyVax (current)'!BY33,'NotEffectivelyVax (current)'!CB33,'NotEffectivelyVax (current)'!CE33,'NotEffectivelyVax (current)'!CH33,'NotEffectivelyVax (current)'!CK33,'NotEffectivelyVax (current)'!CN33,'NotEffectivelyVax (current)'!CQ33,'NotEffectivelyVax (current)'!CT33,'NotEffectivelyVax (current)'!CW33,'NotEffectivelyVax (current)'!CZ33,'NotEffectivelyVax (current)'!DC33,'NotEffectivelyVax (current)'!DF33,'NotEffectivelyVax (current)'!DI33,'NotEffectivelyVax (current)'!DL33,'NotEffectivelyVax (current)'!DO33,'NotEffectivelyVax (current)'!DR33,'NotEffectivelyVax (current)'!DU33,'NotEffectivelyVax (current)'!DX33,'NotEffectivelyVax (current)'!EA33,'NotEffectivelyVax (current)'!ED33,'NotEffectivelyVax (current)'!EG33,'NotEffectivelyVax (current)'!EJ33,'NotEffectivelyVax (current)'!EM33,'NotEffectivelyVax (current)'!EP33,'NotEffectivelyVax (current)'!ES33,'NotEffectivelyVax (current)'!EV33,'NotEffectivelyVax (current)'!EY33,'NotEffectivelyVax (current)'!FB33,'NotEffectivelyVax (current)'!FE33,'NotEffectivelyVax (current)'!FH33,'NotEffectivelyVax (current)'!FK33,'NotEffectivelyVax (current)'!FN33,'NotEffectivelyVax (current)'!FQ33,'NotEffectivelyVax (current)'!FT33,'NotEffectivelyVax (current)'!FW33,'NotEffectivelyVax (current)'!FZ33)</f>
        <v>#VALUE!</v>
      </c>
      <c r="S33" s="138" t="e">
        <f t="shared" si="6"/>
        <v>#VALUE!</v>
      </c>
      <c r="T33" s="187" t="e">
        <f>IF(Export!M31&lt;&gt;"",Q33*Export!K31*(1/Export!M31),Q33*Export!K31)</f>
        <v>#VALUE!</v>
      </c>
      <c r="U33" s="188" t="e">
        <f>S33*Export!J31</f>
        <v>#VALUE!</v>
      </c>
      <c r="V33" s="196" t="e">
        <f t="shared" si="11"/>
        <v>#DIV/0!</v>
      </c>
      <c r="W33" s="197" t="e">
        <f t="shared" si="8"/>
        <v>#VALUE!</v>
      </c>
      <c r="X33" s="190" t="e">
        <f>H33*Export!L31*V32</f>
        <v>#VALUE!</v>
      </c>
      <c r="Y33" s="190" t="e">
        <f t="shared" si="1"/>
        <v>#VALUE!</v>
      </c>
      <c r="Z33" s="190" t="e">
        <f>IF(Export!M31&lt;&gt;"",W33*Export!K31*(1/Export!M31),W33*Export!K31)</f>
        <v>#VALUE!</v>
      </c>
      <c r="AA33" s="190" t="e">
        <f>Y33*Export!J31</f>
        <v>#VALUE!</v>
      </c>
      <c r="AC33" s="143" t="e">
        <f t="shared" si="12"/>
        <v>#VALUE!</v>
      </c>
      <c r="AD33" s="144" t="e">
        <f t="shared" si="12"/>
        <v>#VALUE!</v>
      </c>
      <c r="AE33" s="144" t="e">
        <f t="shared" si="13"/>
        <v>#VALUE!</v>
      </c>
      <c r="AF33" s="144" t="e">
        <f t="shared" si="13"/>
        <v>#VALUE!</v>
      </c>
      <c r="AG33" s="144" t="e">
        <f t="shared" si="4"/>
        <v>#VALUE!</v>
      </c>
      <c r="AH33" s="198"/>
      <c r="AI33" s="198"/>
      <c r="AJ33" s="198"/>
      <c r="AK33" s="198"/>
      <c r="AL33" s="199"/>
      <c r="AM33" s="150"/>
      <c r="AN33" s="150"/>
      <c r="AO33" s="150"/>
      <c r="AP33" s="150"/>
      <c r="AQ33" s="151"/>
    </row>
    <row r="34" spans="1:44" x14ac:dyDescent="0.35">
      <c r="A34" s="130">
        <f>EffectivelyVax!B33</f>
        <v>2</v>
      </c>
      <c r="B34" s="131" t="str">
        <f>EffectivelyVax!C33</f>
        <v/>
      </c>
      <c r="C34" s="132" t="str">
        <f>Export!N32</f>
        <v/>
      </c>
      <c r="D34" s="177" t="str">
        <f>Export!B32</f>
        <v/>
      </c>
      <c r="E34" s="178" t="e">
        <f>C34*D34*HelperFunctions!G$31</f>
        <v>#VALUE!</v>
      </c>
      <c r="F34" s="179" t="e">
        <f>C34*D34*(1-HelperFunctions!G$31)</f>
        <v>#VALUE!</v>
      </c>
      <c r="G34" s="180" t="str">
        <f>Export!C32</f>
        <v/>
      </c>
      <c r="H34" s="191" t="e">
        <f>G34/(I33+'NotEffectivelyVax (current)'!F33*HelperFunctions!R$14+'NotEffectivelyVax (current)'!I33*HelperFunctions!R$14+'NotEffectivelyVax (current)'!L33*HelperFunctions!R$14+'NotEffectivelyVax (current)'!O33*HelperFunctions!R$14+'NotEffectivelyVax (current)'!R33*HelperFunctions!R$14+'NotEffectivelyVax (current)'!U33*HelperFunctions!R$14+'NotEffectivelyVax (current)'!X33*HelperFunctions!R$14+'NotEffectivelyVax (current)'!AA33*HelperFunctions!R$14+'NotEffectivelyVax (current)'!AD33*HelperFunctions!R$14+'NotEffectivelyVax (current)'!AG33*HelperFunctions!R$14+'NotEffectivelyVax (current)'!AJ33*HelperFunctions!R$14+'NotEffectivelyVax (current)'!AM33*HelperFunctions!R$14+'NotEffectivelyVax (current)'!AP33*HelperFunctions!R$28+'NotEffectivelyVax (current)'!AS33*HelperFunctions!R$28+'NotEffectivelyVax (current)'!AV33*HelperFunctions!R$28+'NotEffectivelyVax (current)'!AY33*HelperFunctions!R$28+'NotEffectivelyVax (current)'!BB33*HelperFunctions!R$28+'NotEffectivelyVax (current)'!BE33*HelperFunctions!R$28+'NotEffectivelyVax (current)'!BH33*HelperFunctions!R$28+'NotEffectivelyVax (current)'!BK33*HelperFunctions!R27+'NotEffectivelyVax (current)'!BN33*HelperFunctions!R26+'NotEffectivelyVax (current)'!BQ33*HelperFunctions!R25+'NotEffectivelyVax (current)'!BT33*HelperFunctions!R24+'NotEffectivelyVax (current)'!BW33*HelperFunctions!R23+'NotEffectivelyVax (current)'!BZ33*HelperFunctions!R36+'NotEffectivelyVax (current)'!CC33*HelperFunctions!R35+'NotEffectivelyVax (current)'!CF33*HelperFunctions!R34+'NotEffectivelyVax (current)'!CI33*HelperFunctions!R33+'NotEffectivelyVax (current)'!CL33*HelperFunctions!R32+'NotEffectivelyVax (current)'!CO33*HelperFunctions!R31)</f>
        <v>#VALUE!</v>
      </c>
      <c r="I34" s="192" t="e">
        <f t="shared" si="10"/>
        <v>#VALUE!</v>
      </c>
      <c r="J34" s="153">
        <f>SUM(EffectivelyVax!D33:BK33)</f>
        <v>0</v>
      </c>
      <c r="K34" s="193" t="e">
        <f t="shared" si="5"/>
        <v>#VALUE!</v>
      </c>
      <c r="L34" s="194" t="e">
        <f>I33*H34*Export!L32</f>
        <v>#VALUE!</v>
      </c>
      <c r="M34" s="195" t="e">
        <f t="shared" si="0"/>
        <v>#VALUE!</v>
      </c>
      <c r="N34" s="178" t="e">
        <f>IF(Export!M32&lt;&gt;"",K34*Export!K32*(1/Export!M32),K34*Export!K32)</f>
        <v>#VALUE!</v>
      </c>
      <c r="O34" s="154" t="e">
        <f>M34*Export!J32</f>
        <v>#VALUE!</v>
      </c>
      <c r="P34" s="186" t="e">
        <f>SUM('NotEffectivelyVax (current)'!F34,'NotEffectivelyVax (current)'!I34,'NotEffectivelyVax (current)'!L34,'NotEffectivelyVax (current)'!O34,'NotEffectivelyVax (current)'!R34,'NotEffectivelyVax (current)'!U34,'NotEffectivelyVax (current)'!X34,'NotEffectivelyVax (current)'!AA34,'NotEffectivelyVax (current)'!AD34,'NotEffectivelyVax (current)'!AG34,'NotEffectivelyVax (current)'!AJ34,'NotEffectivelyVax (current)'!AM34,'NotEffectivelyVax (current)'!AP34,'NotEffectivelyVax (current)'!AS34,'NotEffectivelyVax (current)'!AV34,'NotEffectivelyVax (current)'!AY34,'NotEffectivelyVax (current)'!BB34,'NotEffectivelyVax (current)'!BE34,'NotEffectivelyVax (current)'!BH34,'NotEffectivelyVax (current)'!BK34,'NotEffectivelyVax (current)'!BN34,'NotEffectivelyVax (current)'!BQ34,'NotEffectivelyVax (current)'!BT34,'NotEffectivelyVax (current)'!BW34,'NotEffectivelyVax (current)'!BZ34,'NotEffectivelyVax (current)'!CC34,'NotEffectivelyVax (current)'!CF34,'NotEffectivelyVax (current)'!CI34,'NotEffectivelyVax (current)'!CL34,'NotEffectivelyVax (current)'!CO34,'NotEffectivelyVax (current)'!CR34,'NotEffectivelyVax (current)'!CU34,'NotEffectivelyVax (current)'!CX34,'NotEffectivelyVax (current)'!DA34,'NotEffectivelyVax (current)'!DD34,'NotEffectivelyVax (current)'!DG34,'NotEffectivelyVax (current)'!DJ34,'NotEffectivelyVax (current)'!DM34,'NotEffectivelyVax (current)'!DP34,'NotEffectivelyVax (current)'!DS34,'NotEffectivelyVax (current)'!DV34,'NotEffectivelyVax (current)'!DY34,'NotEffectivelyVax (current)'!EB34,'NotEffectivelyVax (current)'!EE34,'NotEffectivelyVax (current)'!EH34,'NotEffectivelyVax (current)'!EK34,'NotEffectivelyVax (current)'!EN34,'NotEffectivelyVax (current)'!EQ34,'NotEffectivelyVax (current)'!ET34,'NotEffectivelyVax (current)'!EW34,'NotEffectivelyVax (current)'!EZ34,'NotEffectivelyVax (current)'!FC34,'NotEffectivelyVax (current)'!FF34,'NotEffectivelyVax (current)'!FI34,'NotEffectivelyVax (current)'!FL34,'NotEffectivelyVax (current)'!FO34,'NotEffectivelyVax (current)'!FR34,'NotEffectivelyVax (current)'!FU34,'NotEffectivelyVax (current)'!FX34,'NotEffectivelyVax (current)'!GA34)</f>
        <v>#VALUE!</v>
      </c>
      <c r="Q34" s="155" t="e">
        <f>SUM('NotEffectivelyVax (current)'!D34,'NotEffectivelyVax (current)'!G34,'NotEffectivelyVax (current)'!J34,'NotEffectivelyVax (current)'!M34,'NotEffectivelyVax (current)'!P34,'NotEffectivelyVax (current)'!S34,'NotEffectivelyVax (current)'!V34,'NotEffectivelyVax (current)'!Y34,'NotEffectivelyVax (current)'!AB34,'NotEffectivelyVax (current)'!AE34,'NotEffectivelyVax (current)'!AH34,'NotEffectivelyVax (current)'!AK34,'NotEffectivelyVax (current)'!AN34,'NotEffectivelyVax (current)'!AQ34,'NotEffectivelyVax (current)'!AT34,'NotEffectivelyVax (current)'!AW34,'NotEffectivelyVax (current)'!AZ34,'NotEffectivelyVax (current)'!BC34,'NotEffectivelyVax (current)'!BF34,'NotEffectivelyVax (current)'!BI34,'NotEffectivelyVax (current)'!BL34,'NotEffectivelyVax (current)'!BO34,'NotEffectivelyVax (current)'!BR34,'NotEffectivelyVax (current)'!BU34,'NotEffectivelyVax (current)'!BX34,'NotEffectivelyVax (current)'!CA34,'NotEffectivelyVax (current)'!CD34,'NotEffectivelyVax (current)'!CG34,'NotEffectivelyVax (current)'!CJ34,'NotEffectivelyVax (current)'!CM34,'NotEffectivelyVax (current)'!CP34,'NotEffectivelyVax (current)'!CS34,'NotEffectivelyVax (current)'!CV34,'NotEffectivelyVax (current)'!CY34,'NotEffectivelyVax (current)'!DB34,'NotEffectivelyVax (current)'!DE34,'NotEffectivelyVax (current)'!DH34,'NotEffectivelyVax (current)'!DK34,'NotEffectivelyVax (current)'!DN34,'NotEffectivelyVax (current)'!DQ34,'NotEffectivelyVax (current)'!DT34,'NotEffectivelyVax (current)'!DW34,'NotEffectivelyVax (current)'!DZ34,'NotEffectivelyVax (current)'!EC34,'NotEffectivelyVax (current)'!EF34,'NotEffectivelyVax (current)'!EI34,'NotEffectivelyVax (current)'!EL34,'NotEffectivelyVax (current)'!EO34,'NotEffectivelyVax (current)'!ER34,'NotEffectivelyVax (current)'!EU34,'NotEffectivelyVax (current)'!EX34,'NotEffectivelyVax (current)'!FA34,'NotEffectivelyVax (current)'!FD34,'NotEffectivelyVax (current)'!FG34,'NotEffectivelyVax (current)'!FJ34,'NotEffectivelyVax (current)'!FM34,'NotEffectivelyVax (current)'!FP34,'NotEffectivelyVax (current)'!FS34,'NotEffectivelyVax (current)'!FV34,'NotEffectivelyVax (current)'!FY34)</f>
        <v>#VALUE!</v>
      </c>
      <c r="R34" s="155" t="e">
        <f>SUM('NotEffectivelyVax (current)'!E34,'NotEffectivelyVax (current)'!H34,'NotEffectivelyVax (current)'!K34,'NotEffectivelyVax (current)'!N34,'NotEffectivelyVax (current)'!Q34,'NotEffectivelyVax (current)'!T34,'NotEffectivelyVax (current)'!W34,'NotEffectivelyVax (current)'!Z34,'NotEffectivelyVax (current)'!AC34,'NotEffectivelyVax (current)'!AF34,'NotEffectivelyVax (current)'!AI34,'NotEffectivelyVax (current)'!AL34,'NotEffectivelyVax (current)'!AO34,'NotEffectivelyVax (current)'!AR34,'NotEffectivelyVax (current)'!AU34,'NotEffectivelyVax (current)'!AX34,'NotEffectivelyVax (current)'!BA34,'NotEffectivelyVax (current)'!BD34,'NotEffectivelyVax (current)'!BG34,'NotEffectivelyVax (current)'!BJ34,'NotEffectivelyVax (current)'!BM34,'NotEffectivelyVax (current)'!BP34,'NotEffectivelyVax (current)'!BS34,'NotEffectivelyVax (current)'!BV34,'NotEffectivelyVax (current)'!BY34,'NotEffectivelyVax (current)'!CB34,'NotEffectivelyVax (current)'!CE34,'NotEffectivelyVax (current)'!CH34,'NotEffectivelyVax (current)'!CK34,'NotEffectivelyVax (current)'!CN34,'NotEffectivelyVax (current)'!CQ34,'NotEffectivelyVax (current)'!CT34,'NotEffectivelyVax (current)'!CW34,'NotEffectivelyVax (current)'!CZ34,'NotEffectivelyVax (current)'!DC34,'NotEffectivelyVax (current)'!DF34,'NotEffectivelyVax (current)'!DI34,'NotEffectivelyVax (current)'!DL34,'NotEffectivelyVax (current)'!DO34,'NotEffectivelyVax (current)'!DR34,'NotEffectivelyVax (current)'!DU34,'NotEffectivelyVax (current)'!DX34,'NotEffectivelyVax (current)'!EA34,'NotEffectivelyVax (current)'!ED34,'NotEffectivelyVax (current)'!EG34,'NotEffectivelyVax (current)'!EJ34,'NotEffectivelyVax (current)'!EM34,'NotEffectivelyVax (current)'!EP34,'NotEffectivelyVax (current)'!ES34,'NotEffectivelyVax (current)'!EV34,'NotEffectivelyVax (current)'!EY34,'NotEffectivelyVax (current)'!FB34,'NotEffectivelyVax (current)'!FE34,'NotEffectivelyVax (current)'!FH34,'NotEffectivelyVax (current)'!FK34,'NotEffectivelyVax (current)'!FN34,'NotEffectivelyVax (current)'!FQ34,'NotEffectivelyVax (current)'!FT34,'NotEffectivelyVax (current)'!FW34,'NotEffectivelyVax (current)'!FZ34)</f>
        <v>#VALUE!</v>
      </c>
      <c r="S34" s="138" t="e">
        <f t="shared" si="6"/>
        <v>#VALUE!</v>
      </c>
      <c r="T34" s="187" t="e">
        <f>IF(Export!M32&lt;&gt;"",Q34*Export!K32*(1/Export!M32),Q34*Export!K32)</f>
        <v>#VALUE!</v>
      </c>
      <c r="U34" s="188" t="e">
        <f>S34*Export!J32</f>
        <v>#VALUE!</v>
      </c>
      <c r="V34" s="196" t="e">
        <f t="shared" si="11"/>
        <v>#DIV/0!</v>
      </c>
      <c r="W34" s="197" t="e">
        <f t="shared" si="8"/>
        <v>#VALUE!</v>
      </c>
      <c r="X34" s="190" t="e">
        <f>H34*Export!L32*V33</f>
        <v>#VALUE!</v>
      </c>
      <c r="Y34" s="190" t="e">
        <f t="shared" si="1"/>
        <v>#VALUE!</v>
      </c>
      <c r="Z34" s="190" t="e">
        <f>IF(Export!M32&lt;&gt;"",W34*Export!K32*(1/Export!M32),W34*Export!K32)</f>
        <v>#VALUE!</v>
      </c>
      <c r="AA34" s="190" t="e">
        <f>Y34*Export!J32</f>
        <v>#VALUE!</v>
      </c>
      <c r="AC34" s="143" t="e">
        <f t="shared" si="12"/>
        <v>#VALUE!</v>
      </c>
      <c r="AD34" s="144" t="e">
        <f t="shared" si="12"/>
        <v>#VALUE!</v>
      </c>
      <c r="AE34" s="144" t="e">
        <f t="shared" si="13"/>
        <v>#VALUE!</v>
      </c>
      <c r="AF34" s="144" t="e">
        <f t="shared" si="13"/>
        <v>#VALUE!</v>
      </c>
      <c r="AG34" s="144" t="e">
        <f t="shared" si="4"/>
        <v>#VALUE!</v>
      </c>
      <c r="AH34" s="198"/>
      <c r="AI34" s="198"/>
      <c r="AJ34" s="198"/>
      <c r="AK34" s="198"/>
      <c r="AL34" s="199"/>
      <c r="AM34" s="150"/>
      <c r="AN34" s="150"/>
      <c r="AO34" s="150"/>
      <c r="AP34" s="150"/>
      <c r="AQ34" s="151"/>
    </row>
    <row r="35" spans="1:44" x14ac:dyDescent="0.35">
      <c r="A35" s="130">
        <f>EffectivelyVax!B34</f>
        <v>2</v>
      </c>
      <c r="B35" s="131" t="str">
        <f>EffectivelyVax!C34</f>
        <v/>
      </c>
      <c r="C35" s="132" t="str">
        <f>Export!N33</f>
        <v/>
      </c>
      <c r="D35" s="177" t="str">
        <f>Export!B33</f>
        <v/>
      </c>
      <c r="E35" s="178" t="e">
        <f>C35*D35*HelperFunctions!G$31</f>
        <v>#VALUE!</v>
      </c>
      <c r="F35" s="179" t="e">
        <f>C35*D35*(1-HelperFunctions!G$31)</f>
        <v>#VALUE!</v>
      </c>
      <c r="G35" s="180" t="str">
        <f>Export!C33</f>
        <v/>
      </c>
      <c r="H35" s="191" t="e">
        <f>G35/(I34+'NotEffectivelyVax (current)'!F34*HelperFunctions!R$14+'NotEffectivelyVax (current)'!I34*HelperFunctions!R$14+'NotEffectivelyVax (current)'!L34*HelperFunctions!R$14+'NotEffectivelyVax (current)'!O34*HelperFunctions!R$14+'NotEffectivelyVax (current)'!R34*HelperFunctions!R$14+'NotEffectivelyVax (current)'!U34*HelperFunctions!R$14+'NotEffectivelyVax (current)'!X34*HelperFunctions!R$14+'NotEffectivelyVax (current)'!AA34*HelperFunctions!R$14+'NotEffectivelyVax (current)'!AD34*HelperFunctions!R$14+'NotEffectivelyVax (current)'!AG34*HelperFunctions!R$14+'NotEffectivelyVax (current)'!AJ34*HelperFunctions!R$14+'NotEffectivelyVax (current)'!AM34*HelperFunctions!R$14+'NotEffectivelyVax (current)'!AP34*HelperFunctions!R$28+'NotEffectivelyVax (current)'!AS34*HelperFunctions!R$28+'NotEffectivelyVax (current)'!AV34*HelperFunctions!R$28+'NotEffectivelyVax (current)'!AY34*HelperFunctions!R$28+'NotEffectivelyVax (current)'!BB34*HelperFunctions!R$28+'NotEffectivelyVax (current)'!BE34*HelperFunctions!R$28+'NotEffectivelyVax (current)'!BH34*HelperFunctions!R$28+'NotEffectivelyVax (current)'!BK34*HelperFunctions!R$28+'NotEffectivelyVax (current)'!BN34*HelperFunctions!R27+'NotEffectivelyVax (current)'!BQ34*HelperFunctions!R26+'NotEffectivelyVax (current)'!BT34*HelperFunctions!R25+'NotEffectivelyVax (current)'!BW34*HelperFunctions!R24+'NotEffectivelyVax (current)'!BZ34*HelperFunctions!R37+'NotEffectivelyVax (current)'!CC34*HelperFunctions!R36+'NotEffectivelyVax (current)'!CF34*HelperFunctions!R35+'NotEffectivelyVax (current)'!CI34*HelperFunctions!R34+'NotEffectivelyVax (current)'!CL34*HelperFunctions!R33+'NotEffectivelyVax (current)'!CO34*HelperFunctions!R32+'NotEffectivelyVax (current)'!CR34*HelperFunctions!R31)</f>
        <v>#VALUE!</v>
      </c>
      <c r="I35" s="192" t="e">
        <f t="shared" si="10"/>
        <v>#VALUE!</v>
      </c>
      <c r="J35" s="153">
        <f>SUM(EffectivelyVax!D34:BK34)</f>
        <v>0</v>
      </c>
      <c r="K35" s="193" t="e">
        <f t="shared" si="5"/>
        <v>#VALUE!</v>
      </c>
      <c r="L35" s="194" t="e">
        <f>I34*H35*Export!L33</f>
        <v>#VALUE!</v>
      </c>
      <c r="M35" s="195" t="e">
        <f t="shared" si="0"/>
        <v>#VALUE!</v>
      </c>
      <c r="N35" s="178" t="e">
        <f>IF(Export!M33&lt;&gt;"",K35*Export!K33*(1/Export!M33),K35*Export!K33)</f>
        <v>#VALUE!</v>
      </c>
      <c r="O35" s="154" t="e">
        <f>M35*Export!J33</f>
        <v>#VALUE!</v>
      </c>
      <c r="P35" s="186" t="e">
        <f>SUM('NotEffectivelyVax (current)'!F35,'NotEffectivelyVax (current)'!I35,'NotEffectivelyVax (current)'!L35,'NotEffectivelyVax (current)'!O35,'NotEffectivelyVax (current)'!R35,'NotEffectivelyVax (current)'!U35,'NotEffectivelyVax (current)'!X35,'NotEffectivelyVax (current)'!AA35,'NotEffectivelyVax (current)'!AD35,'NotEffectivelyVax (current)'!AG35,'NotEffectivelyVax (current)'!AJ35,'NotEffectivelyVax (current)'!AM35,'NotEffectivelyVax (current)'!AP35,'NotEffectivelyVax (current)'!AS35,'NotEffectivelyVax (current)'!AV35,'NotEffectivelyVax (current)'!AY35,'NotEffectivelyVax (current)'!BB35,'NotEffectivelyVax (current)'!BE35,'NotEffectivelyVax (current)'!BH35,'NotEffectivelyVax (current)'!BK35,'NotEffectivelyVax (current)'!BN35,'NotEffectivelyVax (current)'!BQ35,'NotEffectivelyVax (current)'!BT35,'NotEffectivelyVax (current)'!BW35,'NotEffectivelyVax (current)'!BZ35,'NotEffectivelyVax (current)'!CC35,'NotEffectivelyVax (current)'!CF35,'NotEffectivelyVax (current)'!CI35,'NotEffectivelyVax (current)'!CL35,'NotEffectivelyVax (current)'!CO35,'NotEffectivelyVax (current)'!CR35,'NotEffectivelyVax (current)'!CU35,'NotEffectivelyVax (current)'!CX35,'NotEffectivelyVax (current)'!DA35,'NotEffectivelyVax (current)'!DD35,'NotEffectivelyVax (current)'!DG35,'NotEffectivelyVax (current)'!DJ35,'NotEffectivelyVax (current)'!DM35,'NotEffectivelyVax (current)'!DP35,'NotEffectivelyVax (current)'!DS35,'NotEffectivelyVax (current)'!DV35,'NotEffectivelyVax (current)'!DY35,'NotEffectivelyVax (current)'!EB35,'NotEffectivelyVax (current)'!EE35,'NotEffectivelyVax (current)'!EH35,'NotEffectivelyVax (current)'!EK35,'NotEffectivelyVax (current)'!EN35,'NotEffectivelyVax (current)'!EQ35,'NotEffectivelyVax (current)'!ET35,'NotEffectivelyVax (current)'!EW35,'NotEffectivelyVax (current)'!EZ35,'NotEffectivelyVax (current)'!FC35,'NotEffectivelyVax (current)'!FF35,'NotEffectivelyVax (current)'!FI35,'NotEffectivelyVax (current)'!FL35,'NotEffectivelyVax (current)'!FO35,'NotEffectivelyVax (current)'!FR35,'NotEffectivelyVax (current)'!FU35,'NotEffectivelyVax (current)'!FX35,'NotEffectivelyVax (current)'!GA35)</f>
        <v>#VALUE!</v>
      </c>
      <c r="Q35" s="155" t="e">
        <f>SUM('NotEffectivelyVax (current)'!D35,'NotEffectivelyVax (current)'!G35,'NotEffectivelyVax (current)'!J35,'NotEffectivelyVax (current)'!M35,'NotEffectivelyVax (current)'!P35,'NotEffectivelyVax (current)'!S35,'NotEffectivelyVax (current)'!V35,'NotEffectivelyVax (current)'!Y35,'NotEffectivelyVax (current)'!AB35,'NotEffectivelyVax (current)'!AE35,'NotEffectivelyVax (current)'!AH35,'NotEffectivelyVax (current)'!AK35,'NotEffectivelyVax (current)'!AN35,'NotEffectivelyVax (current)'!AQ35,'NotEffectivelyVax (current)'!AT35,'NotEffectivelyVax (current)'!AW35,'NotEffectivelyVax (current)'!AZ35,'NotEffectivelyVax (current)'!BC35,'NotEffectivelyVax (current)'!BF35,'NotEffectivelyVax (current)'!BI35,'NotEffectivelyVax (current)'!BL35,'NotEffectivelyVax (current)'!BO35,'NotEffectivelyVax (current)'!BR35,'NotEffectivelyVax (current)'!BU35,'NotEffectivelyVax (current)'!BX35,'NotEffectivelyVax (current)'!CA35,'NotEffectivelyVax (current)'!CD35,'NotEffectivelyVax (current)'!CG35,'NotEffectivelyVax (current)'!CJ35,'NotEffectivelyVax (current)'!CM35,'NotEffectivelyVax (current)'!CP35,'NotEffectivelyVax (current)'!CS35,'NotEffectivelyVax (current)'!CV35,'NotEffectivelyVax (current)'!CY35,'NotEffectivelyVax (current)'!DB35,'NotEffectivelyVax (current)'!DE35,'NotEffectivelyVax (current)'!DH35,'NotEffectivelyVax (current)'!DK35,'NotEffectivelyVax (current)'!DN35,'NotEffectivelyVax (current)'!DQ35,'NotEffectivelyVax (current)'!DT35,'NotEffectivelyVax (current)'!DW35,'NotEffectivelyVax (current)'!DZ35,'NotEffectivelyVax (current)'!EC35,'NotEffectivelyVax (current)'!EF35,'NotEffectivelyVax (current)'!EI35,'NotEffectivelyVax (current)'!EL35,'NotEffectivelyVax (current)'!EO35,'NotEffectivelyVax (current)'!ER35,'NotEffectivelyVax (current)'!EU35,'NotEffectivelyVax (current)'!EX35,'NotEffectivelyVax (current)'!FA35,'NotEffectivelyVax (current)'!FD35,'NotEffectivelyVax (current)'!FG35,'NotEffectivelyVax (current)'!FJ35,'NotEffectivelyVax (current)'!FM35,'NotEffectivelyVax (current)'!FP35,'NotEffectivelyVax (current)'!FS35,'NotEffectivelyVax (current)'!FV35,'NotEffectivelyVax (current)'!FY35)</f>
        <v>#VALUE!</v>
      </c>
      <c r="R35" s="155" t="e">
        <f>SUM('NotEffectivelyVax (current)'!E35,'NotEffectivelyVax (current)'!H35,'NotEffectivelyVax (current)'!K35,'NotEffectivelyVax (current)'!N35,'NotEffectivelyVax (current)'!Q35,'NotEffectivelyVax (current)'!T35,'NotEffectivelyVax (current)'!W35,'NotEffectivelyVax (current)'!Z35,'NotEffectivelyVax (current)'!AC35,'NotEffectivelyVax (current)'!AF35,'NotEffectivelyVax (current)'!AI35,'NotEffectivelyVax (current)'!AL35,'NotEffectivelyVax (current)'!AO35,'NotEffectivelyVax (current)'!AR35,'NotEffectivelyVax (current)'!AU35,'NotEffectivelyVax (current)'!AX35,'NotEffectivelyVax (current)'!BA35,'NotEffectivelyVax (current)'!BD35,'NotEffectivelyVax (current)'!BG35,'NotEffectivelyVax (current)'!BJ35,'NotEffectivelyVax (current)'!BM35,'NotEffectivelyVax (current)'!BP35,'NotEffectivelyVax (current)'!BS35,'NotEffectivelyVax (current)'!BV35,'NotEffectivelyVax (current)'!BY35,'NotEffectivelyVax (current)'!CB35,'NotEffectivelyVax (current)'!CE35,'NotEffectivelyVax (current)'!CH35,'NotEffectivelyVax (current)'!CK35,'NotEffectivelyVax (current)'!CN35,'NotEffectivelyVax (current)'!CQ35,'NotEffectivelyVax (current)'!CT35,'NotEffectivelyVax (current)'!CW35,'NotEffectivelyVax (current)'!CZ35,'NotEffectivelyVax (current)'!DC35,'NotEffectivelyVax (current)'!DF35,'NotEffectivelyVax (current)'!DI35,'NotEffectivelyVax (current)'!DL35,'NotEffectivelyVax (current)'!DO35,'NotEffectivelyVax (current)'!DR35,'NotEffectivelyVax (current)'!DU35,'NotEffectivelyVax (current)'!DX35,'NotEffectivelyVax (current)'!EA35,'NotEffectivelyVax (current)'!ED35,'NotEffectivelyVax (current)'!EG35,'NotEffectivelyVax (current)'!EJ35,'NotEffectivelyVax (current)'!EM35,'NotEffectivelyVax (current)'!EP35,'NotEffectivelyVax (current)'!ES35,'NotEffectivelyVax (current)'!EV35,'NotEffectivelyVax (current)'!EY35,'NotEffectivelyVax (current)'!FB35,'NotEffectivelyVax (current)'!FE35,'NotEffectivelyVax (current)'!FH35,'NotEffectivelyVax (current)'!FK35,'NotEffectivelyVax (current)'!FN35,'NotEffectivelyVax (current)'!FQ35,'NotEffectivelyVax (current)'!FT35,'NotEffectivelyVax (current)'!FW35,'NotEffectivelyVax (current)'!FZ35)</f>
        <v>#VALUE!</v>
      </c>
      <c r="S35" s="138" t="e">
        <f t="shared" si="6"/>
        <v>#VALUE!</v>
      </c>
      <c r="T35" s="187" t="e">
        <f>IF(Export!M33&lt;&gt;"",Q35*Export!K33*(1/Export!M33),Q35*Export!K33)</f>
        <v>#VALUE!</v>
      </c>
      <c r="U35" s="188" t="e">
        <f>S35*Export!J33</f>
        <v>#VALUE!</v>
      </c>
      <c r="V35" s="196" t="e">
        <f t="shared" si="11"/>
        <v>#DIV/0!</v>
      </c>
      <c r="W35" s="197" t="e">
        <f t="shared" si="8"/>
        <v>#VALUE!</v>
      </c>
      <c r="X35" s="190" t="e">
        <f>H35*Export!L33*V34</f>
        <v>#VALUE!</v>
      </c>
      <c r="Y35" s="190" t="e">
        <f t="shared" si="1"/>
        <v>#VALUE!</v>
      </c>
      <c r="Z35" s="190" t="e">
        <f>IF(Export!M33&lt;&gt;"",W35*Export!K33*(1/Export!M33),W35*Export!K33)</f>
        <v>#VALUE!</v>
      </c>
      <c r="AA35" s="190" t="e">
        <f>Y35*Export!J33</f>
        <v>#VALUE!</v>
      </c>
      <c r="AC35" s="143" t="e">
        <f t="shared" si="12"/>
        <v>#VALUE!</v>
      </c>
      <c r="AD35" s="144" t="e">
        <f t="shared" si="12"/>
        <v>#VALUE!</v>
      </c>
      <c r="AE35" s="144" t="e">
        <f t="shared" si="13"/>
        <v>#VALUE!</v>
      </c>
      <c r="AF35" s="144" t="e">
        <f t="shared" si="13"/>
        <v>#VALUE!</v>
      </c>
      <c r="AG35" s="144" t="e">
        <f t="shared" si="4"/>
        <v>#VALUE!</v>
      </c>
      <c r="AH35" s="198"/>
      <c r="AI35" s="198"/>
      <c r="AJ35" s="198"/>
      <c r="AK35" s="198"/>
      <c r="AL35" s="199"/>
      <c r="AM35" s="150"/>
      <c r="AN35" s="150"/>
      <c r="AO35" s="150"/>
      <c r="AP35" s="150"/>
      <c r="AQ35" s="151"/>
    </row>
    <row r="36" spans="1:44" x14ac:dyDescent="0.35">
      <c r="A36" s="130">
        <f>EffectivelyVax!B35</f>
        <v>2</v>
      </c>
      <c r="B36" s="131" t="str">
        <f>EffectivelyVax!C35</f>
        <v/>
      </c>
      <c r="C36" s="132" t="str">
        <f>Export!N34</f>
        <v/>
      </c>
      <c r="D36" s="177" t="str">
        <f>Export!B34</f>
        <v/>
      </c>
      <c r="E36" s="178" t="e">
        <f>C36*D36*HelperFunctions!G$31</f>
        <v>#VALUE!</v>
      </c>
      <c r="F36" s="179" t="e">
        <f>C36*D36*(1-HelperFunctions!G$31)</f>
        <v>#VALUE!</v>
      </c>
      <c r="G36" s="180" t="str">
        <f>Export!C34</f>
        <v/>
      </c>
      <c r="H36" s="191" t="e">
        <f>G36/(I35+'NotEffectivelyVax (current)'!F35*HelperFunctions!R$14+'NotEffectivelyVax (current)'!I35*HelperFunctions!R$14+'NotEffectivelyVax (current)'!L35*HelperFunctions!R$14+'NotEffectivelyVax (current)'!O35*HelperFunctions!R$14+'NotEffectivelyVax (current)'!R35*HelperFunctions!R$14+'NotEffectivelyVax (current)'!U35*HelperFunctions!R$14+'NotEffectivelyVax (current)'!X35*HelperFunctions!R$14+'NotEffectivelyVax (current)'!AA35*HelperFunctions!R$14+'NotEffectivelyVax (current)'!AD35*HelperFunctions!R$14+'NotEffectivelyVax (current)'!AG35*HelperFunctions!R$14+'NotEffectivelyVax (current)'!AJ35*HelperFunctions!R$14+'NotEffectivelyVax (current)'!AM35*HelperFunctions!R$14+'NotEffectivelyVax (current)'!AP35*HelperFunctions!R$28+'NotEffectivelyVax (current)'!AS35*HelperFunctions!R$28+'NotEffectivelyVax (current)'!AV35*HelperFunctions!R$28+'NotEffectivelyVax (current)'!AY35*HelperFunctions!R$28+'NotEffectivelyVax (current)'!BB35*HelperFunctions!R$28+'NotEffectivelyVax (current)'!BE35*HelperFunctions!R$28+'NotEffectivelyVax (current)'!BH35*HelperFunctions!R$28+'NotEffectivelyVax (current)'!BK35*HelperFunctions!R$28+'NotEffectivelyVax (current)'!BN35*HelperFunctions!R$28+'NotEffectivelyVax (current)'!BQ35*HelperFunctions!R27+'NotEffectivelyVax (current)'!BT35*HelperFunctions!R26+'NotEffectivelyVax (current)'!BW35*HelperFunctions!R25+'NotEffectivelyVax (current)'!BZ35*HelperFunctions!R38+'NotEffectivelyVax (current)'!CC35*HelperFunctions!R37+'NotEffectivelyVax (current)'!CF35*HelperFunctions!R36+'NotEffectivelyVax (current)'!CI35*HelperFunctions!R35+'NotEffectivelyVax (current)'!CL35*HelperFunctions!R34+'NotEffectivelyVax (current)'!CO35*HelperFunctions!R33+'NotEffectivelyVax (current)'!CR35*HelperFunctions!R32+'NotEffectivelyVax (current)'!CU35*HelperFunctions!R31)</f>
        <v>#VALUE!</v>
      </c>
      <c r="I36" s="192" t="e">
        <f t="shared" si="10"/>
        <v>#VALUE!</v>
      </c>
      <c r="J36" s="153">
        <f>SUM(EffectivelyVax!D35:BK35)</f>
        <v>0</v>
      </c>
      <c r="K36" s="193" t="e">
        <f t="shared" si="5"/>
        <v>#VALUE!</v>
      </c>
      <c r="L36" s="194" t="e">
        <f>I35*H36*Export!L34</f>
        <v>#VALUE!</v>
      </c>
      <c r="M36" s="195" t="e">
        <f t="shared" si="0"/>
        <v>#VALUE!</v>
      </c>
      <c r="N36" s="178" t="e">
        <f>IF(Export!M34&lt;&gt;"",K36*Export!K34*(1/Export!M34),K36*Export!K34)</f>
        <v>#VALUE!</v>
      </c>
      <c r="O36" s="154" t="e">
        <f>M36*Export!J34</f>
        <v>#VALUE!</v>
      </c>
      <c r="P36" s="186" t="e">
        <f>SUM('NotEffectivelyVax (current)'!F36,'NotEffectivelyVax (current)'!I36,'NotEffectivelyVax (current)'!L36,'NotEffectivelyVax (current)'!O36,'NotEffectivelyVax (current)'!R36,'NotEffectivelyVax (current)'!U36,'NotEffectivelyVax (current)'!X36,'NotEffectivelyVax (current)'!AA36,'NotEffectivelyVax (current)'!AD36,'NotEffectivelyVax (current)'!AG36,'NotEffectivelyVax (current)'!AJ36,'NotEffectivelyVax (current)'!AM36,'NotEffectivelyVax (current)'!AP36,'NotEffectivelyVax (current)'!AS36,'NotEffectivelyVax (current)'!AV36,'NotEffectivelyVax (current)'!AY36,'NotEffectivelyVax (current)'!BB36,'NotEffectivelyVax (current)'!BE36,'NotEffectivelyVax (current)'!BH36,'NotEffectivelyVax (current)'!BK36,'NotEffectivelyVax (current)'!BN36,'NotEffectivelyVax (current)'!BQ36,'NotEffectivelyVax (current)'!BT36,'NotEffectivelyVax (current)'!BW36,'NotEffectivelyVax (current)'!BZ36,'NotEffectivelyVax (current)'!CC36,'NotEffectivelyVax (current)'!CF36,'NotEffectivelyVax (current)'!CI36,'NotEffectivelyVax (current)'!CL36,'NotEffectivelyVax (current)'!CO36,'NotEffectivelyVax (current)'!CR36,'NotEffectivelyVax (current)'!CU36,'NotEffectivelyVax (current)'!CX36,'NotEffectivelyVax (current)'!DA36,'NotEffectivelyVax (current)'!DD36,'NotEffectivelyVax (current)'!DG36,'NotEffectivelyVax (current)'!DJ36,'NotEffectivelyVax (current)'!DM36,'NotEffectivelyVax (current)'!DP36,'NotEffectivelyVax (current)'!DS36,'NotEffectivelyVax (current)'!DV36,'NotEffectivelyVax (current)'!DY36,'NotEffectivelyVax (current)'!EB36,'NotEffectivelyVax (current)'!EE36,'NotEffectivelyVax (current)'!EH36,'NotEffectivelyVax (current)'!EK36,'NotEffectivelyVax (current)'!EN36,'NotEffectivelyVax (current)'!EQ36,'NotEffectivelyVax (current)'!ET36,'NotEffectivelyVax (current)'!EW36,'NotEffectivelyVax (current)'!EZ36,'NotEffectivelyVax (current)'!FC36,'NotEffectivelyVax (current)'!FF36,'NotEffectivelyVax (current)'!FI36,'NotEffectivelyVax (current)'!FL36,'NotEffectivelyVax (current)'!FO36,'NotEffectivelyVax (current)'!FR36,'NotEffectivelyVax (current)'!FU36,'NotEffectivelyVax (current)'!FX36,'NotEffectivelyVax (current)'!GA36)</f>
        <v>#VALUE!</v>
      </c>
      <c r="Q36" s="155" t="e">
        <f>SUM('NotEffectivelyVax (current)'!D36,'NotEffectivelyVax (current)'!G36,'NotEffectivelyVax (current)'!J36,'NotEffectivelyVax (current)'!M36,'NotEffectivelyVax (current)'!P36,'NotEffectivelyVax (current)'!S36,'NotEffectivelyVax (current)'!V36,'NotEffectivelyVax (current)'!Y36,'NotEffectivelyVax (current)'!AB36,'NotEffectivelyVax (current)'!AE36,'NotEffectivelyVax (current)'!AH36,'NotEffectivelyVax (current)'!AK36,'NotEffectivelyVax (current)'!AN36,'NotEffectivelyVax (current)'!AQ36,'NotEffectivelyVax (current)'!AT36,'NotEffectivelyVax (current)'!AW36,'NotEffectivelyVax (current)'!AZ36,'NotEffectivelyVax (current)'!BC36,'NotEffectivelyVax (current)'!BF36,'NotEffectivelyVax (current)'!BI36,'NotEffectivelyVax (current)'!BL36,'NotEffectivelyVax (current)'!BO36,'NotEffectivelyVax (current)'!BR36,'NotEffectivelyVax (current)'!BU36,'NotEffectivelyVax (current)'!BX36,'NotEffectivelyVax (current)'!CA36,'NotEffectivelyVax (current)'!CD36,'NotEffectivelyVax (current)'!CG36,'NotEffectivelyVax (current)'!CJ36,'NotEffectivelyVax (current)'!CM36,'NotEffectivelyVax (current)'!CP36,'NotEffectivelyVax (current)'!CS36,'NotEffectivelyVax (current)'!CV36,'NotEffectivelyVax (current)'!CY36,'NotEffectivelyVax (current)'!DB36,'NotEffectivelyVax (current)'!DE36,'NotEffectivelyVax (current)'!DH36,'NotEffectivelyVax (current)'!DK36,'NotEffectivelyVax (current)'!DN36,'NotEffectivelyVax (current)'!DQ36,'NotEffectivelyVax (current)'!DT36,'NotEffectivelyVax (current)'!DW36,'NotEffectivelyVax (current)'!DZ36,'NotEffectivelyVax (current)'!EC36,'NotEffectivelyVax (current)'!EF36,'NotEffectivelyVax (current)'!EI36,'NotEffectivelyVax (current)'!EL36,'NotEffectivelyVax (current)'!EO36,'NotEffectivelyVax (current)'!ER36,'NotEffectivelyVax (current)'!EU36,'NotEffectivelyVax (current)'!EX36,'NotEffectivelyVax (current)'!FA36,'NotEffectivelyVax (current)'!FD36,'NotEffectivelyVax (current)'!FG36,'NotEffectivelyVax (current)'!FJ36,'NotEffectivelyVax (current)'!FM36,'NotEffectivelyVax (current)'!FP36,'NotEffectivelyVax (current)'!FS36,'NotEffectivelyVax (current)'!FV36,'NotEffectivelyVax (current)'!FY36)</f>
        <v>#VALUE!</v>
      </c>
      <c r="R36" s="155" t="e">
        <f>SUM('NotEffectivelyVax (current)'!E36,'NotEffectivelyVax (current)'!H36,'NotEffectivelyVax (current)'!K36,'NotEffectivelyVax (current)'!N36,'NotEffectivelyVax (current)'!Q36,'NotEffectivelyVax (current)'!T36,'NotEffectivelyVax (current)'!W36,'NotEffectivelyVax (current)'!Z36,'NotEffectivelyVax (current)'!AC36,'NotEffectivelyVax (current)'!AF36,'NotEffectivelyVax (current)'!AI36,'NotEffectivelyVax (current)'!AL36,'NotEffectivelyVax (current)'!AO36,'NotEffectivelyVax (current)'!AR36,'NotEffectivelyVax (current)'!AU36,'NotEffectivelyVax (current)'!AX36,'NotEffectivelyVax (current)'!BA36,'NotEffectivelyVax (current)'!BD36,'NotEffectivelyVax (current)'!BG36,'NotEffectivelyVax (current)'!BJ36,'NotEffectivelyVax (current)'!BM36,'NotEffectivelyVax (current)'!BP36,'NotEffectivelyVax (current)'!BS36,'NotEffectivelyVax (current)'!BV36,'NotEffectivelyVax (current)'!BY36,'NotEffectivelyVax (current)'!CB36,'NotEffectivelyVax (current)'!CE36,'NotEffectivelyVax (current)'!CH36,'NotEffectivelyVax (current)'!CK36,'NotEffectivelyVax (current)'!CN36,'NotEffectivelyVax (current)'!CQ36,'NotEffectivelyVax (current)'!CT36,'NotEffectivelyVax (current)'!CW36,'NotEffectivelyVax (current)'!CZ36,'NotEffectivelyVax (current)'!DC36,'NotEffectivelyVax (current)'!DF36,'NotEffectivelyVax (current)'!DI36,'NotEffectivelyVax (current)'!DL36,'NotEffectivelyVax (current)'!DO36,'NotEffectivelyVax (current)'!DR36,'NotEffectivelyVax (current)'!DU36,'NotEffectivelyVax (current)'!DX36,'NotEffectivelyVax (current)'!EA36,'NotEffectivelyVax (current)'!ED36,'NotEffectivelyVax (current)'!EG36,'NotEffectivelyVax (current)'!EJ36,'NotEffectivelyVax (current)'!EM36,'NotEffectivelyVax (current)'!EP36,'NotEffectivelyVax (current)'!ES36,'NotEffectivelyVax (current)'!EV36,'NotEffectivelyVax (current)'!EY36,'NotEffectivelyVax (current)'!FB36,'NotEffectivelyVax (current)'!FE36,'NotEffectivelyVax (current)'!FH36,'NotEffectivelyVax (current)'!FK36,'NotEffectivelyVax (current)'!FN36,'NotEffectivelyVax (current)'!FQ36,'NotEffectivelyVax (current)'!FT36,'NotEffectivelyVax (current)'!FW36,'NotEffectivelyVax (current)'!FZ36)</f>
        <v>#VALUE!</v>
      </c>
      <c r="S36" s="138" t="e">
        <f t="shared" si="6"/>
        <v>#VALUE!</v>
      </c>
      <c r="T36" s="187" t="e">
        <f>IF(Export!M34&lt;&gt;"",Q36*Export!K34*(1/Export!M34),Q36*Export!K34)</f>
        <v>#VALUE!</v>
      </c>
      <c r="U36" s="188" t="e">
        <f>S36*Export!J34</f>
        <v>#VALUE!</v>
      </c>
      <c r="V36" s="196" t="e">
        <f t="shared" si="11"/>
        <v>#DIV/0!</v>
      </c>
      <c r="W36" s="197" t="e">
        <f t="shared" si="8"/>
        <v>#VALUE!</v>
      </c>
      <c r="X36" s="190" t="e">
        <f>H36*Export!L34*V35</f>
        <v>#VALUE!</v>
      </c>
      <c r="Y36" s="190" t="e">
        <f t="shared" si="1"/>
        <v>#VALUE!</v>
      </c>
      <c r="Z36" s="190" t="e">
        <f>IF(Export!M34&lt;&gt;"",W36*Export!K34*(1/Export!M34),W36*Export!K34)</f>
        <v>#VALUE!</v>
      </c>
      <c r="AA36" s="190" t="e">
        <f>Y36*Export!J34</f>
        <v>#VALUE!</v>
      </c>
      <c r="AC36" s="143" t="e">
        <f t="shared" si="12"/>
        <v>#VALUE!</v>
      </c>
      <c r="AD36" s="144" t="e">
        <f t="shared" si="12"/>
        <v>#VALUE!</v>
      </c>
      <c r="AE36" s="144" t="e">
        <f t="shared" si="13"/>
        <v>#VALUE!</v>
      </c>
      <c r="AF36" s="144" t="e">
        <f t="shared" si="13"/>
        <v>#VALUE!</v>
      </c>
      <c r="AG36" s="144" t="e">
        <f t="shared" si="4"/>
        <v>#VALUE!</v>
      </c>
      <c r="AH36" s="198"/>
      <c r="AI36" s="198"/>
      <c r="AJ36" s="198"/>
      <c r="AK36" s="198"/>
      <c r="AL36" s="199"/>
      <c r="AM36" s="150"/>
      <c r="AN36" s="150"/>
      <c r="AO36" s="150"/>
      <c r="AP36" s="150"/>
      <c r="AQ36" s="151"/>
    </row>
    <row r="37" spans="1:44" x14ac:dyDescent="0.35">
      <c r="A37" s="130">
        <f>EffectivelyVax!B36</f>
        <v>2</v>
      </c>
      <c r="B37" s="131" t="str">
        <f>EffectivelyVax!C36</f>
        <v/>
      </c>
      <c r="C37" s="132" t="str">
        <f>Export!N35</f>
        <v/>
      </c>
      <c r="D37" s="177" t="str">
        <f>Export!B35</f>
        <v/>
      </c>
      <c r="E37" s="178" t="e">
        <f>C37*D37*HelperFunctions!G$31</f>
        <v>#VALUE!</v>
      </c>
      <c r="F37" s="179" t="e">
        <f>C37*D37*(1-HelperFunctions!G$31)</f>
        <v>#VALUE!</v>
      </c>
      <c r="G37" s="180" t="str">
        <f>Export!C35</f>
        <v/>
      </c>
      <c r="H37" s="191" t="e">
        <f>G37/(I36+'NotEffectivelyVax (current)'!F36*HelperFunctions!R$14+'NotEffectivelyVax (current)'!I36*HelperFunctions!R$14+'NotEffectivelyVax (current)'!L36*HelperFunctions!R$14+'NotEffectivelyVax (current)'!O36*HelperFunctions!R$14+'NotEffectivelyVax (current)'!R36*HelperFunctions!R$14+'NotEffectivelyVax (current)'!U36*HelperFunctions!R$14+'NotEffectivelyVax (current)'!X36*HelperFunctions!R$14+'NotEffectivelyVax (current)'!AA36*HelperFunctions!R$14+'NotEffectivelyVax (current)'!AD36*HelperFunctions!R$14+'NotEffectivelyVax (current)'!AG36*HelperFunctions!R$14+'NotEffectivelyVax (current)'!AJ36*HelperFunctions!R$14+'NotEffectivelyVax (current)'!AM36*HelperFunctions!R$14+'NotEffectivelyVax (current)'!AP36*HelperFunctions!R$28+'NotEffectivelyVax (current)'!AS36*HelperFunctions!R$28+'NotEffectivelyVax (current)'!AV36*HelperFunctions!R$28+'NotEffectivelyVax (current)'!AY36*HelperFunctions!R$28+'NotEffectivelyVax (current)'!BB36*HelperFunctions!R$28+'NotEffectivelyVax (current)'!BE36*HelperFunctions!R$28+'NotEffectivelyVax (current)'!BH36*HelperFunctions!R$28+'NotEffectivelyVax (current)'!BK36*HelperFunctions!R$28+'NotEffectivelyVax (current)'!BN36*HelperFunctions!R$28+'NotEffectivelyVax (current)'!BQ36*HelperFunctions!R$28+'NotEffectivelyVax (current)'!BT36*HelperFunctions!R27+'NotEffectivelyVax (current)'!BW36*HelperFunctions!R26+'NotEffectivelyVax (current)'!BZ36*HelperFunctions!R39+'NotEffectivelyVax (current)'!CC36*HelperFunctions!R38+'NotEffectivelyVax (current)'!CF36*HelperFunctions!R37+'NotEffectivelyVax (current)'!CI36*HelperFunctions!R36+'NotEffectivelyVax (current)'!CL36*HelperFunctions!R35+'NotEffectivelyVax (current)'!CO36*HelperFunctions!R34+'NotEffectivelyVax (current)'!CR36*HelperFunctions!R33+'NotEffectivelyVax (current)'!CU36*HelperFunctions!R32+'NotEffectivelyVax (current)'!CX36*HelperFunctions!R31)</f>
        <v>#VALUE!</v>
      </c>
      <c r="I37" s="192" t="e">
        <f t="shared" si="10"/>
        <v>#VALUE!</v>
      </c>
      <c r="J37" s="153">
        <f>SUM(EffectivelyVax!D36:BK36)</f>
        <v>0</v>
      </c>
      <c r="K37" s="193" t="e">
        <f t="shared" si="5"/>
        <v>#VALUE!</v>
      </c>
      <c r="L37" s="194" t="e">
        <f>I36*H37*Export!L35</f>
        <v>#VALUE!</v>
      </c>
      <c r="M37" s="195" t="e">
        <f t="shared" si="0"/>
        <v>#VALUE!</v>
      </c>
      <c r="N37" s="178" t="e">
        <f>IF(Export!M35&lt;&gt;"",K37*Export!K35*(1/Export!M35),K37*Export!K35)</f>
        <v>#VALUE!</v>
      </c>
      <c r="O37" s="154" t="e">
        <f>M37*Export!J35</f>
        <v>#VALUE!</v>
      </c>
      <c r="P37" s="186" t="e">
        <f>SUM('NotEffectivelyVax (current)'!F37,'NotEffectivelyVax (current)'!I37,'NotEffectivelyVax (current)'!L37,'NotEffectivelyVax (current)'!O37,'NotEffectivelyVax (current)'!R37,'NotEffectivelyVax (current)'!U37,'NotEffectivelyVax (current)'!X37,'NotEffectivelyVax (current)'!AA37,'NotEffectivelyVax (current)'!AD37,'NotEffectivelyVax (current)'!AG37,'NotEffectivelyVax (current)'!AJ37,'NotEffectivelyVax (current)'!AM37,'NotEffectivelyVax (current)'!AP37,'NotEffectivelyVax (current)'!AS37,'NotEffectivelyVax (current)'!AV37,'NotEffectivelyVax (current)'!AY37,'NotEffectivelyVax (current)'!BB37,'NotEffectivelyVax (current)'!BE37,'NotEffectivelyVax (current)'!BH37,'NotEffectivelyVax (current)'!BK37,'NotEffectivelyVax (current)'!BN37,'NotEffectivelyVax (current)'!BQ37,'NotEffectivelyVax (current)'!BT37,'NotEffectivelyVax (current)'!BW37,'NotEffectivelyVax (current)'!BZ37,'NotEffectivelyVax (current)'!CC37,'NotEffectivelyVax (current)'!CF37,'NotEffectivelyVax (current)'!CI37,'NotEffectivelyVax (current)'!CL37,'NotEffectivelyVax (current)'!CO37,'NotEffectivelyVax (current)'!CR37,'NotEffectivelyVax (current)'!CU37,'NotEffectivelyVax (current)'!CX37,'NotEffectivelyVax (current)'!DA37,'NotEffectivelyVax (current)'!DD37,'NotEffectivelyVax (current)'!DG37,'NotEffectivelyVax (current)'!DJ37,'NotEffectivelyVax (current)'!DM37,'NotEffectivelyVax (current)'!DP37,'NotEffectivelyVax (current)'!DS37,'NotEffectivelyVax (current)'!DV37,'NotEffectivelyVax (current)'!DY37,'NotEffectivelyVax (current)'!EB37,'NotEffectivelyVax (current)'!EE37,'NotEffectivelyVax (current)'!EH37,'NotEffectivelyVax (current)'!EK37,'NotEffectivelyVax (current)'!EN37,'NotEffectivelyVax (current)'!EQ37,'NotEffectivelyVax (current)'!ET37,'NotEffectivelyVax (current)'!EW37,'NotEffectivelyVax (current)'!EZ37,'NotEffectivelyVax (current)'!FC37,'NotEffectivelyVax (current)'!FF37,'NotEffectivelyVax (current)'!FI37,'NotEffectivelyVax (current)'!FL37,'NotEffectivelyVax (current)'!FO37,'NotEffectivelyVax (current)'!FR37,'NotEffectivelyVax (current)'!FU37,'NotEffectivelyVax (current)'!FX37,'NotEffectivelyVax (current)'!GA37)</f>
        <v>#VALUE!</v>
      </c>
      <c r="Q37" s="155" t="e">
        <f>SUM('NotEffectivelyVax (current)'!D37,'NotEffectivelyVax (current)'!G37,'NotEffectivelyVax (current)'!J37,'NotEffectivelyVax (current)'!M37,'NotEffectivelyVax (current)'!P37,'NotEffectivelyVax (current)'!S37,'NotEffectivelyVax (current)'!V37,'NotEffectivelyVax (current)'!Y37,'NotEffectivelyVax (current)'!AB37,'NotEffectivelyVax (current)'!AE37,'NotEffectivelyVax (current)'!AH37,'NotEffectivelyVax (current)'!AK37,'NotEffectivelyVax (current)'!AN37,'NotEffectivelyVax (current)'!AQ37,'NotEffectivelyVax (current)'!AT37,'NotEffectivelyVax (current)'!AW37,'NotEffectivelyVax (current)'!AZ37,'NotEffectivelyVax (current)'!BC37,'NotEffectivelyVax (current)'!BF37,'NotEffectivelyVax (current)'!BI37,'NotEffectivelyVax (current)'!BL37,'NotEffectivelyVax (current)'!BO37,'NotEffectivelyVax (current)'!BR37,'NotEffectivelyVax (current)'!BU37,'NotEffectivelyVax (current)'!BX37,'NotEffectivelyVax (current)'!CA37,'NotEffectivelyVax (current)'!CD37,'NotEffectivelyVax (current)'!CG37,'NotEffectivelyVax (current)'!CJ37,'NotEffectivelyVax (current)'!CM37,'NotEffectivelyVax (current)'!CP37,'NotEffectivelyVax (current)'!CS37,'NotEffectivelyVax (current)'!CV37,'NotEffectivelyVax (current)'!CY37,'NotEffectivelyVax (current)'!DB37,'NotEffectivelyVax (current)'!DE37,'NotEffectivelyVax (current)'!DH37,'NotEffectivelyVax (current)'!DK37,'NotEffectivelyVax (current)'!DN37,'NotEffectivelyVax (current)'!DQ37,'NotEffectivelyVax (current)'!DT37,'NotEffectivelyVax (current)'!DW37,'NotEffectivelyVax (current)'!DZ37,'NotEffectivelyVax (current)'!EC37,'NotEffectivelyVax (current)'!EF37,'NotEffectivelyVax (current)'!EI37,'NotEffectivelyVax (current)'!EL37,'NotEffectivelyVax (current)'!EO37,'NotEffectivelyVax (current)'!ER37,'NotEffectivelyVax (current)'!EU37,'NotEffectivelyVax (current)'!EX37,'NotEffectivelyVax (current)'!FA37,'NotEffectivelyVax (current)'!FD37,'NotEffectivelyVax (current)'!FG37,'NotEffectivelyVax (current)'!FJ37,'NotEffectivelyVax (current)'!FM37,'NotEffectivelyVax (current)'!FP37,'NotEffectivelyVax (current)'!FS37,'NotEffectivelyVax (current)'!FV37,'NotEffectivelyVax (current)'!FY37)</f>
        <v>#VALUE!</v>
      </c>
      <c r="R37" s="155" t="e">
        <f>SUM('NotEffectivelyVax (current)'!E37,'NotEffectivelyVax (current)'!H37,'NotEffectivelyVax (current)'!K37,'NotEffectivelyVax (current)'!N37,'NotEffectivelyVax (current)'!Q37,'NotEffectivelyVax (current)'!T37,'NotEffectivelyVax (current)'!W37,'NotEffectivelyVax (current)'!Z37,'NotEffectivelyVax (current)'!AC37,'NotEffectivelyVax (current)'!AF37,'NotEffectivelyVax (current)'!AI37,'NotEffectivelyVax (current)'!AL37,'NotEffectivelyVax (current)'!AO37,'NotEffectivelyVax (current)'!AR37,'NotEffectivelyVax (current)'!AU37,'NotEffectivelyVax (current)'!AX37,'NotEffectivelyVax (current)'!BA37,'NotEffectivelyVax (current)'!BD37,'NotEffectivelyVax (current)'!BG37,'NotEffectivelyVax (current)'!BJ37,'NotEffectivelyVax (current)'!BM37,'NotEffectivelyVax (current)'!BP37,'NotEffectivelyVax (current)'!BS37,'NotEffectivelyVax (current)'!BV37,'NotEffectivelyVax (current)'!BY37,'NotEffectivelyVax (current)'!CB37,'NotEffectivelyVax (current)'!CE37,'NotEffectivelyVax (current)'!CH37,'NotEffectivelyVax (current)'!CK37,'NotEffectivelyVax (current)'!CN37,'NotEffectivelyVax (current)'!CQ37,'NotEffectivelyVax (current)'!CT37,'NotEffectivelyVax (current)'!CW37,'NotEffectivelyVax (current)'!CZ37,'NotEffectivelyVax (current)'!DC37,'NotEffectivelyVax (current)'!DF37,'NotEffectivelyVax (current)'!DI37,'NotEffectivelyVax (current)'!DL37,'NotEffectivelyVax (current)'!DO37,'NotEffectivelyVax (current)'!DR37,'NotEffectivelyVax (current)'!DU37,'NotEffectivelyVax (current)'!DX37,'NotEffectivelyVax (current)'!EA37,'NotEffectivelyVax (current)'!ED37,'NotEffectivelyVax (current)'!EG37,'NotEffectivelyVax (current)'!EJ37,'NotEffectivelyVax (current)'!EM37,'NotEffectivelyVax (current)'!EP37,'NotEffectivelyVax (current)'!ES37,'NotEffectivelyVax (current)'!EV37,'NotEffectivelyVax (current)'!EY37,'NotEffectivelyVax (current)'!FB37,'NotEffectivelyVax (current)'!FE37,'NotEffectivelyVax (current)'!FH37,'NotEffectivelyVax (current)'!FK37,'NotEffectivelyVax (current)'!FN37,'NotEffectivelyVax (current)'!FQ37,'NotEffectivelyVax (current)'!FT37,'NotEffectivelyVax (current)'!FW37,'NotEffectivelyVax (current)'!FZ37)</f>
        <v>#VALUE!</v>
      </c>
      <c r="S37" s="138" t="e">
        <f t="shared" si="6"/>
        <v>#VALUE!</v>
      </c>
      <c r="T37" s="187" t="e">
        <f>IF(Export!M35&lt;&gt;"",Q37*Export!K35*(1/Export!M35),Q37*Export!K35)</f>
        <v>#VALUE!</v>
      </c>
      <c r="U37" s="188" t="e">
        <f>S37*Export!J35</f>
        <v>#VALUE!</v>
      </c>
      <c r="V37" s="196" t="e">
        <f t="shared" si="11"/>
        <v>#DIV/0!</v>
      </c>
      <c r="W37" s="197" t="e">
        <f t="shared" si="8"/>
        <v>#VALUE!</v>
      </c>
      <c r="X37" s="190" t="e">
        <f>H37*Export!L35*V36</f>
        <v>#VALUE!</v>
      </c>
      <c r="Y37" s="190" t="e">
        <f t="shared" si="1"/>
        <v>#VALUE!</v>
      </c>
      <c r="Z37" s="190" t="e">
        <f>IF(Export!M35&lt;&gt;"",W37*Export!K35*(1/Export!M35),W37*Export!K35)</f>
        <v>#VALUE!</v>
      </c>
      <c r="AA37" s="190" t="e">
        <f>Y37*Export!J35</f>
        <v>#VALUE!</v>
      </c>
      <c r="AC37" s="143" t="e">
        <f t="shared" si="12"/>
        <v>#VALUE!</v>
      </c>
      <c r="AD37" s="144" t="e">
        <f t="shared" si="12"/>
        <v>#VALUE!</v>
      </c>
      <c r="AE37" s="144" t="e">
        <f t="shared" si="13"/>
        <v>#VALUE!</v>
      </c>
      <c r="AF37" s="144" t="e">
        <f t="shared" si="13"/>
        <v>#VALUE!</v>
      </c>
      <c r="AG37" s="144" t="e">
        <f t="shared" si="4"/>
        <v>#VALUE!</v>
      </c>
      <c r="AH37" s="198"/>
      <c r="AI37" s="198"/>
      <c r="AJ37" s="198"/>
      <c r="AK37" s="198"/>
      <c r="AL37" s="199"/>
      <c r="AM37" s="150"/>
      <c r="AN37" s="150"/>
      <c r="AO37" s="150"/>
      <c r="AP37" s="150"/>
      <c r="AQ37" s="151"/>
    </row>
    <row r="38" spans="1:44" x14ac:dyDescent="0.35">
      <c r="A38" s="130">
        <f>EffectivelyVax!B37</f>
        <v>2</v>
      </c>
      <c r="B38" s="131" t="str">
        <f>EffectivelyVax!C37</f>
        <v/>
      </c>
      <c r="C38" s="132" t="str">
        <f>Export!N36</f>
        <v/>
      </c>
      <c r="D38" s="177" t="str">
        <f>Export!B36</f>
        <v/>
      </c>
      <c r="E38" s="178" t="e">
        <f>C38*D38*HelperFunctions!G$31</f>
        <v>#VALUE!</v>
      </c>
      <c r="F38" s="179" t="e">
        <f>C38*D38*(1-HelperFunctions!G$31)</f>
        <v>#VALUE!</v>
      </c>
      <c r="G38" s="180" t="str">
        <f>Export!C36</f>
        <v/>
      </c>
      <c r="H38" s="191" t="e">
        <f>G38/(I37+'NotEffectivelyVax (current)'!F37*HelperFunctions!R$14+'NotEffectivelyVax (current)'!I37*HelperFunctions!R$14+'NotEffectivelyVax (current)'!L37*HelperFunctions!R$14+'NotEffectivelyVax (current)'!O37*HelperFunctions!R$14+'NotEffectivelyVax (current)'!R37*HelperFunctions!R$14+'NotEffectivelyVax (current)'!U37*HelperFunctions!R$14+'NotEffectivelyVax (current)'!X37*HelperFunctions!R$14+'NotEffectivelyVax (current)'!AA37*HelperFunctions!R$14+'NotEffectivelyVax (current)'!AD37*HelperFunctions!R$14+'NotEffectivelyVax (current)'!AG37*HelperFunctions!R$14+'NotEffectivelyVax (current)'!AJ37*HelperFunctions!R$14+'NotEffectivelyVax (current)'!AM37*HelperFunctions!R$14+'NotEffectivelyVax (current)'!AP37*HelperFunctions!R$28+'NotEffectivelyVax (current)'!AS37*HelperFunctions!R$28+'NotEffectivelyVax (current)'!AV37*HelperFunctions!R$28+'NotEffectivelyVax (current)'!AY37*HelperFunctions!R$28+'NotEffectivelyVax (current)'!BB37*HelperFunctions!R$28+'NotEffectivelyVax (current)'!BE37*HelperFunctions!R$28+'NotEffectivelyVax (current)'!BH37*HelperFunctions!R$28+'NotEffectivelyVax (current)'!BK37*HelperFunctions!R$28+'NotEffectivelyVax (current)'!BN37*HelperFunctions!R$28+'NotEffectivelyVax (current)'!BQ37*HelperFunctions!R$28+'NotEffectivelyVax (current)'!BT37*HelperFunctions!R$28+'NotEffectivelyVax (current)'!BW37*HelperFunctions!R27+'NotEffectivelyVax (current)'!BZ37*HelperFunctions!R40+'NotEffectivelyVax (current)'!CC37*HelperFunctions!R39+'NotEffectivelyVax (current)'!CF37*HelperFunctions!R38+'NotEffectivelyVax (current)'!CI37*HelperFunctions!R37+'NotEffectivelyVax (current)'!CL37*HelperFunctions!R36+'NotEffectivelyVax (current)'!CO37*HelperFunctions!R35+'NotEffectivelyVax (current)'!CR37*HelperFunctions!R34+'NotEffectivelyVax (current)'!CU37*HelperFunctions!R33+'NotEffectivelyVax (current)'!CX37*HelperFunctions!R32+'NotEffectivelyVax (current)'!DA37*HelperFunctions!R31)</f>
        <v>#VALUE!</v>
      </c>
      <c r="I38" s="192" t="e">
        <f t="shared" si="10"/>
        <v>#VALUE!</v>
      </c>
      <c r="J38" s="153">
        <f>SUM(EffectivelyVax!D37:BK37)</f>
        <v>0</v>
      </c>
      <c r="K38" s="193" t="e">
        <f t="shared" si="5"/>
        <v>#VALUE!</v>
      </c>
      <c r="L38" s="194" t="e">
        <f>I37*H38*Export!L36</f>
        <v>#VALUE!</v>
      </c>
      <c r="M38" s="195" t="e">
        <f t="shared" si="0"/>
        <v>#VALUE!</v>
      </c>
      <c r="N38" s="178" t="e">
        <f>IF(Export!M36&lt;&gt;"",K38*Export!K36*(1/Export!M36),K38*Export!K36)</f>
        <v>#VALUE!</v>
      </c>
      <c r="O38" s="154" t="e">
        <f>M38*Export!J36</f>
        <v>#VALUE!</v>
      </c>
      <c r="P38" s="186" t="e">
        <f>SUM('NotEffectivelyVax (current)'!F38,'NotEffectivelyVax (current)'!I38,'NotEffectivelyVax (current)'!L38,'NotEffectivelyVax (current)'!O38,'NotEffectivelyVax (current)'!R38,'NotEffectivelyVax (current)'!U38,'NotEffectivelyVax (current)'!X38,'NotEffectivelyVax (current)'!AA38,'NotEffectivelyVax (current)'!AD38,'NotEffectivelyVax (current)'!AG38,'NotEffectivelyVax (current)'!AJ38,'NotEffectivelyVax (current)'!AM38,'NotEffectivelyVax (current)'!AP38,'NotEffectivelyVax (current)'!AS38,'NotEffectivelyVax (current)'!AV38,'NotEffectivelyVax (current)'!AY38,'NotEffectivelyVax (current)'!BB38,'NotEffectivelyVax (current)'!BE38,'NotEffectivelyVax (current)'!BH38,'NotEffectivelyVax (current)'!BK38,'NotEffectivelyVax (current)'!BN38,'NotEffectivelyVax (current)'!BQ38,'NotEffectivelyVax (current)'!BT38,'NotEffectivelyVax (current)'!BW38,'NotEffectivelyVax (current)'!BZ38,'NotEffectivelyVax (current)'!CC38,'NotEffectivelyVax (current)'!CF38,'NotEffectivelyVax (current)'!CI38,'NotEffectivelyVax (current)'!CL38,'NotEffectivelyVax (current)'!CO38,'NotEffectivelyVax (current)'!CR38,'NotEffectivelyVax (current)'!CU38,'NotEffectivelyVax (current)'!CX38,'NotEffectivelyVax (current)'!DA38,'NotEffectivelyVax (current)'!DD38,'NotEffectivelyVax (current)'!DG38,'NotEffectivelyVax (current)'!DJ38,'NotEffectivelyVax (current)'!DM38,'NotEffectivelyVax (current)'!DP38,'NotEffectivelyVax (current)'!DS38,'NotEffectivelyVax (current)'!DV38,'NotEffectivelyVax (current)'!DY38,'NotEffectivelyVax (current)'!EB38,'NotEffectivelyVax (current)'!EE38,'NotEffectivelyVax (current)'!EH38,'NotEffectivelyVax (current)'!EK38,'NotEffectivelyVax (current)'!EN38,'NotEffectivelyVax (current)'!EQ38,'NotEffectivelyVax (current)'!ET38,'NotEffectivelyVax (current)'!EW38,'NotEffectivelyVax (current)'!EZ38,'NotEffectivelyVax (current)'!FC38,'NotEffectivelyVax (current)'!FF38,'NotEffectivelyVax (current)'!FI38,'NotEffectivelyVax (current)'!FL38,'NotEffectivelyVax (current)'!FO38,'NotEffectivelyVax (current)'!FR38,'NotEffectivelyVax (current)'!FU38,'NotEffectivelyVax (current)'!FX38,'NotEffectivelyVax (current)'!GA38)</f>
        <v>#VALUE!</v>
      </c>
      <c r="Q38" s="155" t="e">
        <f>SUM('NotEffectivelyVax (current)'!D38,'NotEffectivelyVax (current)'!G38,'NotEffectivelyVax (current)'!J38,'NotEffectivelyVax (current)'!M38,'NotEffectivelyVax (current)'!P38,'NotEffectivelyVax (current)'!S38,'NotEffectivelyVax (current)'!V38,'NotEffectivelyVax (current)'!Y38,'NotEffectivelyVax (current)'!AB38,'NotEffectivelyVax (current)'!AE38,'NotEffectivelyVax (current)'!AH38,'NotEffectivelyVax (current)'!AK38,'NotEffectivelyVax (current)'!AN38,'NotEffectivelyVax (current)'!AQ38,'NotEffectivelyVax (current)'!AT38,'NotEffectivelyVax (current)'!AW38,'NotEffectivelyVax (current)'!AZ38,'NotEffectivelyVax (current)'!BC38,'NotEffectivelyVax (current)'!BF38,'NotEffectivelyVax (current)'!BI38,'NotEffectivelyVax (current)'!BL38,'NotEffectivelyVax (current)'!BO38,'NotEffectivelyVax (current)'!BR38,'NotEffectivelyVax (current)'!BU38,'NotEffectivelyVax (current)'!BX38,'NotEffectivelyVax (current)'!CA38,'NotEffectivelyVax (current)'!CD38,'NotEffectivelyVax (current)'!CG38,'NotEffectivelyVax (current)'!CJ38,'NotEffectivelyVax (current)'!CM38,'NotEffectivelyVax (current)'!CP38,'NotEffectivelyVax (current)'!CS38,'NotEffectivelyVax (current)'!CV38,'NotEffectivelyVax (current)'!CY38,'NotEffectivelyVax (current)'!DB38,'NotEffectivelyVax (current)'!DE38,'NotEffectivelyVax (current)'!DH38,'NotEffectivelyVax (current)'!DK38,'NotEffectivelyVax (current)'!DN38,'NotEffectivelyVax (current)'!DQ38,'NotEffectivelyVax (current)'!DT38,'NotEffectivelyVax (current)'!DW38,'NotEffectivelyVax (current)'!DZ38,'NotEffectivelyVax (current)'!EC38,'NotEffectivelyVax (current)'!EF38,'NotEffectivelyVax (current)'!EI38,'NotEffectivelyVax (current)'!EL38,'NotEffectivelyVax (current)'!EO38,'NotEffectivelyVax (current)'!ER38,'NotEffectivelyVax (current)'!EU38,'NotEffectivelyVax (current)'!EX38,'NotEffectivelyVax (current)'!FA38,'NotEffectivelyVax (current)'!FD38,'NotEffectivelyVax (current)'!FG38,'NotEffectivelyVax (current)'!FJ38,'NotEffectivelyVax (current)'!FM38,'NotEffectivelyVax (current)'!FP38,'NotEffectivelyVax (current)'!FS38,'NotEffectivelyVax (current)'!FV38,'NotEffectivelyVax (current)'!FY38)</f>
        <v>#VALUE!</v>
      </c>
      <c r="R38" s="155" t="e">
        <f>SUM('NotEffectivelyVax (current)'!E38,'NotEffectivelyVax (current)'!H38,'NotEffectivelyVax (current)'!K38,'NotEffectivelyVax (current)'!N38,'NotEffectivelyVax (current)'!Q38,'NotEffectivelyVax (current)'!T38,'NotEffectivelyVax (current)'!W38,'NotEffectivelyVax (current)'!Z38,'NotEffectivelyVax (current)'!AC38,'NotEffectivelyVax (current)'!AF38,'NotEffectivelyVax (current)'!AI38,'NotEffectivelyVax (current)'!AL38,'NotEffectivelyVax (current)'!AO38,'NotEffectivelyVax (current)'!AR38,'NotEffectivelyVax (current)'!AU38,'NotEffectivelyVax (current)'!AX38,'NotEffectivelyVax (current)'!BA38,'NotEffectivelyVax (current)'!BD38,'NotEffectivelyVax (current)'!BG38,'NotEffectivelyVax (current)'!BJ38,'NotEffectivelyVax (current)'!BM38,'NotEffectivelyVax (current)'!BP38,'NotEffectivelyVax (current)'!BS38,'NotEffectivelyVax (current)'!BV38,'NotEffectivelyVax (current)'!BY38,'NotEffectivelyVax (current)'!CB38,'NotEffectivelyVax (current)'!CE38,'NotEffectivelyVax (current)'!CH38,'NotEffectivelyVax (current)'!CK38,'NotEffectivelyVax (current)'!CN38,'NotEffectivelyVax (current)'!CQ38,'NotEffectivelyVax (current)'!CT38,'NotEffectivelyVax (current)'!CW38,'NotEffectivelyVax (current)'!CZ38,'NotEffectivelyVax (current)'!DC38,'NotEffectivelyVax (current)'!DF38,'NotEffectivelyVax (current)'!DI38,'NotEffectivelyVax (current)'!DL38,'NotEffectivelyVax (current)'!DO38,'NotEffectivelyVax (current)'!DR38,'NotEffectivelyVax (current)'!DU38,'NotEffectivelyVax (current)'!DX38,'NotEffectivelyVax (current)'!EA38,'NotEffectivelyVax (current)'!ED38,'NotEffectivelyVax (current)'!EG38,'NotEffectivelyVax (current)'!EJ38,'NotEffectivelyVax (current)'!EM38,'NotEffectivelyVax (current)'!EP38,'NotEffectivelyVax (current)'!ES38,'NotEffectivelyVax (current)'!EV38,'NotEffectivelyVax (current)'!EY38,'NotEffectivelyVax (current)'!FB38,'NotEffectivelyVax (current)'!FE38,'NotEffectivelyVax (current)'!FH38,'NotEffectivelyVax (current)'!FK38,'NotEffectivelyVax (current)'!FN38,'NotEffectivelyVax (current)'!FQ38,'NotEffectivelyVax (current)'!FT38,'NotEffectivelyVax (current)'!FW38,'NotEffectivelyVax (current)'!FZ38)</f>
        <v>#VALUE!</v>
      </c>
      <c r="S38" s="138" t="e">
        <f t="shared" si="6"/>
        <v>#VALUE!</v>
      </c>
      <c r="T38" s="187" t="e">
        <f>IF(Export!M36&lt;&gt;"",Q38*Export!K36*(1/Export!M36),Q38*Export!K36)</f>
        <v>#VALUE!</v>
      </c>
      <c r="U38" s="188" t="e">
        <f>S38*Export!J36</f>
        <v>#VALUE!</v>
      </c>
      <c r="V38" s="196" t="e">
        <f t="shared" si="11"/>
        <v>#DIV/0!</v>
      </c>
      <c r="W38" s="197" t="e">
        <f t="shared" si="8"/>
        <v>#VALUE!</v>
      </c>
      <c r="X38" s="190" t="e">
        <f>H38*Export!L36*V37</f>
        <v>#VALUE!</v>
      </c>
      <c r="Y38" s="190" t="e">
        <f t="shared" si="1"/>
        <v>#VALUE!</v>
      </c>
      <c r="Z38" s="190" t="e">
        <f>IF(Export!M36&lt;&gt;"",W38*Export!K36*(1/Export!M36),W38*Export!K36)</f>
        <v>#VALUE!</v>
      </c>
      <c r="AA38" s="190" t="e">
        <f>Y38*Export!J36</f>
        <v>#VALUE!</v>
      </c>
      <c r="AC38" s="143" t="e">
        <f t="shared" si="12"/>
        <v>#VALUE!</v>
      </c>
      <c r="AD38" s="144" t="e">
        <f t="shared" si="12"/>
        <v>#VALUE!</v>
      </c>
      <c r="AE38" s="144" t="e">
        <f t="shared" si="13"/>
        <v>#VALUE!</v>
      </c>
      <c r="AF38" s="144" t="e">
        <f t="shared" si="13"/>
        <v>#VALUE!</v>
      </c>
      <c r="AG38" s="144" t="e">
        <f t="shared" si="4"/>
        <v>#VALUE!</v>
      </c>
      <c r="AH38" s="198"/>
      <c r="AI38" s="198"/>
      <c r="AJ38" s="198"/>
      <c r="AK38" s="198"/>
      <c r="AL38" s="199"/>
      <c r="AM38" s="150"/>
      <c r="AN38" s="150"/>
      <c r="AO38" s="150"/>
      <c r="AP38" s="150"/>
      <c r="AQ38" s="151"/>
    </row>
    <row r="39" spans="1:44" ht="15.75" customHeight="1" x14ac:dyDescent="0.35">
      <c r="A39" s="202">
        <f>EffectivelyVax!B38</f>
        <v>2</v>
      </c>
      <c r="B39" s="203" t="str">
        <f>EffectivelyVax!C38</f>
        <v/>
      </c>
      <c r="C39" s="204" t="str">
        <f>Export!N37</f>
        <v/>
      </c>
      <c r="D39" s="205" t="str">
        <f>Export!B37</f>
        <v/>
      </c>
      <c r="E39" s="206" t="e">
        <f>C39*D39*HelperFunctions!G$31</f>
        <v>#VALUE!</v>
      </c>
      <c r="F39" s="207" t="e">
        <f>C39*D39*(1-HelperFunctions!G$31)</f>
        <v>#VALUE!</v>
      </c>
      <c r="G39" s="208" t="str">
        <f>Export!C37</f>
        <v/>
      </c>
      <c r="H39" s="209" t="e">
        <f>G39/(I38+'NotEffectivelyVax (current)'!F38*HelperFunctions!R$14+'NotEffectivelyVax (current)'!I38*HelperFunctions!R$14+'NotEffectivelyVax (current)'!L38*HelperFunctions!R$14+'NotEffectivelyVax (current)'!O38*HelperFunctions!R$14+'NotEffectivelyVax (current)'!R38*HelperFunctions!R$14+'NotEffectivelyVax (current)'!U38*HelperFunctions!R$14+'NotEffectivelyVax (current)'!X38*HelperFunctions!R$14+'NotEffectivelyVax (current)'!AA38*HelperFunctions!R$14+'NotEffectivelyVax (current)'!AD38*HelperFunctions!R$14+'NotEffectivelyVax (current)'!AG38*HelperFunctions!R$14+'NotEffectivelyVax (current)'!AJ38*HelperFunctions!R$14+'NotEffectivelyVax (current)'!AM38*HelperFunctions!R$14+'NotEffectivelyVax (current)'!AP38*HelperFunctions!R$28+'NotEffectivelyVax (current)'!AS38*HelperFunctions!R$28+'NotEffectivelyVax (current)'!AV38*HelperFunctions!R$28+'NotEffectivelyVax (current)'!AY38*HelperFunctions!R$28+'NotEffectivelyVax (current)'!BB38*HelperFunctions!R$28+'NotEffectivelyVax (current)'!BE38*HelperFunctions!R$28+'NotEffectivelyVax (current)'!BH38*HelperFunctions!R$28+'NotEffectivelyVax (current)'!BK38*HelperFunctions!R$28+'NotEffectivelyVax (current)'!BN38*HelperFunctions!R$28+'NotEffectivelyVax (current)'!BQ38*HelperFunctions!R$28+'NotEffectivelyVax (current)'!BT38*HelperFunctions!R$28+'NotEffectivelyVax (current)'!BW38*HelperFunctions!R$28+'NotEffectivelyVax (current)'!BZ38*HelperFunctions!R41+'NotEffectivelyVax (current)'!CC38*HelperFunctions!R40+'NotEffectivelyVax (current)'!CF38*HelperFunctions!R39+'NotEffectivelyVax (current)'!CI38*HelperFunctions!R38+'NotEffectivelyVax (current)'!CL38*HelperFunctions!R37+'NotEffectivelyVax (current)'!CO38*HelperFunctions!R36+'NotEffectivelyVax (current)'!CR38*HelperFunctions!R35+'NotEffectivelyVax (current)'!CU38*HelperFunctions!R34+'NotEffectivelyVax (current)'!CX38*HelperFunctions!R33+'NotEffectivelyVax (current)'!DA38*HelperFunctions!R32+'NotEffectivelyVax (current)'!DD38*HelperFunctions!R31)</f>
        <v>#VALUE!</v>
      </c>
      <c r="I39" s="245" t="e">
        <f t="shared" si="10"/>
        <v>#VALUE!</v>
      </c>
      <c r="J39" s="210">
        <f>SUM(EffectivelyVax!D38:BK38)</f>
        <v>0</v>
      </c>
      <c r="K39" s="211" t="e">
        <f t="shared" si="5"/>
        <v>#VALUE!</v>
      </c>
      <c r="L39" s="212" t="e">
        <f>I38*H39*Export!L37</f>
        <v>#VALUE!</v>
      </c>
      <c r="M39" s="213" t="e">
        <f t="shared" si="0"/>
        <v>#VALUE!</v>
      </c>
      <c r="N39" s="206" t="e">
        <f>IF(Export!M37&lt;&gt;"",K39*Export!K37*(1/Export!M37),K39*Export!K37)</f>
        <v>#VALUE!</v>
      </c>
      <c r="O39" s="214" t="e">
        <f>M39*Export!J37</f>
        <v>#VALUE!</v>
      </c>
      <c r="P39" s="215" t="e">
        <f>SUM('NotEffectivelyVax (current)'!F39,'NotEffectivelyVax (current)'!I39,'NotEffectivelyVax (current)'!L39,'NotEffectivelyVax (current)'!O39,'NotEffectivelyVax (current)'!R39,'NotEffectivelyVax (current)'!U39,'NotEffectivelyVax (current)'!X39,'NotEffectivelyVax (current)'!AA39,'NotEffectivelyVax (current)'!AD39,'NotEffectivelyVax (current)'!AG39,'NotEffectivelyVax (current)'!AJ39,'NotEffectivelyVax (current)'!AM39,'NotEffectivelyVax (current)'!AP39,'NotEffectivelyVax (current)'!AS39,'NotEffectivelyVax (current)'!AV39,'NotEffectivelyVax (current)'!AY39,'NotEffectivelyVax (current)'!BB39,'NotEffectivelyVax (current)'!BE39,'NotEffectivelyVax (current)'!BH39,'NotEffectivelyVax (current)'!BK39,'NotEffectivelyVax (current)'!BN39,'NotEffectivelyVax (current)'!BQ39,'NotEffectivelyVax (current)'!BT39,'NotEffectivelyVax (current)'!BW39,'NotEffectivelyVax (current)'!BZ39,'NotEffectivelyVax (current)'!CC39,'NotEffectivelyVax (current)'!CF39,'NotEffectivelyVax (current)'!CI39,'NotEffectivelyVax (current)'!CL39,'NotEffectivelyVax (current)'!CO39,'NotEffectivelyVax (current)'!CR39,'NotEffectivelyVax (current)'!CU39,'NotEffectivelyVax (current)'!CX39,'NotEffectivelyVax (current)'!DA39,'NotEffectivelyVax (current)'!DD39,'NotEffectivelyVax (current)'!DG39,'NotEffectivelyVax (current)'!DJ39,'NotEffectivelyVax (current)'!DM39,'NotEffectivelyVax (current)'!DP39,'NotEffectivelyVax (current)'!DS39,'NotEffectivelyVax (current)'!DV39,'NotEffectivelyVax (current)'!DY39,'NotEffectivelyVax (current)'!EB39,'NotEffectivelyVax (current)'!EE39,'NotEffectivelyVax (current)'!EH39,'NotEffectivelyVax (current)'!EK39,'NotEffectivelyVax (current)'!EN39,'NotEffectivelyVax (current)'!EQ39,'NotEffectivelyVax (current)'!ET39,'NotEffectivelyVax (current)'!EW39,'NotEffectivelyVax (current)'!EZ39,'NotEffectivelyVax (current)'!FC39,'NotEffectivelyVax (current)'!FF39,'NotEffectivelyVax (current)'!FI39,'NotEffectivelyVax (current)'!FL39,'NotEffectivelyVax (current)'!FO39,'NotEffectivelyVax (current)'!FR39,'NotEffectivelyVax (current)'!FU39,'NotEffectivelyVax (current)'!FX39,'NotEffectivelyVax (current)'!GA39)</f>
        <v>#VALUE!</v>
      </c>
      <c r="Q39" s="216" t="e">
        <f>SUM('NotEffectivelyVax (current)'!D39,'NotEffectivelyVax (current)'!G39,'NotEffectivelyVax (current)'!J39,'NotEffectivelyVax (current)'!M39,'NotEffectivelyVax (current)'!P39,'NotEffectivelyVax (current)'!S39,'NotEffectivelyVax (current)'!V39,'NotEffectivelyVax (current)'!Y39,'NotEffectivelyVax (current)'!AB39,'NotEffectivelyVax (current)'!AE39,'NotEffectivelyVax (current)'!AH39,'NotEffectivelyVax (current)'!AK39,'NotEffectivelyVax (current)'!AN39,'NotEffectivelyVax (current)'!AQ39,'NotEffectivelyVax (current)'!AT39,'NotEffectivelyVax (current)'!AW39,'NotEffectivelyVax (current)'!AZ39,'NotEffectivelyVax (current)'!BC39,'NotEffectivelyVax (current)'!BF39,'NotEffectivelyVax (current)'!BI39,'NotEffectivelyVax (current)'!BL39,'NotEffectivelyVax (current)'!BO39,'NotEffectivelyVax (current)'!BR39,'NotEffectivelyVax (current)'!BU39,'NotEffectivelyVax (current)'!BX39,'NotEffectivelyVax (current)'!CA39,'NotEffectivelyVax (current)'!CD39,'NotEffectivelyVax (current)'!CG39,'NotEffectivelyVax (current)'!CJ39,'NotEffectivelyVax (current)'!CM39,'NotEffectivelyVax (current)'!CP39,'NotEffectivelyVax (current)'!CS39,'NotEffectivelyVax (current)'!CV39,'NotEffectivelyVax (current)'!CY39,'NotEffectivelyVax (current)'!DB39,'NotEffectivelyVax (current)'!DE39,'NotEffectivelyVax (current)'!DH39,'NotEffectivelyVax (current)'!DK39,'NotEffectivelyVax (current)'!DN39,'NotEffectivelyVax (current)'!DQ39,'NotEffectivelyVax (current)'!DT39,'NotEffectivelyVax (current)'!DW39,'NotEffectivelyVax (current)'!DZ39,'NotEffectivelyVax (current)'!EC39,'NotEffectivelyVax (current)'!EF39,'NotEffectivelyVax (current)'!EI39,'NotEffectivelyVax (current)'!EL39,'NotEffectivelyVax (current)'!EO39,'NotEffectivelyVax (current)'!ER39,'NotEffectivelyVax (current)'!EU39,'NotEffectivelyVax (current)'!EX39,'NotEffectivelyVax (current)'!FA39,'NotEffectivelyVax (current)'!FD39,'NotEffectivelyVax (current)'!FG39,'NotEffectivelyVax (current)'!FJ39,'NotEffectivelyVax (current)'!FM39,'NotEffectivelyVax (current)'!FP39,'NotEffectivelyVax (current)'!FS39,'NotEffectivelyVax (current)'!FV39,'NotEffectivelyVax (current)'!FY39)</f>
        <v>#VALUE!</v>
      </c>
      <c r="R39" s="216" t="e">
        <f>SUM('NotEffectivelyVax (current)'!E39,'NotEffectivelyVax (current)'!H39,'NotEffectivelyVax (current)'!K39,'NotEffectivelyVax (current)'!N39,'NotEffectivelyVax (current)'!Q39,'NotEffectivelyVax (current)'!T39,'NotEffectivelyVax (current)'!W39,'NotEffectivelyVax (current)'!Z39,'NotEffectivelyVax (current)'!AC39,'NotEffectivelyVax (current)'!AF39,'NotEffectivelyVax (current)'!AI39,'NotEffectivelyVax (current)'!AL39,'NotEffectivelyVax (current)'!AO39,'NotEffectivelyVax (current)'!AR39,'NotEffectivelyVax (current)'!AU39,'NotEffectivelyVax (current)'!AX39,'NotEffectivelyVax (current)'!BA39,'NotEffectivelyVax (current)'!BD39,'NotEffectivelyVax (current)'!BG39,'NotEffectivelyVax (current)'!BJ39,'NotEffectivelyVax (current)'!BM39,'NotEffectivelyVax (current)'!BP39,'NotEffectivelyVax (current)'!BS39,'NotEffectivelyVax (current)'!BV39,'NotEffectivelyVax (current)'!BY39,'NotEffectivelyVax (current)'!CB39,'NotEffectivelyVax (current)'!CE39,'NotEffectivelyVax (current)'!CH39,'NotEffectivelyVax (current)'!CK39,'NotEffectivelyVax (current)'!CN39,'NotEffectivelyVax (current)'!CQ39,'NotEffectivelyVax (current)'!CT39,'NotEffectivelyVax (current)'!CW39,'NotEffectivelyVax (current)'!CZ39,'NotEffectivelyVax (current)'!DC39,'NotEffectivelyVax (current)'!DF39,'NotEffectivelyVax (current)'!DI39,'NotEffectivelyVax (current)'!DL39,'NotEffectivelyVax (current)'!DO39,'NotEffectivelyVax (current)'!DR39,'NotEffectivelyVax (current)'!DU39,'NotEffectivelyVax (current)'!DX39,'NotEffectivelyVax (current)'!EA39,'NotEffectivelyVax (current)'!ED39,'NotEffectivelyVax (current)'!EG39,'NotEffectivelyVax (current)'!EJ39,'NotEffectivelyVax (current)'!EM39,'NotEffectivelyVax (current)'!EP39,'NotEffectivelyVax (current)'!ES39,'NotEffectivelyVax (current)'!EV39,'NotEffectivelyVax (current)'!EY39,'NotEffectivelyVax (current)'!FB39,'NotEffectivelyVax (current)'!FE39,'NotEffectivelyVax (current)'!FH39,'NotEffectivelyVax (current)'!FK39,'NotEffectivelyVax (current)'!FN39,'NotEffectivelyVax (current)'!FQ39,'NotEffectivelyVax (current)'!FT39,'NotEffectivelyVax (current)'!FW39,'NotEffectivelyVax (current)'!FZ39)</f>
        <v>#VALUE!</v>
      </c>
      <c r="S39" s="217" t="e">
        <f t="shared" si="6"/>
        <v>#VALUE!</v>
      </c>
      <c r="T39" s="218" t="e">
        <f>IF(Export!M37&lt;&gt;"",Q39*Export!K37*(1/Export!M37),Q39*Export!K37)</f>
        <v>#VALUE!</v>
      </c>
      <c r="U39" s="219" t="e">
        <f>S39*Export!J37</f>
        <v>#VALUE!</v>
      </c>
      <c r="V39" s="244" t="e">
        <f t="shared" si="11"/>
        <v>#DIV/0!</v>
      </c>
      <c r="W39" s="220" t="e">
        <f t="shared" si="8"/>
        <v>#VALUE!</v>
      </c>
      <c r="X39" s="221" t="e">
        <f>H39*Export!L37*V38</f>
        <v>#VALUE!</v>
      </c>
      <c r="Y39" s="221" t="e">
        <f t="shared" si="1"/>
        <v>#VALUE!</v>
      </c>
      <c r="Z39" s="221" t="e">
        <f>IF(Export!M37&lt;&gt;"",W39*Export!K37*(1/Export!M37),W39*Export!K37)</f>
        <v>#VALUE!</v>
      </c>
      <c r="AA39" s="221" t="e">
        <f>Y39*Export!J37</f>
        <v>#VALUE!</v>
      </c>
      <c r="AC39" s="156" t="e">
        <f t="shared" si="12"/>
        <v>#VALUE!</v>
      </c>
      <c r="AD39" s="157" t="e">
        <f t="shared" si="12"/>
        <v>#VALUE!</v>
      </c>
      <c r="AE39" s="157" t="e">
        <f t="shared" si="13"/>
        <v>#VALUE!</v>
      </c>
      <c r="AF39" s="157" t="e">
        <f t="shared" si="13"/>
        <v>#VALUE!</v>
      </c>
      <c r="AG39" s="240" t="e">
        <f t="shared" si="4"/>
        <v>#VALUE!</v>
      </c>
      <c r="AH39" s="147" t="e">
        <f>SUM(AC28:AC39)/SUM(W28:W39)</f>
        <v>#VALUE!</v>
      </c>
      <c r="AI39" s="147" t="e">
        <f>SUM(AD28:AD39)/SUM(X28:X39)</f>
        <v>#VALUE!</v>
      </c>
      <c r="AJ39" s="147" t="e">
        <f>SUM(AE28:AE39)/SUM(Z28:Z39)</f>
        <v>#VALUE!</v>
      </c>
      <c r="AK39" s="147" t="e">
        <f>SUM(AF28:AF39)/SUM(AA28:AA39)</f>
        <v>#VALUE!</v>
      </c>
      <c r="AL39" s="241" t="e">
        <f>SUM(AG28:AG39)/SUM(W28:X39)</f>
        <v>#VALUE!</v>
      </c>
      <c r="AM39" s="148" t="e">
        <f>SUM($E28:$F39)/SUM(AC28:AC39)</f>
        <v>#VALUE!</v>
      </c>
      <c r="AN39" s="148" t="e">
        <f>SUM($E28:$F39)/SUM(AD28:AD39)</f>
        <v>#VALUE!</v>
      </c>
      <c r="AO39" s="148" t="e">
        <f>SUM($E28:$F39)/SUM(AE28:AE39)</f>
        <v>#VALUE!</v>
      </c>
      <c r="AP39" s="148" t="e">
        <f>SUM($E28:$F39)/SUM(AF28:AF39)</f>
        <v>#VALUE!</v>
      </c>
      <c r="AQ39" s="148" t="e">
        <f>SUM($E28:$F39)/SUM(AG28:AG39)</f>
        <v>#VALUE!</v>
      </c>
    </row>
    <row r="40" spans="1:44" x14ac:dyDescent="0.35">
      <c r="A40" s="222">
        <f>EffectivelyVax!B39</f>
        <v>3</v>
      </c>
      <c r="B40" s="223" t="str">
        <f>EffectivelyVax!C39</f>
        <v/>
      </c>
      <c r="C40" s="224" t="str">
        <f>Export!N38</f>
        <v/>
      </c>
      <c r="D40" s="225" t="str">
        <f>Export!B38</f>
        <v/>
      </c>
      <c r="E40" s="226" t="e">
        <f>C40*D40*HelperFunctions!G$45</f>
        <v>#VALUE!</v>
      </c>
      <c r="F40" s="227" t="e">
        <f>C40*D40*(1-HelperFunctions!G$45)</f>
        <v>#VALUE!</v>
      </c>
      <c r="G40" s="228" t="str">
        <f>Export!C38</f>
        <v/>
      </c>
      <c r="H40" s="229" t="e">
        <f>G40/(I39+'NotEffectivelyVax (current)'!F39*HelperFunctions!R$14+'NotEffectivelyVax (current)'!I39*HelperFunctions!R$14+'NotEffectivelyVax (current)'!L39*HelperFunctions!R$14+'NotEffectivelyVax (current)'!O39*HelperFunctions!R$14+'NotEffectivelyVax (current)'!R39*HelperFunctions!R$14+'NotEffectivelyVax (current)'!U39*HelperFunctions!R$14+'NotEffectivelyVax (current)'!X39*HelperFunctions!R$14+'NotEffectivelyVax (current)'!AA39*HelperFunctions!R$14+'NotEffectivelyVax (current)'!AD39*HelperFunctions!R$14+'NotEffectivelyVax (current)'!AG39*HelperFunctions!R$14+'NotEffectivelyVax (current)'!AJ39*HelperFunctions!R$14+'NotEffectivelyVax (current)'!AM39*HelperFunctions!R$14+'NotEffectivelyVax (current)'!AP39*HelperFunctions!R$28+'NotEffectivelyVax (current)'!AS39*HelperFunctions!R$28+'NotEffectivelyVax (current)'!AV39*HelperFunctions!R$28+'NotEffectivelyVax (current)'!AY39*HelperFunctions!R$28+'NotEffectivelyVax (current)'!BB39*HelperFunctions!R$28+'NotEffectivelyVax (current)'!BE39*HelperFunctions!R$28+'NotEffectivelyVax (current)'!BH39*HelperFunctions!R$28+'NotEffectivelyVax (current)'!BK39*HelperFunctions!R$28+'NotEffectivelyVax (current)'!BN39*HelperFunctions!R$28+'NotEffectivelyVax (current)'!BQ39*HelperFunctions!R$28+'NotEffectivelyVax (current)'!BT39*HelperFunctions!R$28+'NotEffectivelyVax (current)'!BW39*HelperFunctions!R$28+'NotEffectivelyVax (current)'!BZ39*HelperFunctions!R$42+'NotEffectivelyVax (current)'!CC39*HelperFunctions!R41+'NotEffectivelyVax (current)'!CF39*HelperFunctions!R40+'NotEffectivelyVax (current)'!CI39*HelperFunctions!R39+'NotEffectivelyVax (current)'!CL39*HelperFunctions!R38+'NotEffectivelyVax (current)'!CO39*HelperFunctions!R37+'NotEffectivelyVax (current)'!CR39*HelperFunctions!R36+'NotEffectivelyVax (current)'!CU39*HelperFunctions!R35+'NotEffectivelyVax (current)'!CX39*HelperFunctions!R34+'NotEffectivelyVax (current)'!DA39*HelperFunctions!R33+'NotEffectivelyVax (current)'!DD39*HelperFunctions!R32+'NotEffectivelyVax (current)'!DG39*HelperFunctions!R31)</f>
        <v>#VALUE!</v>
      </c>
      <c r="I40" s="182" t="e">
        <f t="shared" si="10"/>
        <v>#VALUE!</v>
      </c>
      <c r="J40" s="230">
        <f>SUM(EffectivelyVax!D39:BK39)</f>
        <v>0</v>
      </c>
      <c r="K40" s="231" t="e">
        <f t="shared" si="5"/>
        <v>#VALUE!</v>
      </c>
      <c r="L40" s="232" t="e">
        <f>I39*H40*Export!L38</f>
        <v>#VALUE!</v>
      </c>
      <c r="M40" s="233" t="e">
        <f t="shared" si="0"/>
        <v>#VALUE!</v>
      </c>
      <c r="N40" s="226" t="e">
        <f>IF(Export!M38&lt;&gt;"",K40*Export!K38*(1/Export!M38),K40*Export!K38)</f>
        <v>#VALUE!</v>
      </c>
      <c r="O40" s="234" t="e">
        <f>M40*Export!J38</f>
        <v>#VALUE!</v>
      </c>
      <c r="P40" s="235" t="e">
        <f>SUM('NotEffectivelyVax (current)'!F40,'NotEffectivelyVax (current)'!I40,'NotEffectivelyVax (current)'!L40,'NotEffectivelyVax (current)'!O40,'NotEffectivelyVax (current)'!R40,'NotEffectivelyVax (current)'!U40,'NotEffectivelyVax (current)'!X40,'NotEffectivelyVax (current)'!AA40,'NotEffectivelyVax (current)'!AD40,'NotEffectivelyVax (current)'!AG40,'NotEffectivelyVax (current)'!AJ40,'NotEffectivelyVax (current)'!AM40,'NotEffectivelyVax (current)'!AP40,'NotEffectivelyVax (current)'!AS40,'NotEffectivelyVax (current)'!AV40,'NotEffectivelyVax (current)'!AY40,'NotEffectivelyVax (current)'!BB40,'NotEffectivelyVax (current)'!BE40,'NotEffectivelyVax (current)'!BH40,'NotEffectivelyVax (current)'!BK40,'NotEffectivelyVax (current)'!BN40,'NotEffectivelyVax (current)'!BQ40,'NotEffectivelyVax (current)'!BT40,'NotEffectivelyVax (current)'!BW40,'NotEffectivelyVax (current)'!BZ40,'NotEffectivelyVax (current)'!CC40,'NotEffectivelyVax (current)'!CF40,'NotEffectivelyVax (current)'!CI40,'NotEffectivelyVax (current)'!CL40,'NotEffectivelyVax (current)'!CO40,'NotEffectivelyVax (current)'!CR40,'NotEffectivelyVax (current)'!CU40,'NotEffectivelyVax (current)'!CX40,'NotEffectivelyVax (current)'!DA40,'NotEffectivelyVax (current)'!DD40,'NotEffectivelyVax (current)'!DG40,'NotEffectivelyVax (current)'!DJ40,'NotEffectivelyVax (current)'!DM40,'NotEffectivelyVax (current)'!DP40,'NotEffectivelyVax (current)'!DS40,'NotEffectivelyVax (current)'!DV40,'NotEffectivelyVax (current)'!DY40,'NotEffectivelyVax (current)'!EB40,'NotEffectivelyVax (current)'!EE40,'NotEffectivelyVax (current)'!EH40,'NotEffectivelyVax (current)'!EK40,'NotEffectivelyVax (current)'!EN40,'NotEffectivelyVax (current)'!EQ40,'NotEffectivelyVax (current)'!ET40,'NotEffectivelyVax (current)'!EW40,'NotEffectivelyVax (current)'!EZ40,'NotEffectivelyVax (current)'!FC40,'NotEffectivelyVax (current)'!FF40,'NotEffectivelyVax (current)'!FI40,'NotEffectivelyVax (current)'!FL40,'NotEffectivelyVax (current)'!FO40,'NotEffectivelyVax (current)'!FR40,'NotEffectivelyVax (current)'!FU40,'NotEffectivelyVax (current)'!FX40,'NotEffectivelyVax (current)'!GA40)</f>
        <v>#VALUE!</v>
      </c>
      <c r="Q40" s="236" t="e">
        <f>SUM('NotEffectivelyVax (current)'!D40,'NotEffectivelyVax (current)'!G40,'NotEffectivelyVax (current)'!J40,'NotEffectivelyVax (current)'!M40,'NotEffectivelyVax (current)'!P40,'NotEffectivelyVax (current)'!S40,'NotEffectivelyVax (current)'!V40,'NotEffectivelyVax (current)'!Y40,'NotEffectivelyVax (current)'!AB40,'NotEffectivelyVax (current)'!AE40,'NotEffectivelyVax (current)'!AH40,'NotEffectivelyVax (current)'!AK40,'NotEffectivelyVax (current)'!AN40,'NotEffectivelyVax (current)'!AQ40,'NotEffectivelyVax (current)'!AT40,'NotEffectivelyVax (current)'!AW40,'NotEffectivelyVax (current)'!AZ40,'NotEffectivelyVax (current)'!BC40,'NotEffectivelyVax (current)'!BF40,'NotEffectivelyVax (current)'!BI40,'NotEffectivelyVax (current)'!BL40,'NotEffectivelyVax (current)'!BO40,'NotEffectivelyVax (current)'!BR40,'NotEffectivelyVax (current)'!BU40,'NotEffectivelyVax (current)'!BX40,'NotEffectivelyVax (current)'!CA40,'NotEffectivelyVax (current)'!CD40,'NotEffectivelyVax (current)'!CG40,'NotEffectivelyVax (current)'!CJ40,'NotEffectivelyVax (current)'!CM40,'NotEffectivelyVax (current)'!CP40,'NotEffectivelyVax (current)'!CS40,'NotEffectivelyVax (current)'!CV40,'NotEffectivelyVax (current)'!CY40,'NotEffectivelyVax (current)'!DB40,'NotEffectivelyVax (current)'!DE40,'NotEffectivelyVax (current)'!DH40,'NotEffectivelyVax (current)'!DK40,'NotEffectivelyVax (current)'!DN40,'NotEffectivelyVax (current)'!DQ40,'NotEffectivelyVax (current)'!DT40,'NotEffectivelyVax (current)'!DW40,'NotEffectivelyVax (current)'!DZ40,'NotEffectivelyVax (current)'!EC40,'NotEffectivelyVax (current)'!EF40,'NotEffectivelyVax (current)'!EI40,'NotEffectivelyVax (current)'!EL40,'NotEffectivelyVax (current)'!EO40,'NotEffectivelyVax (current)'!ER40,'NotEffectivelyVax (current)'!EU40,'NotEffectivelyVax (current)'!EX40,'NotEffectivelyVax (current)'!FA40,'NotEffectivelyVax (current)'!FD40,'NotEffectivelyVax (current)'!FG40,'NotEffectivelyVax (current)'!FJ40,'NotEffectivelyVax (current)'!FM40,'NotEffectivelyVax (current)'!FP40,'NotEffectivelyVax (current)'!FS40,'NotEffectivelyVax (current)'!FV40,'NotEffectivelyVax (current)'!FY40)</f>
        <v>#VALUE!</v>
      </c>
      <c r="R40" s="236" t="e">
        <f>SUM('NotEffectivelyVax (current)'!E40,'NotEffectivelyVax (current)'!H40,'NotEffectivelyVax (current)'!K40,'NotEffectivelyVax (current)'!N40,'NotEffectivelyVax (current)'!Q40,'NotEffectivelyVax (current)'!T40,'NotEffectivelyVax (current)'!W40,'NotEffectivelyVax (current)'!Z40,'NotEffectivelyVax (current)'!AC40,'NotEffectivelyVax (current)'!AF40,'NotEffectivelyVax (current)'!AI40,'NotEffectivelyVax (current)'!AL40,'NotEffectivelyVax (current)'!AO40,'NotEffectivelyVax (current)'!AR40,'NotEffectivelyVax (current)'!AU40,'NotEffectivelyVax (current)'!AX40,'NotEffectivelyVax (current)'!BA40,'NotEffectivelyVax (current)'!BD40,'NotEffectivelyVax (current)'!BG40,'NotEffectivelyVax (current)'!BJ40,'NotEffectivelyVax (current)'!BM40,'NotEffectivelyVax (current)'!BP40,'NotEffectivelyVax (current)'!BS40,'NotEffectivelyVax (current)'!BV40,'NotEffectivelyVax (current)'!BY40,'NotEffectivelyVax (current)'!CB40,'NotEffectivelyVax (current)'!CE40,'NotEffectivelyVax (current)'!CH40,'NotEffectivelyVax (current)'!CK40,'NotEffectivelyVax (current)'!CN40,'NotEffectivelyVax (current)'!CQ40,'NotEffectivelyVax (current)'!CT40,'NotEffectivelyVax (current)'!CW40,'NotEffectivelyVax (current)'!CZ40,'NotEffectivelyVax (current)'!DC40,'NotEffectivelyVax (current)'!DF40,'NotEffectivelyVax (current)'!DI40,'NotEffectivelyVax (current)'!DL40,'NotEffectivelyVax (current)'!DO40,'NotEffectivelyVax (current)'!DR40,'NotEffectivelyVax (current)'!DU40,'NotEffectivelyVax (current)'!DX40,'NotEffectivelyVax (current)'!EA40,'NotEffectivelyVax (current)'!ED40,'NotEffectivelyVax (current)'!EG40,'NotEffectivelyVax (current)'!EJ40,'NotEffectivelyVax (current)'!EM40,'NotEffectivelyVax (current)'!EP40,'NotEffectivelyVax (current)'!ES40,'NotEffectivelyVax (current)'!EV40,'NotEffectivelyVax (current)'!EY40,'NotEffectivelyVax (current)'!FB40,'NotEffectivelyVax (current)'!FE40,'NotEffectivelyVax (current)'!FH40,'NotEffectivelyVax (current)'!FK40,'NotEffectivelyVax (current)'!FN40,'NotEffectivelyVax (current)'!FQ40,'NotEffectivelyVax (current)'!FT40,'NotEffectivelyVax (current)'!FW40,'NotEffectivelyVax (current)'!FZ40)</f>
        <v>#VALUE!</v>
      </c>
      <c r="S40" s="236" t="e">
        <f t="shared" si="6"/>
        <v>#VALUE!</v>
      </c>
      <c r="T40" s="237" t="e">
        <f>IF(Export!M38&lt;&gt;"",Q40*Export!K38*(1/Export!M38),Q40*Export!K38)</f>
        <v>#VALUE!</v>
      </c>
      <c r="U40" s="238" t="e">
        <f>S40*Export!J38</f>
        <v>#VALUE!</v>
      </c>
      <c r="V40" s="243" t="e">
        <f t="shared" si="11"/>
        <v>#DIV/0!</v>
      </c>
      <c r="W40" s="239" t="e">
        <f t="shared" si="8"/>
        <v>#VALUE!</v>
      </c>
      <c r="X40" s="239" t="e">
        <f>H40*Export!L38*V39</f>
        <v>#VALUE!</v>
      </c>
      <c r="Y40" s="239" t="e">
        <f t="shared" si="1"/>
        <v>#VALUE!</v>
      </c>
      <c r="Z40" s="239" t="e">
        <f>IF(Export!M38&lt;&gt;"",W40*Export!K38*(1/Export!M38),W40*Export!K38)</f>
        <v>#VALUE!</v>
      </c>
      <c r="AA40" s="239" t="e">
        <f>Y40*Export!J38</f>
        <v>#VALUE!</v>
      </c>
      <c r="AC40" s="143" t="e">
        <f t="shared" si="12"/>
        <v>#VALUE!</v>
      </c>
      <c r="AD40" s="144" t="e">
        <f t="shared" si="12"/>
        <v>#VALUE!</v>
      </c>
      <c r="AE40" s="144" t="e">
        <f t="shared" si="13"/>
        <v>#VALUE!</v>
      </c>
      <c r="AF40" s="144" t="e">
        <f t="shared" si="13"/>
        <v>#VALUE!</v>
      </c>
      <c r="AG40" s="144" t="e">
        <f t="shared" si="4"/>
        <v>#VALUE!</v>
      </c>
      <c r="AH40" s="198"/>
      <c r="AI40" s="198"/>
      <c r="AJ40" s="198"/>
      <c r="AK40" s="198"/>
      <c r="AL40" s="199"/>
      <c r="AM40" s="150"/>
      <c r="AN40" s="150"/>
      <c r="AO40" s="150"/>
      <c r="AP40" s="150"/>
      <c r="AQ40" s="151"/>
      <c r="AR40" s="144"/>
    </row>
    <row r="41" spans="1:44" x14ac:dyDescent="0.35">
      <c r="A41" s="130">
        <f>EffectivelyVax!B40</f>
        <v>3</v>
      </c>
      <c r="B41" s="131" t="str">
        <f>EffectivelyVax!C40</f>
        <v/>
      </c>
      <c r="C41" s="132" t="str">
        <f>Export!N39</f>
        <v/>
      </c>
      <c r="D41" s="177" t="str">
        <f>Export!B39</f>
        <v/>
      </c>
      <c r="E41" s="178" t="e">
        <f>C41*D41*HelperFunctions!G$45</f>
        <v>#VALUE!</v>
      </c>
      <c r="F41" s="179" t="e">
        <f>C41*D41*(1-HelperFunctions!G$45)</f>
        <v>#VALUE!</v>
      </c>
      <c r="G41" s="180" t="str">
        <f>Export!C39</f>
        <v/>
      </c>
      <c r="H41" s="191" t="e">
        <f>G41/(I40+'NotEffectivelyVax (current)'!F40*HelperFunctions!R$14+'NotEffectivelyVax (current)'!I40*HelperFunctions!R$14+'NotEffectivelyVax (current)'!L40*HelperFunctions!R$14+'NotEffectivelyVax (current)'!O40*HelperFunctions!R$14+'NotEffectivelyVax (current)'!R40*HelperFunctions!R$14+'NotEffectivelyVax (current)'!U40*HelperFunctions!R$14+'NotEffectivelyVax (current)'!X40*HelperFunctions!R$14+'NotEffectivelyVax (current)'!AA40*HelperFunctions!R$14+'NotEffectivelyVax (current)'!AD40*HelperFunctions!R$14+'NotEffectivelyVax (current)'!AG40*HelperFunctions!R$14+'NotEffectivelyVax (current)'!AJ40*HelperFunctions!R$14+'NotEffectivelyVax (current)'!AM40*HelperFunctions!R$14+'NotEffectivelyVax (current)'!AP40*HelperFunctions!R$28+'NotEffectivelyVax (current)'!AS40*HelperFunctions!R$28+'NotEffectivelyVax (current)'!AV40*HelperFunctions!R$28+'NotEffectivelyVax (current)'!AY40*HelperFunctions!R$28+'NotEffectivelyVax (current)'!BB40*HelperFunctions!R$28+'NotEffectivelyVax (current)'!BE40*HelperFunctions!R$28+'NotEffectivelyVax (current)'!BH40*HelperFunctions!R$28+'NotEffectivelyVax (current)'!BK40*HelperFunctions!R$28+'NotEffectivelyVax (current)'!BN40*HelperFunctions!R$28+'NotEffectivelyVax (current)'!BQ40*HelperFunctions!R$28+'NotEffectivelyVax (current)'!BT40*HelperFunctions!R$28+'NotEffectivelyVax (current)'!BW40*HelperFunctions!R$28+'NotEffectivelyVax (current)'!BZ40*HelperFunctions!R$42+'NotEffectivelyVax (current)'!CC40*HelperFunctions!R$42+'NotEffectivelyVax (current)'!CF40*HelperFunctions!R41+'NotEffectivelyVax (current)'!CI40*HelperFunctions!R40+'NotEffectivelyVax (current)'!CL40*HelperFunctions!R39+'NotEffectivelyVax (current)'!CO40*HelperFunctions!R38+'NotEffectivelyVax (current)'!CR40*HelperFunctions!R37+'NotEffectivelyVax (current)'!CU40*HelperFunctions!R36+'NotEffectivelyVax (current)'!CX40*HelperFunctions!R35+'NotEffectivelyVax (current)'!DA40*HelperFunctions!R34+'NotEffectivelyVax (current)'!DD40*HelperFunctions!R33+'NotEffectivelyVax (current)'!DG40*HelperFunctions!R32+'NotEffectivelyVax (current)'!DJ40*HelperFunctions!R45)</f>
        <v>#VALUE!</v>
      </c>
      <c r="I41" s="192" t="e">
        <f t="shared" si="10"/>
        <v>#VALUE!</v>
      </c>
      <c r="J41" s="153">
        <f>SUM(EffectivelyVax!D40:BK40)</f>
        <v>0</v>
      </c>
      <c r="K41" s="193" t="e">
        <f t="shared" si="5"/>
        <v>#VALUE!</v>
      </c>
      <c r="L41" s="194" t="e">
        <f>I40*H41*Export!L39</f>
        <v>#VALUE!</v>
      </c>
      <c r="M41" s="195" t="e">
        <f t="shared" si="0"/>
        <v>#VALUE!</v>
      </c>
      <c r="N41" s="178" t="e">
        <f>IF(Export!M39&lt;&gt;"",K41*Export!K39*(1/Export!M39),K41*Export!K39)</f>
        <v>#VALUE!</v>
      </c>
      <c r="O41" s="154" t="e">
        <f>M41*Export!J39</f>
        <v>#VALUE!</v>
      </c>
      <c r="P41" s="186" t="e">
        <f>SUM('NotEffectivelyVax (current)'!F41,'NotEffectivelyVax (current)'!I41,'NotEffectivelyVax (current)'!L41,'NotEffectivelyVax (current)'!O41,'NotEffectivelyVax (current)'!R41,'NotEffectivelyVax (current)'!U41,'NotEffectivelyVax (current)'!X41,'NotEffectivelyVax (current)'!AA41,'NotEffectivelyVax (current)'!AD41,'NotEffectivelyVax (current)'!AG41,'NotEffectivelyVax (current)'!AJ41,'NotEffectivelyVax (current)'!AM41,'NotEffectivelyVax (current)'!AP41,'NotEffectivelyVax (current)'!AS41,'NotEffectivelyVax (current)'!AV41,'NotEffectivelyVax (current)'!AY41,'NotEffectivelyVax (current)'!BB41,'NotEffectivelyVax (current)'!BE41,'NotEffectivelyVax (current)'!BH41,'NotEffectivelyVax (current)'!BK41,'NotEffectivelyVax (current)'!BN41,'NotEffectivelyVax (current)'!BQ41,'NotEffectivelyVax (current)'!BT41,'NotEffectivelyVax (current)'!BW41,'NotEffectivelyVax (current)'!BZ41,'NotEffectivelyVax (current)'!CC41,'NotEffectivelyVax (current)'!CF41,'NotEffectivelyVax (current)'!CI41,'NotEffectivelyVax (current)'!CL41,'NotEffectivelyVax (current)'!CO41,'NotEffectivelyVax (current)'!CR41,'NotEffectivelyVax (current)'!CU41,'NotEffectivelyVax (current)'!CX41,'NotEffectivelyVax (current)'!DA41,'NotEffectivelyVax (current)'!DD41,'NotEffectivelyVax (current)'!DG41,'NotEffectivelyVax (current)'!DJ41,'NotEffectivelyVax (current)'!DM41,'NotEffectivelyVax (current)'!DP41,'NotEffectivelyVax (current)'!DS41,'NotEffectivelyVax (current)'!DV41,'NotEffectivelyVax (current)'!DY41,'NotEffectivelyVax (current)'!EB41,'NotEffectivelyVax (current)'!EE41,'NotEffectivelyVax (current)'!EH41,'NotEffectivelyVax (current)'!EK41,'NotEffectivelyVax (current)'!EN41,'NotEffectivelyVax (current)'!EQ41,'NotEffectivelyVax (current)'!ET41,'NotEffectivelyVax (current)'!EW41,'NotEffectivelyVax (current)'!EZ41,'NotEffectivelyVax (current)'!FC41,'NotEffectivelyVax (current)'!FF41,'NotEffectivelyVax (current)'!FI41,'NotEffectivelyVax (current)'!FL41,'NotEffectivelyVax (current)'!FO41,'NotEffectivelyVax (current)'!FR41,'NotEffectivelyVax (current)'!FU41,'NotEffectivelyVax (current)'!FX41,'NotEffectivelyVax (current)'!GA41)</f>
        <v>#VALUE!</v>
      </c>
      <c r="Q41" s="155" t="e">
        <f>SUM('NotEffectivelyVax (current)'!D41,'NotEffectivelyVax (current)'!G41,'NotEffectivelyVax (current)'!J41,'NotEffectivelyVax (current)'!M41,'NotEffectivelyVax (current)'!P41,'NotEffectivelyVax (current)'!S41,'NotEffectivelyVax (current)'!V41,'NotEffectivelyVax (current)'!Y41,'NotEffectivelyVax (current)'!AB41,'NotEffectivelyVax (current)'!AE41,'NotEffectivelyVax (current)'!AH41,'NotEffectivelyVax (current)'!AK41,'NotEffectivelyVax (current)'!AN41,'NotEffectivelyVax (current)'!AQ41,'NotEffectivelyVax (current)'!AT41,'NotEffectivelyVax (current)'!AW41,'NotEffectivelyVax (current)'!AZ41,'NotEffectivelyVax (current)'!BC41,'NotEffectivelyVax (current)'!BF41,'NotEffectivelyVax (current)'!BI41,'NotEffectivelyVax (current)'!BL41,'NotEffectivelyVax (current)'!BO41,'NotEffectivelyVax (current)'!BR41,'NotEffectivelyVax (current)'!BU41,'NotEffectivelyVax (current)'!BX41,'NotEffectivelyVax (current)'!CA41,'NotEffectivelyVax (current)'!CD41,'NotEffectivelyVax (current)'!CG41,'NotEffectivelyVax (current)'!CJ41,'NotEffectivelyVax (current)'!CM41,'NotEffectivelyVax (current)'!CP41,'NotEffectivelyVax (current)'!CS41,'NotEffectivelyVax (current)'!CV41,'NotEffectivelyVax (current)'!CY41,'NotEffectivelyVax (current)'!DB41,'NotEffectivelyVax (current)'!DE41,'NotEffectivelyVax (current)'!DH41,'NotEffectivelyVax (current)'!DK41,'NotEffectivelyVax (current)'!DN41,'NotEffectivelyVax (current)'!DQ41,'NotEffectivelyVax (current)'!DT41,'NotEffectivelyVax (current)'!DW41,'NotEffectivelyVax (current)'!DZ41,'NotEffectivelyVax (current)'!EC41,'NotEffectivelyVax (current)'!EF41,'NotEffectivelyVax (current)'!EI41,'NotEffectivelyVax (current)'!EL41,'NotEffectivelyVax (current)'!EO41,'NotEffectivelyVax (current)'!ER41,'NotEffectivelyVax (current)'!EU41,'NotEffectivelyVax (current)'!EX41,'NotEffectivelyVax (current)'!FA41,'NotEffectivelyVax (current)'!FD41,'NotEffectivelyVax (current)'!FG41,'NotEffectivelyVax (current)'!FJ41,'NotEffectivelyVax (current)'!FM41,'NotEffectivelyVax (current)'!FP41,'NotEffectivelyVax (current)'!FS41,'NotEffectivelyVax (current)'!FV41,'NotEffectivelyVax (current)'!FY41)</f>
        <v>#VALUE!</v>
      </c>
      <c r="R41" s="155" t="e">
        <f>SUM('NotEffectivelyVax (current)'!E41,'NotEffectivelyVax (current)'!H41,'NotEffectivelyVax (current)'!K41,'NotEffectivelyVax (current)'!N41,'NotEffectivelyVax (current)'!Q41,'NotEffectivelyVax (current)'!T41,'NotEffectivelyVax (current)'!W41,'NotEffectivelyVax (current)'!Z41,'NotEffectivelyVax (current)'!AC41,'NotEffectivelyVax (current)'!AF41,'NotEffectivelyVax (current)'!AI41,'NotEffectivelyVax (current)'!AL41,'NotEffectivelyVax (current)'!AO41,'NotEffectivelyVax (current)'!AR41,'NotEffectivelyVax (current)'!AU41,'NotEffectivelyVax (current)'!AX41,'NotEffectivelyVax (current)'!BA41,'NotEffectivelyVax (current)'!BD41,'NotEffectivelyVax (current)'!BG41,'NotEffectivelyVax (current)'!BJ41,'NotEffectivelyVax (current)'!BM41,'NotEffectivelyVax (current)'!BP41,'NotEffectivelyVax (current)'!BS41,'NotEffectivelyVax (current)'!BV41,'NotEffectivelyVax (current)'!BY41,'NotEffectivelyVax (current)'!CB41,'NotEffectivelyVax (current)'!CE41,'NotEffectivelyVax (current)'!CH41,'NotEffectivelyVax (current)'!CK41,'NotEffectivelyVax (current)'!CN41,'NotEffectivelyVax (current)'!CQ41,'NotEffectivelyVax (current)'!CT41,'NotEffectivelyVax (current)'!CW41,'NotEffectivelyVax (current)'!CZ41,'NotEffectivelyVax (current)'!DC41,'NotEffectivelyVax (current)'!DF41,'NotEffectivelyVax (current)'!DI41,'NotEffectivelyVax (current)'!DL41,'NotEffectivelyVax (current)'!DO41,'NotEffectivelyVax (current)'!DR41,'NotEffectivelyVax (current)'!DU41,'NotEffectivelyVax (current)'!DX41,'NotEffectivelyVax (current)'!EA41,'NotEffectivelyVax (current)'!ED41,'NotEffectivelyVax (current)'!EG41,'NotEffectivelyVax (current)'!EJ41,'NotEffectivelyVax (current)'!EM41,'NotEffectivelyVax (current)'!EP41,'NotEffectivelyVax (current)'!ES41,'NotEffectivelyVax (current)'!EV41,'NotEffectivelyVax (current)'!EY41,'NotEffectivelyVax (current)'!FB41,'NotEffectivelyVax (current)'!FE41,'NotEffectivelyVax (current)'!FH41,'NotEffectivelyVax (current)'!FK41,'NotEffectivelyVax (current)'!FN41,'NotEffectivelyVax (current)'!FQ41,'NotEffectivelyVax (current)'!FT41,'NotEffectivelyVax (current)'!FW41,'NotEffectivelyVax (current)'!FZ41)</f>
        <v>#VALUE!</v>
      </c>
      <c r="S41" s="138" t="e">
        <f t="shared" si="6"/>
        <v>#VALUE!</v>
      </c>
      <c r="T41" s="187" t="e">
        <f>IF(Export!M39&lt;&gt;"",Q41*Export!K39*(1/Export!M39),Q41*Export!K39)</f>
        <v>#VALUE!</v>
      </c>
      <c r="U41" s="188" t="e">
        <f>S41*Export!J39</f>
        <v>#VALUE!</v>
      </c>
      <c r="V41" s="196" t="e">
        <f t="shared" si="11"/>
        <v>#DIV/0!</v>
      </c>
      <c r="W41" s="197" t="e">
        <f t="shared" si="8"/>
        <v>#VALUE!</v>
      </c>
      <c r="X41" s="190" t="e">
        <f>H41*Export!L39*V40</f>
        <v>#VALUE!</v>
      </c>
      <c r="Y41" s="190" t="e">
        <f t="shared" si="1"/>
        <v>#VALUE!</v>
      </c>
      <c r="Z41" s="190" t="e">
        <f>IF(Export!M39&lt;&gt;"",W41*Export!K39*(1/Export!M39),W41*Export!K39)</f>
        <v>#VALUE!</v>
      </c>
      <c r="AA41" s="190" t="e">
        <f>Y41*Export!J39</f>
        <v>#VALUE!</v>
      </c>
      <c r="AC41" s="143" t="e">
        <f t="shared" si="12"/>
        <v>#VALUE!</v>
      </c>
      <c r="AD41" s="144" t="e">
        <f t="shared" si="12"/>
        <v>#VALUE!</v>
      </c>
      <c r="AE41" s="144" t="e">
        <f t="shared" si="13"/>
        <v>#VALUE!</v>
      </c>
      <c r="AF41" s="144" t="e">
        <f t="shared" si="13"/>
        <v>#VALUE!</v>
      </c>
      <c r="AG41" s="144" t="e">
        <f t="shared" si="4"/>
        <v>#VALUE!</v>
      </c>
      <c r="AH41" s="198"/>
      <c r="AI41" s="198"/>
      <c r="AJ41" s="198"/>
      <c r="AK41" s="198"/>
      <c r="AL41" s="199"/>
      <c r="AM41" s="150"/>
      <c r="AN41" s="150"/>
      <c r="AO41" s="150"/>
      <c r="AP41" s="150"/>
      <c r="AQ41" s="151"/>
      <c r="AR41" s="144"/>
    </row>
    <row r="42" spans="1:44" x14ac:dyDescent="0.35">
      <c r="A42" s="130">
        <f>EffectivelyVax!B41</f>
        <v>3</v>
      </c>
      <c r="B42" s="131" t="str">
        <f>EffectivelyVax!C41</f>
        <v/>
      </c>
      <c r="C42" s="132" t="str">
        <f>Export!N40</f>
        <v/>
      </c>
      <c r="D42" s="177" t="str">
        <f>Export!B40</f>
        <v/>
      </c>
      <c r="E42" s="178" t="e">
        <f>C42*D42*HelperFunctions!G$45</f>
        <v>#VALUE!</v>
      </c>
      <c r="F42" s="179" t="e">
        <f>C42*D42*(1-HelperFunctions!G$45)</f>
        <v>#VALUE!</v>
      </c>
      <c r="G42" s="180" t="str">
        <f>Export!C40</f>
        <v/>
      </c>
      <c r="H42" s="191" t="e">
        <f>G42/(I41+'NotEffectivelyVax (current)'!F41*HelperFunctions!R$14+'NotEffectivelyVax (current)'!I41*HelperFunctions!R$14+'NotEffectivelyVax (current)'!L41*HelperFunctions!R$14+'NotEffectivelyVax (current)'!O41*HelperFunctions!R$14+'NotEffectivelyVax (current)'!R41*HelperFunctions!R$14+'NotEffectivelyVax (current)'!U41*HelperFunctions!R$14+'NotEffectivelyVax (current)'!X41*HelperFunctions!R$14+'NotEffectivelyVax (current)'!AA41*HelperFunctions!R$14+'NotEffectivelyVax (current)'!AD41*HelperFunctions!R$14+'NotEffectivelyVax (current)'!AG41*HelperFunctions!R$14+'NotEffectivelyVax (current)'!AJ41*HelperFunctions!R$14+'NotEffectivelyVax (current)'!AM41*HelperFunctions!R$14+'NotEffectivelyVax (current)'!AP41*HelperFunctions!R$28+'NotEffectivelyVax (current)'!AS41*HelperFunctions!R$28+'NotEffectivelyVax (current)'!AV41*HelperFunctions!R$28+'NotEffectivelyVax (current)'!AY41*HelperFunctions!R$28+'NotEffectivelyVax (current)'!BB41*HelperFunctions!R$28+'NotEffectivelyVax (current)'!BE41*HelperFunctions!R$28+'NotEffectivelyVax (current)'!BH41*HelperFunctions!R$28+'NotEffectivelyVax (current)'!BK41*HelperFunctions!R$28+'NotEffectivelyVax (current)'!BN41*HelperFunctions!R$28+'NotEffectivelyVax (current)'!BQ41*HelperFunctions!R$28+'NotEffectivelyVax (current)'!BT41*HelperFunctions!R$28+'NotEffectivelyVax (current)'!BW41*HelperFunctions!R$28+'NotEffectivelyVax (current)'!BZ41*HelperFunctions!R$42+'NotEffectivelyVax (current)'!CC41*HelperFunctions!R$42+'NotEffectivelyVax (current)'!CF41*HelperFunctions!R$42+'NotEffectivelyVax (current)'!CI41*HelperFunctions!R41+'NotEffectivelyVax (current)'!CL41*HelperFunctions!R40+'NotEffectivelyVax (current)'!CO41*HelperFunctions!R39+'NotEffectivelyVax (current)'!CR41*HelperFunctions!R38+'NotEffectivelyVax (current)'!CU41*HelperFunctions!R37+'NotEffectivelyVax (current)'!CX41*HelperFunctions!R36+'NotEffectivelyVax (current)'!DA41*HelperFunctions!R35+'NotEffectivelyVax (current)'!DD41*HelperFunctions!R34+'NotEffectivelyVax (current)'!DG41*HelperFunctions!R33+'NotEffectivelyVax (current)'!DJ41*HelperFunctions!R46+'NotEffectivelyVax (current)'!DM41*HelperFunctions!R45)</f>
        <v>#VALUE!</v>
      </c>
      <c r="I42" s="192" t="e">
        <f t="shared" si="10"/>
        <v>#VALUE!</v>
      </c>
      <c r="J42" s="153">
        <f>SUM(EffectivelyVax!D41:BK41)</f>
        <v>0</v>
      </c>
      <c r="K42" s="193" t="e">
        <f t="shared" si="5"/>
        <v>#VALUE!</v>
      </c>
      <c r="L42" s="194" t="e">
        <f>I41*H42*Export!L40</f>
        <v>#VALUE!</v>
      </c>
      <c r="M42" s="195" t="e">
        <f t="shared" si="0"/>
        <v>#VALUE!</v>
      </c>
      <c r="N42" s="178" t="e">
        <f>IF(Export!M40&lt;&gt;"",K42*Export!K40*(1/Export!M40),K42*Export!K40)</f>
        <v>#VALUE!</v>
      </c>
      <c r="O42" s="154" t="e">
        <f>M42*Export!J40</f>
        <v>#VALUE!</v>
      </c>
      <c r="P42" s="186" t="e">
        <f>SUM('NotEffectivelyVax (current)'!F42,'NotEffectivelyVax (current)'!I42,'NotEffectivelyVax (current)'!L42,'NotEffectivelyVax (current)'!O42,'NotEffectivelyVax (current)'!R42,'NotEffectivelyVax (current)'!U42,'NotEffectivelyVax (current)'!X42,'NotEffectivelyVax (current)'!AA42,'NotEffectivelyVax (current)'!AD42,'NotEffectivelyVax (current)'!AG42,'NotEffectivelyVax (current)'!AJ42,'NotEffectivelyVax (current)'!AM42,'NotEffectivelyVax (current)'!AP42,'NotEffectivelyVax (current)'!AS42,'NotEffectivelyVax (current)'!AV42,'NotEffectivelyVax (current)'!AY42,'NotEffectivelyVax (current)'!BB42,'NotEffectivelyVax (current)'!BE42,'NotEffectivelyVax (current)'!BH42,'NotEffectivelyVax (current)'!BK42,'NotEffectivelyVax (current)'!BN42,'NotEffectivelyVax (current)'!BQ42,'NotEffectivelyVax (current)'!BT42,'NotEffectivelyVax (current)'!BW42,'NotEffectivelyVax (current)'!BZ42,'NotEffectivelyVax (current)'!CC42,'NotEffectivelyVax (current)'!CF42,'NotEffectivelyVax (current)'!CI42,'NotEffectivelyVax (current)'!CL42,'NotEffectivelyVax (current)'!CO42,'NotEffectivelyVax (current)'!CR42,'NotEffectivelyVax (current)'!CU42,'NotEffectivelyVax (current)'!CX42,'NotEffectivelyVax (current)'!DA42,'NotEffectivelyVax (current)'!DD42,'NotEffectivelyVax (current)'!DG42,'NotEffectivelyVax (current)'!DJ42,'NotEffectivelyVax (current)'!DM42,'NotEffectivelyVax (current)'!DP42,'NotEffectivelyVax (current)'!DS42,'NotEffectivelyVax (current)'!DV42,'NotEffectivelyVax (current)'!DY42,'NotEffectivelyVax (current)'!EB42,'NotEffectivelyVax (current)'!EE42,'NotEffectivelyVax (current)'!EH42,'NotEffectivelyVax (current)'!EK42,'NotEffectivelyVax (current)'!EN42,'NotEffectivelyVax (current)'!EQ42,'NotEffectivelyVax (current)'!ET42,'NotEffectivelyVax (current)'!EW42,'NotEffectivelyVax (current)'!EZ42,'NotEffectivelyVax (current)'!FC42,'NotEffectivelyVax (current)'!FF42,'NotEffectivelyVax (current)'!FI42,'NotEffectivelyVax (current)'!FL42,'NotEffectivelyVax (current)'!FO42,'NotEffectivelyVax (current)'!FR42,'NotEffectivelyVax (current)'!FU42,'NotEffectivelyVax (current)'!FX42,'NotEffectivelyVax (current)'!GA42)</f>
        <v>#VALUE!</v>
      </c>
      <c r="Q42" s="155" t="e">
        <f>SUM('NotEffectivelyVax (current)'!D42,'NotEffectivelyVax (current)'!G42,'NotEffectivelyVax (current)'!J42,'NotEffectivelyVax (current)'!M42,'NotEffectivelyVax (current)'!P42,'NotEffectivelyVax (current)'!S42,'NotEffectivelyVax (current)'!V42,'NotEffectivelyVax (current)'!Y42,'NotEffectivelyVax (current)'!AB42,'NotEffectivelyVax (current)'!AE42,'NotEffectivelyVax (current)'!AH42,'NotEffectivelyVax (current)'!AK42,'NotEffectivelyVax (current)'!AN42,'NotEffectivelyVax (current)'!AQ42,'NotEffectivelyVax (current)'!AT42,'NotEffectivelyVax (current)'!AW42,'NotEffectivelyVax (current)'!AZ42,'NotEffectivelyVax (current)'!BC42,'NotEffectivelyVax (current)'!BF42,'NotEffectivelyVax (current)'!BI42,'NotEffectivelyVax (current)'!BL42,'NotEffectivelyVax (current)'!BO42,'NotEffectivelyVax (current)'!BR42,'NotEffectivelyVax (current)'!BU42,'NotEffectivelyVax (current)'!BX42,'NotEffectivelyVax (current)'!CA42,'NotEffectivelyVax (current)'!CD42,'NotEffectivelyVax (current)'!CG42,'NotEffectivelyVax (current)'!CJ42,'NotEffectivelyVax (current)'!CM42,'NotEffectivelyVax (current)'!CP42,'NotEffectivelyVax (current)'!CS42,'NotEffectivelyVax (current)'!CV42,'NotEffectivelyVax (current)'!CY42,'NotEffectivelyVax (current)'!DB42,'NotEffectivelyVax (current)'!DE42,'NotEffectivelyVax (current)'!DH42,'NotEffectivelyVax (current)'!DK42,'NotEffectivelyVax (current)'!DN42,'NotEffectivelyVax (current)'!DQ42,'NotEffectivelyVax (current)'!DT42,'NotEffectivelyVax (current)'!DW42,'NotEffectivelyVax (current)'!DZ42,'NotEffectivelyVax (current)'!EC42,'NotEffectivelyVax (current)'!EF42,'NotEffectivelyVax (current)'!EI42,'NotEffectivelyVax (current)'!EL42,'NotEffectivelyVax (current)'!EO42,'NotEffectivelyVax (current)'!ER42,'NotEffectivelyVax (current)'!EU42,'NotEffectivelyVax (current)'!EX42,'NotEffectivelyVax (current)'!FA42,'NotEffectivelyVax (current)'!FD42,'NotEffectivelyVax (current)'!FG42,'NotEffectivelyVax (current)'!FJ42,'NotEffectivelyVax (current)'!FM42,'NotEffectivelyVax (current)'!FP42,'NotEffectivelyVax (current)'!FS42,'NotEffectivelyVax (current)'!FV42,'NotEffectivelyVax (current)'!FY42)</f>
        <v>#VALUE!</v>
      </c>
      <c r="R42" s="155" t="e">
        <f>SUM('NotEffectivelyVax (current)'!E42,'NotEffectivelyVax (current)'!H42,'NotEffectivelyVax (current)'!K42,'NotEffectivelyVax (current)'!N42,'NotEffectivelyVax (current)'!Q42,'NotEffectivelyVax (current)'!T42,'NotEffectivelyVax (current)'!W42,'NotEffectivelyVax (current)'!Z42,'NotEffectivelyVax (current)'!AC42,'NotEffectivelyVax (current)'!AF42,'NotEffectivelyVax (current)'!AI42,'NotEffectivelyVax (current)'!AL42,'NotEffectivelyVax (current)'!AO42,'NotEffectivelyVax (current)'!AR42,'NotEffectivelyVax (current)'!AU42,'NotEffectivelyVax (current)'!AX42,'NotEffectivelyVax (current)'!BA42,'NotEffectivelyVax (current)'!BD42,'NotEffectivelyVax (current)'!BG42,'NotEffectivelyVax (current)'!BJ42,'NotEffectivelyVax (current)'!BM42,'NotEffectivelyVax (current)'!BP42,'NotEffectivelyVax (current)'!BS42,'NotEffectivelyVax (current)'!BV42,'NotEffectivelyVax (current)'!BY42,'NotEffectivelyVax (current)'!CB42,'NotEffectivelyVax (current)'!CE42,'NotEffectivelyVax (current)'!CH42,'NotEffectivelyVax (current)'!CK42,'NotEffectivelyVax (current)'!CN42,'NotEffectivelyVax (current)'!CQ42,'NotEffectivelyVax (current)'!CT42,'NotEffectivelyVax (current)'!CW42,'NotEffectivelyVax (current)'!CZ42,'NotEffectivelyVax (current)'!DC42,'NotEffectivelyVax (current)'!DF42,'NotEffectivelyVax (current)'!DI42,'NotEffectivelyVax (current)'!DL42,'NotEffectivelyVax (current)'!DO42,'NotEffectivelyVax (current)'!DR42,'NotEffectivelyVax (current)'!DU42,'NotEffectivelyVax (current)'!DX42,'NotEffectivelyVax (current)'!EA42,'NotEffectivelyVax (current)'!ED42,'NotEffectivelyVax (current)'!EG42,'NotEffectivelyVax (current)'!EJ42,'NotEffectivelyVax (current)'!EM42,'NotEffectivelyVax (current)'!EP42,'NotEffectivelyVax (current)'!ES42,'NotEffectivelyVax (current)'!EV42,'NotEffectivelyVax (current)'!EY42,'NotEffectivelyVax (current)'!FB42,'NotEffectivelyVax (current)'!FE42,'NotEffectivelyVax (current)'!FH42,'NotEffectivelyVax (current)'!FK42,'NotEffectivelyVax (current)'!FN42,'NotEffectivelyVax (current)'!FQ42,'NotEffectivelyVax (current)'!FT42,'NotEffectivelyVax (current)'!FW42,'NotEffectivelyVax (current)'!FZ42)</f>
        <v>#VALUE!</v>
      </c>
      <c r="S42" s="138" t="e">
        <f t="shared" si="6"/>
        <v>#VALUE!</v>
      </c>
      <c r="T42" s="187" t="e">
        <f>IF(Export!M40&lt;&gt;"",Q42*Export!K40*(1/Export!M40),Q42*Export!K40)</f>
        <v>#VALUE!</v>
      </c>
      <c r="U42" s="188" t="e">
        <f>S42*Export!J40</f>
        <v>#VALUE!</v>
      </c>
      <c r="V42" s="196" t="e">
        <f t="shared" si="11"/>
        <v>#DIV/0!</v>
      </c>
      <c r="W42" s="197" t="e">
        <f t="shared" si="8"/>
        <v>#VALUE!</v>
      </c>
      <c r="X42" s="190" t="e">
        <f>H42*Export!L40*V41</f>
        <v>#VALUE!</v>
      </c>
      <c r="Y42" s="190" t="e">
        <f t="shared" si="1"/>
        <v>#VALUE!</v>
      </c>
      <c r="Z42" s="190" t="e">
        <f>IF(Export!M40&lt;&gt;"",W42*Export!K40*(1/Export!M40),W42*Export!K40)</f>
        <v>#VALUE!</v>
      </c>
      <c r="AA42" s="190" t="e">
        <f>Y42*Export!J40</f>
        <v>#VALUE!</v>
      </c>
      <c r="AC42" s="143" t="e">
        <f t="shared" si="12"/>
        <v>#VALUE!</v>
      </c>
      <c r="AD42" s="144" t="e">
        <f t="shared" si="12"/>
        <v>#VALUE!</v>
      </c>
      <c r="AE42" s="144" t="e">
        <f t="shared" si="13"/>
        <v>#VALUE!</v>
      </c>
      <c r="AF42" s="144" t="e">
        <f t="shared" si="13"/>
        <v>#VALUE!</v>
      </c>
      <c r="AG42" s="144" t="e">
        <f t="shared" si="4"/>
        <v>#VALUE!</v>
      </c>
      <c r="AH42" s="198"/>
      <c r="AI42" s="198"/>
      <c r="AJ42" s="198"/>
      <c r="AK42" s="198"/>
      <c r="AL42" s="199"/>
      <c r="AM42" s="150"/>
      <c r="AN42" s="150"/>
      <c r="AO42" s="150"/>
      <c r="AP42" s="150"/>
      <c r="AQ42" s="151"/>
      <c r="AR42" s="144"/>
    </row>
    <row r="43" spans="1:44" x14ac:dyDescent="0.35">
      <c r="A43" s="130">
        <f>EffectivelyVax!B42</f>
        <v>3</v>
      </c>
      <c r="B43" s="131" t="str">
        <f>EffectivelyVax!C42</f>
        <v/>
      </c>
      <c r="C43" s="132" t="str">
        <f>Export!N41</f>
        <v/>
      </c>
      <c r="D43" s="177" t="str">
        <f>Export!B41</f>
        <v/>
      </c>
      <c r="E43" s="178" t="e">
        <f>C43*D43*HelperFunctions!G$45</f>
        <v>#VALUE!</v>
      </c>
      <c r="F43" s="179" t="e">
        <f>C43*D43*(1-HelperFunctions!G$45)</f>
        <v>#VALUE!</v>
      </c>
      <c r="G43" s="180" t="str">
        <f>Export!C41</f>
        <v/>
      </c>
      <c r="H43" s="191" t="e">
        <f>G43/(I42+'NotEffectivelyVax (current)'!F42*HelperFunctions!R$14+'NotEffectivelyVax (current)'!I42*HelperFunctions!R$14+'NotEffectivelyVax (current)'!L42*HelperFunctions!R$14+'NotEffectivelyVax (current)'!O42*HelperFunctions!R$14+'NotEffectivelyVax (current)'!R42*HelperFunctions!R$14+'NotEffectivelyVax (current)'!U42*HelperFunctions!R$14+'NotEffectivelyVax (current)'!X42*HelperFunctions!R$14+'NotEffectivelyVax (current)'!AA42*HelperFunctions!R$14+'NotEffectivelyVax (current)'!AD42*HelperFunctions!R$14+'NotEffectivelyVax (current)'!AG42*HelperFunctions!R$14+'NotEffectivelyVax (current)'!AJ42*HelperFunctions!R$14+'NotEffectivelyVax (current)'!AM42*HelperFunctions!R$14+'NotEffectivelyVax (current)'!AP42*HelperFunctions!R$28+'NotEffectivelyVax (current)'!AS42*HelperFunctions!R$28+'NotEffectivelyVax (current)'!AV42*HelperFunctions!R$28+'NotEffectivelyVax (current)'!AY42*HelperFunctions!R$28+'NotEffectivelyVax (current)'!BB42*HelperFunctions!R$28+'NotEffectivelyVax (current)'!BE42*HelperFunctions!R$28+'NotEffectivelyVax (current)'!BH42*HelperFunctions!R$28+'NotEffectivelyVax (current)'!BK42*HelperFunctions!R$28+'NotEffectivelyVax (current)'!BN42*HelperFunctions!R$28+'NotEffectivelyVax (current)'!BQ42*HelperFunctions!R$28+'NotEffectivelyVax (current)'!BT42*HelperFunctions!R$28+'NotEffectivelyVax (current)'!BW42*HelperFunctions!R$28+'NotEffectivelyVax (current)'!BZ42*HelperFunctions!R$42+'NotEffectivelyVax (current)'!CC42*HelperFunctions!R$42+'NotEffectivelyVax (current)'!CF42*HelperFunctions!R$42+'NotEffectivelyVax (current)'!CI42*HelperFunctions!R$42+'NotEffectivelyVax (current)'!CL42*HelperFunctions!R41+'NotEffectivelyVax (current)'!CO42*HelperFunctions!R40+'NotEffectivelyVax (current)'!CR42*HelperFunctions!R39+'NotEffectivelyVax (current)'!CU42*HelperFunctions!R38+'NotEffectivelyVax (current)'!CX42*HelperFunctions!R37+'NotEffectivelyVax (current)'!DA42*HelperFunctions!R36+'NotEffectivelyVax (current)'!DD42*HelperFunctions!R35+'NotEffectivelyVax (current)'!DG42*HelperFunctions!R34+'NotEffectivelyVax (current)'!DJ42*HelperFunctions!R47+'NotEffectivelyVax (current)'!DM42*HelperFunctions!R46+'NotEffectivelyVax (current)'!DP42*HelperFunctions!R45)</f>
        <v>#VALUE!</v>
      </c>
      <c r="I43" s="192" t="e">
        <f t="shared" si="10"/>
        <v>#VALUE!</v>
      </c>
      <c r="J43" s="153">
        <f>SUM(EffectivelyVax!D42:BK42)</f>
        <v>0</v>
      </c>
      <c r="K43" s="193" t="e">
        <f t="shared" si="5"/>
        <v>#VALUE!</v>
      </c>
      <c r="L43" s="194" t="e">
        <f>I42*H43*Export!L41</f>
        <v>#VALUE!</v>
      </c>
      <c r="M43" s="195" t="e">
        <f t="shared" si="0"/>
        <v>#VALUE!</v>
      </c>
      <c r="N43" s="178" t="e">
        <f>IF(Export!M41&lt;&gt;"",K43*Export!K41*(1/Export!M41),K43*Export!K41)</f>
        <v>#VALUE!</v>
      </c>
      <c r="O43" s="154" t="e">
        <f>M43*Export!J41</f>
        <v>#VALUE!</v>
      </c>
      <c r="P43" s="186" t="e">
        <f>SUM('NotEffectivelyVax (current)'!F43,'NotEffectivelyVax (current)'!I43,'NotEffectivelyVax (current)'!L43,'NotEffectivelyVax (current)'!O43,'NotEffectivelyVax (current)'!R43,'NotEffectivelyVax (current)'!U43,'NotEffectivelyVax (current)'!X43,'NotEffectivelyVax (current)'!AA43,'NotEffectivelyVax (current)'!AD43,'NotEffectivelyVax (current)'!AG43,'NotEffectivelyVax (current)'!AJ43,'NotEffectivelyVax (current)'!AM43,'NotEffectivelyVax (current)'!AP43,'NotEffectivelyVax (current)'!AS43,'NotEffectivelyVax (current)'!AV43,'NotEffectivelyVax (current)'!AY43,'NotEffectivelyVax (current)'!BB43,'NotEffectivelyVax (current)'!BE43,'NotEffectivelyVax (current)'!BH43,'NotEffectivelyVax (current)'!BK43,'NotEffectivelyVax (current)'!BN43,'NotEffectivelyVax (current)'!BQ43,'NotEffectivelyVax (current)'!BT43,'NotEffectivelyVax (current)'!BW43,'NotEffectivelyVax (current)'!BZ43,'NotEffectivelyVax (current)'!CC43,'NotEffectivelyVax (current)'!CF43,'NotEffectivelyVax (current)'!CI43,'NotEffectivelyVax (current)'!CL43,'NotEffectivelyVax (current)'!CO43,'NotEffectivelyVax (current)'!CR43,'NotEffectivelyVax (current)'!CU43,'NotEffectivelyVax (current)'!CX43,'NotEffectivelyVax (current)'!DA43,'NotEffectivelyVax (current)'!DD43,'NotEffectivelyVax (current)'!DG43,'NotEffectivelyVax (current)'!DJ43,'NotEffectivelyVax (current)'!DM43,'NotEffectivelyVax (current)'!DP43,'NotEffectivelyVax (current)'!DS43,'NotEffectivelyVax (current)'!DV43,'NotEffectivelyVax (current)'!DY43,'NotEffectivelyVax (current)'!EB43,'NotEffectivelyVax (current)'!EE43,'NotEffectivelyVax (current)'!EH43,'NotEffectivelyVax (current)'!EK43,'NotEffectivelyVax (current)'!EN43,'NotEffectivelyVax (current)'!EQ43,'NotEffectivelyVax (current)'!ET43,'NotEffectivelyVax (current)'!EW43,'NotEffectivelyVax (current)'!EZ43,'NotEffectivelyVax (current)'!FC43,'NotEffectivelyVax (current)'!FF43,'NotEffectivelyVax (current)'!FI43,'NotEffectivelyVax (current)'!FL43,'NotEffectivelyVax (current)'!FO43,'NotEffectivelyVax (current)'!FR43,'NotEffectivelyVax (current)'!FU43,'NotEffectivelyVax (current)'!FX43,'NotEffectivelyVax (current)'!GA43)</f>
        <v>#VALUE!</v>
      </c>
      <c r="Q43" s="155" t="e">
        <f>SUM('NotEffectivelyVax (current)'!D43,'NotEffectivelyVax (current)'!G43,'NotEffectivelyVax (current)'!J43,'NotEffectivelyVax (current)'!M43,'NotEffectivelyVax (current)'!P43,'NotEffectivelyVax (current)'!S43,'NotEffectivelyVax (current)'!V43,'NotEffectivelyVax (current)'!Y43,'NotEffectivelyVax (current)'!AB43,'NotEffectivelyVax (current)'!AE43,'NotEffectivelyVax (current)'!AH43,'NotEffectivelyVax (current)'!AK43,'NotEffectivelyVax (current)'!AN43,'NotEffectivelyVax (current)'!AQ43,'NotEffectivelyVax (current)'!AT43,'NotEffectivelyVax (current)'!AW43,'NotEffectivelyVax (current)'!AZ43,'NotEffectivelyVax (current)'!BC43,'NotEffectivelyVax (current)'!BF43,'NotEffectivelyVax (current)'!BI43,'NotEffectivelyVax (current)'!BL43,'NotEffectivelyVax (current)'!BO43,'NotEffectivelyVax (current)'!BR43,'NotEffectivelyVax (current)'!BU43,'NotEffectivelyVax (current)'!BX43,'NotEffectivelyVax (current)'!CA43,'NotEffectivelyVax (current)'!CD43,'NotEffectivelyVax (current)'!CG43,'NotEffectivelyVax (current)'!CJ43,'NotEffectivelyVax (current)'!CM43,'NotEffectivelyVax (current)'!CP43,'NotEffectivelyVax (current)'!CS43,'NotEffectivelyVax (current)'!CV43,'NotEffectivelyVax (current)'!CY43,'NotEffectivelyVax (current)'!DB43,'NotEffectivelyVax (current)'!DE43,'NotEffectivelyVax (current)'!DH43,'NotEffectivelyVax (current)'!DK43,'NotEffectivelyVax (current)'!DN43,'NotEffectivelyVax (current)'!DQ43,'NotEffectivelyVax (current)'!DT43,'NotEffectivelyVax (current)'!DW43,'NotEffectivelyVax (current)'!DZ43,'NotEffectivelyVax (current)'!EC43,'NotEffectivelyVax (current)'!EF43,'NotEffectivelyVax (current)'!EI43,'NotEffectivelyVax (current)'!EL43,'NotEffectivelyVax (current)'!EO43,'NotEffectivelyVax (current)'!ER43,'NotEffectivelyVax (current)'!EU43,'NotEffectivelyVax (current)'!EX43,'NotEffectivelyVax (current)'!FA43,'NotEffectivelyVax (current)'!FD43,'NotEffectivelyVax (current)'!FG43,'NotEffectivelyVax (current)'!FJ43,'NotEffectivelyVax (current)'!FM43,'NotEffectivelyVax (current)'!FP43,'NotEffectivelyVax (current)'!FS43,'NotEffectivelyVax (current)'!FV43,'NotEffectivelyVax (current)'!FY43)</f>
        <v>#VALUE!</v>
      </c>
      <c r="R43" s="155" t="e">
        <f>SUM('NotEffectivelyVax (current)'!E43,'NotEffectivelyVax (current)'!H43,'NotEffectivelyVax (current)'!K43,'NotEffectivelyVax (current)'!N43,'NotEffectivelyVax (current)'!Q43,'NotEffectivelyVax (current)'!T43,'NotEffectivelyVax (current)'!W43,'NotEffectivelyVax (current)'!Z43,'NotEffectivelyVax (current)'!AC43,'NotEffectivelyVax (current)'!AF43,'NotEffectivelyVax (current)'!AI43,'NotEffectivelyVax (current)'!AL43,'NotEffectivelyVax (current)'!AO43,'NotEffectivelyVax (current)'!AR43,'NotEffectivelyVax (current)'!AU43,'NotEffectivelyVax (current)'!AX43,'NotEffectivelyVax (current)'!BA43,'NotEffectivelyVax (current)'!BD43,'NotEffectivelyVax (current)'!BG43,'NotEffectivelyVax (current)'!BJ43,'NotEffectivelyVax (current)'!BM43,'NotEffectivelyVax (current)'!BP43,'NotEffectivelyVax (current)'!BS43,'NotEffectivelyVax (current)'!BV43,'NotEffectivelyVax (current)'!BY43,'NotEffectivelyVax (current)'!CB43,'NotEffectivelyVax (current)'!CE43,'NotEffectivelyVax (current)'!CH43,'NotEffectivelyVax (current)'!CK43,'NotEffectivelyVax (current)'!CN43,'NotEffectivelyVax (current)'!CQ43,'NotEffectivelyVax (current)'!CT43,'NotEffectivelyVax (current)'!CW43,'NotEffectivelyVax (current)'!CZ43,'NotEffectivelyVax (current)'!DC43,'NotEffectivelyVax (current)'!DF43,'NotEffectivelyVax (current)'!DI43,'NotEffectivelyVax (current)'!DL43,'NotEffectivelyVax (current)'!DO43,'NotEffectivelyVax (current)'!DR43,'NotEffectivelyVax (current)'!DU43,'NotEffectivelyVax (current)'!DX43,'NotEffectivelyVax (current)'!EA43,'NotEffectivelyVax (current)'!ED43,'NotEffectivelyVax (current)'!EG43,'NotEffectivelyVax (current)'!EJ43,'NotEffectivelyVax (current)'!EM43,'NotEffectivelyVax (current)'!EP43,'NotEffectivelyVax (current)'!ES43,'NotEffectivelyVax (current)'!EV43,'NotEffectivelyVax (current)'!EY43,'NotEffectivelyVax (current)'!FB43,'NotEffectivelyVax (current)'!FE43,'NotEffectivelyVax (current)'!FH43,'NotEffectivelyVax (current)'!FK43,'NotEffectivelyVax (current)'!FN43,'NotEffectivelyVax (current)'!FQ43,'NotEffectivelyVax (current)'!FT43,'NotEffectivelyVax (current)'!FW43,'NotEffectivelyVax (current)'!FZ43)</f>
        <v>#VALUE!</v>
      </c>
      <c r="S43" s="138" t="e">
        <f t="shared" si="6"/>
        <v>#VALUE!</v>
      </c>
      <c r="T43" s="187" t="e">
        <f>IF(Export!M41&lt;&gt;"",Q43*Export!K41*(1/Export!M41),Q43*Export!K41)</f>
        <v>#VALUE!</v>
      </c>
      <c r="U43" s="188" t="e">
        <f>S43*Export!J41</f>
        <v>#VALUE!</v>
      </c>
      <c r="V43" s="196" t="e">
        <f t="shared" si="11"/>
        <v>#DIV/0!</v>
      </c>
      <c r="W43" s="197" t="e">
        <f t="shared" si="8"/>
        <v>#VALUE!</v>
      </c>
      <c r="X43" s="190" t="e">
        <f>H43*Export!L41*V42</f>
        <v>#VALUE!</v>
      </c>
      <c r="Y43" s="190" t="e">
        <f t="shared" si="1"/>
        <v>#VALUE!</v>
      </c>
      <c r="Z43" s="190" t="e">
        <f>IF(Export!M41&lt;&gt;"",W43*Export!K41*(1/Export!M41),W43*Export!K41)</f>
        <v>#VALUE!</v>
      </c>
      <c r="AA43" s="190" t="e">
        <f>Y43*Export!J41</f>
        <v>#VALUE!</v>
      </c>
      <c r="AC43" s="143" t="e">
        <f t="shared" si="12"/>
        <v>#VALUE!</v>
      </c>
      <c r="AD43" s="144" t="e">
        <f t="shared" si="12"/>
        <v>#VALUE!</v>
      </c>
      <c r="AE43" s="144" t="e">
        <f t="shared" si="13"/>
        <v>#VALUE!</v>
      </c>
      <c r="AF43" s="144" t="e">
        <f t="shared" si="13"/>
        <v>#VALUE!</v>
      </c>
      <c r="AG43" s="144" t="e">
        <f t="shared" si="4"/>
        <v>#VALUE!</v>
      </c>
      <c r="AH43" s="198"/>
      <c r="AI43" s="198"/>
      <c r="AJ43" s="198"/>
      <c r="AK43" s="198"/>
      <c r="AL43" s="199"/>
      <c r="AM43" s="150"/>
      <c r="AN43" s="150"/>
      <c r="AO43" s="150"/>
      <c r="AP43" s="150"/>
      <c r="AQ43" s="151"/>
      <c r="AR43" s="144"/>
    </row>
    <row r="44" spans="1:44" x14ac:dyDescent="0.35">
      <c r="A44" s="130">
        <f>EffectivelyVax!B43</f>
        <v>3</v>
      </c>
      <c r="B44" s="131" t="str">
        <f>EffectivelyVax!C43</f>
        <v/>
      </c>
      <c r="C44" s="132" t="str">
        <f>Export!N42</f>
        <v/>
      </c>
      <c r="D44" s="177" t="str">
        <f>Export!B42</f>
        <v/>
      </c>
      <c r="E44" s="178" t="e">
        <f>C44*D44*HelperFunctions!G$45</f>
        <v>#VALUE!</v>
      </c>
      <c r="F44" s="179" t="e">
        <f>C44*D44*(1-HelperFunctions!G$45)</f>
        <v>#VALUE!</v>
      </c>
      <c r="G44" s="180" t="str">
        <f>Export!C42</f>
        <v/>
      </c>
      <c r="H44" s="191" t="e">
        <f>G44/(I43+'NotEffectivelyVax (current)'!F43*HelperFunctions!R$14+'NotEffectivelyVax (current)'!I43*HelperFunctions!R$14+'NotEffectivelyVax (current)'!L43*HelperFunctions!R$14+'NotEffectivelyVax (current)'!O43*HelperFunctions!R$14+'NotEffectivelyVax (current)'!R43*HelperFunctions!R$14+'NotEffectivelyVax (current)'!U43*HelperFunctions!R$14+'NotEffectivelyVax (current)'!X43*HelperFunctions!R$14+'NotEffectivelyVax (current)'!AA43*HelperFunctions!R$14+'NotEffectivelyVax (current)'!AD43*HelperFunctions!R$14+'NotEffectivelyVax (current)'!AG43*HelperFunctions!R$14+'NotEffectivelyVax (current)'!AJ43*HelperFunctions!R$14+'NotEffectivelyVax (current)'!AM43*HelperFunctions!R$14+'NotEffectivelyVax (current)'!AP43*HelperFunctions!R$28+'NotEffectivelyVax (current)'!AS43*HelperFunctions!R$28+'NotEffectivelyVax (current)'!AV43*HelperFunctions!R$28+'NotEffectivelyVax (current)'!AY43*HelperFunctions!R$28+'NotEffectivelyVax (current)'!BB43*HelperFunctions!R$28+'NotEffectivelyVax (current)'!BE43*HelperFunctions!R$28+'NotEffectivelyVax (current)'!BH43*HelperFunctions!R$28+'NotEffectivelyVax (current)'!BK43*HelperFunctions!R$28+'NotEffectivelyVax (current)'!BN43*HelperFunctions!R$28+'NotEffectivelyVax (current)'!BQ43*HelperFunctions!R$28+'NotEffectivelyVax (current)'!BT43*HelperFunctions!R$28+'NotEffectivelyVax (current)'!BW43*HelperFunctions!R$28+'NotEffectivelyVax (current)'!BZ43*HelperFunctions!R$42+'NotEffectivelyVax (current)'!CC43*HelperFunctions!R$42+'NotEffectivelyVax (current)'!CF43*HelperFunctions!R$42+'NotEffectivelyVax (current)'!CI43*HelperFunctions!R$42+'NotEffectivelyVax (current)'!CL43*HelperFunctions!R$42+'NotEffectivelyVax (current)'!CO43*HelperFunctions!R41+'NotEffectivelyVax (current)'!CR43*HelperFunctions!R40+'NotEffectivelyVax (current)'!CU43*HelperFunctions!R39+'NotEffectivelyVax (current)'!CX43*HelperFunctions!R38+'NotEffectivelyVax (current)'!DA43*HelperFunctions!R37+'NotEffectivelyVax (current)'!DD43*HelperFunctions!R36+'NotEffectivelyVax (current)'!DG43*HelperFunctions!R35+'NotEffectivelyVax (current)'!DJ43*HelperFunctions!R48+'NotEffectivelyVax (current)'!DM43*HelperFunctions!R47+'NotEffectivelyVax (current)'!DP43*HelperFunctions!R46+'NotEffectivelyVax (current)'!DS43*HelperFunctions!R45)</f>
        <v>#VALUE!</v>
      </c>
      <c r="I44" s="192" t="e">
        <f t="shared" si="10"/>
        <v>#VALUE!</v>
      </c>
      <c r="J44" s="153">
        <f>SUM(EffectivelyVax!D43:BK43)</f>
        <v>0</v>
      </c>
      <c r="K44" s="193" t="e">
        <f t="shared" si="5"/>
        <v>#VALUE!</v>
      </c>
      <c r="L44" s="194" t="e">
        <f>I43*H44*Export!L42</f>
        <v>#VALUE!</v>
      </c>
      <c r="M44" s="195" t="e">
        <f t="shared" si="0"/>
        <v>#VALUE!</v>
      </c>
      <c r="N44" s="178" t="e">
        <f>IF(Export!M42&lt;&gt;"",K44*Export!K42*(1/Export!M42),K44*Export!K42)</f>
        <v>#VALUE!</v>
      </c>
      <c r="O44" s="154" t="e">
        <f>M44*Export!J42</f>
        <v>#VALUE!</v>
      </c>
      <c r="P44" s="186" t="e">
        <f>SUM('NotEffectivelyVax (current)'!F44,'NotEffectivelyVax (current)'!I44,'NotEffectivelyVax (current)'!L44,'NotEffectivelyVax (current)'!O44,'NotEffectivelyVax (current)'!R44,'NotEffectivelyVax (current)'!U44,'NotEffectivelyVax (current)'!X44,'NotEffectivelyVax (current)'!AA44,'NotEffectivelyVax (current)'!AD44,'NotEffectivelyVax (current)'!AG44,'NotEffectivelyVax (current)'!AJ44,'NotEffectivelyVax (current)'!AM44,'NotEffectivelyVax (current)'!AP44,'NotEffectivelyVax (current)'!AS44,'NotEffectivelyVax (current)'!AV44,'NotEffectivelyVax (current)'!AY44,'NotEffectivelyVax (current)'!BB44,'NotEffectivelyVax (current)'!BE44,'NotEffectivelyVax (current)'!BH44,'NotEffectivelyVax (current)'!BK44,'NotEffectivelyVax (current)'!BN44,'NotEffectivelyVax (current)'!BQ44,'NotEffectivelyVax (current)'!BT44,'NotEffectivelyVax (current)'!BW44,'NotEffectivelyVax (current)'!BZ44,'NotEffectivelyVax (current)'!CC44,'NotEffectivelyVax (current)'!CF44,'NotEffectivelyVax (current)'!CI44,'NotEffectivelyVax (current)'!CL44,'NotEffectivelyVax (current)'!CO44,'NotEffectivelyVax (current)'!CR44,'NotEffectivelyVax (current)'!CU44,'NotEffectivelyVax (current)'!CX44,'NotEffectivelyVax (current)'!DA44,'NotEffectivelyVax (current)'!DD44,'NotEffectivelyVax (current)'!DG44,'NotEffectivelyVax (current)'!DJ44,'NotEffectivelyVax (current)'!DM44,'NotEffectivelyVax (current)'!DP44,'NotEffectivelyVax (current)'!DS44,'NotEffectivelyVax (current)'!DV44,'NotEffectivelyVax (current)'!DY44,'NotEffectivelyVax (current)'!EB44,'NotEffectivelyVax (current)'!EE44,'NotEffectivelyVax (current)'!EH44,'NotEffectivelyVax (current)'!EK44,'NotEffectivelyVax (current)'!EN44,'NotEffectivelyVax (current)'!EQ44,'NotEffectivelyVax (current)'!ET44,'NotEffectivelyVax (current)'!EW44,'NotEffectivelyVax (current)'!EZ44,'NotEffectivelyVax (current)'!FC44,'NotEffectivelyVax (current)'!FF44,'NotEffectivelyVax (current)'!FI44,'NotEffectivelyVax (current)'!FL44,'NotEffectivelyVax (current)'!FO44,'NotEffectivelyVax (current)'!FR44,'NotEffectivelyVax (current)'!FU44,'NotEffectivelyVax (current)'!FX44,'NotEffectivelyVax (current)'!GA44)</f>
        <v>#VALUE!</v>
      </c>
      <c r="Q44" s="155" t="e">
        <f>SUM('NotEffectivelyVax (current)'!D44,'NotEffectivelyVax (current)'!G44,'NotEffectivelyVax (current)'!J44,'NotEffectivelyVax (current)'!M44,'NotEffectivelyVax (current)'!P44,'NotEffectivelyVax (current)'!S44,'NotEffectivelyVax (current)'!V44,'NotEffectivelyVax (current)'!Y44,'NotEffectivelyVax (current)'!AB44,'NotEffectivelyVax (current)'!AE44,'NotEffectivelyVax (current)'!AH44,'NotEffectivelyVax (current)'!AK44,'NotEffectivelyVax (current)'!AN44,'NotEffectivelyVax (current)'!AQ44,'NotEffectivelyVax (current)'!AT44,'NotEffectivelyVax (current)'!AW44,'NotEffectivelyVax (current)'!AZ44,'NotEffectivelyVax (current)'!BC44,'NotEffectivelyVax (current)'!BF44,'NotEffectivelyVax (current)'!BI44,'NotEffectivelyVax (current)'!BL44,'NotEffectivelyVax (current)'!BO44,'NotEffectivelyVax (current)'!BR44,'NotEffectivelyVax (current)'!BU44,'NotEffectivelyVax (current)'!BX44,'NotEffectivelyVax (current)'!CA44,'NotEffectivelyVax (current)'!CD44,'NotEffectivelyVax (current)'!CG44,'NotEffectivelyVax (current)'!CJ44,'NotEffectivelyVax (current)'!CM44,'NotEffectivelyVax (current)'!CP44,'NotEffectivelyVax (current)'!CS44,'NotEffectivelyVax (current)'!CV44,'NotEffectivelyVax (current)'!CY44,'NotEffectivelyVax (current)'!DB44,'NotEffectivelyVax (current)'!DE44,'NotEffectivelyVax (current)'!DH44,'NotEffectivelyVax (current)'!DK44,'NotEffectivelyVax (current)'!DN44,'NotEffectivelyVax (current)'!DQ44,'NotEffectivelyVax (current)'!DT44,'NotEffectivelyVax (current)'!DW44,'NotEffectivelyVax (current)'!DZ44,'NotEffectivelyVax (current)'!EC44,'NotEffectivelyVax (current)'!EF44,'NotEffectivelyVax (current)'!EI44,'NotEffectivelyVax (current)'!EL44,'NotEffectivelyVax (current)'!EO44,'NotEffectivelyVax (current)'!ER44,'NotEffectivelyVax (current)'!EU44,'NotEffectivelyVax (current)'!EX44,'NotEffectivelyVax (current)'!FA44,'NotEffectivelyVax (current)'!FD44,'NotEffectivelyVax (current)'!FG44,'NotEffectivelyVax (current)'!FJ44,'NotEffectivelyVax (current)'!FM44,'NotEffectivelyVax (current)'!FP44,'NotEffectivelyVax (current)'!FS44,'NotEffectivelyVax (current)'!FV44,'NotEffectivelyVax (current)'!FY44)</f>
        <v>#VALUE!</v>
      </c>
      <c r="R44" s="155" t="e">
        <f>SUM('NotEffectivelyVax (current)'!E44,'NotEffectivelyVax (current)'!H44,'NotEffectivelyVax (current)'!K44,'NotEffectivelyVax (current)'!N44,'NotEffectivelyVax (current)'!Q44,'NotEffectivelyVax (current)'!T44,'NotEffectivelyVax (current)'!W44,'NotEffectivelyVax (current)'!Z44,'NotEffectivelyVax (current)'!AC44,'NotEffectivelyVax (current)'!AF44,'NotEffectivelyVax (current)'!AI44,'NotEffectivelyVax (current)'!AL44,'NotEffectivelyVax (current)'!AO44,'NotEffectivelyVax (current)'!AR44,'NotEffectivelyVax (current)'!AU44,'NotEffectivelyVax (current)'!AX44,'NotEffectivelyVax (current)'!BA44,'NotEffectivelyVax (current)'!BD44,'NotEffectivelyVax (current)'!BG44,'NotEffectivelyVax (current)'!BJ44,'NotEffectivelyVax (current)'!BM44,'NotEffectivelyVax (current)'!BP44,'NotEffectivelyVax (current)'!BS44,'NotEffectivelyVax (current)'!BV44,'NotEffectivelyVax (current)'!BY44,'NotEffectivelyVax (current)'!CB44,'NotEffectivelyVax (current)'!CE44,'NotEffectivelyVax (current)'!CH44,'NotEffectivelyVax (current)'!CK44,'NotEffectivelyVax (current)'!CN44,'NotEffectivelyVax (current)'!CQ44,'NotEffectivelyVax (current)'!CT44,'NotEffectivelyVax (current)'!CW44,'NotEffectivelyVax (current)'!CZ44,'NotEffectivelyVax (current)'!DC44,'NotEffectivelyVax (current)'!DF44,'NotEffectivelyVax (current)'!DI44,'NotEffectivelyVax (current)'!DL44,'NotEffectivelyVax (current)'!DO44,'NotEffectivelyVax (current)'!DR44,'NotEffectivelyVax (current)'!DU44,'NotEffectivelyVax (current)'!DX44,'NotEffectivelyVax (current)'!EA44,'NotEffectivelyVax (current)'!ED44,'NotEffectivelyVax (current)'!EG44,'NotEffectivelyVax (current)'!EJ44,'NotEffectivelyVax (current)'!EM44,'NotEffectivelyVax (current)'!EP44,'NotEffectivelyVax (current)'!ES44,'NotEffectivelyVax (current)'!EV44,'NotEffectivelyVax (current)'!EY44,'NotEffectivelyVax (current)'!FB44,'NotEffectivelyVax (current)'!FE44,'NotEffectivelyVax (current)'!FH44,'NotEffectivelyVax (current)'!FK44,'NotEffectivelyVax (current)'!FN44,'NotEffectivelyVax (current)'!FQ44,'NotEffectivelyVax (current)'!FT44,'NotEffectivelyVax (current)'!FW44,'NotEffectivelyVax (current)'!FZ44)</f>
        <v>#VALUE!</v>
      </c>
      <c r="S44" s="138" t="e">
        <f t="shared" si="6"/>
        <v>#VALUE!</v>
      </c>
      <c r="T44" s="187" t="e">
        <f>IF(Export!M42&lt;&gt;"",Q44*Export!K42*(1/Export!M42),Q44*Export!K42)</f>
        <v>#VALUE!</v>
      </c>
      <c r="U44" s="188" t="e">
        <f>S44*Export!J42</f>
        <v>#VALUE!</v>
      </c>
      <c r="V44" s="196" t="e">
        <f t="shared" si="11"/>
        <v>#DIV/0!</v>
      </c>
      <c r="W44" s="197" t="e">
        <f t="shared" si="8"/>
        <v>#VALUE!</v>
      </c>
      <c r="X44" s="190" t="e">
        <f>H44*Export!L42*V43</f>
        <v>#VALUE!</v>
      </c>
      <c r="Y44" s="190" t="e">
        <f t="shared" si="1"/>
        <v>#VALUE!</v>
      </c>
      <c r="Z44" s="190" t="e">
        <f>IF(Export!M42&lt;&gt;"",W44*Export!K42*(1/Export!M42),W44*Export!K42)</f>
        <v>#VALUE!</v>
      </c>
      <c r="AA44" s="190" t="e">
        <f>Y44*Export!J42</f>
        <v>#VALUE!</v>
      </c>
      <c r="AC44" s="143" t="e">
        <f t="shared" si="12"/>
        <v>#VALUE!</v>
      </c>
      <c r="AD44" s="144" t="e">
        <f t="shared" si="12"/>
        <v>#VALUE!</v>
      </c>
      <c r="AE44" s="144" t="e">
        <f t="shared" si="13"/>
        <v>#VALUE!</v>
      </c>
      <c r="AF44" s="144" t="e">
        <f t="shared" si="13"/>
        <v>#VALUE!</v>
      </c>
      <c r="AG44" s="144" t="e">
        <f t="shared" si="4"/>
        <v>#VALUE!</v>
      </c>
      <c r="AH44" s="198"/>
      <c r="AI44" s="198"/>
      <c r="AJ44" s="198"/>
      <c r="AK44" s="198"/>
      <c r="AL44" s="199"/>
      <c r="AM44" s="150"/>
      <c r="AN44" s="150"/>
      <c r="AO44" s="150"/>
      <c r="AP44" s="150"/>
      <c r="AQ44" s="151"/>
      <c r="AR44" s="144"/>
    </row>
    <row r="45" spans="1:44" x14ac:dyDescent="0.35">
      <c r="A45" s="130">
        <f>EffectivelyVax!B44</f>
        <v>3</v>
      </c>
      <c r="B45" s="131" t="str">
        <f>EffectivelyVax!C44</f>
        <v/>
      </c>
      <c r="C45" s="132" t="str">
        <f>Export!N43</f>
        <v/>
      </c>
      <c r="D45" s="177" t="str">
        <f>Export!B43</f>
        <v/>
      </c>
      <c r="E45" s="178" t="e">
        <f>C45*D45*HelperFunctions!G$45</f>
        <v>#VALUE!</v>
      </c>
      <c r="F45" s="179" t="e">
        <f>C45*D45*(1-HelperFunctions!G$45)</f>
        <v>#VALUE!</v>
      </c>
      <c r="G45" s="180" t="str">
        <f>Export!C43</f>
        <v/>
      </c>
      <c r="H45" s="191" t="e">
        <f>G45/(I44+'NotEffectivelyVax (current)'!F44*HelperFunctions!R$14+'NotEffectivelyVax (current)'!I44*HelperFunctions!R$14+'NotEffectivelyVax (current)'!L44*HelperFunctions!R$14+'NotEffectivelyVax (current)'!O44*HelperFunctions!R$14+'NotEffectivelyVax (current)'!R44*HelperFunctions!R$14+'NotEffectivelyVax (current)'!U44*HelperFunctions!R$14+'NotEffectivelyVax (current)'!X44*HelperFunctions!R$14+'NotEffectivelyVax (current)'!AA44*HelperFunctions!R$14+'NotEffectivelyVax (current)'!AD44*HelperFunctions!R$14+'NotEffectivelyVax (current)'!AG44*HelperFunctions!R$14+'NotEffectivelyVax (current)'!AJ44*HelperFunctions!R$14+'NotEffectivelyVax (current)'!AM44*HelperFunctions!R$14+'NotEffectivelyVax (current)'!AP44*HelperFunctions!R$28+'NotEffectivelyVax (current)'!AS44*HelperFunctions!R$28+'NotEffectivelyVax (current)'!AV44*HelperFunctions!R$28+'NotEffectivelyVax (current)'!AY44*HelperFunctions!R$28+'NotEffectivelyVax (current)'!BB44*HelperFunctions!R$28+'NotEffectivelyVax (current)'!BE44*HelperFunctions!R$28+'NotEffectivelyVax (current)'!BH44*HelperFunctions!R$28+'NotEffectivelyVax (current)'!BK44*HelperFunctions!R$28+'NotEffectivelyVax (current)'!BN44*HelperFunctions!R$28+'NotEffectivelyVax (current)'!BQ44*HelperFunctions!R$28+'NotEffectivelyVax (current)'!BT44*HelperFunctions!R$28+'NotEffectivelyVax (current)'!BW44*HelperFunctions!R$28+'NotEffectivelyVax (current)'!BZ44*HelperFunctions!R$42+'NotEffectivelyVax (current)'!CC44*HelperFunctions!R$42+'NotEffectivelyVax (current)'!CF44*HelperFunctions!R$42+'NotEffectivelyVax (current)'!CI44*HelperFunctions!R$42+'NotEffectivelyVax (current)'!CL44*HelperFunctions!R$42+'NotEffectivelyVax (current)'!CO44*HelperFunctions!R$42+'NotEffectivelyVax (current)'!CR44*HelperFunctions!R41+'NotEffectivelyVax (current)'!CU44*HelperFunctions!R40+'NotEffectivelyVax (current)'!CX44*HelperFunctions!R39+'NotEffectivelyVax (current)'!DA44*HelperFunctions!R38+'NotEffectivelyVax (current)'!DD44*HelperFunctions!R37+'NotEffectivelyVax (current)'!DG44*HelperFunctions!R36+'NotEffectivelyVax (current)'!DJ44*HelperFunctions!R49+'NotEffectivelyVax (current)'!DM44*HelperFunctions!R48+'NotEffectivelyVax (current)'!DP44*HelperFunctions!R47+'NotEffectivelyVax (current)'!DS44*HelperFunctions!R46+'NotEffectivelyVax (current)'!DV44*HelperFunctions!R45)</f>
        <v>#VALUE!</v>
      </c>
      <c r="I45" s="192" t="e">
        <f t="shared" si="10"/>
        <v>#VALUE!</v>
      </c>
      <c r="J45" s="153">
        <f>SUM(EffectivelyVax!D44:BK44)</f>
        <v>0</v>
      </c>
      <c r="K45" s="193" t="e">
        <f t="shared" si="5"/>
        <v>#VALUE!</v>
      </c>
      <c r="L45" s="194" t="e">
        <f>I44*H45*Export!L43</f>
        <v>#VALUE!</v>
      </c>
      <c r="M45" s="195" t="e">
        <f t="shared" si="0"/>
        <v>#VALUE!</v>
      </c>
      <c r="N45" s="178" t="e">
        <f>IF(Export!M43&lt;&gt;"",K45*Export!K43*(1/Export!M43),K45*Export!K43)</f>
        <v>#VALUE!</v>
      </c>
      <c r="O45" s="154" t="e">
        <f>M45*Export!J43</f>
        <v>#VALUE!</v>
      </c>
      <c r="P45" s="186" t="e">
        <f>SUM('NotEffectivelyVax (current)'!F45,'NotEffectivelyVax (current)'!I45,'NotEffectivelyVax (current)'!L45,'NotEffectivelyVax (current)'!O45,'NotEffectivelyVax (current)'!R45,'NotEffectivelyVax (current)'!U45,'NotEffectivelyVax (current)'!X45,'NotEffectivelyVax (current)'!AA45,'NotEffectivelyVax (current)'!AD45,'NotEffectivelyVax (current)'!AG45,'NotEffectivelyVax (current)'!AJ45,'NotEffectivelyVax (current)'!AM45,'NotEffectivelyVax (current)'!AP45,'NotEffectivelyVax (current)'!AS45,'NotEffectivelyVax (current)'!AV45,'NotEffectivelyVax (current)'!AY45,'NotEffectivelyVax (current)'!BB45,'NotEffectivelyVax (current)'!BE45,'NotEffectivelyVax (current)'!BH45,'NotEffectivelyVax (current)'!BK45,'NotEffectivelyVax (current)'!BN45,'NotEffectivelyVax (current)'!BQ45,'NotEffectivelyVax (current)'!BT45,'NotEffectivelyVax (current)'!BW45,'NotEffectivelyVax (current)'!BZ45,'NotEffectivelyVax (current)'!CC45,'NotEffectivelyVax (current)'!CF45,'NotEffectivelyVax (current)'!CI45,'NotEffectivelyVax (current)'!CL45,'NotEffectivelyVax (current)'!CO45,'NotEffectivelyVax (current)'!CR45,'NotEffectivelyVax (current)'!CU45,'NotEffectivelyVax (current)'!CX45,'NotEffectivelyVax (current)'!DA45,'NotEffectivelyVax (current)'!DD45,'NotEffectivelyVax (current)'!DG45,'NotEffectivelyVax (current)'!DJ45,'NotEffectivelyVax (current)'!DM45,'NotEffectivelyVax (current)'!DP45,'NotEffectivelyVax (current)'!DS45,'NotEffectivelyVax (current)'!DV45,'NotEffectivelyVax (current)'!DY45,'NotEffectivelyVax (current)'!EB45,'NotEffectivelyVax (current)'!EE45,'NotEffectivelyVax (current)'!EH45,'NotEffectivelyVax (current)'!EK45,'NotEffectivelyVax (current)'!EN45,'NotEffectivelyVax (current)'!EQ45,'NotEffectivelyVax (current)'!ET45,'NotEffectivelyVax (current)'!EW45,'NotEffectivelyVax (current)'!EZ45,'NotEffectivelyVax (current)'!FC45,'NotEffectivelyVax (current)'!FF45,'NotEffectivelyVax (current)'!FI45,'NotEffectivelyVax (current)'!FL45,'NotEffectivelyVax (current)'!FO45,'NotEffectivelyVax (current)'!FR45,'NotEffectivelyVax (current)'!FU45,'NotEffectivelyVax (current)'!FX45,'NotEffectivelyVax (current)'!GA45)</f>
        <v>#VALUE!</v>
      </c>
      <c r="Q45" s="155" t="e">
        <f>SUM('NotEffectivelyVax (current)'!D45,'NotEffectivelyVax (current)'!G45,'NotEffectivelyVax (current)'!J45,'NotEffectivelyVax (current)'!M45,'NotEffectivelyVax (current)'!P45,'NotEffectivelyVax (current)'!S45,'NotEffectivelyVax (current)'!V45,'NotEffectivelyVax (current)'!Y45,'NotEffectivelyVax (current)'!AB45,'NotEffectivelyVax (current)'!AE45,'NotEffectivelyVax (current)'!AH45,'NotEffectivelyVax (current)'!AK45,'NotEffectivelyVax (current)'!AN45,'NotEffectivelyVax (current)'!AQ45,'NotEffectivelyVax (current)'!AT45,'NotEffectivelyVax (current)'!AW45,'NotEffectivelyVax (current)'!AZ45,'NotEffectivelyVax (current)'!BC45,'NotEffectivelyVax (current)'!BF45,'NotEffectivelyVax (current)'!BI45,'NotEffectivelyVax (current)'!BL45,'NotEffectivelyVax (current)'!BO45,'NotEffectivelyVax (current)'!BR45,'NotEffectivelyVax (current)'!BU45,'NotEffectivelyVax (current)'!BX45,'NotEffectivelyVax (current)'!CA45,'NotEffectivelyVax (current)'!CD45,'NotEffectivelyVax (current)'!CG45,'NotEffectivelyVax (current)'!CJ45,'NotEffectivelyVax (current)'!CM45,'NotEffectivelyVax (current)'!CP45,'NotEffectivelyVax (current)'!CS45,'NotEffectivelyVax (current)'!CV45,'NotEffectivelyVax (current)'!CY45,'NotEffectivelyVax (current)'!DB45,'NotEffectivelyVax (current)'!DE45,'NotEffectivelyVax (current)'!DH45,'NotEffectivelyVax (current)'!DK45,'NotEffectivelyVax (current)'!DN45,'NotEffectivelyVax (current)'!DQ45,'NotEffectivelyVax (current)'!DT45,'NotEffectivelyVax (current)'!DW45,'NotEffectivelyVax (current)'!DZ45,'NotEffectivelyVax (current)'!EC45,'NotEffectivelyVax (current)'!EF45,'NotEffectivelyVax (current)'!EI45,'NotEffectivelyVax (current)'!EL45,'NotEffectivelyVax (current)'!EO45,'NotEffectivelyVax (current)'!ER45,'NotEffectivelyVax (current)'!EU45,'NotEffectivelyVax (current)'!EX45,'NotEffectivelyVax (current)'!FA45,'NotEffectivelyVax (current)'!FD45,'NotEffectivelyVax (current)'!FG45,'NotEffectivelyVax (current)'!FJ45,'NotEffectivelyVax (current)'!FM45,'NotEffectivelyVax (current)'!FP45,'NotEffectivelyVax (current)'!FS45,'NotEffectivelyVax (current)'!FV45,'NotEffectivelyVax (current)'!FY45)</f>
        <v>#VALUE!</v>
      </c>
      <c r="R45" s="155" t="e">
        <f>SUM('NotEffectivelyVax (current)'!E45,'NotEffectivelyVax (current)'!H45,'NotEffectivelyVax (current)'!K45,'NotEffectivelyVax (current)'!N45,'NotEffectivelyVax (current)'!Q45,'NotEffectivelyVax (current)'!T45,'NotEffectivelyVax (current)'!W45,'NotEffectivelyVax (current)'!Z45,'NotEffectivelyVax (current)'!AC45,'NotEffectivelyVax (current)'!AF45,'NotEffectivelyVax (current)'!AI45,'NotEffectivelyVax (current)'!AL45,'NotEffectivelyVax (current)'!AO45,'NotEffectivelyVax (current)'!AR45,'NotEffectivelyVax (current)'!AU45,'NotEffectivelyVax (current)'!AX45,'NotEffectivelyVax (current)'!BA45,'NotEffectivelyVax (current)'!BD45,'NotEffectivelyVax (current)'!BG45,'NotEffectivelyVax (current)'!BJ45,'NotEffectivelyVax (current)'!BM45,'NotEffectivelyVax (current)'!BP45,'NotEffectivelyVax (current)'!BS45,'NotEffectivelyVax (current)'!BV45,'NotEffectivelyVax (current)'!BY45,'NotEffectivelyVax (current)'!CB45,'NotEffectivelyVax (current)'!CE45,'NotEffectivelyVax (current)'!CH45,'NotEffectivelyVax (current)'!CK45,'NotEffectivelyVax (current)'!CN45,'NotEffectivelyVax (current)'!CQ45,'NotEffectivelyVax (current)'!CT45,'NotEffectivelyVax (current)'!CW45,'NotEffectivelyVax (current)'!CZ45,'NotEffectivelyVax (current)'!DC45,'NotEffectivelyVax (current)'!DF45,'NotEffectivelyVax (current)'!DI45,'NotEffectivelyVax (current)'!DL45,'NotEffectivelyVax (current)'!DO45,'NotEffectivelyVax (current)'!DR45,'NotEffectivelyVax (current)'!DU45,'NotEffectivelyVax (current)'!DX45,'NotEffectivelyVax (current)'!EA45,'NotEffectivelyVax (current)'!ED45,'NotEffectivelyVax (current)'!EG45,'NotEffectivelyVax (current)'!EJ45,'NotEffectivelyVax (current)'!EM45,'NotEffectivelyVax (current)'!EP45,'NotEffectivelyVax (current)'!ES45,'NotEffectivelyVax (current)'!EV45,'NotEffectivelyVax (current)'!EY45,'NotEffectivelyVax (current)'!FB45,'NotEffectivelyVax (current)'!FE45,'NotEffectivelyVax (current)'!FH45,'NotEffectivelyVax (current)'!FK45,'NotEffectivelyVax (current)'!FN45,'NotEffectivelyVax (current)'!FQ45,'NotEffectivelyVax (current)'!FT45,'NotEffectivelyVax (current)'!FW45,'NotEffectivelyVax (current)'!FZ45)</f>
        <v>#VALUE!</v>
      </c>
      <c r="S45" s="138" t="e">
        <f t="shared" si="6"/>
        <v>#VALUE!</v>
      </c>
      <c r="T45" s="187" t="e">
        <f>IF(Export!M43&lt;&gt;"",Q45*Export!K43*(1/Export!M43),Q45*Export!K43)</f>
        <v>#VALUE!</v>
      </c>
      <c r="U45" s="188" t="e">
        <f>S45*Export!J43</f>
        <v>#VALUE!</v>
      </c>
      <c r="V45" s="196" t="e">
        <f t="shared" si="11"/>
        <v>#DIV/0!</v>
      </c>
      <c r="W45" s="197" t="e">
        <f t="shared" si="8"/>
        <v>#VALUE!</v>
      </c>
      <c r="X45" s="190" t="e">
        <f>H45*Export!L43*V44</f>
        <v>#VALUE!</v>
      </c>
      <c r="Y45" s="190" t="e">
        <f t="shared" si="1"/>
        <v>#VALUE!</v>
      </c>
      <c r="Z45" s="190" t="e">
        <f>IF(Export!M43&lt;&gt;"",W45*Export!K43*(1/Export!M43),W45*Export!K43)</f>
        <v>#VALUE!</v>
      </c>
      <c r="AA45" s="190" t="e">
        <f>Y45*Export!J43</f>
        <v>#VALUE!</v>
      </c>
      <c r="AC45" s="143" t="e">
        <f t="shared" si="12"/>
        <v>#VALUE!</v>
      </c>
      <c r="AD45" s="144" t="e">
        <f t="shared" si="12"/>
        <v>#VALUE!</v>
      </c>
      <c r="AE45" s="144" t="e">
        <f t="shared" si="13"/>
        <v>#VALUE!</v>
      </c>
      <c r="AF45" s="144" t="e">
        <f t="shared" si="13"/>
        <v>#VALUE!</v>
      </c>
      <c r="AG45" s="144" t="e">
        <f t="shared" si="4"/>
        <v>#VALUE!</v>
      </c>
      <c r="AH45" s="198"/>
      <c r="AI45" s="198"/>
      <c r="AJ45" s="198"/>
      <c r="AK45" s="198"/>
      <c r="AL45" s="199"/>
      <c r="AM45" s="150"/>
      <c r="AN45" s="150"/>
      <c r="AO45" s="150"/>
      <c r="AP45" s="150"/>
      <c r="AQ45" s="151"/>
    </row>
    <row r="46" spans="1:44" x14ac:dyDescent="0.35">
      <c r="A46" s="130">
        <f>EffectivelyVax!B45</f>
        <v>3</v>
      </c>
      <c r="B46" s="131" t="str">
        <f>EffectivelyVax!C45</f>
        <v/>
      </c>
      <c r="C46" s="132" t="str">
        <f>Export!N44</f>
        <v/>
      </c>
      <c r="D46" s="177" t="str">
        <f>Export!B44</f>
        <v/>
      </c>
      <c r="E46" s="178" t="e">
        <f>C46*D46*HelperFunctions!G$45</f>
        <v>#VALUE!</v>
      </c>
      <c r="F46" s="179" t="e">
        <f>C46*D46*(1-HelperFunctions!G$45)</f>
        <v>#VALUE!</v>
      </c>
      <c r="G46" s="180" t="str">
        <f>Export!C44</f>
        <v/>
      </c>
      <c r="H46" s="191" t="e">
        <f>G46/(I45+'NotEffectivelyVax (current)'!F45*HelperFunctions!R$14+'NotEffectivelyVax (current)'!I45*HelperFunctions!R$14+'NotEffectivelyVax (current)'!L45*HelperFunctions!R$14+'NotEffectivelyVax (current)'!O45*HelperFunctions!R$14+'NotEffectivelyVax (current)'!R45*HelperFunctions!R$14+'NotEffectivelyVax (current)'!U45*HelperFunctions!R$14+'NotEffectivelyVax (current)'!X45*HelperFunctions!R$14+'NotEffectivelyVax (current)'!AA45*HelperFunctions!R$14+'NotEffectivelyVax (current)'!AD45*HelperFunctions!R$14+'NotEffectivelyVax (current)'!AG45*HelperFunctions!R$14+'NotEffectivelyVax (current)'!AJ45*HelperFunctions!R$14+'NotEffectivelyVax (current)'!AM45*HelperFunctions!R$14+'NotEffectivelyVax (current)'!AP45*HelperFunctions!R$28+'NotEffectivelyVax (current)'!AS45*HelperFunctions!R$28+'NotEffectivelyVax (current)'!AV45*HelperFunctions!R$28+'NotEffectivelyVax (current)'!AY45*HelperFunctions!R$28+'NotEffectivelyVax (current)'!BB45*HelperFunctions!R$28+'NotEffectivelyVax (current)'!BE45*HelperFunctions!R$28+'NotEffectivelyVax (current)'!BH45*HelperFunctions!R$28+'NotEffectivelyVax (current)'!BK45*HelperFunctions!R$28+'NotEffectivelyVax (current)'!BN45*HelperFunctions!R$28+'NotEffectivelyVax (current)'!BQ45*HelperFunctions!R$28+'NotEffectivelyVax (current)'!BT45*HelperFunctions!R$28+'NotEffectivelyVax (current)'!BW45*HelperFunctions!R$28+'NotEffectivelyVax (current)'!BZ45*HelperFunctions!R$42+'NotEffectivelyVax (current)'!CC45*HelperFunctions!R$42+'NotEffectivelyVax (current)'!CF45*HelperFunctions!R$42+'NotEffectivelyVax (current)'!CI45*HelperFunctions!R$42+'NotEffectivelyVax (current)'!CL45*HelperFunctions!R$42+'NotEffectivelyVax (current)'!CO45*HelperFunctions!R$42+'NotEffectivelyVax (current)'!CR45*HelperFunctions!R$42+'NotEffectivelyVax (current)'!CU45*HelperFunctions!R41+'NotEffectivelyVax (current)'!CX45*HelperFunctions!R40+'NotEffectivelyVax (current)'!DA45*HelperFunctions!R39+'NotEffectivelyVax (current)'!DD45*HelperFunctions!R38+'NotEffectivelyVax (current)'!DG45*HelperFunctions!R37+'NotEffectivelyVax (current)'!DJ45*HelperFunctions!R50+'NotEffectivelyVax (current)'!DM45*HelperFunctions!R49+'NotEffectivelyVax (current)'!DP45*HelperFunctions!R48+'NotEffectivelyVax (current)'!DS45*HelperFunctions!R47+'NotEffectivelyVax (current)'!DV45*HelperFunctions!R46+'NotEffectivelyVax (current)'!DY45*HelperFunctions!R45)</f>
        <v>#VALUE!</v>
      </c>
      <c r="I46" s="192" t="e">
        <f t="shared" si="10"/>
        <v>#VALUE!</v>
      </c>
      <c r="J46" s="153">
        <f>SUM(EffectivelyVax!D45:BK45)</f>
        <v>0</v>
      </c>
      <c r="K46" s="193" t="e">
        <f t="shared" si="5"/>
        <v>#VALUE!</v>
      </c>
      <c r="L46" s="194" t="e">
        <f>I45*H46*Export!L44</f>
        <v>#VALUE!</v>
      </c>
      <c r="M46" s="195" t="e">
        <f t="shared" si="0"/>
        <v>#VALUE!</v>
      </c>
      <c r="N46" s="178" t="e">
        <f>IF(Export!M44&lt;&gt;"",K46*Export!K44*(1/Export!M44),K46*Export!K44)</f>
        <v>#VALUE!</v>
      </c>
      <c r="O46" s="154" t="e">
        <f>M46*Export!J44</f>
        <v>#VALUE!</v>
      </c>
      <c r="P46" s="186" t="e">
        <f>SUM('NotEffectivelyVax (current)'!F46,'NotEffectivelyVax (current)'!I46,'NotEffectivelyVax (current)'!L46,'NotEffectivelyVax (current)'!O46,'NotEffectivelyVax (current)'!R46,'NotEffectivelyVax (current)'!U46,'NotEffectivelyVax (current)'!X46,'NotEffectivelyVax (current)'!AA46,'NotEffectivelyVax (current)'!AD46,'NotEffectivelyVax (current)'!AG46,'NotEffectivelyVax (current)'!AJ46,'NotEffectivelyVax (current)'!AM46,'NotEffectivelyVax (current)'!AP46,'NotEffectivelyVax (current)'!AS46,'NotEffectivelyVax (current)'!AV46,'NotEffectivelyVax (current)'!AY46,'NotEffectivelyVax (current)'!BB46,'NotEffectivelyVax (current)'!BE46,'NotEffectivelyVax (current)'!BH46,'NotEffectivelyVax (current)'!BK46,'NotEffectivelyVax (current)'!BN46,'NotEffectivelyVax (current)'!BQ46,'NotEffectivelyVax (current)'!BT46,'NotEffectivelyVax (current)'!BW46,'NotEffectivelyVax (current)'!BZ46,'NotEffectivelyVax (current)'!CC46,'NotEffectivelyVax (current)'!CF46,'NotEffectivelyVax (current)'!CI46,'NotEffectivelyVax (current)'!CL46,'NotEffectivelyVax (current)'!CO46,'NotEffectivelyVax (current)'!CR46,'NotEffectivelyVax (current)'!CU46,'NotEffectivelyVax (current)'!CX46,'NotEffectivelyVax (current)'!DA46,'NotEffectivelyVax (current)'!DD46,'NotEffectivelyVax (current)'!DG46,'NotEffectivelyVax (current)'!DJ46,'NotEffectivelyVax (current)'!DM46,'NotEffectivelyVax (current)'!DP46,'NotEffectivelyVax (current)'!DS46,'NotEffectivelyVax (current)'!DV46,'NotEffectivelyVax (current)'!DY46,'NotEffectivelyVax (current)'!EB46,'NotEffectivelyVax (current)'!EE46,'NotEffectivelyVax (current)'!EH46,'NotEffectivelyVax (current)'!EK46,'NotEffectivelyVax (current)'!EN46,'NotEffectivelyVax (current)'!EQ46,'NotEffectivelyVax (current)'!ET46,'NotEffectivelyVax (current)'!EW46,'NotEffectivelyVax (current)'!EZ46,'NotEffectivelyVax (current)'!FC46,'NotEffectivelyVax (current)'!FF46,'NotEffectivelyVax (current)'!FI46,'NotEffectivelyVax (current)'!FL46,'NotEffectivelyVax (current)'!FO46,'NotEffectivelyVax (current)'!FR46,'NotEffectivelyVax (current)'!FU46,'NotEffectivelyVax (current)'!FX46,'NotEffectivelyVax (current)'!GA46)</f>
        <v>#VALUE!</v>
      </c>
      <c r="Q46" s="155" t="e">
        <f>SUM('NotEffectivelyVax (current)'!D46,'NotEffectivelyVax (current)'!G46,'NotEffectivelyVax (current)'!J46,'NotEffectivelyVax (current)'!M46,'NotEffectivelyVax (current)'!P46,'NotEffectivelyVax (current)'!S46,'NotEffectivelyVax (current)'!V46,'NotEffectivelyVax (current)'!Y46,'NotEffectivelyVax (current)'!AB46,'NotEffectivelyVax (current)'!AE46,'NotEffectivelyVax (current)'!AH46,'NotEffectivelyVax (current)'!AK46,'NotEffectivelyVax (current)'!AN46,'NotEffectivelyVax (current)'!AQ46,'NotEffectivelyVax (current)'!AT46,'NotEffectivelyVax (current)'!AW46,'NotEffectivelyVax (current)'!AZ46,'NotEffectivelyVax (current)'!BC46,'NotEffectivelyVax (current)'!BF46,'NotEffectivelyVax (current)'!BI46,'NotEffectivelyVax (current)'!BL46,'NotEffectivelyVax (current)'!BO46,'NotEffectivelyVax (current)'!BR46,'NotEffectivelyVax (current)'!BU46,'NotEffectivelyVax (current)'!BX46,'NotEffectivelyVax (current)'!CA46,'NotEffectivelyVax (current)'!CD46,'NotEffectivelyVax (current)'!CG46,'NotEffectivelyVax (current)'!CJ46,'NotEffectivelyVax (current)'!CM46,'NotEffectivelyVax (current)'!CP46,'NotEffectivelyVax (current)'!CS46,'NotEffectivelyVax (current)'!CV46,'NotEffectivelyVax (current)'!CY46,'NotEffectivelyVax (current)'!DB46,'NotEffectivelyVax (current)'!DE46,'NotEffectivelyVax (current)'!DH46,'NotEffectivelyVax (current)'!DK46,'NotEffectivelyVax (current)'!DN46,'NotEffectivelyVax (current)'!DQ46,'NotEffectivelyVax (current)'!DT46,'NotEffectivelyVax (current)'!DW46,'NotEffectivelyVax (current)'!DZ46,'NotEffectivelyVax (current)'!EC46,'NotEffectivelyVax (current)'!EF46,'NotEffectivelyVax (current)'!EI46,'NotEffectivelyVax (current)'!EL46,'NotEffectivelyVax (current)'!EO46,'NotEffectivelyVax (current)'!ER46,'NotEffectivelyVax (current)'!EU46,'NotEffectivelyVax (current)'!EX46,'NotEffectivelyVax (current)'!FA46,'NotEffectivelyVax (current)'!FD46,'NotEffectivelyVax (current)'!FG46,'NotEffectivelyVax (current)'!FJ46,'NotEffectivelyVax (current)'!FM46,'NotEffectivelyVax (current)'!FP46,'NotEffectivelyVax (current)'!FS46,'NotEffectivelyVax (current)'!FV46,'NotEffectivelyVax (current)'!FY46)</f>
        <v>#VALUE!</v>
      </c>
      <c r="R46" s="155" t="e">
        <f>SUM('NotEffectivelyVax (current)'!E46,'NotEffectivelyVax (current)'!H46,'NotEffectivelyVax (current)'!K46,'NotEffectivelyVax (current)'!N46,'NotEffectivelyVax (current)'!Q46,'NotEffectivelyVax (current)'!T46,'NotEffectivelyVax (current)'!W46,'NotEffectivelyVax (current)'!Z46,'NotEffectivelyVax (current)'!AC46,'NotEffectivelyVax (current)'!AF46,'NotEffectivelyVax (current)'!AI46,'NotEffectivelyVax (current)'!AL46,'NotEffectivelyVax (current)'!AO46,'NotEffectivelyVax (current)'!AR46,'NotEffectivelyVax (current)'!AU46,'NotEffectivelyVax (current)'!AX46,'NotEffectivelyVax (current)'!BA46,'NotEffectivelyVax (current)'!BD46,'NotEffectivelyVax (current)'!BG46,'NotEffectivelyVax (current)'!BJ46,'NotEffectivelyVax (current)'!BM46,'NotEffectivelyVax (current)'!BP46,'NotEffectivelyVax (current)'!BS46,'NotEffectivelyVax (current)'!BV46,'NotEffectivelyVax (current)'!BY46,'NotEffectivelyVax (current)'!CB46,'NotEffectivelyVax (current)'!CE46,'NotEffectivelyVax (current)'!CH46,'NotEffectivelyVax (current)'!CK46,'NotEffectivelyVax (current)'!CN46,'NotEffectivelyVax (current)'!CQ46,'NotEffectivelyVax (current)'!CT46,'NotEffectivelyVax (current)'!CW46,'NotEffectivelyVax (current)'!CZ46,'NotEffectivelyVax (current)'!DC46,'NotEffectivelyVax (current)'!DF46,'NotEffectivelyVax (current)'!DI46,'NotEffectivelyVax (current)'!DL46,'NotEffectivelyVax (current)'!DO46,'NotEffectivelyVax (current)'!DR46,'NotEffectivelyVax (current)'!DU46,'NotEffectivelyVax (current)'!DX46,'NotEffectivelyVax (current)'!EA46,'NotEffectivelyVax (current)'!ED46,'NotEffectivelyVax (current)'!EG46,'NotEffectivelyVax (current)'!EJ46,'NotEffectivelyVax (current)'!EM46,'NotEffectivelyVax (current)'!EP46,'NotEffectivelyVax (current)'!ES46,'NotEffectivelyVax (current)'!EV46,'NotEffectivelyVax (current)'!EY46,'NotEffectivelyVax (current)'!FB46,'NotEffectivelyVax (current)'!FE46,'NotEffectivelyVax (current)'!FH46,'NotEffectivelyVax (current)'!FK46,'NotEffectivelyVax (current)'!FN46,'NotEffectivelyVax (current)'!FQ46,'NotEffectivelyVax (current)'!FT46,'NotEffectivelyVax (current)'!FW46,'NotEffectivelyVax (current)'!FZ46)</f>
        <v>#VALUE!</v>
      </c>
      <c r="S46" s="138" t="e">
        <f t="shared" si="6"/>
        <v>#VALUE!</v>
      </c>
      <c r="T46" s="187" t="e">
        <f>IF(Export!M44&lt;&gt;"",Q46*Export!K44*(1/Export!M44),Q46*Export!K44)</f>
        <v>#VALUE!</v>
      </c>
      <c r="U46" s="188" t="e">
        <f>S46*Export!J44</f>
        <v>#VALUE!</v>
      </c>
      <c r="V46" s="196" t="e">
        <f t="shared" si="11"/>
        <v>#DIV/0!</v>
      </c>
      <c r="W46" s="197" t="e">
        <f t="shared" si="8"/>
        <v>#VALUE!</v>
      </c>
      <c r="X46" s="190" t="e">
        <f>H46*Export!L44*V45</f>
        <v>#VALUE!</v>
      </c>
      <c r="Y46" s="190" t="e">
        <f t="shared" si="1"/>
        <v>#VALUE!</v>
      </c>
      <c r="Z46" s="190" t="e">
        <f>IF(Export!M44&lt;&gt;"",W46*Export!K44*(1/Export!M44),W46*Export!K44)</f>
        <v>#VALUE!</v>
      </c>
      <c r="AA46" s="190" t="e">
        <f>Y46*Export!J44</f>
        <v>#VALUE!</v>
      </c>
      <c r="AC46" s="143" t="e">
        <f t="shared" si="12"/>
        <v>#VALUE!</v>
      </c>
      <c r="AD46" s="144" t="e">
        <f t="shared" si="12"/>
        <v>#VALUE!</v>
      </c>
      <c r="AE46" s="144" t="e">
        <f t="shared" si="13"/>
        <v>#VALUE!</v>
      </c>
      <c r="AF46" s="144" t="e">
        <f t="shared" si="13"/>
        <v>#VALUE!</v>
      </c>
      <c r="AG46" s="144" t="e">
        <f t="shared" si="4"/>
        <v>#VALUE!</v>
      </c>
      <c r="AH46" s="198"/>
      <c r="AI46" s="198"/>
      <c r="AJ46" s="198"/>
      <c r="AK46" s="198"/>
      <c r="AL46" s="199"/>
      <c r="AM46" s="150"/>
      <c r="AN46" s="150"/>
      <c r="AO46" s="150"/>
      <c r="AP46" s="150"/>
      <c r="AQ46" s="151"/>
    </row>
    <row r="47" spans="1:44" x14ac:dyDescent="0.35">
      <c r="A47" s="130">
        <f>EffectivelyVax!B46</f>
        <v>3</v>
      </c>
      <c r="B47" s="131" t="str">
        <f>EffectivelyVax!C46</f>
        <v/>
      </c>
      <c r="C47" s="132" t="str">
        <f>Export!N45</f>
        <v/>
      </c>
      <c r="D47" s="177" t="str">
        <f>Export!B45</f>
        <v/>
      </c>
      <c r="E47" s="178" t="e">
        <f>C47*D47*HelperFunctions!G$45</f>
        <v>#VALUE!</v>
      </c>
      <c r="F47" s="179" t="e">
        <f>C47*D47*(1-HelperFunctions!G$45)</f>
        <v>#VALUE!</v>
      </c>
      <c r="G47" s="180" t="str">
        <f>Export!C45</f>
        <v/>
      </c>
      <c r="H47" s="191" t="e">
        <f>G47/(I46+'NotEffectivelyVax (current)'!F46*HelperFunctions!R$14+'NotEffectivelyVax (current)'!I46*HelperFunctions!R$14+'NotEffectivelyVax (current)'!L46*HelperFunctions!R$14+'NotEffectivelyVax (current)'!O46*HelperFunctions!R$14+'NotEffectivelyVax (current)'!R46*HelperFunctions!R$14+'NotEffectivelyVax (current)'!U46*HelperFunctions!R$14+'NotEffectivelyVax (current)'!X46*HelperFunctions!R$14+'NotEffectivelyVax (current)'!AA46*HelperFunctions!R$14+'NotEffectivelyVax (current)'!AD46*HelperFunctions!R$14+'NotEffectivelyVax (current)'!AG46*HelperFunctions!R$14+'NotEffectivelyVax (current)'!AJ46*HelperFunctions!R$14+'NotEffectivelyVax (current)'!AM46*HelperFunctions!R$14+'NotEffectivelyVax (current)'!AP46*HelperFunctions!R$28+'NotEffectivelyVax (current)'!AS46*HelperFunctions!R$28+'NotEffectivelyVax (current)'!AV46*HelperFunctions!R$28+'NotEffectivelyVax (current)'!AY46*HelperFunctions!R$28+'NotEffectivelyVax (current)'!BB46*HelperFunctions!R$28+'NotEffectivelyVax (current)'!BE46*HelperFunctions!R$28+'NotEffectivelyVax (current)'!BH46*HelperFunctions!R$28+'NotEffectivelyVax (current)'!BK46*HelperFunctions!R$28+'NotEffectivelyVax (current)'!BN46*HelperFunctions!R$28+'NotEffectivelyVax (current)'!BQ46*HelperFunctions!R$28+'NotEffectivelyVax (current)'!BT46*HelperFunctions!R$28+'NotEffectivelyVax (current)'!BW46*HelperFunctions!R$28+'NotEffectivelyVax (current)'!BZ46*HelperFunctions!R$42+'NotEffectivelyVax (current)'!CC46*HelperFunctions!R$42+'NotEffectivelyVax (current)'!CF46*HelperFunctions!R$42+'NotEffectivelyVax (current)'!CI46*HelperFunctions!R$42+'NotEffectivelyVax (current)'!CL46*HelperFunctions!R$42+'NotEffectivelyVax (current)'!CO46*HelperFunctions!R$42+'NotEffectivelyVax (current)'!CR46*HelperFunctions!R$42+'NotEffectivelyVax (current)'!CU46*HelperFunctions!R$42+'NotEffectivelyVax (current)'!CX46*HelperFunctions!R41+'NotEffectivelyVax (current)'!DA46*HelperFunctions!R40+'NotEffectivelyVax (current)'!DD46*HelperFunctions!R39+'NotEffectivelyVax (current)'!DG46*HelperFunctions!R38+'NotEffectivelyVax (current)'!DJ46*HelperFunctions!R51+'NotEffectivelyVax (current)'!DM46*HelperFunctions!R50+'NotEffectivelyVax (current)'!DP46*HelperFunctions!R49+'NotEffectivelyVax (current)'!DS46*HelperFunctions!R48+'NotEffectivelyVax (current)'!DV46*HelperFunctions!R47+'NotEffectivelyVax (current)'!DY46*HelperFunctions!R46+'NotEffectivelyVax (current)'!EB46*HelperFunctions!R45)</f>
        <v>#VALUE!</v>
      </c>
      <c r="I47" s="192" t="e">
        <f t="shared" si="10"/>
        <v>#VALUE!</v>
      </c>
      <c r="J47" s="153">
        <f>SUM(EffectivelyVax!D46:BK46)</f>
        <v>0</v>
      </c>
      <c r="K47" s="193" t="e">
        <f t="shared" si="5"/>
        <v>#VALUE!</v>
      </c>
      <c r="L47" s="194" t="e">
        <f>I46*H47*Export!L45</f>
        <v>#VALUE!</v>
      </c>
      <c r="M47" s="195" t="e">
        <f t="shared" si="0"/>
        <v>#VALUE!</v>
      </c>
      <c r="N47" s="178" t="e">
        <f>IF(Export!M45&lt;&gt;"",K47*Export!K45*(1/Export!M45),K47*Export!K45)</f>
        <v>#VALUE!</v>
      </c>
      <c r="O47" s="154" t="e">
        <f>M47*Export!J45</f>
        <v>#VALUE!</v>
      </c>
      <c r="P47" s="186" t="e">
        <f>SUM('NotEffectivelyVax (current)'!F47,'NotEffectivelyVax (current)'!I47,'NotEffectivelyVax (current)'!L47,'NotEffectivelyVax (current)'!O47,'NotEffectivelyVax (current)'!R47,'NotEffectivelyVax (current)'!U47,'NotEffectivelyVax (current)'!X47,'NotEffectivelyVax (current)'!AA47,'NotEffectivelyVax (current)'!AD47,'NotEffectivelyVax (current)'!AG47,'NotEffectivelyVax (current)'!AJ47,'NotEffectivelyVax (current)'!AM47,'NotEffectivelyVax (current)'!AP47,'NotEffectivelyVax (current)'!AS47,'NotEffectivelyVax (current)'!AV47,'NotEffectivelyVax (current)'!AY47,'NotEffectivelyVax (current)'!BB47,'NotEffectivelyVax (current)'!BE47,'NotEffectivelyVax (current)'!BH47,'NotEffectivelyVax (current)'!BK47,'NotEffectivelyVax (current)'!BN47,'NotEffectivelyVax (current)'!BQ47,'NotEffectivelyVax (current)'!BT47,'NotEffectivelyVax (current)'!BW47,'NotEffectivelyVax (current)'!BZ47,'NotEffectivelyVax (current)'!CC47,'NotEffectivelyVax (current)'!CF47,'NotEffectivelyVax (current)'!CI47,'NotEffectivelyVax (current)'!CL47,'NotEffectivelyVax (current)'!CO47,'NotEffectivelyVax (current)'!CR47,'NotEffectivelyVax (current)'!CU47,'NotEffectivelyVax (current)'!CX47,'NotEffectivelyVax (current)'!DA47,'NotEffectivelyVax (current)'!DD47,'NotEffectivelyVax (current)'!DG47,'NotEffectivelyVax (current)'!DJ47,'NotEffectivelyVax (current)'!DM47,'NotEffectivelyVax (current)'!DP47,'NotEffectivelyVax (current)'!DS47,'NotEffectivelyVax (current)'!DV47,'NotEffectivelyVax (current)'!DY47,'NotEffectivelyVax (current)'!EB47,'NotEffectivelyVax (current)'!EE47,'NotEffectivelyVax (current)'!EH47,'NotEffectivelyVax (current)'!EK47,'NotEffectivelyVax (current)'!EN47,'NotEffectivelyVax (current)'!EQ47,'NotEffectivelyVax (current)'!ET47,'NotEffectivelyVax (current)'!EW47,'NotEffectivelyVax (current)'!EZ47,'NotEffectivelyVax (current)'!FC47,'NotEffectivelyVax (current)'!FF47,'NotEffectivelyVax (current)'!FI47,'NotEffectivelyVax (current)'!FL47,'NotEffectivelyVax (current)'!FO47,'NotEffectivelyVax (current)'!FR47,'NotEffectivelyVax (current)'!FU47,'NotEffectivelyVax (current)'!FX47,'NotEffectivelyVax (current)'!GA47)</f>
        <v>#VALUE!</v>
      </c>
      <c r="Q47" s="155" t="e">
        <f>SUM('NotEffectivelyVax (current)'!D47,'NotEffectivelyVax (current)'!G47,'NotEffectivelyVax (current)'!J47,'NotEffectivelyVax (current)'!M47,'NotEffectivelyVax (current)'!P47,'NotEffectivelyVax (current)'!S47,'NotEffectivelyVax (current)'!V47,'NotEffectivelyVax (current)'!Y47,'NotEffectivelyVax (current)'!AB47,'NotEffectivelyVax (current)'!AE47,'NotEffectivelyVax (current)'!AH47,'NotEffectivelyVax (current)'!AK47,'NotEffectivelyVax (current)'!AN47,'NotEffectivelyVax (current)'!AQ47,'NotEffectivelyVax (current)'!AT47,'NotEffectivelyVax (current)'!AW47,'NotEffectivelyVax (current)'!AZ47,'NotEffectivelyVax (current)'!BC47,'NotEffectivelyVax (current)'!BF47,'NotEffectivelyVax (current)'!BI47,'NotEffectivelyVax (current)'!BL47,'NotEffectivelyVax (current)'!BO47,'NotEffectivelyVax (current)'!BR47,'NotEffectivelyVax (current)'!BU47,'NotEffectivelyVax (current)'!BX47,'NotEffectivelyVax (current)'!CA47,'NotEffectivelyVax (current)'!CD47,'NotEffectivelyVax (current)'!CG47,'NotEffectivelyVax (current)'!CJ47,'NotEffectivelyVax (current)'!CM47,'NotEffectivelyVax (current)'!CP47,'NotEffectivelyVax (current)'!CS47,'NotEffectivelyVax (current)'!CV47,'NotEffectivelyVax (current)'!CY47,'NotEffectivelyVax (current)'!DB47,'NotEffectivelyVax (current)'!DE47,'NotEffectivelyVax (current)'!DH47,'NotEffectivelyVax (current)'!DK47,'NotEffectivelyVax (current)'!DN47,'NotEffectivelyVax (current)'!DQ47,'NotEffectivelyVax (current)'!DT47,'NotEffectivelyVax (current)'!DW47,'NotEffectivelyVax (current)'!DZ47,'NotEffectivelyVax (current)'!EC47,'NotEffectivelyVax (current)'!EF47,'NotEffectivelyVax (current)'!EI47,'NotEffectivelyVax (current)'!EL47,'NotEffectivelyVax (current)'!EO47,'NotEffectivelyVax (current)'!ER47,'NotEffectivelyVax (current)'!EU47,'NotEffectivelyVax (current)'!EX47,'NotEffectivelyVax (current)'!FA47,'NotEffectivelyVax (current)'!FD47,'NotEffectivelyVax (current)'!FG47,'NotEffectivelyVax (current)'!FJ47,'NotEffectivelyVax (current)'!FM47,'NotEffectivelyVax (current)'!FP47,'NotEffectivelyVax (current)'!FS47,'NotEffectivelyVax (current)'!FV47,'NotEffectivelyVax (current)'!FY47)</f>
        <v>#VALUE!</v>
      </c>
      <c r="R47" s="155" t="e">
        <f>SUM('NotEffectivelyVax (current)'!E47,'NotEffectivelyVax (current)'!H47,'NotEffectivelyVax (current)'!K47,'NotEffectivelyVax (current)'!N47,'NotEffectivelyVax (current)'!Q47,'NotEffectivelyVax (current)'!T47,'NotEffectivelyVax (current)'!W47,'NotEffectivelyVax (current)'!Z47,'NotEffectivelyVax (current)'!AC47,'NotEffectivelyVax (current)'!AF47,'NotEffectivelyVax (current)'!AI47,'NotEffectivelyVax (current)'!AL47,'NotEffectivelyVax (current)'!AO47,'NotEffectivelyVax (current)'!AR47,'NotEffectivelyVax (current)'!AU47,'NotEffectivelyVax (current)'!AX47,'NotEffectivelyVax (current)'!BA47,'NotEffectivelyVax (current)'!BD47,'NotEffectivelyVax (current)'!BG47,'NotEffectivelyVax (current)'!BJ47,'NotEffectivelyVax (current)'!BM47,'NotEffectivelyVax (current)'!BP47,'NotEffectivelyVax (current)'!BS47,'NotEffectivelyVax (current)'!BV47,'NotEffectivelyVax (current)'!BY47,'NotEffectivelyVax (current)'!CB47,'NotEffectivelyVax (current)'!CE47,'NotEffectivelyVax (current)'!CH47,'NotEffectivelyVax (current)'!CK47,'NotEffectivelyVax (current)'!CN47,'NotEffectivelyVax (current)'!CQ47,'NotEffectivelyVax (current)'!CT47,'NotEffectivelyVax (current)'!CW47,'NotEffectivelyVax (current)'!CZ47,'NotEffectivelyVax (current)'!DC47,'NotEffectivelyVax (current)'!DF47,'NotEffectivelyVax (current)'!DI47,'NotEffectivelyVax (current)'!DL47,'NotEffectivelyVax (current)'!DO47,'NotEffectivelyVax (current)'!DR47,'NotEffectivelyVax (current)'!DU47,'NotEffectivelyVax (current)'!DX47,'NotEffectivelyVax (current)'!EA47,'NotEffectivelyVax (current)'!ED47,'NotEffectivelyVax (current)'!EG47,'NotEffectivelyVax (current)'!EJ47,'NotEffectivelyVax (current)'!EM47,'NotEffectivelyVax (current)'!EP47,'NotEffectivelyVax (current)'!ES47,'NotEffectivelyVax (current)'!EV47,'NotEffectivelyVax (current)'!EY47,'NotEffectivelyVax (current)'!FB47,'NotEffectivelyVax (current)'!FE47,'NotEffectivelyVax (current)'!FH47,'NotEffectivelyVax (current)'!FK47,'NotEffectivelyVax (current)'!FN47,'NotEffectivelyVax (current)'!FQ47,'NotEffectivelyVax (current)'!FT47,'NotEffectivelyVax (current)'!FW47,'NotEffectivelyVax (current)'!FZ47)</f>
        <v>#VALUE!</v>
      </c>
      <c r="S47" s="138" t="e">
        <f t="shared" si="6"/>
        <v>#VALUE!</v>
      </c>
      <c r="T47" s="187" t="e">
        <f>IF(Export!M45&lt;&gt;"",Q47*Export!K45*(1/Export!M45),Q47*Export!K45)</f>
        <v>#VALUE!</v>
      </c>
      <c r="U47" s="188" t="e">
        <f>S47*Export!J45</f>
        <v>#VALUE!</v>
      </c>
      <c r="V47" s="196" t="e">
        <f t="shared" si="11"/>
        <v>#DIV/0!</v>
      </c>
      <c r="W47" s="197" t="e">
        <f t="shared" si="8"/>
        <v>#VALUE!</v>
      </c>
      <c r="X47" s="190" t="e">
        <f>H47*Export!L45*V46</f>
        <v>#VALUE!</v>
      </c>
      <c r="Y47" s="190" t="e">
        <f t="shared" si="1"/>
        <v>#VALUE!</v>
      </c>
      <c r="Z47" s="190" t="e">
        <f>IF(Export!M45&lt;&gt;"",W47*Export!K45*(1/Export!M45),W47*Export!K45)</f>
        <v>#VALUE!</v>
      </c>
      <c r="AA47" s="190" t="e">
        <f>Y47*Export!J45</f>
        <v>#VALUE!</v>
      </c>
      <c r="AC47" s="143" t="e">
        <f t="shared" si="12"/>
        <v>#VALUE!</v>
      </c>
      <c r="AD47" s="144" t="e">
        <f t="shared" si="12"/>
        <v>#VALUE!</v>
      </c>
      <c r="AE47" s="144" t="e">
        <f t="shared" si="13"/>
        <v>#VALUE!</v>
      </c>
      <c r="AF47" s="144" t="e">
        <f t="shared" si="13"/>
        <v>#VALUE!</v>
      </c>
      <c r="AG47" s="144" t="e">
        <f t="shared" si="4"/>
        <v>#VALUE!</v>
      </c>
      <c r="AH47" s="198"/>
      <c r="AI47" s="198"/>
      <c r="AJ47" s="198"/>
      <c r="AK47" s="198"/>
      <c r="AL47" s="199"/>
      <c r="AM47" s="150"/>
      <c r="AN47" s="150"/>
      <c r="AO47" s="150"/>
      <c r="AP47" s="150"/>
      <c r="AQ47" s="151"/>
    </row>
    <row r="48" spans="1:44" x14ac:dyDescent="0.35">
      <c r="A48" s="130">
        <f>EffectivelyVax!B47</f>
        <v>3</v>
      </c>
      <c r="B48" s="131" t="str">
        <f>EffectivelyVax!C47</f>
        <v/>
      </c>
      <c r="C48" s="132" t="str">
        <f>Export!N46</f>
        <v/>
      </c>
      <c r="D48" s="177" t="str">
        <f>Export!B46</f>
        <v/>
      </c>
      <c r="E48" s="178" t="e">
        <f>C48*D48*HelperFunctions!G$45</f>
        <v>#VALUE!</v>
      </c>
      <c r="F48" s="179" t="e">
        <f>C48*D48*(1-HelperFunctions!G$45)</f>
        <v>#VALUE!</v>
      </c>
      <c r="G48" s="180" t="str">
        <f>Export!C46</f>
        <v/>
      </c>
      <c r="H48" s="191" t="e">
        <f>G48/(I47+'NotEffectivelyVax (current)'!F47*HelperFunctions!R$14+'NotEffectivelyVax (current)'!I47*HelperFunctions!R$14+'NotEffectivelyVax (current)'!L47*HelperFunctions!R$14+'NotEffectivelyVax (current)'!O47*HelperFunctions!R$14+'NotEffectivelyVax (current)'!R47*HelperFunctions!R$14+'NotEffectivelyVax (current)'!U47*HelperFunctions!R$14+'NotEffectivelyVax (current)'!X47*HelperFunctions!R$14+'NotEffectivelyVax (current)'!AA47*HelperFunctions!R$14+'NotEffectivelyVax (current)'!AD47*HelperFunctions!R$14+'NotEffectivelyVax (current)'!AG47*HelperFunctions!R$14+'NotEffectivelyVax (current)'!AJ47*HelperFunctions!R$14+'NotEffectivelyVax (current)'!AM47*HelperFunctions!R$14+'NotEffectivelyVax (current)'!AP47*HelperFunctions!R$28+'NotEffectivelyVax (current)'!AS47*HelperFunctions!R$28+'NotEffectivelyVax (current)'!AV47*HelperFunctions!R$28+'NotEffectivelyVax (current)'!AY47*HelperFunctions!R$28+'NotEffectivelyVax (current)'!BB47*HelperFunctions!R$28+'NotEffectivelyVax (current)'!BE47*HelperFunctions!R$28+'NotEffectivelyVax (current)'!BH47*HelperFunctions!R$28+'NotEffectivelyVax (current)'!BK47*HelperFunctions!R$28+'NotEffectivelyVax (current)'!BN47*HelperFunctions!R$28+'NotEffectivelyVax (current)'!BQ47*HelperFunctions!R$28+'NotEffectivelyVax (current)'!BT47*HelperFunctions!R$28+'NotEffectivelyVax (current)'!BW47*HelperFunctions!R$28+'NotEffectivelyVax (current)'!BZ47*HelperFunctions!R$42+'NotEffectivelyVax (current)'!CC47*HelperFunctions!R$42+'NotEffectivelyVax (current)'!CF47*HelperFunctions!R$42+'NotEffectivelyVax (current)'!CI47*HelperFunctions!R$42+'NotEffectivelyVax (current)'!CL47*HelperFunctions!R$42+'NotEffectivelyVax (current)'!CO47*HelperFunctions!R$42+'NotEffectivelyVax (current)'!CR47*HelperFunctions!R$42+'NotEffectivelyVax (current)'!CU47*HelperFunctions!R$42+'NotEffectivelyVax (current)'!CX47*HelperFunctions!R$42+'NotEffectivelyVax (current)'!DA47*HelperFunctions!R41+'NotEffectivelyVax (current)'!DD47*HelperFunctions!R40+'NotEffectivelyVax (current)'!DG47*HelperFunctions!R39+'NotEffectivelyVax (current)'!DJ47*HelperFunctions!R52+'NotEffectivelyVax (current)'!DM47*HelperFunctions!R51+'NotEffectivelyVax (current)'!DP47*HelperFunctions!R50+'NotEffectivelyVax (current)'!DS47*HelperFunctions!R49+'NotEffectivelyVax (current)'!DV47*HelperFunctions!R48+'NotEffectivelyVax (current)'!DY47*HelperFunctions!R47+'NotEffectivelyVax (current)'!EB47*HelperFunctions!R46+'NotEffectivelyVax (current)'!EE47*HelperFunctions!R45)</f>
        <v>#VALUE!</v>
      </c>
      <c r="I48" s="192" t="e">
        <f t="shared" si="10"/>
        <v>#VALUE!</v>
      </c>
      <c r="J48" s="153">
        <f>SUM(EffectivelyVax!D47:BK47)</f>
        <v>0</v>
      </c>
      <c r="K48" s="193" t="e">
        <f t="shared" si="5"/>
        <v>#VALUE!</v>
      </c>
      <c r="L48" s="194" t="e">
        <f>I47*H48*Export!L46</f>
        <v>#VALUE!</v>
      </c>
      <c r="M48" s="195" t="e">
        <f t="shared" si="0"/>
        <v>#VALUE!</v>
      </c>
      <c r="N48" s="178" t="e">
        <f>IF(Export!M46&lt;&gt;"",K48*Export!K46*(1/Export!M46),K48*Export!K46)</f>
        <v>#VALUE!</v>
      </c>
      <c r="O48" s="154" t="e">
        <f>M48*Export!J46</f>
        <v>#VALUE!</v>
      </c>
      <c r="P48" s="186" t="e">
        <f>SUM('NotEffectivelyVax (current)'!F48,'NotEffectivelyVax (current)'!I48,'NotEffectivelyVax (current)'!L48,'NotEffectivelyVax (current)'!O48,'NotEffectivelyVax (current)'!R48,'NotEffectivelyVax (current)'!U48,'NotEffectivelyVax (current)'!X48,'NotEffectivelyVax (current)'!AA48,'NotEffectivelyVax (current)'!AD48,'NotEffectivelyVax (current)'!AG48,'NotEffectivelyVax (current)'!AJ48,'NotEffectivelyVax (current)'!AM48,'NotEffectivelyVax (current)'!AP48,'NotEffectivelyVax (current)'!AS48,'NotEffectivelyVax (current)'!AV48,'NotEffectivelyVax (current)'!AY48,'NotEffectivelyVax (current)'!BB48,'NotEffectivelyVax (current)'!BE48,'NotEffectivelyVax (current)'!BH48,'NotEffectivelyVax (current)'!BK48,'NotEffectivelyVax (current)'!BN48,'NotEffectivelyVax (current)'!BQ48,'NotEffectivelyVax (current)'!BT48,'NotEffectivelyVax (current)'!BW48,'NotEffectivelyVax (current)'!BZ48,'NotEffectivelyVax (current)'!CC48,'NotEffectivelyVax (current)'!CF48,'NotEffectivelyVax (current)'!CI48,'NotEffectivelyVax (current)'!CL48,'NotEffectivelyVax (current)'!CO48,'NotEffectivelyVax (current)'!CR48,'NotEffectivelyVax (current)'!CU48,'NotEffectivelyVax (current)'!CX48,'NotEffectivelyVax (current)'!DA48,'NotEffectivelyVax (current)'!DD48,'NotEffectivelyVax (current)'!DG48,'NotEffectivelyVax (current)'!DJ48,'NotEffectivelyVax (current)'!DM48,'NotEffectivelyVax (current)'!DP48,'NotEffectivelyVax (current)'!DS48,'NotEffectivelyVax (current)'!DV48,'NotEffectivelyVax (current)'!DY48,'NotEffectivelyVax (current)'!EB48,'NotEffectivelyVax (current)'!EE48,'NotEffectivelyVax (current)'!EH48,'NotEffectivelyVax (current)'!EK48,'NotEffectivelyVax (current)'!EN48,'NotEffectivelyVax (current)'!EQ48,'NotEffectivelyVax (current)'!ET48,'NotEffectivelyVax (current)'!EW48,'NotEffectivelyVax (current)'!EZ48,'NotEffectivelyVax (current)'!FC48,'NotEffectivelyVax (current)'!FF48,'NotEffectivelyVax (current)'!FI48,'NotEffectivelyVax (current)'!FL48,'NotEffectivelyVax (current)'!FO48,'NotEffectivelyVax (current)'!FR48,'NotEffectivelyVax (current)'!FU48,'NotEffectivelyVax (current)'!FX48,'NotEffectivelyVax (current)'!GA48)</f>
        <v>#VALUE!</v>
      </c>
      <c r="Q48" s="155" t="e">
        <f>SUM('NotEffectivelyVax (current)'!D48,'NotEffectivelyVax (current)'!G48,'NotEffectivelyVax (current)'!J48,'NotEffectivelyVax (current)'!M48,'NotEffectivelyVax (current)'!P48,'NotEffectivelyVax (current)'!S48,'NotEffectivelyVax (current)'!V48,'NotEffectivelyVax (current)'!Y48,'NotEffectivelyVax (current)'!AB48,'NotEffectivelyVax (current)'!AE48,'NotEffectivelyVax (current)'!AH48,'NotEffectivelyVax (current)'!AK48,'NotEffectivelyVax (current)'!AN48,'NotEffectivelyVax (current)'!AQ48,'NotEffectivelyVax (current)'!AT48,'NotEffectivelyVax (current)'!AW48,'NotEffectivelyVax (current)'!AZ48,'NotEffectivelyVax (current)'!BC48,'NotEffectivelyVax (current)'!BF48,'NotEffectivelyVax (current)'!BI48,'NotEffectivelyVax (current)'!BL48,'NotEffectivelyVax (current)'!BO48,'NotEffectivelyVax (current)'!BR48,'NotEffectivelyVax (current)'!BU48,'NotEffectivelyVax (current)'!BX48,'NotEffectivelyVax (current)'!CA48,'NotEffectivelyVax (current)'!CD48,'NotEffectivelyVax (current)'!CG48,'NotEffectivelyVax (current)'!CJ48,'NotEffectivelyVax (current)'!CM48,'NotEffectivelyVax (current)'!CP48,'NotEffectivelyVax (current)'!CS48,'NotEffectivelyVax (current)'!CV48,'NotEffectivelyVax (current)'!CY48,'NotEffectivelyVax (current)'!DB48,'NotEffectivelyVax (current)'!DE48,'NotEffectivelyVax (current)'!DH48,'NotEffectivelyVax (current)'!DK48,'NotEffectivelyVax (current)'!DN48,'NotEffectivelyVax (current)'!DQ48,'NotEffectivelyVax (current)'!DT48,'NotEffectivelyVax (current)'!DW48,'NotEffectivelyVax (current)'!DZ48,'NotEffectivelyVax (current)'!EC48,'NotEffectivelyVax (current)'!EF48,'NotEffectivelyVax (current)'!EI48,'NotEffectivelyVax (current)'!EL48,'NotEffectivelyVax (current)'!EO48,'NotEffectivelyVax (current)'!ER48,'NotEffectivelyVax (current)'!EU48,'NotEffectivelyVax (current)'!EX48,'NotEffectivelyVax (current)'!FA48,'NotEffectivelyVax (current)'!FD48,'NotEffectivelyVax (current)'!FG48,'NotEffectivelyVax (current)'!FJ48,'NotEffectivelyVax (current)'!FM48,'NotEffectivelyVax (current)'!FP48,'NotEffectivelyVax (current)'!FS48,'NotEffectivelyVax (current)'!FV48,'NotEffectivelyVax (current)'!FY48)</f>
        <v>#VALUE!</v>
      </c>
      <c r="R48" s="155" t="e">
        <f>SUM('NotEffectivelyVax (current)'!E48,'NotEffectivelyVax (current)'!H48,'NotEffectivelyVax (current)'!K48,'NotEffectivelyVax (current)'!N48,'NotEffectivelyVax (current)'!Q48,'NotEffectivelyVax (current)'!T48,'NotEffectivelyVax (current)'!W48,'NotEffectivelyVax (current)'!Z48,'NotEffectivelyVax (current)'!AC48,'NotEffectivelyVax (current)'!AF48,'NotEffectivelyVax (current)'!AI48,'NotEffectivelyVax (current)'!AL48,'NotEffectivelyVax (current)'!AO48,'NotEffectivelyVax (current)'!AR48,'NotEffectivelyVax (current)'!AU48,'NotEffectivelyVax (current)'!AX48,'NotEffectivelyVax (current)'!BA48,'NotEffectivelyVax (current)'!BD48,'NotEffectivelyVax (current)'!BG48,'NotEffectivelyVax (current)'!BJ48,'NotEffectivelyVax (current)'!BM48,'NotEffectivelyVax (current)'!BP48,'NotEffectivelyVax (current)'!BS48,'NotEffectivelyVax (current)'!BV48,'NotEffectivelyVax (current)'!BY48,'NotEffectivelyVax (current)'!CB48,'NotEffectivelyVax (current)'!CE48,'NotEffectivelyVax (current)'!CH48,'NotEffectivelyVax (current)'!CK48,'NotEffectivelyVax (current)'!CN48,'NotEffectivelyVax (current)'!CQ48,'NotEffectivelyVax (current)'!CT48,'NotEffectivelyVax (current)'!CW48,'NotEffectivelyVax (current)'!CZ48,'NotEffectivelyVax (current)'!DC48,'NotEffectivelyVax (current)'!DF48,'NotEffectivelyVax (current)'!DI48,'NotEffectivelyVax (current)'!DL48,'NotEffectivelyVax (current)'!DO48,'NotEffectivelyVax (current)'!DR48,'NotEffectivelyVax (current)'!DU48,'NotEffectivelyVax (current)'!DX48,'NotEffectivelyVax (current)'!EA48,'NotEffectivelyVax (current)'!ED48,'NotEffectivelyVax (current)'!EG48,'NotEffectivelyVax (current)'!EJ48,'NotEffectivelyVax (current)'!EM48,'NotEffectivelyVax (current)'!EP48,'NotEffectivelyVax (current)'!ES48,'NotEffectivelyVax (current)'!EV48,'NotEffectivelyVax (current)'!EY48,'NotEffectivelyVax (current)'!FB48,'NotEffectivelyVax (current)'!FE48,'NotEffectivelyVax (current)'!FH48,'NotEffectivelyVax (current)'!FK48,'NotEffectivelyVax (current)'!FN48,'NotEffectivelyVax (current)'!FQ48,'NotEffectivelyVax (current)'!FT48,'NotEffectivelyVax (current)'!FW48,'NotEffectivelyVax (current)'!FZ48)</f>
        <v>#VALUE!</v>
      </c>
      <c r="S48" s="138" t="e">
        <f t="shared" si="6"/>
        <v>#VALUE!</v>
      </c>
      <c r="T48" s="187" t="e">
        <f>IF(Export!M46&lt;&gt;"",Q48*Export!K46*(1/Export!M46),Q48*Export!K46)</f>
        <v>#VALUE!</v>
      </c>
      <c r="U48" s="188" t="e">
        <f>S48*Export!J46</f>
        <v>#VALUE!</v>
      </c>
      <c r="V48" s="196" t="e">
        <f t="shared" si="11"/>
        <v>#DIV/0!</v>
      </c>
      <c r="W48" s="197" t="e">
        <f t="shared" si="8"/>
        <v>#VALUE!</v>
      </c>
      <c r="X48" s="190" t="e">
        <f>H48*Export!L46*V47</f>
        <v>#VALUE!</v>
      </c>
      <c r="Y48" s="190" t="e">
        <f t="shared" si="1"/>
        <v>#VALUE!</v>
      </c>
      <c r="Z48" s="190" t="e">
        <f>IF(Export!M46&lt;&gt;"",W48*Export!K46*(1/Export!M46),W48*Export!K46)</f>
        <v>#VALUE!</v>
      </c>
      <c r="AA48" s="190" t="e">
        <f>Y48*Export!J46</f>
        <v>#VALUE!</v>
      </c>
      <c r="AC48" s="143" t="e">
        <f t="shared" si="12"/>
        <v>#VALUE!</v>
      </c>
      <c r="AD48" s="144" t="e">
        <f t="shared" si="12"/>
        <v>#VALUE!</v>
      </c>
      <c r="AE48" s="144" t="e">
        <f t="shared" si="13"/>
        <v>#VALUE!</v>
      </c>
      <c r="AF48" s="144" t="e">
        <f t="shared" si="13"/>
        <v>#VALUE!</v>
      </c>
      <c r="AG48" s="144" t="e">
        <f t="shared" si="4"/>
        <v>#VALUE!</v>
      </c>
      <c r="AH48" s="198"/>
      <c r="AI48" s="198"/>
      <c r="AJ48" s="198"/>
      <c r="AK48" s="198"/>
      <c r="AL48" s="199"/>
      <c r="AM48" s="150"/>
      <c r="AN48" s="150"/>
      <c r="AO48" s="150"/>
      <c r="AP48" s="150"/>
      <c r="AQ48" s="151"/>
    </row>
    <row r="49" spans="1:44" x14ac:dyDescent="0.35">
      <c r="A49" s="130">
        <f>EffectivelyVax!B48</f>
        <v>3</v>
      </c>
      <c r="B49" s="131" t="str">
        <f>EffectivelyVax!C48</f>
        <v/>
      </c>
      <c r="C49" s="132" t="str">
        <f>Export!N47</f>
        <v/>
      </c>
      <c r="D49" s="177" t="str">
        <f>Export!B47</f>
        <v/>
      </c>
      <c r="E49" s="178" t="e">
        <f>C49*D49*HelperFunctions!G$45</f>
        <v>#VALUE!</v>
      </c>
      <c r="F49" s="179" t="e">
        <f>C49*D49*(1-HelperFunctions!G$45)</f>
        <v>#VALUE!</v>
      </c>
      <c r="G49" s="180" t="str">
        <f>Export!C47</f>
        <v/>
      </c>
      <c r="H49" s="191" t="e">
        <f>G49/(I48+'NotEffectivelyVax (current)'!F48*HelperFunctions!R$14+'NotEffectivelyVax (current)'!I48*HelperFunctions!R$14+'NotEffectivelyVax (current)'!L48*HelperFunctions!R$14+'NotEffectivelyVax (current)'!O48*HelperFunctions!R$14+'NotEffectivelyVax (current)'!R48*HelperFunctions!R$14+'NotEffectivelyVax (current)'!U48*HelperFunctions!R$14+'NotEffectivelyVax (current)'!X48*HelperFunctions!R$14+'NotEffectivelyVax (current)'!AA48*HelperFunctions!R$14+'NotEffectivelyVax (current)'!AD48*HelperFunctions!R$14+'NotEffectivelyVax (current)'!AG48*HelperFunctions!R$14+'NotEffectivelyVax (current)'!AJ48*HelperFunctions!R$14+'NotEffectivelyVax (current)'!AM48*HelperFunctions!R$14+'NotEffectivelyVax (current)'!AP48*HelperFunctions!R$28+'NotEffectivelyVax (current)'!AS48*HelperFunctions!R$28+'NotEffectivelyVax (current)'!AV48*HelperFunctions!R$28+'NotEffectivelyVax (current)'!AY48*HelperFunctions!R$28+'NotEffectivelyVax (current)'!BB48*HelperFunctions!R$28+'NotEffectivelyVax (current)'!BE48*HelperFunctions!R$28+'NotEffectivelyVax (current)'!BH48*HelperFunctions!R$28+'NotEffectivelyVax (current)'!BK48*HelperFunctions!R$28+'NotEffectivelyVax (current)'!BN48*HelperFunctions!R$28+'NotEffectivelyVax (current)'!BQ48*HelperFunctions!R$28+'NotEffectivelyVax (current)'!BT48*HelperFunctions!R$28+'NotEffectivelyVax (current)'!BW48*HelperFunctions!R$28+'NotEffectivelyVax (current)'!BZ48*HelperFunctions!R$42+'NotEffectivelyVax (current)'!CC48*HelperFunctions!R$42+'NotEffectivelyVax (current)'!CF48*HelperFunctions!R$42+'NotEffectivelyVax (current)'!CI48*HelperFunctions!R$42+'NotEffectivelyVax (current)'!CL48*HelperFunctions!R$42+'NotEffectivelyVax (current)'!CO48*HelperFunctions!R$42+'NotEffectivelyVax (current)'!CR48*HelperFunctions!R$42+'NotEffectivelyVax (current)'!CU48*HelperFunctions!R$42+'NotEffectivelyVax (current)'!CX48*HelperFunctions!R$42+'NotEffectivelyVax (current)'!DA48*HelperFunctions!R$42+'NotEffectivelyVax (current)'!DD48*HelperFunctions!R41+'NotEffectivelyVax (current)'!DG48*HelperFunctions!R40+'NotEffectivelyVax (current)'!DJ48*HelperFunctions!R53+'NotEffectivelyVax (current)'!DM48*HelperFunctions!R52+'NotEffectivelyVax (current)'!DP48*HelperFunctions!R51+'NotEffectivelyVax (current)'!DS48*HelperFunctions!R50+'NotEffectivelyVax (current)'!DV48*HelperFunctions!R49+'NotEffectivelyVax (current)'!DY48*HelperFunctions!R48+'NotEffectivelyVax (current)'!EB48*HelperFunctions!R47+'NotEffectivelyVax (current)'!EE48*HelperFunctions!R46+'NotEffectivelyVax (current)'!EH48*HelperFunctions!R45)</f>
        <v>#VALUE!</v>
      </c>
      <c r="I49" s="192" t="e">
        <f t="shared" si="10"/>
        <v>#VALUE!</v>
      </c>
      <c r="J49" s="153">
        <f>SUM(EffectivelyVax!D48:BK48)</f>
        <v>0</v>
      </c>
      <c r="K49" s="193" t="e">
        <f t="shared" si="5"/>
        <v>#VALUE!</v>
      </c>
      <c r="L49" s="194" t="e">
        <f>I48*H49*Export!L47</f>
        <v>#VALUE!</v>
      </c>
      <c r="M49" s="195" t="e">
        <f t="shared" si="0"/>
        <v>#VALUE!</v>
      </c>
      <c r="N49" s="178" t="e">
        <f>IF(Export!M47&lt;&gt;"",K49*Export!K47*(1/Export!M47),K49*Export!K47)</f>
        <v>#VALUE!</v>
      </c>
      <c r="O49" s="154" t="e">
        <f>M49*Export!J47</f>
        <v>#VALUE!</v>
      </c>
      <c r="P49" s="186" t="e">
        <f>SUM('NotEffectivelyVax (current)'!F49,'NotEffectivelyVax (current)'!I49,'NotEffectivelyVax (current)'!L49,'NotEffectivelyVax (current)'!O49,'NotEffectivelyVax (current)'!R49,'NotEffectivelyVax (current)'!U49,'NotEffectivelyVax (current)'!X49,'NotEffectivelyVax (current)'!AA49,'NotEffectivelyVax (current)'!AD49,'NotEffectivelyVax (current)'!AG49,'NotEffectivelyVax (current)'!AJ49,'NotEffectivelyVax (current)'!AM49,'NotEffectivelyVax (current)'!AP49,'NotEffectivelyVax (current)'!AS49,'NotEffectivelyVax (current)'!AV49,'NotEffectivelyVax (current)'!AY49,'NotEffectivelyVax (current)'!BB49,'NotEffectivelyVax (current)'!BE49,'NotEffectivelyVax (current)'!BH49,'NotEffectivelyVax (current)'!BK49,'NotEffectivelyVax (current)'!BN49,'NotEffectivelyVax (current)'!BQ49,'NotEffectivelyVax (current)'!BT49,'NotEffectivelyVax (current)'!BW49,'NotEffectivelyVax (current)'!BZ49,'NotEffectivelyVax (current)'!CC49,'NotEffectivelyVax (current)'!CF49,'NotEffectivelyVax (current)'!CI49,'NotEffectivelyVax (current)'!CL49,'NotEffectivelyVax (current)'!CO49,'NotEffectivelyVax (current)'!CR49,'NotEffectivelyVax (current)'!CU49,'NotEffectivelyVax (current)'!CX49,'NotEffectivelyVax (current)'!DA49,'NotEffectivelyVax (current)'!DD49,'NotEffectivelyVax (current)'!DG49,'NotEffectivelyVax (current)'!DJ49,'NotEffectivelyVax (current)'!DM49,'NotEffectivelyVax (current)'!DP49,'NotEffectivelyVax (current)'!DS49,'NotEffectivelyVax (current)'!DV49,'NotEffectivelyVax (current)'!DY49,'NotEffectivelyVax (current)'!EB49,'NotEffectivelyVax (current)'!EE49,'NotEffectivelyVax (current)'!EH49,'NotEffectivelyVax (current)'!EK49,'NotEffectivelyVax (current)'!EN49,'NotEffectivelyVax (current)'!EQ49,'NotEffectivelyVax (current)'!ET49,'NotEffectivelyVax (current)'!EW49,'NotEffectivelyVax (current)'!EZ49,'NotEffectivelyVax (current)'!FC49,'NotEffectivelyVax (current)'!FF49,'NotEffectivelyVax (current)'!FI49,'NotEffectivelyVax (current)'!FL49,'NotEffectivelyVax (current)'!FO49,'NotEffectivelyVax (current)'!FR49,'NotEffectivelyVax (current)'!FU49,'NotEffectivelyVax (current)'!FX49,'NotEffectivelyVax (current)'!GA49)</f>
        <v>#VALUE!</v>
      </c>
      <c r="Q49" s="155" t="e">
        <f>SUM('NotEffectivelyVax (current)'!D49,'NotEffectivelyVax (current)'!G49,'NotEffectivelyVax (current)'!J49,'NotEffectivelyVax (current)'!M49,'NotEffectivelyVax (current)'!P49,'NotEffectivelyVax (current)'!S49,'NotEffectivelyVax (current)'!V49,'NotEffectivelyVax (current)'!Y49,'NotEffectivelyVax (current)'!AB49,'NotEffectivelyVax (current)'!AE49,'NotEffectivelyVax (current)'!AH49,'NotEffectivelyVax (current)'!AK49,'NotEffectivelyVax (current)'!AN49,'NotEffectivelyVax (current)'!AQ49,'NotEffectivelyVax (current)'!AT49,'NotEffectivelyVax (current)'!AW49,'NotEffectivelyVax (current)'!AZ49,'NotEffectivelyVax (current)'!BC49,'NotEffectivelyVax (current)'!BF49,'NotEffectivelyVax (current)'!BI49,'NotEffectivelyVax (current)'!BL49,'NotEffectivelyVax (current)'!BO49,'NotEffectivelyVax (current)'!BR49,'NotEffectivelyVax (current)'!BU49,'NotEffectivelyVax (current)'!BX49,'NotEffectivelyVax (current)'!CA49,'NotEffectivelyVax (current)'!CD49,'NotEffectivelyVax (current)'!CG49,'NotEffectivelyVax (current)'!CJ49,'NotEffectivelyVax (current)'!CM49,'NotEffectivelyVax (current)'!CP49,'NotEffectivelyVax (current)'!CS49,'NotEffectivelyVax (current)'!CV49,'NotEffectivelyVax (current)'!CY49,'NotEffectivelyVax (current)'!DB49,'NotEffectivelyVax (current)'!DE49,'NotEffectivelyVax (current)'!DH49,'NotEffectivelyVax (current)'!DK49,'NotEffectivelyVax (current)'!DN49,'NotEffectivelyVax (current)'!DQ49,'NotEffectivelyVax (current)'!DT49,'NotEffectivelyVax (current)'!DW49,'NotEffectivelyVax (current)'!DZ49,'NotEffectivelyVax (current)'!EC49,'NotEffectivelyVax (current)'!EF49,'NotEffectivelyVax (current)'!EI49,'NotEffectivelyVax (current)'!EL49,'NotEffectivelyVax (current)'!EO49,'NotEffectivelyVax (current)'!ER49,'NotEffectivelyVax (current)'!EU49,'NotEffectivelyVax (current)'!EX49,'NotEffectivelyVax (current)'!FA49,'NotEffectivelyVax (current)'!FD49,'NotEffectivelyVax (current)'!FG49,'NotEffectivelyVax (current)'!FJ49,'NotEffectivelyVax (current)'!FM49,'NotEffectivelyVax (current)'!FP49,'NotEffectivelyVax (current)'!FS49,'NotEffectivelyVax (current)'!FV49,'NotEffectivelyVax (current)'!FY49)</f>
        <v>#VALUE!</v>
      </c>
      <c r="R49" s="155" t="e">
        <f>SUM('NotEffectivelyVax (current)'!E49,'NotEffectivelyVax (current)'!H49,'NotEffectivelyVax (current)'!K49,'NotEffectivelyVax (current)'!N49,'NotEffectivelyVax (current)'!Q49,'NotEffectivelyVax (current)'!T49,'NotEffectivelyVax (current)'!W49,'NotEffectivelyVax (current)'!Z49,'NotEffectivelyVax (current)'!AC49,'NotEffectivelyVax (current)'!AF49,'NotEffectivelyVax (current)'!AI49,'NotEffectivelyVax (current)'!AL49,'NotEffectivelyVax (current)'!AO49,'NotEffectivelyVax (current)'!AR49,'NotEffectivelyVax (current)'!AU49,'NotEffectivelyVax (current)'!AX49,'NotEffectivelyVax (current)'!BA49,'NotEffectivelyVax (current)'!BD49,'NotEffectivelyVax (current)'!BG49,'NotEffectivelyVax (current)'!BJ49,'NotEffectivelyVax (current)'!BM49,'NotEffectivelyVax (current)'!BP49,'NotEffectivelyVax (current)'!BS49,'NotEffectivelyVax (current)'!BV49,'NotEffectivelyVax (current)'!BY49,'NotEffectivelyVax (current)'!CB49,'NotEffectivelyVax (current)'!CE49,'NotEffectivelyVax (current)'!CH49,'NotEffectivelyVax (current)'!CK49,'NotEffectivelyVax (current)'!CN49,'NotEffectivelyVax (current)'!CQ49,'NotEffectivelyVax (current)'!CT49,'NotEffectivelyVax (current)'!CW49,'NotEffectivelyVax (current)'!CZ49,'NotEffectivelyVax (current)'!DC49,'NotEffectivelyVax (current)'!DF49,'NotEffectivelyVax (current)'!DI49,'NotEffectivelyVax (current)'!DL49,'NotEffectivelyVax (current)'!DO49,'NotEffectivelyVax (current)'!DR49,'NotEffectivelyVax (current)'!DU49,'NotEffectivelyVax (current)'!DX49,'NotEffectivelyVax (current)'!EA49,'NotEffectivelyVax (current)'!ED49,'NotEffectivelyVax (current)'!EG49,'NotEffectivelyVax (current)'!EJ49,'NotEffectivelyVax (current)'!EM49,'NotEffectivelyVax (current)'!EP49,'NotEffectivelyVax (current)'!ES49,'NotEffectivelyVax (current)'!EV49,'NotEffectivelyVax (current)'!EY49,'NotEffectivelyVax (current)'!FB49,'NotEffectivelyVax (current)'!FE49,'NotEffectivelyVax (current)'!FH49,'NotEffectivelyVax (current)'!FK49,'NotEffectivelyVax (current)'!FN49,'NotEffectivelyVax (current)'!FQ49,'NotEffectivelyVax (current)'!FT49,'NotEffectivelyVax (current)'!FW49,'NotEffectivelyVax (current)'!FZ49)</f>
        <v>#VALUE!</v>
      </c>
      <c r="S49" s="138" t="e">
        <f t="shared" si="6"/>
        <v>#VALUE!</v>
      </c>
      <c r="T49" s="187" t="e">
        <f>IF(Export!M47&lt;&gt;"",Q49*Export!K47*(1/Export!M47),Q49*Export!K47)</f>
        <v>#VALUE!</v>
      </c>
      <c r="U49" s="188" t="e">
        <f>S49*Export!J47</f>
        <v>#VALUE!</v>
      </c>
      <c r="V49" s="196" t="e">
        <f t="shared" si="11"/>
        <v>#DIV/0!</v>
      </c>
      <c r="W49" s="197" t="e">
        <f t="shared" si="8"/>
        <v>#VALUE!</v>
      </c>
      <c r="X49" s="190" t="e">
        <f>H49*Export!L47*V48</f>
        <v>#VALUE!</v>
      </c>
      <c r="Y49" s="190" t="e">
        <f t="shared" si="1"/>
        <v>#VALUE!</v>
      </c>
      <c r="Z49" s="190" t="e">
        <f>IF(Export!M47&lt;&gt;"",W49*Export!K47*(1/Export!M47),W49*Export!K47)</f>
        <v>#VALUE!</v>
      </c>
      <c r="AA49" s="190" t="e">
        <f>Y49*Export!J47</f>
        <v>#VALUE!</v>
      </c>
      <c r="AC49" s="143" t="e">
        <f t="shared" si="12"/>
        <v>#VALUE!</v>
      </c>
      <c r="AD49" s="144" t="e">
        <f t="shared" si="12"/>
        <v>#VALUE!</v>
      </c>
      <c r="AE49" s="144" t="e">
        <f t="shared" si="13"/>
        <v>#VALUE!</v>
      </c>
      <c r="AF49" s="144" t="e">
        <f t="shared" si="13"/>
        <v>#VALUE!</v>
      </c>
      <c r="AG49" s="144" t="e">
        <f t="shared" si="4"/>
        <v>#VALUE!</v>
      </c>
      <c r="AH49" s="198"/>
      <c r="AI49" s="198"/>
      <c r="AJ49" s="198"/>
      <c r="AK49" s="198"/>
      <c r="AL49" s="199"/>
      <c r="AM49" s="150"/>
      <c r="AN49" s="150"/>
      <c r="AO49" s="150"/>
      <c r="AP49" s="150"/>
      <c r="AQ49" s="151"/>
    </row>
    <row r="50" spans="1:44" x14ac:dyDescent="0.35">
      <c r="A50" s="130">
        <f>EffectivelyVax!B49</f>
        <v>3</v>
      </c>
      <c r="B50" s="131" t="str">
        <f>EffectivelyVax!C49</f>
        <v/>
      </c>
      <c r="C50" s="132" t="str">
        <f>Export!N48</f>
        <v/>
      </c>
      <c r="D50" s="177" t="str">
        <f>Export!B48</f>
        <v/>
      </c>
      <c r="E50" s="178" t="e">
        <f>C50*D50*HelperFunctions!G$45</f>
        <v>#VALUE!</v>
      </c>
      <c r="F50" s="179" t="e">
        <f>C50*D50*(1-HelperFunctions!G$45)</f>
        <v>#VALUE!</v>
      </c>
      <c r="G50" s="180" t="str">
        <f>Export!C48</f>
        <v/>
      </c>
      <c r="H50" s="191" t="e">
        <f>G50/(I49+'NotEffectivelyVax (current)'!F49*HelperFunctions!R$14+'NotEffectivelyVax (current)'!I49*HelperFunctions!R$14+'NotEffectivelyVax (current)'!L49*HelperFunctions!R$14+'NotEffectivelyVax (current)'!O49*HelperFunctions!R$14+'NotEffectivelyVax (current)'!R49*HelperFunctions!R$14+'NotEffectivelyVax (current)'!U49*HelperFunctions!R$14+'NotEffectivelyVax (current)'!X49*HelperFunctions!R$14+'NotEffectivelyVax (current)'!AA49*HelperFunctions!R$14+'NotEffectivelyVax (current)'!AD49*HelperFunctions!R$14+'NotEffectivelyVax (current)'!AG49*HelperFunctions!R$14+'NotEffectivelyVax (current)'!AJ49*HelperFunctions!R$14+'NotEffectivelyVax (current)'!AM49*HelperFunctions!R$14+'NotEffectivelyVax (current)'!AP49*HelperFunctions!R$28+'NotEffectivelyVax (current)'!AS49*HelperFunctions!R$28+'NotEffectivelyVax (current)'!AV49*HelperFunctions!R$28+'NotEffectivelyVax (current)'!AY49*HelperFunctions!R$28+'NotEffectivelyVax (current)'!BB49*HelperFunctions!R$28+'NotEffectivelyVax (current)'!BE49*HelperFunctions!R$28+'NotEffectivelyVax (current)'!BH49*HelperFunctions!R$28+'NotEffectivelyVax (current)'!BK49*HelperFunctions!R$28+'NotEffectivelyVax (current)'!BN49*HelperFunctions!R$28+'NotEffectivelyVax (current)'!BQ49*HelperFunctions!R$28+'NotEffectivelyVax (current)'!BT49*HelperFunctions!R$28+'NotEffectivelyVax (current)'!BW49*HelperFunctions!R$28+'NotEffectivelyVax (current)'!BZ49*HelperFunctions!R$42+'NotEffectivelyVax (current)'!CC49*HelperFunctions!R$42+'NotEffectivelyVax (current)'!CF49*HelperFunctions!R$42+'NotEffectivelyVax (current)'!CI49*HelperFunctions!R$42+'NotEffectivelyVax (current)'!CL49*HelperFunctions!R$42+'NotEffectivelyVax (current)'!CO49*HelperFunctions!R$42+'NotEffectivelyVax (current)'!CR49*HelperFunctions!R$42+'NotEffectivelyVax (current)'!CU49*HelperFunctions!R$42+'NotEffectivelyVax (current)'!CX49*HelperFunctions!R$42+'NotEffectivelyVax (current)'!DA49*HelperFunctions!R$42+'NotEffectivelyVax (current)'!DD49*HelperFunctions!R$42+'NotEffectivelyVax (current)'!DG49*HelperFunctions!R41+'NotEffectivelyVax (current)'!DJ49*HelperFunctions!R54+'NotEffectivelyVax (current)'!DM49*HelperFunctions!R53+'NotEffectivelyVax (current)'!DP49*HelperFunctions!R52+'NotEffectivelyVax (current)'!DS49*HelperFunctions!R51+'NotEffectivelyVax (current)'!DV49*HelperFunctions!R50+'NotEffectivelyVax (current)'!DY49*HelperFunctions!R49+'NotEffectivelyVax (current)'!EB49*HelperFunctions!R48+'NotEffectivelyVax (current)'!EE49*HelperFunctions!R47+'NotEffectivelyVax (current)'!EH49*HelperFunctions!R46+'NotEffectivelyVax (current)'!EK49*HelperFunctions!R45)</f>
        <v>#VALUE!</v>
      </c>
      <c r="I50" s="192" t="e">
        <f t="shared" si="10"/>
        <v>#VALUE!</v>
      </c>
      <c r="J50" s="153">
        <f>SUM(EffectivelyVax!D49:BK49)</f>
        <v>0</v>
      </c>
      <c r="K50" s="193" t="e">
        <f t="shared" si="5"/>
        <v>#VALUE!</v>
      </c>
      <c r="L50" s="194" t="e">
        <f>I49*H50*Export!L48</f>
        <v>#VALUE!</v>
      </c>
      <c r="M50" s="195" t="e">
        <f t="shared" si="0"/>
        <v>#VALUE!</v>
      </c>
      <c r="N50" s="178" t="e">
        <f>IF(Export!M48&lt;&gt;"",K50*Export!K48*(1/Export!M48),K50*Export!K48)</f>
        <v>#VALUE!</v>
      </c>
      <c r="O50" s="154" t="e">
        <f>M50*Export!J48</f>
        <v>#VALUE!</v>
      </c>
      <c r="P50" s="186" t="e">
        <f>SUM('NotEffectivelyVax (current)'!F50,'NotEffectivelyVax (current)'!I50,'NotEffectivelyVax (current)'!L50,'NotEffectivelyVax (current)'!O50,'NotEffectivelyVax (current)'!R50,'NotEffectivelyVax (current)'!U50,'NotEffectivelyVax (current)'!X50,'NotEffectivelyVax (current)'!AA50,'NotEffectivelyVax (current)'!AD50,'NotEffectivelyVax (current)'!AG50,'NotEffectivelyVax (current)'!AJ50,'NotEffectivelyVax (current)'!AM50,'NotEffectivelyVax (current)'!AP50,'NotEffectivelyVax (current)'!AS50,'NotEffectivelyVax (current)'!AV50,'NotEffectivelyVax (current)'!AY50,'NotEffectivelyVax (current)'!BB50,'NotEffectivelyVax (current)'!BE50,'NotEffectivelyVax (current)'!BH50,'NotEffectivelyVax (current)'!BK50,'NotEffectivelyVax (current)'!BN50,'NotEffectivelyVax (current)'!BQ50,'NotEffectivelyVax (current)'!BT50,'NotEffectivelyVax (current)'!BW50,'NotEffectivelyVax (current)'!BZ50,'NotEffectivelyVax (current)'!CC50,'NotEffectivelyVax (current)'!CF50,'NotEffectivelyVax (current)'!CI50,'NotEffectivelyVax (current)'!CL50,'NotEffectivelyVax (current)'!CO50,'NotEffectivelyVax (current)'!CR50,'NotEffectivelyVax (current)'!CU50,'NotEffectivelyVax (current)'!CX50,'NotEffectivelyVax (current)'!DA50,'NotEffectivelyVax (current)'!DD50,'NotEffectivelyVax (current)'!DG50,'NotEffectivelyVax (current)'!DJ50,'NotEffectivelyVax (current)'!DM50,'NotEffectivelyVax (current)'!DP50,'NotEffectivelyVax (current)'!DS50,'NotEffectivelyVax (current)'!DV50,'NotEffectivelyVax (current)'!DY50,'NotEffectivelyVax (current)'!EB50,'NotEffectivelyVax (current)'!EE50,'NotEffectivelyVax (current)'!EH50,'NotEffectivelyVax (current)'!EK50,'NotEffectivelyVax (current)'!EN50,'NotEffectivelyVax (current)'!EQ50,'NotEffectivelyVax (current)'!ET50,'NotEffectivelyVax (current)'!EW50,'NotEffectivelyVax (current)'!EZ50,'NotEffectivelyVax (current)'!FC50,'NotEffectivelyVax (current)'!FF50,'NotEffectivelyVax (current)'!FI50,'NotEffectivelyVax (current)'!FL50,'NotEffectivelyVax (current)'!FO50,'NotEffectivelyVax (current)'!FR50,'NotEffectivelyVax (current)'!FU50,'NotEffectivelyVax (current)'!FX50,'NotEffectivelyVax (current)'!GA50)</f>
        <v>#VALUE!</v>
      </c>
      <c r="Q50" s="155" t="e">
        <f>SUM('NotEffectivelyVax (current)'!D50,'NotEffectivelyVax (current)'!G50,'NotEffectivelyVax (current)'!J50,'NotEffectivelyVax (current)'!M50,'NotEffectivelyVax (current)'!P50,'NotEffectivelyVax (current)'!S50,'NotEffectivelyVax (current)'!V50,'NotEffectivelyVax (current)'!Y50,'NotEffectivelyVax (current)'!AB50,'NotEffectivelyVax (current)'!AE50,'NotEffectivelyVax (current)'!AH50,'NotEffectivelyVax (current)'!AK50,'NotEffectivelyVax (current)'!AN50,'NotEffectivelyVax (current)'!AQ50,'NotEffectivelyVax (current)'!AT50,'NotEffectivelyVax (current)'!AW50,'NotEffectivelyVax (current)'!AZ50,'NotEffectivelyVax (current)'!BC50,'NotEffectivelyVax (current)'!BF50,'NotEffectivelyVax (current)'!BI50,'NotEffectivelyVax (current)'!BL50,'NotEffectivelyVax (current)'!BO50,'NotEffectivelyVax (current)'!BR50,'NotEffectivelyVax (current)'!BU50,'NotEffectivelyVax (current)'!BX50,'NotEffectivelyVax (current)'!CA50,'NotEffectivelyVax (current)'!CD50,'NotEffectivelyVax (current)'!CG50,'NotEffectivelyVax (current)'!CJ50,'NotEffectivelyVax (current)'!CM50,'NotEffectivelyVax (current)'!CP50,'NotEffectivelyVax (current)'!CS50,'NotEffectivelyVax (current)'!CV50,'NotEffectivelyVax (current)'!CY50,'NotEffectivelyVax (current)'!DB50,'NotEffectivelyVax (current)'!DE50,'NotEffectivelyVax (current)'!DH50,'NotEffectivelyVax (current)'!DK50,'NotEffectivelyVax (current)'!DN50,'NotEffectivelyVax (current)'!DQ50,'NotEffectivelyVax (current)'!DT50,'NotEffectivelyVax (current)'!DW50,'NotEffectivelyVax (current)'!DZ50,'NotEffectivelyVax (current)'!EC50,'NotEffectivelyVax (current)'!EF50,'NotEffectivelyVax (current)'!EI50,'NotEffectivelyVax (current)'!EL50,'NotEffectivelyVax (current)'!EO50,'NotEffectivelyVax (current)'!ER50,'NotEffectivelyVax (current)'!EU50,'NotEffectivelyVax (current)'!EX50,'NotEffectivelyVax (current)'!FA50,'NotEffectivelyVax (current)'!FD50,'NotEffectivelyVax (current)'!FG50,'NotEffectivelyVax (current)'!FJ50,'NotEffectivelyVax (current)'!FM50,'NotEffectivelyVax (current)'!FP50,'NotEffectivelyVax (current)'!FS50,'NotEffectivelyVax (current)'!FV50,'NotEffectivelyVax (current)'!FY50)</f>
        <v>#VALUE!</v>
      </c>
      <c r="R50" s="155" t="e">
        <f>SUM('NotEffectivelyVax (current)'!E50,'NotEffectivelyVax (current)'!H50,'NotEffectivelyVax (current)'!K50,'NotEffectivelyVax (current)'!N50,'NotEffectivelyVax (current)'!Q50,'NotEffectivelyVax (current)'!T50,'NotEffectivelyVax (current)'!W50,'NotEffectivelyVax (current)'!Z50,'NotEffectivelyVax (current)'!AC50,'NotEffectivelyVax (current)'!AF50,'NotEffectivelyVax (current)'!AI50,'NotEffectivelyVax (current)'!AL50,'NotEffectivelyVax (current)'!AO50,'NotEffectivelyVax (current)'!AR50,'NotEffectivelyVax (current)'!AU50,'NotEffectivelyVax (current)'!AX50,'NotEffectivelyVax (current)'!BA50,'NotEffectivelyVax (current)'!BD50,'NotEffectivelyVax (current)'!BG50,'NotEffectivelyVax (current)'!BJ50,'NotEffectivelyVax (current)'!BM50,'NotEffectivelyVax (current)'!BP50,'NotEffectivelyVax (current)'!BS50,'NotEffectivelyVax (current)'!BV50,'NotEffectivelyVax (current)'!BY50,'NotEffectivelyVax (current)'!CB50,'NotEffectivelyVax (current)'!CE50,'NotEffectivelyVax (current)'!CH50,'NotEffectivelyVax (current)'!CK50,'NotEffectivelyVax (current)'!CN50,'NotEffectivelyVax (current)'!CQ50,'NotEffectivelyVax (current)'!CT50,'NotEffectivelyVax (current)'!CW50,'NotEffectivelyVax (current)'!CZ50,'NotEffectivelyVax (current)'!DC50,'NotEffectivelyVax (current)'!DF50,'NotEffectivelyVax (current)'!DI50,'NotEffectivelyVax (current)'!DL50,'NotEffectivelyVax (current)'!DO50,'NotEffectivelyVax (current)'!DR50,'NotEffectivelyVax (current)'!DU50,'NotEffectivelyVax (current)'!DX50,'NotEffectivelyVax (current)'!EA50,'NotEffectivelyVax (current)'!ED50,'NotEffectivelyVax (current)'!EG50,'NotEffectivelyVax (current)'!EJ50,'NotEffectivelyVax (current)'!EM50,'NotEffectivelyVax (current)'!EP50,'NotEffectivelyVax (current)'!ES50,'NotEffectivelyVax (current)'!EV50,'NotEffectivelyVax (current)'!EY50,'NotEffectivelyVax (current)'!FB50,'NotEffectivelyVax (current)'!FE50,'NotEffectivelyVax (current)'!FH50,'NotEffectivelyVax (current)'!FK50,'NotEffectivelyVax (current)'!FN50,'NotEffectivelyVax (current)'!FQ50,'NotEffectivelyVax (current)'!FT50,'NotEffectivelyVax (current)'!FW50,'NotEffectivelyVax (current)'!FZ50)</f>
        <v>#VALUE!</v>
      </c>
      <c r="S50" s="138" t="e">
        <f t="shared" si="6"/>
        <v>#VALUE!</v>
      </c>
      <c r="T50" s="187" t="e">
        <f>IF(Export!M48&lt;&gt;"",Q50*Export!K48*(1/Export!M48),Q50*Export!K48)</f>
        <v>#VALUE!</v>
      </c>
      <c r="U50" s="188" t="e">
        <f>S50*Export!J48</f>
        <v>#VALUE!</v>
      </c>
      <c r="V50" s="196" t="e">
        <f t="shared" si="11"/>
        <v>#DIV/0!</v>
      </c>
      <c r="W50" s="197" t="e">
        <f t="shared" si="8"/>
        <v>#VALUE!</v>
      </c>
      <c r="X50" s="190" t="e">
        <f>H50*Export!L48*V49</f>
        <v>#VALUE!</v>
      </c>
      <c r="Y50" s="190" t="e">
        <f t="shared" si="1"/>
        <v>#VALUE!</v>
      </c>
      <c r="Z50" s="190" t="e">
        <f>IF(Export!M48&lt;&gt;"",W50*Export!K48*(1/Export!M48),W50*Export!K48)</f>
        <v>#VALUE!</v>
      </c>
      <c r="AA50" s="190" t="e">
        <f>Y50*Export!J48</f>
        <v>#VALUE!</v>
      </c>
      <c r="AC50" s="143" t="e">
        <f t="shared" si="12"/>
        <v>#VALUE!</v>
      </c>
      <c r="AD50" s="144" t="e">
        <f t="shared" si="12"/>
        <v>#VALUE!</v>
      </c>
      <c r="AE50" s="144" t="e">
        <f t="shared" si="13"/>
        <v>#VALUE!</v>
      </c>
      <c r="AF50" s="144" t="e">
        <f t="shared" si="13"/>
        <v>#VALUE!</v>
      </c>
      <c r="AG50" s="144" t="e">
        <f t="shared" si="4"/>
        <v>#VALUE!</v>
      </c>
      <c r="AH50" s="198"/>
      <c r="AI50" s="198"/>
      <c r="AJ50" s="198"/>
      <c r="AK50" s="198"/>
      <c r="AL50" s="199"/>
      <c r="AM50" s="150"/>
      <c r="AN50" s="150"/>
      <c r="AO50" s="150"/>
      <c r="AP50" s="150"/>
      <c r="AQ50" s="151"/>
    </row>
    <row r="51" spans="1:44" ht="15.75" customHeight="1" x14ac:dyDescent="0.35">
      <c r="A51" s="202">
        <f>EffectivelyVax!B50</f>
        <v>3</v>
      </c>
      <c r="B51" s="203" t="str">
        <f>EffectivelyVax!C50</f>
        <v/>
      </c>
      <c r="C51" s="204" t="str">
        <f>Export!N49</f>
        <v/>
      </c>
      <c r="D51" s="205" t="str">
        <f>Export!B49</f>
        <v/>
      </c>
      <c r="E51" s="206" t="e">
        <f>C51*D51*HelperFunctions!G$45</f>
        <v>#VALUE!</v>
      </c>
      <c r="F51" s="207" t="e">
        <f>C51*D51*(1-HelperFunctions!G$45)</f>
        <v>#VALUE!</v>
      </c>
      <c r="G51" s="208" t="str">
        <f>Export!C49</f>
        <v/>
      </c>
      <c r="H51" s="209" t="e">
        <f>G51/(I50+'NotEffectivelyVax (current)'!F50*HelperFunctions!R$14+'NotEffectivelyVax (current)'!I50*HelperFunctions!R$14+'NotEffectivelyVax (current)'!L50*HelperFunctions!R$14+'NotEffectivelyVax (current)'!O50*HelperFunctions!R$14+'NotEffectivelyVax (current)'!R50*HelperFunctions!R$14+'NotEffectivelyVax (current)'!U50*HelperFunctions!R$14+'NotEffectivelyVax (current)'!X50*HelperFunctions!R$14+'NotEffectivelyVax (current)'!AA50*HelperFunctions!R$14+'NotEffectivelyVax (current)'!AD50*HelperFunctions!R$14+'NotEffectivelyVax (current)'!AG50*HelperFunctions!R$14+'NotEffectivelyVax (current)'!AJ50*HelperFunctions!R$14+'NotEffectivelyVax (current)'!AM50*HelperFunctions!R$14+'NotEffectivelyVax (current)'!AP50*HelperFunctions!R$28+'NotEffectivelyVax (current)'!AS50*HelperFunctions!R$28+'NotEffectivelyVax (current)'!AV50*HelperFunctions!R$28+'NotEffectivelyVax (current)'!AY50*HelperFunctions!R$28+'NotEffectivelyVax (current)'!BB50*HelperFunctions!R$28+'NotEffectivelyVax (current)'!BE50*HelperFunctions!R$28+'NotEffectivelyVax (current)'!BH50*HelperFunctions!R$28+'NotEffectivelyVax (current)'!BK50*HelperFunctions!R$28+'NotEffectivelyVax (current)'!BN50*HelperFunctions!R$28+'NotEffectivelyVax (current)'!BQ50*HelperFunctions!R$28+'NotEffectivelyVax (current)'!BT50*HelperFunctions!R$28+'NotEffectivelyVax (current)'!BW50*HelperFunctions!R$28+'NotEffectivelyVax (current)'!BZ50*HelperFunctions!R$42+'NotEffectivelyVax (current)'!CC50*HelperFunctions!R$42+'NotEffectivelyVax (current)'!CF50*HelperFunctions!R$42+'NotEffectivelyVax (current)'!CI50*HelperFunctions!R$42+'NotEffectivelyVax (current)'!CL50*HelperFunctions!R$42+'NotEffectivelyVax (current)'!CO50*HelperFunctions!R$42+'NotEffectivelyVax (current)'!CR50*HelperFunctions!R$42+'NotEffectivelyVax (current)'!CU50*HelperFunctions!R$42+'NotEffectivelyVax (current)'!CX50*HelperFunctions!R$42+'NotEffectivelyVax (current)'!DA50*HelperFunctions!R$42+'NotEffectivelyVax (current)'!DD50*HelperFunctions!R$42+'NotEffectivelyVax (current)'!DG50*HelperFunctions!R$42+'NotEffectivelyVax (current)'!DJ50*HelperFunctions!R55+'NotEffectivelyVax (current)'!DM50*HelperFunctions!R54+'NotEffectivelyVax (current)'!DP50*HelperFunctions!R53+'NotEffectivelyVax (current)'!DS50*HelperFunctions!R52+'NotEffectivelyVax (current)'!DV50*HelperFunctions!R51+'NotEffectivelyVax (current)'!DY50*HelperFunctions!R50+'NotEffectivelyVax (current)'!EB50*HelperFunctions!R49+'NotEffectivelyVax (current)'!EE50*HelperFunctions!R48+'NotEffectivelyVax (current)'!EH50*HelperFunctions!R47+'NotEffectivelyVax (current)'!EK50*HelperFunctions!R46+'NotEffectivelyVax (current)'!EN50*HelperFunctions!R45)</f>
        <v>#VALUE!</v>
      </c>
      <c r="I51" s="245" t="e">
        <f t="shared" si="10"/>
        <v>#VALUE!</v>
      </c>
      <c r="J51" s="210">
        <f>SUM(EffectivelyVax!D50:BK50)</f>
        <v>0</v>
      </c>
      <c r="K51" s="211" t="e">
        <f t="shared" si="5"/>
        <v>#VALUE!</v>
      </c>
      <c r="L51" s="212" t="e">
        <f>I50*H51*Export!L49</f>
        <v>#VALUE!</v>
      </c>
      <c r="M51" s="213" t="e">
        <f t="shared" si="0"/>
        <v>#VALUE!</v>
      </c>
      <c r="N51" s="206" t="e">
        <f>IF(Export!M49&lt;&gt;"",K51*Export!K49*(1/Export!M49),K51*Export!K49)</f>
        <v>#VALUE!</v>
      </c>
      <c r="O51" s="214" t="e">
        <f>M51*Export!J49</f>
        <v>#VALUE!</v>
      </c>
      <c r="P51" s="215" t="e">
        <f>SUM('NotEffectivelyVax (current)'!F51,'NotEffectivelyVax (current)'!I51,'NotEffectivelyVax (current)'!L51,'NotEffectivelyVax (current)'!O51,'NotEffectivelyVax (current)'!R51,'NotEffectivelyVax (current)'!U51,'NotEffectivelyVax (current)'!X51,'NotEffectivelyVax (current)'!AA51,'NotEffectivelyVax (current)'!AD51,'NotEffectivelyVax (current)'!AG51,'NotEffectivelyVax (current)'!AJ51,'NotEffectivelyVax (current)'!AM51,'NotEffectivelyVax (current)'!AP51,'NotEffectivelyVax (current)'!AS51,'NotEffectivelyVax (current)'!AV51,'NotEffectivelyVax (current)'!AY51,'NotEffectivelyVax (current)'!BB51,'NotEffectivelyVax (current)'!BE51,'NotEffectivelyVax (current)'!BH51,'NotEffectivelyVax (current)'!BK51,'NotEffectivelyVax (current)'!BN51,'NotEffectivelyVax (current)'!BQ51,'NotEffectivelyVax (current)'!BT51,'NotEffectivelyVax (current)'!BW51,'NotEffectivelyVax (current)'!BZ51,'NotEffectivelyVax (current)'!CC51,'NotEffectivelyVax (current)'!CF51,'NotEffectivelyVax (current)'!CI51,'NotEffectivelyVax (current)'!CL51,'NotEffectivelyVax (current)'!CO51,'NotEffectivelyVax (current)'!CR51,'NotEffectivelyVax (current)'!CU51,'NotEffectivelyVax (current)'!CX51,'NotEffectivelyVax (current)'!DA51,'NotEffectivelyVax (current)'!DD51,'NotEffectivelyVax (current)'!DG51,'NotEffectivelyVax (current)'!DJ51,'NotEffectivelyVax (current)'!DM51,'NotEffectivelyVax (current)'!DP51,'NotEffectivelyVax (current)'!DS51,'NotEffectivelyVax (current)'!DV51,'NotEffectivelyVax (current)'!DY51,'NotEffectivelyVax (current)'!EB51,'NotEffectivelyVax (current)'!EE51,'NotEffectivelyVax (current)'!EH51,'NotEffectivelyVax (current)'!EK51,'NotEffectivelyVax (current)'!EN51,'NotEffectivelyVax (current)'!EQ51,'NotEffectivelyVax (current)'!ET51,'NotEffectivelyVax (current)'!EW51,'NotEffectivelyVax (current)'!EZ51,'NotEffectivelyVax (current)'!FC51,'NotEffectivelyVax (current)'!FF51,'NotEffectivelyVax (current)'!FI51,'NotEffectivelyVax (current)'!FL51,'NotEffectivelyVax (current)'!FO51,'NotEffectivelyVax (current)'!FR51,'NotEffectivelyVax (current)'!FU51,'NotEffectivelyVax (current)'!FX51,'NotEffectivelyVax (current)'!GA51)</f>
        <v>#VALUE!</v>
      </c>
      <c r="Q51" s="216" t="e">
        <f>SUM('NotEffectivelyVax (current)'!D51,'NotEffectivelyVax (current)'!G51,'NotEffectivelyVax (current)'!J51,'NotEffectivelyVax (current)'!M51,'NotEffectivelyVax (current)'!P51,'NotEffectivelyVax (current)'!S51,'NotEffectivelyVax (current)'!V51,'NotEffectivelyVax (current)'!Y51,'NotEffectivelyVax (current)'!AB51,'NotEffectivelyVax (current)'!AE51,'NotEffectivelyVax (current)'!AH51,'NotEffectivelyVax (current)'!AK51,'NotEffectivelyVax (current)'!AN51,'NotEffectivelyVax (current)'!AQ51,'NotEffectivelyVax (current)'!AT51,'NotEffectivelyVax (current)'!AW51,'NotEffectivelyVax (current)'!AZ51,'NotEffectivelyVax (current)'!BC51,'NotEffectivelyVax (current)'!BF51,'NotEffectivelyVax (current)'!BI51,'NotEffectivelyVax (current)'!BL51,'NotEffectivelyVax (current)'!BO51,'NotEffectivelyVax (current)'!BR51,'NotEffectivelyVax (current)'!BU51,'NotEffectivelyVax (current)'!BX51,'NotEffectivelyVax (current)'!CA51,'NotEffectivelyVax (current)'!CD51,'NotEffectivelyVax (current)'!CG51,'NotEffectivelyVax (current)'!CJ51,'NotEffectivelyVax (current)'!CM51,'NotEffectivelyVax (current)'!CP51,'NotEffectivelyVax (current)'!CS51,'NotEffectivelyVax (current)'!CV51,'NotEffectivelyVax (current)'!CY51,'NotEffectivelyVax (current)'!DB51,'NotEffectivelyVax (current)'!DE51,'NotEffectivelyVax (current)'!DH51,'NotEffectivelyVax (current)'!DK51,'NotEffectivelyVax (current)'!DN51,'NotEffectivelyVax (current)'!DQ51,'NotEffectivelyVax (current)'!DT51,'NotEffectivelyVax (current)'!DW51,'NotEffectivelyVax (current)'!DZ51,'NotEffectivelyVax (current)'!EC51,'NotEffectivelyVax (current)'!EF51,'NotEffectivelyVax (current)'!EI51,'NotEffectivelyVax (current)'!EL51,'NotEffectivelyVax (current)'!EO51,'NotEffectivelyVax (current)'!ER51,'NotEffectivelyVax (current)'!EU51,'NotEffectivelyVax (current)'!EX51,'NotEffectivelyVax (current)'!FA51,'NotEffectivelyVax (current)'!FD51,'NotEffectivelyVax (current)'!FG51,'NotEffectivelyVax (current)'!FJ51,'NotEffectivelyVax (current)'!FM51,'NotEffectivelyVax (current)'!FP51,'NotEffectivelyVax (current)'!FS51,'NotEffectivelyVax (current)'!FV51,'NotEffectivelyVax (current)'!FY51)</f>
        <v>#VALUE!</v>
      </c>
      <c r="R51" s="216" t="e">
        <f>SUM('NotEffectivelyVax (current)'!E51,'NotEffectivelyVax (current)'!H51,'NotEffectivelyVax (current)'!K51,'NotEffectivelyVax (current)'!N51,'NotEffectivelyVax (current)'!Q51,'NotEffectivelyVax (current)'!T51,'NotEffectivelyVax (current)'!W51,'NotEffectivelyVax (current)'!Z51,'NotEffectivelyVax (current)'!AC51,'NotEffectivelyVax (current)'!AF51,'NotEffectivelyVax (current)'!AI51,'NotEffectivelyVax (current)'!AL51,'NotEffectivelyVax (current)'!AO51,'NotEffectivelyVax (current)'!AR51,'NotEffectivelyVax (current)'!AU51,'NotEffectivelyVax (current)'!AX51,'NotEffectivelyVax (current)'!BA51,'NotEffectivelyVax (current)'!BD51,'NotEffectivelyVax (current)'!BG51,'NotEffectivelyVax (current)'!BJ51,'NotEffectivelyVax (current)'!BM51,'NotEffectivelyVax (current)'!BP51,'NotEffectivelyVax (current)'!BS51,'NotEffectivelyVax (current)'!BV51,'NotEffectivelyVax (current)'!BY51,'NotEffectivelyVax (current)'!CB51,'NotEffectivelyVax (current)'!CE51,'NotEffectivelyVax (current)'!CH51,'NotEffectivelyVax (current)'!CK51,'NotEffectivelyVax (current)'!CN51,'NotEffectivelyVax (current)'!CQ51,'NotEffectivelyVax (current)'!CT51,'NotEffectivelyVax (current)'!CW51,'NotEffectivelyVax (current)'!CZ51,'NotEffectivelyVax (current)'!DC51,'NotEffectivelyVax (current)'!DF51,'NotEffectivelyVax (current)'!DI51,'NotEffectivelyVax (current)'!DL51,'NotEffectivelyVax (current)'!DO51,'NotEffectivelyVax (current)'!DR51,'NotEffectivelyVax (current)'!DU51,'NotEffectivelyVax (current)'!DX51,'NotEffectivelyVax (current)'!EA51,'NotEffectivelyVax (current)'!ED51,'NotEffectivelyVax (current)'!EG51,'NotEffectivelyVax (current)'!EJ51,'NotEffectivelyVax (current)'!EM51,'NotEffectivelyVax (current)'!EP51,'NotEffectivelyVax (current)'!ES51,'NotEffectivelyVax (current)'!EV51,'NotEffectivelyVax (current)'!EY51,'NotEffectivelyVax (current)'!FB51,'NotEffectivelyVax (current)'!FE51,'NotEffectivelyVax (current)'!FH51,'NotEffectivelyVax (current)'!FK51,'NotEffectivelyVax (current)'!FN51,'NotEffectivelyVax (current)'!FQ51,'NotEffectivelyVax (current)'!FT51,'NotEffectivelyVax (current)'!FW51,'NotEffectivelyVax (current)'!FZ51)</f>
        <v>#VALUE!</v>
      </c>
      <c r="S51" s="217" t="e">
        <f t="shared" si="6"/>
        <v>#VALUE!</v>
      </c>
      <c r="T51" s="218" t="e">
        <f>IF(Export!M49&lt;&gt;"",Q51*Export!K49*(1/Export!M49),Q51*Export!K49)</f>
        <v>#VALUE!</v>
      </c>
      <c r="U51" s="219" t="e">
        <f>S51*Export!J49</f>
        <v>#VALUE!</v>
      </c>
      <c r="V51" s="244" t="e">
        <f t="shared" si="11"/>
        <v>#DIV/0!</v>
      </c>
      <c r="W51" s="220" t="e">
        <f t="shared" si="8"/>
        <v>#VALUE!</v>
      </c>
      <c r="X51" s="221" t="e">
        <f>H51*Export!L49*V50</f>
        <v>#VALUE!</v>
      </c>
      <c r="Y51" s="221" t="e">
        <f t="shared" si="1"/>
        <v>#VALUE!</v>
      </c>
      <c r="Z51" s="221" t="e">
        <f>IF(Export!M49&lt;&gt;"",W51*Export!K49*(1/Export!M49),W51*Export!K49)</f>
        <v>#VALUE!</v>
      </c>
      <c r="AA51" s="221" t="e">
        <f>Y51*Export!J49</f>
        <v>#VALUE!</v>
      </c>
      <c r="AC51" s="156" t="e">
        <f t="shared" si="12"/>
        <v>#VALUE!</v>
      </c>
      <c r="AD51" s="157" t="e">
        <f t="shared" si="12"/>
        <v>#VALUE!</v>
      </c>
      <c r="AE51" s="157" t="e">
        <f t="shared" si="13"/>
        <v>#VALUE!</v>
      </c>
      <c r="AF51" s="157" t="e">
        <f t="shared" si="13"/>
        <v>#VALUE!</v>
      </c>
      <c r="AG51" s="157" t="e">
        <f t="shared" si="4"/>
        <v>#VALUE!</v>
      </c>
      <c r="AH51" s="147" t="e">
        <f>SUM(AC40:AC51)/SUM(W40:W51)</f>
        <v>#VALUE!</v>
      </c>
      <c r="AI51" s="147" t="e">
        <f>SUM(AD40:AD51)/SUM(X40:X51)</f>
        <v>#VALUE!</v>
      </c>
      <c r="AJ51" s="147" t="e">
        <f>SUM(AE40:AE51)/SUM(Z40:Z51)</f>
        <v>#VALUE!</v>
      </c>
      <c r="AK51" s="147" t="e">
        <f>SUM(AF40:AF51)/SUM(AA40:AA51)</f>
        <v>#VALUE!</v>
      </c>
      <c r="AL51" s="241" t="e">
        <f>SUM(AG40:AG51)/SUM(W40:X51)</f>
        <v>#VALUE!</v>
      </c>
      <c r="AM51" s="148" t="e">
        <f>SUM($E40:$F51)/SUM(AC40:AC51)</f>
        <v>#VALUE!</v>
      </c>
      <c r="AN51" s="148" t="e">
        <f>SUM($E40:$F51)/SUM(AD40:AD51)</f>
        <v>#VALUE!</v>
      </c>
      <c r="AO51" s="148" t="e">
        <f>SUM($E40:$F51)/SUM(AE40:AE51)</f>
        <v>#VALUE!</v>
      </c>
      <c r="AP51" s="148" t="e">
        <f>SUM($E40:$F51)/SUM(AF40:AF51)</f>
        <v>#VALUE!</v>
      </c>
      <c r="AQ51" s="148" t="e">
        <f>SUM($E40:$F51)/SUM(AG40:AG51)</f>
        <v>#VALUE!</v>
      </c>
    </row>
    <row r="52" spans="1:44" x14ac:dyDescent="0.35">
      <c r="A52" s="222">
        <f>EffectivelyVax!B51</f>
        <v>4</v>
      </c>
      <c r="B52" s="223" t="str">
        <f>EffectivelyVax!C51</f>
        <v/>
      </c>
      <c r="C52" s="224" t="str">
        <f>Export!N50</f>
        <v/>
      </c>
      <c r="D52" s="225" t="str">
        <f>Export!B50</f>
        <v/>
      </c>
      <c r="E52" s="226" t="e">
        <f>C52*D52*HelperFunctions!G$59</f>
        <v>#VALUE!</v>
      </c>
      <c r="F52" s="227" t="e">
        <f>C52*D52*(1-HelperFunctions!G$59)</f>
        <v>#VALUE!</v>
      </c>
      <c r="G52" s="228" t="str">
        <f>Export!C50</f>
        <v/>
      </c>
      <c r="H52" s="229" t="e">
        <f>G52/(I51+'NotEffectivelyVax (current)'!F51*HelperFunctions!R$14+'NotEffectivelyVax (current)'!I51*HelperFunctions!R$14+'NotEffectivelyVax (current)'!L51*HelperFunctions!R$14+'NotEffectivelyVax (current)'!O51*HelperFunctions!R$14+'NotEffectivelyVax (current)'!R51*HelperFunctions!R$14+'NotEffectivelyVax (current)'!U51*HelperFunctions!R$14+'NotEffectivelyVax (current)'!X51*HelperFunctions!R$14+'NotEffectivelyVax (current)'!AA51*HelperFunctions!R$14+'NotEffectivelyVax (current)'!AD51*HelperFunctions!R$14+'NotEffectivelyVax (current)'!AG51*HelperFunctions!R$14+'NotEffectivelyVax (current)'!AJ51*HelperFunctions!R$14+'NotEffectivelyVax (current)'!AM51*HelperFunctions!R$14+'NotEffectivelyVax (current)'!AP51*HelperFunctions!R$28+'NotEffectivelyVax (current)'!AS51*HelperFunctions!R$28+'NotEffectivelyVax (current)'!AV51*HelperFunctions!R$28+'NotEffectivelyVax (current)'!AY51*HelperFunctions!R$28+'NotEffectivelyVax (current)'!BB51*HelperFunctions!R$28+'NotEffectivelyVax (current)'!BE51*HelperFunctions!R$28+'NotEffectivelyVax (current)'!BH51*HelperFunctions!R$28+'NotEffectivelyVax (current)'!BK51*HelperFunctions!R$28+'NotEffectivelyVax (current)'!BN51*HelperFunctions!R$28+'NotEffectivelyVax (current)'!BQ51*HelperFunctions!R$28+'NotEffectivelyVax (current)'!BT51*HelperFunctions!R$28+'NotEffectivelyVax (current)'!BW51*HelperFunctions!R$28+'NotEffectivelyVax (current)'!BZ51*HelperFunctions!R$42+'NotEffectivelyVax (current)'!CC51*HelperFunctions!R$42+'NotEffectivelyVax (current)'!CF51*HelperFunctions!R$42+'NotEffectivelyVax (current)'!CI51*HelperFunctions!R$42+'NotEffectivelyVax (current)'!CL51*HelperFunctions!R$42+'NotEffectivelyVax (current)'!CO51*HelperFunctions!R$42+'NotEffectivelyVax (current)'!CR51*HelperFunctions!R$42+'NotEffectivelyVax (current)'!CU51*HelperFunctions!R$42+'NotEffectivelyVax (current)'!CX51*HelperFunctions!R$42+'NotEffectivelyVax (current)'!DA51*HelperFunctions!R$42+'NotEffectivelyVax (current)'!DD51*HelperFunctions!R$42+'NotEffectivelyVax (current)'!DG51*HelperFunctions!R$42+'NotEffectivelyVax (current)'!DJ51*HelperFunctions!R$56+'NotEffectivelyVax (current)'!DM51*HelperFunctions!R55+'NotEffectivelyVax (current)'!DP51*HelperFunctions!R54+'NotEffectivelyVax (current)'!DS51*HelperFunctions!R53+'NotEffectivelyVax (current)'!DV51*HelperFunctions!R52+'NotEffectivelyVax (current)'!DY51*HelperFunctions!R51+'NotEffectivelyVax (current)'!EB51*HelperFunctions!R50+'NotEffectivelyVax (current)'!EE51*HelperFunctions!R49+'NotEffectivelyVax (current)'!EH51*HelperFunctions!R48+'NotEffectivelyVax (current)'!EK51*HelperFunctions!R47+'NotEffectivelyVax (current)'!EN51*HelperFunctions!R46+'NotEffectivelyVax (current)'!EQ51*HelperFunctions!R45)</f>
        <v>#VALUE!</v>
      </c>
      <c r="I52" s="182" t="e">
        <f t="shared" si="10"/>
        <v>#VALUE!</v>
      </c>
      <c r="J52" s="230">
        <f>SUM(EffectivelyVax!D51:BK51)</f>
        <v>0</v>
      </c>
      <c r="K52" s="231" t="e">
        <f t="shared" si="5"/>
        <v>#VALUE!</v>
      </c>
      <c r="L52" s="232" t="e">
        <f>I51*H52*Export!L50</f>
        <v>#VALUE!</v>
      </c>
      <c r="M52" s="233" t="e">
        <f t="shared" si="0"/>
        <v>#VALUE!</v>
      </c>
      <c r="N52" s="226" t="e">
        <f>IF(Export!M50&lt;&gt;"",K52*Export!K50*(1/Export!M50),K52*Export!K50)</f>
        <v>#VALUE!</v>
      </c>
      <c r="O52" s="234" t="e">
        <f>M52*Export!J50</f>
        <v>#VALUE!</v>
      </c>
      <c r="P52" s="235" t="e">
        <f>SUM('NotEffectivelyVax (current)'!F52,'NotEffectivelyVax (current)'!I52,'NotEffectivelyVax (current)'!L52,'NotEffectivelyVax (current)'!O52,'NotEffectivelyVax (current)'!R52,'NotEffectivelyVax (current)'!U52,'NotEffectivelyVax (current)'!X52,'NotEffectivelyVax (current)'!AA52,'NotEffectivelyVax (current)'!AD52,'NotEffectivelyVax (current)'!AG52,'NotEffectivelyVax (current)'!AJ52,'NotEffectivelyVax (current)'!AM52,'NotEffectivelyVax (current)'!AP52,'NotEffectivelyVax (current)'!AS52,'NotEffectivelyVax (current)'!AV52,'NotEffectivelyVax (current)'!AY52,'NotEffectivelyVax (current)'!BB52,'NotEffectivelyVax (current)'!BE52,'NotEffectivelyVax (current)'!BH52,'NotEffectivelyVax (current)'!BK52,'NotEffectivelyVax (current)'!BN52,'NotEffectivelyVax (current)'!BQ52,'NotEffectivelyVax (current)'!BT52,'NotEffectivelyVax (current)'!BW52,'NotEffectivelyVax (current)'!BZ52,'NotEffectivelyVax (current)'!CC52,'NotEffectivelyVax (current)'!CF52,'NotEffectivelyVax (current)'!CI52,'NotEffectivelyVax (current)'!CL52,'NotEffectivelyVax (current)'!CO52,'NotEffectivelyVax (current)'!CR52,'NotEffectivelyVax (current)'!CU52,'NotEffectivelyVax (current)'!CX52,'NotEffectivelyVax (current)'!DA52,'NotEffectivelyVax (current)'!DD52,'NotEffectivelyVax (current)'!DG52,'NotEffectivelyVax (current)'!DJ52,'NotEffectivelyVax (current)'!DM52,'NotEffectivelyVax (current)'!DP52,'NotEffectivelyVax (current)'!DS52,'NotEffectivelyVax (current)'!DV52,'NotEffectivelyVax (current)'!DY52,'NotEffectivelyVax (current)'!EB52,'NotEffectivelyVax (current)'!EE52,'NotEffectivelyVax (current)'!EH52,'NotEffectivelyVax (current)'!EK52,'NotEffectivelyVax (current)'!EN52,'NotEffectivelyVax (current)'!EQ52,'NotEffectivelyVax (current)'!ET52,'NotEffectivelyVax (current)'!EW52,'NotEffectivelyVax (current)'!EZ52,'NotEffectivelyVax (current)'!FC52,'NotEffectivelyVax (current)'!FF52,'NotEffectivelyVax (current)'!FI52,'NotEffectivelyVax (current)'!FL52,'NotEffectivelyVax (current)'!FO52,'NotEffectivelyVax (current)'!FR52,'NotEffectivelyVax (current)'!FU52,'NotEffectivelyVax (current)'!FX52,'NotEffectivelyVax (current)'!GA52)</f>
        <v>#VALUE!</v>
      </c>
      <c r="Q52" s="236" t="e">
        <f>SUM('NotEffectivelyVax (current)'!D52,'NotEffectivelyVax (current)'!G52,'NotEffectivelyVax (current)'!J52,'NotEffectivelyVax (current)'!M52,'NotEffectivelyVax (current)'!P52,'NotEffectivelyVax (current)'!S52,'NotEffectivelyVax (current)'!V52,'NotEffectivelyVax (current)'!Y52,'NotEffectivelyVax (current)'!AB52,'NotEffectivelyVax (current)'!AE52,'NotEffectivelyVax (current)'!AH52,'NotEffectivelyVax (current)'!AK52,'NotEffectivelyVax (current)'!AN52,'NotEffectivelyVax (current)'!AQ52,'NotEffectivelyVax (current)'!AT52,'NotEffectivelyVax (current)'!AW52,'NotEffectivelyVax (current)'!AZ52,'NotEffectivelyVax (current)'!BC52,'NotEffectivelyVax (current)'!BF52,'NotEffectivelyVax (current)'!BI52,'NotEffectivelyVax (current)'!BL52,'NotEffectivelyVax (current)'!BO52,'NotEffectivelyVax (current)'!BR52,'NotEffectivelyVax (current)'!BU52,'NotEffectivelyVax (current)'!BX52,'NotEffectivelyVax (current)'!CA52,'NotEffectivelyVax (current)'!CD52,'NotEffectivelyVax (current)'!CG52,'NotEffectivelyVax (current)'!CJ52,'NotEffectivelyVax (current)'!CM52,'NotEffectivelyVax (current)'!CP52,'NotEffectivelyVax (current)'!CS52,'NotEffectivelyVax (current)'!CV52,'NotEffectivelyVax (current)'!CY52,'NotEffectivelyVax (current)'!DB52,'NotEffectivelyVax (current)'!DE52,'NotEffectivelyVax (current)'!DH52,'NotEffectivelyVax (current)'!DK52,'NotEffectivelyVax (current)'!DN52,'NotEffectivelyVax (current)'!DQ52,'NotEffectivelyVax (current)'!DT52,'NotEffectivelyVax (current)'!DW52,'NotEffectivelyVax (current)'!DZ52,'NotEffectivelyVax (current)'!EC52,'NotEffectivelyVax (current)'!EF52,'NotEffectivelyVax (current)'!EI52,'NotEffectivelyVax (current)'!EL52,'NotEffectivelyVax (current)'!EO52,'NotEffectivelyVax (current)'!ER52,'NotEffectivelyVax (current)'!EU52,'NotEffectivelyVax (current)'!EX52,'NotEffectivelyVax (current)'!FA52,'NotEffectivelyVax (current)'!FD52,'NotEffectivelyVax (current)'!FG52,'NotEffectivelyVax (current)'!FJ52,'NotEffectivelyVax (current)'!FM52,'NotEffectivelyVax (current)'!FP52,'NotEffectivelyVax (current)'!FS52,'NotEffectivelyVax (current)'!FV52,'NotEffectivelyVax (current)'!FY52)</f>
        <v>#VALUE!</v>
      </c>
      <c r="R52" s="236" t="e">
        <f>SUM('NotEffectivelyVax (current)'!E52,'NotEffectivelyVax (current)'!H52,'NotEffectivelyVax (current)'!K52,'NotEffectivelyVax (current)'!N52,'NotEffectivelyVax (current)'!Q52,'NotEffectivelyVax (current)'!T52,'NotEffectivelyVax (current)'!W52,'NotEffectivelyVax (current)'!Z52,'NotEffectivelyVax (current)'!AC52,'NotEffectivelyVax (current)'!AF52,'NotEffectivelyVax (current)'!AI52,'NotEffectivelyVax (current)'!AL52,'NotEffectivelyVax (current)'!AO52,'NotEffectivelyVax (current)'!AR52,'NotEffectivelyVax (current)'!AU52,'NotEffectivelyVax (current)'!AX52,'NotEffectivelyVax (current)'!BA52,'NotEffectivelyVax (current)'!BD52,'NotEffectivelyVax (current)'!BG52,'NotEffectivelyVax (current)'!BJ52,'NotEffectivelyVax (current)'!BM52,'NotEffectivelyVax (current)'!BP52,'NotEffectivelyVax (current)'!BS52,'NotEffectivelyVax (current)'!BV52,'NotEffectivelyVax (current)'!BY52,'NotEffectivelyVax (current)'!CB52,'NotEffectivelyVax (current)'!CE52,'NotEffectivelyVax (current)'!CH52,'NotEffectivelyVax (current)'!CK52,'NotEffectivelyVax (current)'!CN52,'NotEffectivelyVax (current)'!CQ52,'NotEffectivelyVax (current)'!CT52,'NotEffectivelyVax (current)'!CW52,'NotEffectivelyVax (current)'!CZ52,'NotEffectivelyVax (current)'!DC52,'NotEffectivelyVax (current)'!DF52,'NotEffectivelyVax (current)'!DI52,'NotEffectivelyVax (current)'!DL52,'NotEffectivelyVax (current)'!DO52,'NotEffectivelyVax (current)'!DR52,'NotEffectivelyVax (current)'!DU52,'NotEffectivelyVax (current)'!DX52,'NotEffectivelyVax (current)'!EA52,'NotEffectivelyVax (current)'!ED52,'NotEffectivelyVax (current)'!EG52,'NotEffectivelyVax (current)'!EJ52,'NotEffectivelyVax (current)'!EM52,'NotEffectivelyVax (current)'!EP52,'NotEffectivelyVax (current)'!ES52,'NotEffectivelyVax (current)'!EV52,'NotEffectivelyVax (current)'!EY52,'NotEffectivelyVax (current)'!FB52,'NotEffectivelyVax (current)'!FE52,'NotEffectivelyVax (current)'!FH52,'NotEffectivelyVax (current)'!FK52,'NotEffectivelyVax (current)'!FN52,'NotEffectivelyVax (current)'!FQ52,'NotEffectivelyVax (current)'!FT52,'NotEffectivelyVax (current)'!FW52,'NotEffectivelyVax (current)'!FZ52)</f>
        <v>#VALUE!</v>
      </c>
      <c r="S52" s="236" t="e">
        <f t="shared" si="6"/>
        <v>#VALUE!</v>
      </c>
      <c r="T52" s="237" t="e">
        <f>IF(Export!M50&lt;&gt;"",Q52*Export!K50*(1/Export!M50),Q52*Export!K50)</f>
        <v>#VALUE!</v>
      </c>
      <c r="U52" s="238" t="e">
        <f>S52*Export!J50</f>
        <v>#VALUE!</v>
      </c>
      <c r="V52" s="243" t="e">
        <f t="shared" si="11"/>
        <v>#DIV/0!</v>
      </c>
      <c r="W52" s="239" t="e">
        <f t="shared" si="8"/>
        <v>#VALUE!</v>
      </c>
      <c r="X52" s="239" t="e">
        <f>H52*Export!L50*V51</f>
        <v>#VALUE!</v>
      </c>
      <c r="Y52" s="239" t="e">
        <f t="shared" si="1"/>
        <v>#VALUE!</v>
      </c>
      <c r="Z52" s="239" t="e">
        <f>IF(Export!M50&lt;&gt;"",W52*Export!K50*(1/Export!M50),W52*Export!K50)</f>
        <v>#VALUE!</v>
      </c>
      <c r="AA52" s="239" t="e">
        <f>Y52*Export!J50</f>
        <v>#VALUE!</v>
      </c>
      <c r="AC52" s="143" t="e">
        <f t="shared" si="12"/>
        <v>#VALUE!</v>
      </c>
      <c r="AD52" s="144" t="e">
        <f t="shared" si="12"/>
        <v>#VALUE!</v>
      </c>
      <c r="AE52" s="144" t="e">
        <f t="shared" si="13"/>
        <v>#VALUE!</v>
      </c>
      <c r="AF52" s="144" t="e">
        <f t="shared" si="13"/>
        <v>#VALUE!</v>
      </c>
      <c r="AG52" s="144" t="e">
        <f t="shared" si="4"/>
        <v>#VALUE!</v>
      </c>
      <c r="AH52" s="198"/>
      <c r="AI52" s="198"/>
      <c r="AJ52" s="198"/>
      <c r="AK52" s="198"/>
      <c r="AL52" s="199"/>
      <c r="AM52" s="150"/>
      <c r="AN52" s="150"/>
      <c r="AO52" s="150"/>
      <c r="AP52" s="150"/>
      <c r="AQ52" s="151"/>
      <c r="AR52" s="144"/>
    </row>
    <row r="53" spans="1:44" x14ac:dyDescent="0.35">
      <c r="A53" s="130">
        <f>EffectivelyVax!B52</f>
        <v>4</v>
      </c>
      <c r="B53" s="131" t="str">
        <f>EffectivelyVax!C52</f>
        <v/>
      </c>
      <c r="C53" s="132" t="str">
        <f>Export!N51</f>
        <v/>
      </c>
      <c r="D53" s="177" t="str">
        <f>Export!B51</f>
        <v/>
      </c>
      <c r="E53" s="178" t="e">
        <f>C53*D53*HelperFunctions!G$59</f>
        <v>#VALUE!</v>
      </c>
      <c r="F53" s="179" t="e">
        <f>C53*D53*(1-HelperFunctions!G$59)</f>
        <v>#VALUE!</v>
      </c>
      <c r="G53" s="180" t="str">
        <f>Export!C51</f>
        <v/>
      </c>
      <c r="H53" s="191" t="e">
        <f>G53/(I52+'NotEffectivelyVax (current)'!F52*HelperFunctions!R$14+'NotEffectivelyVax (current)'!I52*HelperFunctions!R$14+'NotEffectivelyVax (current)'!L52*HelperFunctions!R$14+'NotEffectivelyVax (current)'!O52*HelperFunctions!R$14+'NotEffectivelyVax (current)'!R52*HelperFunctions!R$14+'NotEffectivelyVax (current)'!U52*HelperFunctions!R$14+'NotEffectivelyVax (current)'!X52*HelperFunctions!R$14+'NotEffectivelyVax (current)'!AA52*HelperFunctions!R$14+'NotEffectivelyVax (current)'!AD52*HelperFunctions!R$14+'NotEffectivelyVax (current)'!AG52*HelperFunctions!R$14+'NotEffectivelyVax (current)'!AJ52*HelperFunctions!R$14+'NotEffectivelyVax (current)'!AM52*HelperFunctions!R$14+'NotEffectivelyVax (current)'!AP52*HelperFunctions!R$28+'NotEffectivelyVax (current)'!AS52*HelperFunctions!R$28+'NotEffectivelyVax (current)'!AV52*HelperFunctions!R$28+'NotEffectivelyVax (current)'!AY52*HelperFunctions!R$28+'NotEffectivelyVax (current)'!BB52*HelperFunctions!R$28+'NotEffectivelyVax (current)'!BE52*HelperFunctions!R$28+'NotEffectivelyVax (current)'!BH52*HelperFunctions!R$28+'NotEffectivelyVax (current)'!BK52*HelperFunctions!R$28+'NotEffectivelyVax (current)'!BN52*HelperFunctions!R$28+'NotEffectivelyVax (current)'!BQ52*HelperFunctions!R$28+'NotEffectivelyVax (current)'!BT52*HelperFunctions!R$28+'NotEffectivelyVax (current)'!BW52*HelperFunctions!R$28+'NotEffectivelyVax (current)'!BZ52*HelperFunctions!R$42+'NotEffectivelyVax (current)'!CC52*HelperFunctions!R$42+'NotEffectivelyVax (current)'!CF52*HelperFunctions!R$42+'NotEffectivelyVax (current)'!CI52*HelperFunctions!R$42+'NotEffectivelyVax (current)'!CL52*HelperFunctions!R$42+'NotEffectivelyVax (current)'!CO52*HelperFunctions!R$42+'NotEffectivelyVax (current)'!CR52*HelperFunctions!R$42+'NotEffectivelyVax (current)'!CU52*HelperFunctions!R$42+'NotEffectivelyVax (current)'!CX52*HelperFunctions!R$42+'NotEffectivelyVax (current)'!DA52*HelperFunctions!R$42+'NotEffectivelyVax (current)'!DD52*HelperFunctions!R$42+'NotEffectivelyVax (current)'!DG52*HelperFunctions!R$42+'NotEffectivelyVax (current)'!DJ52*HelperFunctions!R$56+'NotEffectivelyVax (current)'!DM52*HelperFunctions!R$56+'NotEffectivelyVax (current)'!DP52*HelperFunctions!R55+'NotEffectivelyVax (current)'!DS52*HelperFunctions!R54+'NotEffectivelyVax (current)'!DV52*HelperFunctions!R53+'NotEffectivelyVax (current)'!DY52*HelperFunctions!R52+'NotEffectivelyVax (current)'!EB52*HelperFunctions!R51+'NotEffectivelyVax (current)'!EE52*HelperFunctions!R50+'NotEffectivelyVax (current)'!EH52*HelperFunctions!R49+'NotEffectivelyVax (current)'!EK52*HelperFunctions!R48+'NotEffectivelyVax (current)'!EN52*HelperFunctions!R47+'NotEffectivelyVax (current)'!EQ52*HelperFunctions!R46+'NotEffectivelyVax (current)'!ET52*HelperFunctions!R59)</f>
        <v>#VALUE!</v>
      </c>
      <c r="I53" s="192" t="e">
        <f t="shared" si="10"/>
        <v>#VALUE!</v>
      </c>
      <c r="J53" s="153">
        <f>SUM(EffectivelyVax!D52:BK52)</f>
        <v>0</v>
      </c>
      <c r="K53" s="193" t="e">
        <f t="shared" si="5"/>
        <v>#VALUE!</v>
      </c>
      <c r="L53" s="194" t="e">
        <f>I52*H53*Export!L51</f>
        <v>#VALUE!</v>
      </c>
      <c r="M53" s="195" t="e">
        <f t="shared" si="0"/>
        <v>#VALUE!</v>
      </c>
      <c r="N53" s="178" t="e">
        <f>IF(Export!M51&lt;&gt;"",K53*Export!K51*(1/Export!M51),K53*Export!K51)</f>
        <v>#VALUE!</v>
      </c>
      <c r="O53" s="154" t="e">
        <f>M53*Export!J51</f>
        <v>#VALUE!</v>
      </c>
      <c r="P53" s="186" t="e">
        <f>SUM('NotEffectivelyVax (current)'!F53,'NotEffectivelyVax (current)'!I53,'NotEffectivelyVax (current)'!L53,'NotEffectivelyVax (current)'!O53,'NotEffectivelyVax (current)'!R53,'NotEffectivelyVax (current)'!U53,'NotEffectivelyVax (current)'!X53,'NotEffectivelyVax (current)'!AA53,'NotEffectivelyVax (current)'!AD53,'NotEffectivelyVax (current)'!AG53,'NotEffectivelyVax (current)'!AJ53,'NotEffectivelyVax (current)'!AM53,'NotEffectivelyVax (current)'!AP53,'NotEffectivelyVax (current)'!AS53,'NotEffectivelyVax (current)'!AV53,'NotEffectivelyVax (current)'!AY53,'NotEffectivelyVax (current)'!BB53,'NotEffectivelyVax (current)'!BE53,'NotEffectivelyVax (current)'!BH53,'NotEffectivelyVax (current)'!BK53,'NotEffectivelyVax (current)'!BN53,'NotEffectivelyVax (current)'!BQ53,'NotEffectivelyVax (current)'!BT53,'NotEffectivelyVax (current)'!BW53,'NotEffectivelyVax (current)'!BZ53,'NotEffectivelyVax (current)'!CC53,'NotEffectivelyVax (current)'!CF53,'NotEffectivelyVax (current)'!CI53,'NotEffectivelyVax (current)'!CL53,'NotEffectivelyVax (current)'!CO53,'NotEffectivelyVax (current)'!CR53,'NotEffectivelyVax (current)'!CU53,'NotEffectivelyVax (current)'!CX53,'NotEffectivelyVax (current)'!DA53,'NotEffectivelyVax (current)'!DD53,'NotEffectivelyVax (current)'!DG53,'NotEffectivelyVax (current)'!DJ53,'NotEffectivelyVax (current)'!DM53,'NotEffectivelyVax (current)'!DP53,'NotEffectivelyVax (current)'!DS53,'NotEffectivelyVax (current)'!DV53,'NotEffectivelyVax (current)'!DY53,'NotEffectivelyVax (current)'!EB53,'NotEffectivelyVax (current)'!EE53,'NotEffectivelyVax (current)'!EH53,'NotEffectivelyVax (current)'!EK53,'NotEffectivelyVax (current)'!EN53,'NotEffectivelyVax (current)'!EQ53,'NotEffectivelyVax (current)'!ET53,'NotEffectivelyVax (current)'!EW53,'NotEffectivelyVax (current)'!EZ53,'NotEffectivelyVax (current)'!FC53,'NotEffectivelyVax (current)'!FF53,'NotEffectivelyVax (current)'!FI53,'NotEffectivelyVax (current)'!FL53,'NotEffectivelyVax (current)'!FO53,'NotEffectivelyVax (current)'!FR53,'NotEffectivelyVax (current)'!FU53,'NotEffectivelyVax (current)'!FX53,'NotEffectivelyVax (current)'!GA53)</f>
        <v>#VALUE!</v>
      </c>
      <c r="Q53" s="155" t="e">
        <f>SUM('NotEffectivelyVax (current)'!D53,'NotEffectivelyVax (current)'!G53,'NotEffectivelyVax (current)'!J53,'NotEffectivelyVax (current)'!M53,'NotEffectivelyVax (current)'!P53,'NotEffectivelyVax (current)'!S53,'NotEffectivelyVax (current)'!V53,'NotEffectivelyVax (current)'!Y53,'NotEffectivelyVax (current)'!AB53,'NotEffectivelyVax (current)'!AE53,'NotEffectivelyVax (current)'!AH53,'NotEffectivelyVax (current)'!AK53,'NotEffectivelyVax (current)'!AN53,'NotEffectivelyVax (current)'!AQ53,'NotEffectivelyVax (current)'!AT53,'NotEffectivelyVax (current)'!AW53,'NotEffectivelyVax (current)'!AZ53,'NotEffectivelyVax (current)'!BC53,'NotEffectivelyVax (current)'!BF53,'NotEffectivelyVax (current)'!BI53,'NotEffectivelyVax (current)'!BL53,'NotEffectivelyVax (current)'!BO53,'NotEffectivelyVax (current)'!BR53,'NotEffectivelyVax (current)'!BU53,'NotEffectivelyVax (current)'!BX53,'NotEffectivelyVax (current)'!CA53,'NotEffectivelyVax (current)'!CD53,'NotEffectivelyVax (current)'!CG53,'NotEffectivelyVax (current)'!CJ53,'NotEffectivelyVax (current)'!CM53,'NotEffectivelyVax (current)'!CP53,'NotEffectivelyVax (current)'!CS53,'NotEffectivelyVax (current)'!CV53,'NotEffectivelyVax (current)'!CY53,'NotEffectivelyVax (current)'!DB53,'NotEffectivelyVax (current)'!DE53,'NotEffectivelyVax (current)'!DH53,'NotEffectivelyVax (current)'!DK53,'NotEffectivelyVax (current)'!DN53,'NotEffectivelyVax (current)'!DQ53,'NotEffectivelyVax (current)'!DT53,'NotEffectivelyVax (current)'!DW53,'NotEffectivelyVax (current)'!DZ53,'NotEffectivelyVax (current)'!EC53,'NotEffectivelyVax (current)'!EF53,'NotEffectivelyVax (current)'!EI53,'NotEffectivelyVax (current)'!EL53,'NotEffectivelyVax (current)'!EO53,'NotEffectivelyVax (current)'!ER53,'NotEffectivelyVax (current)'!EU53,'NotEffectivelyVax (current)'!EX53,'NotEffectivelyVax (current)'!FA53,'NotEffectivelyVax (current)'!FD53,'NotEffectivelyVax (current)'!FG53,'NotEffectivelyVax (current)'!FJ53,'NotEffectivelyVax (current)'!FM53,'NotEffectivelyVax (current)'!FP53,'NotEffectivelyVax (current)'!FS53,'NotEffectivelyVax (current)'!FV53,'NotEffectivelyVax (current)'!FY53)</f>
        <v>#VALUE!</v>
      </c>
      <c r="R53" s="155" t="e">
        <f>SUM('NotEffectivelyVax (current)'!E53,'NotEffectivelyVax (current)'!H53,'NotEffectivelyVax (current)'!K53,'NotEffectivelyVax (current)'!N53,'NotEffectivelyVax (current)'!Q53,'NotEffectivelyVax (current)'!T53,'NotEffectivelyVax (current)'!W53,'NotEffectivelyVax (current)'!Z53,'NotEffectivelyVax (current)'!AC53,'NotEffectivelyVax (current)'!AF53,'NotEffectivelyVax (current)'!AI53,'NotEffectivelyVax (current)'!AL53,'NotEffectivelyVax (current)'!AO53,'NotEffectivelyVax (current)'!AR53,'NotEffectivelyVax (current)'!AU53,'NotEffectivelyVax (current)'!AX53,'NotEffectivelyVax (current)'!BA53,'NotEffectivelyVax (current)'!BD53,'NotEffectivelyVax (current)'!BG53,'NotEffectivelyVax (current)'!BJ53,'NotEffectivelyVax (current)'!BM53,'NotEffectivelyVax (current)'!BP53,'NotEffectivelyVax (current)'!BS53,'NotEffectivelyVax (current)'!BV53,'NotEffectivelyVax (current)'!BY53,'NotEffectivelyVax (current)'!CB53,'NotEffectivelyVax (current)'!CE53,'NotEffectivelyVax (current)'!CH53,'NotEffectivelyVax (current)'!CK53,'NotEffectivelyVax (current)'!CN53,'NotEffectivelyVax (current)'!CQ53,'NotEffectivelyVax (current)'!CT53,'NotEffectivelyVax (current)'!CW53,'NotEffectivelyVax (current)'!CZ53,'NotEffectivelyVax (current)'!DC53,'NotEffectivelyVax (current)'!DF53,'NotEffectivelyVax (current)'!DI53,'NotEffectivelyVax (current)'!DL53,'NotEffectivelyVax (current)'!DO53,'NotEffectivelyVax (current)'!DR53,'NotEffectivelyVax (current)'!DU53,'NotEffectivelyVax (current)'!DX53,'NotEffectivelyVax (current)'!EA53,'NotEffectivelyVax (current)'!ED53,'NotEffectivelyVax (current)'!EG53,'NotEffectivelyVax (current)'!EJ53,'NotEffectivelyVax (current)'!EM53,'NotEffectivelyVax (current)'!EP53,'NotEffectivelyVax (current)'!ES53,'NotEffectivelyVax (current)'!EV53,'NotEffectivelyVax (current)'!EY53,'NotEffectivelyVax (current)'!FB53,'NotEffectivelyVax (current)'!FE53,'NotEffectivelyVax (current)'!FH53,'NotEffectivelyVax (current)'!FK53,'NotEffectivelyVax (current)'!FN53,'NotEffectivelyVax (current)'!FQ53,'NotEffectivelyVax (current)'!FT53,'NotEffectivelyVax (current)'!FW53,'NotEffectivelyVax (current)'!FZ53)</f>
        <v>#VALUE!</v>
      </c>
      <c r="S53" s="138" t="e">
        <f t="shared" si="6"/>
        <v>#VALUE!</v>
      </c>
      <c r="T53" s="187" t="e">
        <f>IF(Export!M51&lt;&gt;"",Q53*Export!K51*(1/Export!M51),Q53*Export!K51)</f>
        <v>#VALUE!</v>
      </c>
      <c r="U53" s="188" t="e">
        <f>S53*Export!J51</f>
        <v>#VALUE!</v>
      </c>
      <c r="V53" s="196" t="e">
        <f t="shared" si="11"/>
        <v>#DIV/0!</v>
      </c>
      <c r="W53" s="197" t="e">
        <f t="shared" si="8"/>
        <v>#VALUE!</v>
      </c>
      <c r="X53" s="190" t="e">
        <f>H53*Export!L51*V52</f>
        <v>#VALUE!</v>
      </c>
      <c r="Y53" s="190" t="e">
        <f t="shared" si="1"/>
        <v>#VALUE!</v>
      </c>
      <c r="Z53" s="190" t="e">
        <f>IF(Export!M51&lt;&gt;"",W53*Export!K51*(1/Export!M51),W53*Export!K51)</f>
        <v>#VALUE!</v>
      </c>
      <c r="AA53" s="190" t="e">
        <f>Y53*Export!J51</f>
        <v>#VALUE!</v>
      </c>
      <c r="AC53" s="143" t="e">
        <f t="shared" si="12"/>
        <v>#VALUE!</v>
      </c>
      <c r="AD53" s="144" t="e">
        <f t="shared" si="12"/>
        <v>#VALUE!</v>
      </c>
      <c r="AE53" s="144" t="e">
        <f t="shared" si="13"/>
        <v>#VALUE!</v>
      </c>
      <c r="AF53" s="144" t="e">
        <f t="shared" si="13"/>
        <v>#VALUE!</v>
      </c>
      <c r="AG53" s="144" t="e">
        <f t="shared" si="4"/>
        <v>#VALUE!</v>
      </c>
      <c r="AH53" s="198"/>
      <c r="AI53" s="198"/>
      <c r="AJ53" s="198"/>
      <c r="AK53" s="198"/>
      <c r="AL53" s="199"/>
      <c r="AM53" s="150"/>
      <c r="AN53" s="150"/>
      <c r="AO53" s="150"/>
      <c r="AP53" s="150"/>
      <c r="AQ53" s="151"/>
      <c r="AR53" s="144"/>
    </row>
    <row r="54" spans="1:44" x14ac:dyDescent="0.35">
      <c r="A54" s="130">
        <f>EffectivelyVax!B53</f>
        <v>4</v>
      </c>
      <c r="B54" s="131" t="str">
        <f>EffectivelyVax!C53</f>
        <v/>
      </c>
      <c r="C54" s="132" t="str">
        <f>Export!N52</f>
        <v/>
      </c>
      <c r="D54" s="177" t="str">
        <f>Export!B52</f>
        <v/>
      </c>
      <c r="E54" s="178" t="e">
        <f>C54*D54*HelperFunctions!G$59</f>
        <v>#VALUE!</v>
      </c>
      <c r="F54" s="179" t="e">
        <f>C54*D54*(1-HelperFunctions!G$59)</f>
        <v>#VALUE!</v>
      </c>
      <c r="G54" s="180" t="str">
        <f>Export!C52</f>
        <v/>
      </c>
      <c r="H54" s="191" t="e">
        <f>G54/(I53+'NotEffectivelyVax (current)'!F53*HelperFunctions!R$14+'NotEffectivelyVax (current)'!I53*HelperFunctions!R$14+'NotEffectivelyVax (current)'!L53*HelperFunctions!R$14+'NotEffectivelyVax (current)'!O53*HelperFunctions!R$14+'NotEffectivelyVax (current)'!R53*HelperFunctions!R$14+'NotEffectivelyVax (current)'!U53*HelperFunctions!R$14+'NotEffectivelyVax (current)'!X53*HelperFunctions!R$14+'NotEffectivelyVax (current)'!AA53*HelperFunctions!R$14+'NotEffectivelyVax (current)'!AD53*HelperFunctions!R$14+'NotEffectivelyVax (current)'!AG53*HelperFunctions!R$14+'NotEffectivelyVax (current)'!AJ53*HelperFunctions!R$14+'NotEffectivelyVax (current)'!AM53*HelperFunctions!R$14+'NotEffectivelyVax (current)'!AP53*HelperFunctions!R$28+'NotEffectivelyVax (current)'!AS53*HelperFunctions!R$28+'NotEffectivelyVax (current)'!AV53*HelperFunctions!R$28+'NotEffectivelyVax (current)'!AY53*HelperFunctions!R$28+'NotEffectivelyVax (current)'!BB53*HelperFunctions!R$28+'NotEffectivelyVax (current)'!BE53*HelperFunctions!R$28+'NotEffectivelyVax (current)'!BH53*HelperFunctions!R$28+'NotEffectivelyVax (current)'!BK53*HelperFunctions!R$28+'NotEffectivelyVax (current)'!BN53*HelperFunctions!R$28+'NotEffectivelyVax (current)'!BQ53*HelperFunctions!R$28+'NotEffectivelyVax (current)'!BT53*HelperFunctions!R$28+'NotEffectivelyVax (current)'!BW53*HelperFunctions!R$28+'NotEffectivelyVax (current)'!BZ53*HelperFunctions!R$42+'NotEffectivelyVax (current)'!CC53*HelperFunctions!R$42+'NotEffectivelyVax (current)'!CF53*HelperFunctions!R$42+'NotEffectivelyVax (current)'!CI53*HelperFunctions!R$42+'NotEffectivelyVax (current)'!CL53*HelperFunctions!R$42+'NotEffectivelyVax (current)'!CO53*HelperFunctions!R$42+'NotEffectivelyVax (current)'!CR53*HelperFunctions!R$42+'NotEffectivelyVax (current)'!CU53*HelperFunctions!R$42+'NotEffectivelyVax (current)'!CX53*HelperFunctions!R$42+'NotEffectivelyVax (current)'!DA53*HelperFunctions!R$42+'NotEffectivelyVax (current)'!DD53*HelperFunctions!R$42+'NotEffectivelyVax (current)'!DG53*HelperFunctions!R$42+'NotEffectivelyVax (current)'!DJ53*HelperFunctions!R$56+'NotEffectivelyVax (current)'!DM53*HelperFunctions!R$56+'NotEffectivelyVax (current)'!DP53*HelperFunctions!R$56+'NotEffectivelyVax (current)'!DS53*HelperFunctions!R55+'NotEffectivelyVax (current)'!DV53*HelperFunctions!R54+'NotEffectivelyVax (current)'!DY53*HelperFunctions!R53+'NotEffectivelyVax (current)'!EB53*HelperFunctions!R52+'NotEffectivelyVax (current)'!EE53*HelperFunctions!R51+'NotEffectivelyVax (current)'!EH53*HelperFunctions!R50+'NotEffectivelyVax (current)'!EK53*HelperFunctions!R49+'NotEffectivelyVax (current)'!EN53*HelperFunctions!R48+'NotEffectivelyVax (current)'!EQ53*HelperFunctions!R47+'NotEffectivelyVax (current)'!ET53*HelperFunctions!R60+'NotEffectivelyVax (current)'!EW53*HelperFunctions!R59)</f>
        <v>#VALUE!</v>
      </c>
      <c r="I54" s="192" t="e">
        <f t="shared" si="10"/>
        <v>#VALUE!</v>
      </c>
      <c r="J54" s="153">
        <f>SUM(EffectivelyVax!D53:BK53)</f>
        <v>0</v>
      </c>
      <c r="K54" s="193" t="e">
        <f t="shared" si="5"/>
        <v>#VALUE!</v>
      </c>
      <c r="L54" s="194" t="e">
        <f>I53*H54*Export!L52</f>
        <v>#VALUE!</v>
      </c>
      <c r="M54" s="195" t="e">
        <f t="shared" si="0"/>
        <v>#VALUE!</v>
      </c>
      <c r="N54" s="178" t="e">
        <f>IF(Export!M52&lt;&gt;"",K54*Export!K52*(1/Export!M52),K54*Export!K52)</f>
        <v>#VALUE!</v>
      </c>
      <c r="O54" s="154" t="e">
        <f>M54*Export!J52</f>
        <v>#VALUE!</v>
      </c>
      <c r="P54" s="186" t="e">
        <f>SUM('NotEffectivelyVax (current)'!F54,'NotEffectivelyVax (current)'!I54,'NotEffectivelyVax (current)'!L54,'NotEffectivelyVax (current)'!O54,'NotEffectivelyVax (current)'!R54,'NotEffectivelyVax (current)'!U54,'NotEffectivelyVax (current)'!X54,'NotEffectivelyVax (current)'!AA54,'NotEffectivelyVax (current)'!AD54,'NotEffectivelyVax (current)'!AG54,'NotEffectivelyVax (current)'!AJ54,'NotEffectivelyVax (current)'!AM54,'NotEffectivelyVax (current)'!AP54,'NotEffectivelyVax (current)'!AS54,'NotEffectivelyVax (current)'!AV54,'NotEffectivelyVax (current)'!AY54,'NotEffectivelyVax (current)'!BB54,'NotEffectivelyVax (current)'!BE54,'NotEffectivelyVax (current)'!BH54,'NotEffectivelyVax (current)'!BK54,'NotEffectivelyVax (current)'!BN54,'NotEffectivelyVax (current)'!BQ54,'NotEffectivelyVax (current)'!BT54,'NotEffectivelyVax (current)'!BW54,'NotEffectivelyVax (current)'!BZ54,'NotEffectivelyVax (current)'!CC54,'NotEffectivelyVax (current)'!CF54,'NotEffectivelyVax (current)'!CI54,'NotEffectivelyVax (current)'!CL54,'NotEffectivelyVax (current)'!CO54,'NotEffectivelyVax (current)'!CR54,'NotEffectivelyVax (current)'!CU54,'NotEffectivelyVax (current)'!CX54,'NotEffectivelyVax (current)'!DA54,'NotEffectivelyVax (current)'!DD54,'NotEffectivelyVax (current)'!DG54,'NotEffectivelyVax (current)'!DJ54,'NotEffectivelyVax (current)'!DM54,'NotEffectivelyVax (current)'!DP54,'NotEffectivelyVax (current)'!DS54,'NotEffectivelyVax (current)'!DV54,'NotEffectivelyVax (current)'!DY54,'NotEffectivelyVax (current)'!EB54,'NotEffectivelyVax (current)'!EE54,'NotEffectivelyVax (current)'!EH54,'NotEffectivelyVax (current)'!EK54,'NotEffectivelyVax (current)'!EN54,'NotEffectivelyVax (current)'!EQ54,'NotEffectivelyVax (current)'!ET54,'NotEffectivelyVax (current)'!EW54,'NotEffectivelyVax (current)'!EZ54,'NotEffectivelyVax (current)'!FC54,'NotEffectivelyVax (current)'!FF54,'NotEffectivelyVax (current)'!FI54,'NotEffectivelyVax (current)'!FL54,'NotEffectivelyVax (current)'!FO54,'NotEffectivelyVax (current)'!FR54,'NotEffectivelyVax (current)'!FU54,'NotEffectivelyVax (current)'!FX54,'NotEffectivelyVax (current)'!GA54)</f>
        <v>#VALUE!</v>
      </c>
      <c r="Q54" s="155" t="e">
        <f>SUM('NotEffectivelyVax (current)'!D54,'NotEffectivelyVax (current)'!G54,'NotEffectivelyVax (current)'!J54,'NotEffectivelyVax (current)'!M54,'NotEffectivelyVax (current)'!P54,'NotEffectivelyVax (current)'!S54,'NotEffectivelyVax (current)'!V54,'NotEffectivelyVax (current)'!Y54,'NotEffectivelyVax (current)'!AB54,'NotEffectivelyVax (current)'!AE54,'NotEffectivelyVax (current)'!AH54,'NotEffectivelyVax (current)'!AK54,'NotEffectivelyVax (current)'!AN54,'NotEffectivelyVax (current)'!AQ54,'NotEffectivelyVax (current)'!AT54,'NotEffectivelyVax (current)'!AW54,'NotEffectivelyVax (current)'!AZ54,'NotEffectivelyVax (current)'!BC54,'NotEffectivelyVax (current)'!BF54,'NotEffectivelyVax (current)'!BI54,'NotEffectivelyVax (current)'!BL54,'NotEffectivelyVax (current)'!BO54,'NotEffectivelyVax (current)'!BR54,'NotEffectivelyVax (current)'!BU54,'NotEffectivelyVax (current)'!BX54,'NotEffectivelyVax (current)'!CA54,'NotEffectivelyVax (current)'!CD54,'NotEffectivelyVax (current)'!CG54,'NotEffectivelyVax (current)'!CJ54,'NotEffectivelyVax (current)'!CM54,'NotEffectivelyVax (current)'!CP54,'NotEffectivelyVax (current)'!CS54,'NotEffectivelyVax (current)'!CV54,'NotEffectivelyVax (current)'!CY54,'NotEffectivelyVax (current)'!DB54,'NotEffectivelyVax (current)'!DE54,'NotEffectivelyVax (current)'!DH54,'NotEffectivelyVax (current)'!DK54,'NotEffectivelyVax (current)'!DN54,'NotEffectivelyVax (current)'!DQ54,'NotEffectivelyVax (current)'!DT54,'NotEffectivelyVax (current)'!DW54,'NotEffectivelyVax (current)'!DZ54,'NotEffectivelyVax (current)'!EC54,'NotEffectivelyVax (current)'!EF54,'NotEffectivelyVax (current)'!EI54,'NotEffectivelyVax (current)'!EL54,'NotEffectivelyVax (current)'!EO54,'NotEffectivelyVax (current)'!ER54,'NotEffectivelyVax (current)'!EU54,'NotEffectivelyVax (current)'!EX54,'NotEffectivelyVax (current)'!FA54,'NotEffectivelyVax (current)'!FD54,'NotEffectivelyVax (current)'!FG54,'NotEffectivelyVax (current)'!FJ54,'NotEffectivelyVax (current)'!FM54,'NotEffectivelyVax (current)'!FP54,'NotEffectivelyVax (current)'!FS54,'NotEffectivelyVax (current)'!FV54,'NotEffectivelyVax (current)'!FY54)</f>
        <v>#VALUE!</v>
      </c>
      <c r="R54" s="155" t="e">
        <f>SUM('NotEffectivelyVax (current)'!E54,'NotEffectivelyVax (current)'!H54,'NotEffectivelyVax (current)'!K54,'NotEffectivelyVax (current)'!N54,'NotEffectivelyVax (current)'!Q54,'NotEffectivelyVax (current)'!T54,'NotEffectivelyVax (current)'!W54,'NotEffectivelyVax (current)'!Z54,'NotEffectivelyVax (current)'!AC54,'NotEffectivelyVax (current)'!AF54,'NotEffectivelyVax (current)'!AI54,'NotEffectivelyVax (current)'!AL54,'NotEffectivelyVax (current)'!AO54,'NotEffectivelyVax (current)'!AR54,'NotEffectivelyVax (current)'!AU54,'NotEffectivelyVax (current)'!AX54,'NotEffectivelyVax (current)'!BA54,'NotEffectivelyVax (current)'!BD54,'NotEffectivelyVax (current)'!BG54,'NotEffectivelyVax (current)'!BJ54,'NotEffectivelyVax (current)'!BM54,'NotEffectivelyVax (current)'!BP54,'NotEffectivelyVax (current)'!BS54,'NotEffectivelyVax (current)'!BV54,'NotEffectivelyVax (current)'!BY54,'NotEffectivelyVax (current)'!CB54,'NotEffectivelyVax (current)'!CE54,'NotEffectivelyVax (current)'!CH54,'NotEffectivelyVax (current)'!CK54,'NotEffectivelyVax (current)'!CN54,'NotEffectivelyVax (current)'!CQ54,'NotEffectivelyVax (current)'!CT54,'NotEffectivelyVax (current)'!CW54,'NotEffectivelyVax (current)'!CZ54,'NotEffectivelyVax (current)'!DC54,'NotEffectivelyVax (current)'!DF54,'NotEffectivelyVax (current)'!DI54,'NotEffectivelyVax (current)'!DL54,'NotEffectivelyVax (current)'!DO54,'NotEffectivelyVax (current)'!DR54,'NotEffectivelyVax (current)'!DU54,'NotEffectivelyVax (current)'!DX54,'NotEffectivelyVax (current)'!EA54,'NotEffectivelyVax (current)'!ED54,'NotEffectivelyVax (current)'!EG54,'NotEffectivelyVax (current)'!EJ54,'NotEffectivelyVax (current)'!EM54,'NotEffectivelyVax (current)'!EP54,'NotEffectivelyVax (current)'!ES54,'NotEffectivelyVax (current)'!EV54,'NotEffectivelyVax (current)'!EY54,'NotEffectivelyVax (current)'!FB54,'NotEffectivelyVax (current)'!FE54,'NotEffectivelyVax (current)'!FH54,'NotEffectivelyVax (current)'!FK54,'NotEffectivelyVax (current)'!FN54,'NotEffectivelyVax (current)'!FQ54,'NotEffectivelyVax (current)'!FT54,'NotEffectivelyVax (current)'!FW54,'NotEffectivelyVax (current)'!FZ54)</f>
        <v>#VALUE!</v>
      </c>
      <c r="S54" s="138" t="e">
        <f t="shared" si="6"/>
        <v>#VALUE!</v>
      </c>
      <c r="T54" s="187" t="e">
        <f>IF(Export!M52&lt;&gt;"",Q54*Export!K52*(1/Export!M52),Q54*Export!K52)</f>
        <v>#VALUE!</v>
      </c>
      <c r="U54" s="188" t="e">
        <f>S54*Export!J52</f>
        <v>#VALUE!</v>
      </c>
      <c r="V54" s="196" t="e">
        <f t="shared" si="11"/>
        <v>#DIV/0!</v>
      </c>
      <c r="W54" s="197" t="e">
        <f t="shared" si="8"/>
        <v>#VALUE!</v>
      </c>
      <c r="X54" s="190" t="e">
        <f>H54*Export!L52*V53</f>
        <v>#VALUE!</v>
      </c>
      <c r="Y54" s="190" t="e">
        <f t="shared" si="1"/>
        <v>#VALUE!</v>
      </c>
      <c r="Z54" s="190" t="e">
        <f>IF(Export!M52&lt;&gt;"",W54*Export!K52*(1/Export!M52),W54*Export!K52)</f>
        <v>#VALUE!</v>
      </c>
      <c r="AA54" s="190" t="e">
        <f>Y54*Export!J52</f>
        <v>#VALUE!</v>
      </c>
      <c r="AC54" s="143" t="e">
        <f t="shared" si="12"/>
        <v>#VALUE!</v>
      </c>
      <c r="AD54" s="144" t="e">
        <f t="shared" si="12"/>
        <v>#VALUE!</v>
      </c>
      <c r="AE54" s="144" t="e">
        <f t="shared" si="13"/>
        <v>#VALUE!</v>
      </c>
      <c r="AF54" s="144" t="e">
        <f t="shared" si="13"/>
        <v>#VALUE!</v>
      </c>
      <c r="AG54" s="144" t="e">
        <f t="shared" si="4"/>
        <v>#VALUE!</v>
      </c>
      <c r="AH54" s="198"/>
      <c r="AI54" s="198"/>
      <c r="AJ54" s="198"/>
      <c r="AK54" s="198"/>
      <c r="AL54" s="199"/>
      <c r="AM54" s="150"/>
      <c r="AN54" s="150"/>
      <c r="AO54" s="150"/>
      <c r="AP54" s="150"/>
      <c r="AQ54" s="151"/>
      <c r="AR54" s="144"/>
    </row>
    <row r="55" spans="1:44" x14ac:dyDescent="0.35">
      <c r="A55" s="130">
        <f>EffectivelyVax!B54</f>
        <v>4</v>
      </c>
      <c r="B55" s="131" t="str">
        <f>EffectivelyVax!C54</f>
        <v/>
      </c>
      <c r="C55" s="132" t="str">
        <f>Export!N53</f>
        <v/>
      </c>
      <c r="D55" s="177" t="str">
        <f>Export!B53</f>
        <v/>
      </c>
      <c r="E55" s="178" t="e">
        <f>C55*D55*HelperFunctions!G$59</f>
        <v>#VALUE!</v>
      </c>
      <c r="F55" s="179" t="e">
        <f>C55*D55*(1-HelperFunctions!G$59)</f>
        <v>#VALUE!</v>
      </c>
      <c r="G55" s="180" t="str">
        <f>Export!C53</f>
        <v/>
      </c>
      <c r="H55" s="191" t="e">
        <f>G55/(I54+'NotEffectivelyVax (current)'!F54*HelperFunctions!R$14+'NotEffectivelyVax (current)'!I54*HelperFunctions!R$14+'NotEffectivelyVax (current)'!L54*HelperFunctions!R$14+'NotEffectivelyVax (current)'!O54*HelperFunctions!R$14+'NotEffectivelyVax (current)'!R54*HelperFunctions!R$14+'NotEffectivelyVax (current)'!U54*HelperFunctions!R$14+'NotEffectivelyVax (current)'!X54*HelperFunctions!R$14+'NotEffectivelyVax (current)'!AA54*HelperFunctions!R$14+'NotEffectivelyVax (current)'!AD54*HelperFunctions!R$14+'NotEffectivelyVax (current)'!AG54*HelperFunctions!R$14+'NotEffectivelyVax (current)'!AJ54*HelperFunctions!R$14+'NotEffectivelyVax (current)'!AM54*HelperFunctions!R$14+'NotEffectivelyVax (current)'!AP54*HelperFunctions!R$28+'NotEffectivelyVax (current)'!AS54*HelperFunctions!R$28+'NotEffectivelyVax (current)'!AV54*HelperFunctions!R$28+'NotEffectivelyVax (current)'!AY54*HelperFunctions!R$28+'NotEffectivelyVax (current)'!BB54*HelperFunctions!R$28+'NotEffectivelyVax (current)'!BE54*HelperFunctions!R$28+'NotEffectivelyVax (current)'!BH54*HelperFunctions!R$28+'NotEffectivelyVax (current)'!BK54*HelperFunctions!R$28+'NotEffectivelyVax (current)'!BN54*HelperFunctions!R$28+'NotEffectivelyVax (current)'!BQ54*HelperFunctions!R$28+'NotEffectivelyVax (current)'!BT54*HelperFunctions!R$28+'NotEffectivelyVax (current)'!BW54*HelperFunctions!R$28+'NotEffectivelyVax (current)'!BZ54*HelperFunctions!R$42+'NotEffectivelyVax (current)'!CC54*HelperFunctions!R$42+'NotEffectivelyVax (current)'!CF54*HelperFunctions!R$42+'NotEffectivelyVax (current)'!CI54*HelperFunctions!R$42+'NotEffectivelyVax (current)'!CL54*HelperFunctions!R$42+'NotEffectivelyVax (current)'!CO54*HelperFunctions!R$42+'NotEffectivelyVax (current)'!CR54*HelperFunctions!R$42+'NotEffectivelyVax (current)'!CU54*HelperFunctions!R$42+'NotEffectivelyVax (current)'!CX54*HelperFunctions!R$42+'NotEffectivelyVax (current)'!DA54*HelperFunctions!R$42+'NotEffectivelyVax (current)'!DD54*HelperFunctions!R$42+'NotEffectivelyVax (current)'!DG54*HelperFunctions!R$42+'NotEffectivelyVax (current)'!DJ54*HelperFunctions!R$56+'NotEffectivelyVax (current)'!DM54*HelperFunctions!R$56+'NotEffectivelyVax (current)'!DP54*HelperFunctions!R$56+'NotEffectivelyVax (current)'!DS54*HelperFunctions!R$56+'NotEffectivelyVax (current)'!DV54*HelperFunctions!R55+'NotEffectivelyVax (current)'!DY54*HelperFunctions!R54+'NotEffectivelyVax (current)'!EB54*HelperFunctions!R53+'NotEffectivelyVax (current)'!EE54*HelperFunctions!R52+'NotEffectivelyVax (current)'!EH54*HelperFunctions!R51+'NotEffectivelyVax (current)'!EK54*HelperFunctions!R50+'NotEffectivelyVax (current)'!EN54*HelperFunctions!R49+'NotEffectivelyVax (current)'!EQ54*HelperFunctions!R48+'NotEffectivelyVax (current)'!ET54*HelperFunctions!R61+'NotEffectivelyVax (current)'!EW54*HelperFunctions!R60+'NotEffectivelyVax (current)'!EZ54*HelperFunctions!R59)</f>
        <v>#VALUE!</v>
      </c>
      <c r="I55" s="192" t="e">
        <f t="shared" si="10"/>
        <v>#VALUE!</v>
      </c>
      <c r="J55" s="153">
        <f>SUM(EffectivelyVax!D54:BK54)</f>
        <v>0</v>
      </c>
      <c r="K55" s="193" t="e">
        <f t="shared" si="5"/>
        <v>#VALUE!</v>
      </c>
      <c r="L55" s="194" t="e">
        <f>I54*H55*Export!L53</f>
        <v>#VALUE!</v>
      </c>
      <c r="M55" s="195" t="e">
        <f t="shared" si="0"/>
        <v>#VALUE!</v>
      </c>
      <c r="N55" s="178" t="e">
        <f>IF(Export!M53&lt;&gt;"",K55*Export!K53*(1/Export!M53),K55*Export!K53)</f>
        <v>#VALUE!</v>
      </c>
      <c r="O55" s="154" t="e">
        <f>M55*Export!J53</f>
        <v>#VALUE!</v>
      </c>
      <c r="P55" s="186" t="e">
        <f>SUM('NotEffectivelyVax (current)'!F55,'NotEffectivelyVax (current)'!I55,'NotEffectivelyVax (current)'!L55,'NotEffectivelyVax (current)'!O55,'NotEffectivelyVax (current)'!R55,'NotEffectivelyVax (current)'!U55,'NotEffectivelyVax (current)'!X55,'NotEffectivelyVax (current)'!AA55,'NotEffectivelyVax (current)'!AD55,'NotEffectivelyVax (current)'!AG55,'NotEffectivelyVax (current)'!AJ55,'NotEffectivelyVax (current)'!AM55,'NotEffectivelyVax (current)'!AP55,'NotEffectivelyVax (current)'!AS55,'NotEffectivelyVax (current)'!AV55,'NotEffectivelyVax (current)'!AY55,'NotEffectivelyVax (current)'!BB55,'NotEffectivelyVax (current)'!BE55,'NotEffectivelyVax (current)'!BH55,'NotEffectivelyVax (current)'!BK55,'NotEffectivelyVax (current)'!BN55,'NotEffectivelyVax (current)'!BQ55,'NotEffectivelyVax (current)'!BT55,'NotEffectivelyVax (current)'!BW55,'NotEffectivelyVax (current)'!BZ55,'NotEffectivelyVax (current)'!CC55,'NotEffectivelyVax (current)'!CF55,'NotEffectivelyVax (current)'!CI55,'NotEffectivelyVax (current)'!CL55,'NotEffectivelyVax (current)'!CO55,'NotEffectivelyVax (current)'!CR55,'NotEffectivelyVax (current)'!CU55,'NotEffectivelyVax (current)'!CX55,'NotEffectivelyVax (current)'!DA55,'NotEffectivelyVax (current)'!DD55,'NotEffectivelyVax (current)'!DG55,'NotEffectivelyVax (current)'!DJ55,'NotEffectivelyVax (current)'!DM55,'NotEffectivelyVax (current)'!DP55,'NotEffectivelyVax (current)'!DS55,'NotEffectivelyVax (current)'!DV55,'NotEffectivelyVax (current)'!DY55,'NotEffectivelyVax (current)'!EB55,'NotEffectivelyVax (current)'!EE55,'NotEffectivelyVax (current)'!EH55,'NotEffectivelyVax (current)'!EK55,'NotEffectivelyVax (current)'!EN55,'NotEffectivelyVax (current)'!EQ55,'NotEffectivelyVax (current)'!ET55,'NotEffectivelyVax (current)'!EW55,'NotEffectivelyVax (current)'!EZ55,'NotEffectivelyVax (current)'!FC55,'NotEffectivelyVax (current)'!FF55,'NotEffectivelyVax (current)'!FI55,'NotEffectivelyVax (current)'!FL55,'NotEffectivelyVax (current)'!FO55,'NotEffectivelyVax (current)'!FR55,'NotEffectivelyVax (current)'!FU55,'NotEffectivelyVax (current)'!FX55,'NotEffectivelyVax (current)'!GA55)</f>
        <v>#VALUE!</v>
      </c>
      <c r="Q55" s="155" t="e">
        <f>SUM('NotEffectivelyVax (current)'!D55,'NotEffectivelyVax (current)'!G55,'NotEffectivelyVax (current)'!J55,'NotEffectivelyVax (current)'!M55,'NotEffectivelyVax (current)'!P55,'NotEffectivelyVax (current)'!S55,'NotEffectivelyVax (current)'!V55,'NotEffectivelyVax (current)'!Y55,'NotEffectivelyVax (current)'!AB55,'NotEffectivelyVax (current)'!AE55,'NotEffectivelyVax (current)'!AH55,'NotEffectivelyVax (current)'!AK55,'NotEffectivelyVax (current)'!AN55,'NotEffectivelyVax (current)'!AQ55,'NotEffectivelyVax (current)'!AT55,'NotEffectivelyVax (current)'!AW55,'NotEffectivelyVax (current)'!AZ55,'NotEffectivelyVax (current)'!BC55,'NotEffectivelyVax (current)'!BF55,'NotEffectivelyVax (current)'!BI55,'NotEffectivelyVax (current)'!BL55,'NotEffectivelyVax (current)'!BO55,'NotEffectivelyVax (current)'!BR55,'NotEffectivelyVax (current)'!BU55,'NotEffectivelyVax (current)'!BX55,'NotEffectivelyVax (current)'!CA55,'NotEffectivelyVax (current)'!CD55,'NotEffectivelyVax (current)'!CG55,'NotEffectivelyVax (current)'!CJ55,'NotEffectivelyVax (current)'!CM55,'NotEffectivelyVax (current)'!CP55,'NotEffectivelyVax (current)'!CS55,'NotEffectivelyVax (current)'!CV55,'NotEffectivelyVax (current)'!CY55,'NotEffectivelyVax (current)'!DB55,'NotEffectivelyVax (current)'!DE55,'NotEffectivelyVax (current)'!DH55,'NotEffectivelyVax (current)'!DK55,'NotEffectivelyVax (current)'!DN55,'NotEffectivelyVax (current)'!DQ55,'NotEffectivelyVax (current)'!DT55,'NotEffectivelyVax (current)'!DW55,'NotEffectivelyVax (current)'!DZ55,'NotEffectivelyVax (current)'!EC55,'NotEffectivelyVax (current)'!EF55,'NotEffectivelyVax (current)'!EI55,'NotEffectivelyVax (current)'!EL55,'NotEffectivelyVax (current)'!EO55,'NotEffectivelyVax (current)'!ER55,'NotEffectivelyVax (current)'!EU55,'NotEffectivelyVax (current)'!EX55,'NotEffectivelyVax (current)'!FA55,'NotEffectivelyVax (current)'!FD55,'NotEffectivelyVax (current)'!FG55,'NotEffectivelyVax (current)'!FJ55,'NotEffectivelyVax (current)'!FM55,'NotEffectivelyVax (current)'!FP55,'NotEffectivelyVax (current)'!FS55,'NotEffectivelyVax (current)'!FV55,'NotEffectivelyVax (current)'!FY55)</f>
        <v>#VALUE!</v>
      </c>
      <c r="R55" s="155" t="e">
        <f>SUM('NotEffectivelyVax (current)'!E55,'NotEffectivelyVax (current)'!H55,'NotEffectivelyVax (current)'!K55,'NotEffectivelyVax (current)'!N55,'NotEffectivelyVax (current)'!Q55,'NotEffectivelyVax (current)'!T55,'NotEffectivelyVax (current)'!W55,'NotEffectivelyVax (current)'!Z55,'NotEffectivelyVax (current)'!AC55,'NotEffectivelyVax (current)'!AF55,'NotEffectivelyVax (current)'!AI55,'NotEffectivelyVax (current)'!AL55,'NotEffectivelyVax (current)'!AO55,'NotEffectivelyVax (current)'!AR55,'NotEffectivelyVax (current)'!AU55,'NotEffectivelyVax (current)'!AX55,'NotEffectivelyVax (current)'!BA55,'NotEffectivelyVax (current)'!BD55,'NotEffectivelyVax (current)'!BG55,'NotEffectivelyVax (current)'!BJ55,'NotEffectivelyVax (current)'!BM55,'NotEffectivelyVax (current)'!BP55,'NotEffectivelyVax (current)'!BS55,'NotEffectivelyVax (current)'!BV55,'NotEffectivelyVax (current)'!BY55,'NotEffectivelyVax (current)'!CB55,'NotEffectivelyVax (current)'!CE55,'NotEffectivelyVax (current)'!CH55,'NotEffectivelyVax (current)'!CK55,'NotEffectivelyVax (current)'!CN55,'NotEffectivelyVax (current)'!CQ55,'NotEffectivelyVax (current)'!CT55,'NotEffectivelyVax (current)'!CW55,'NotEffectivelyVax (current)'!CZ55,'NotEffectivelyVax (current)'!DC55,'NotEffectivelyVax (current)'!DF55,'NotEffectivelyVax (current)'!DI55,'NotEffectivelyVax (current)'!DL55,'NotEffectivelyVax (current)'!DO55,'NotEffectivelyVax (current)'!DR55,'NotEffectivelyVax (current)'!DU55,'NotEffectivelyVax (current)'!DX55,'NotEffectivelyVax (current)'!EA55,'NotEffectivelyVax (current)'!ED55,'NotEffectivelyVax (current)'!EG55,'NotEffectivelyVax (current)'!EJ55,'NotEffectivelyVax (current)'!EM55,'NotEffectivelyVax (current)'!EP55,'NotEffectivelyVax (current)'!ES55,'NotEffectivelyVax (current)'!EV55,'NotEffectivelyVax (current)'!EY55,'NotEffectivelyVax (current)'!FB55,'NotEffectivelyVax (current)'!FE55,'NotEffectivelyVax (current)'!FH55,'NotEffectivelyVax (current)'!FK55,'NotEffectivelyVax (current)'!FN55,'NotEffectivelyVax (current)'!FQ55,'NotEffectivelyVax (current)'!FT55,'NotEffectivelyVax (current)'!FW55,'NotEffectivelyVax (current)'!FZ55)</f>
        <v>#VALUE!</v>
      </c>
      <c r="S55" s="138" t="e">
        <f t="shared" si="6"/>
        <v>#VALUE!</v>
      </c>
      <c r="T55" s="187" t="e">
        <f>IF(Export!M53&lt;&gt;"",Q55*Export!K53*(1/Export!M53),Q55*Export!K53)</f>
        <v>#VALUE!</v>
      </c>
      <c r="U55" s="188" t="e">
        <f>S55*Export!J53</f>
        <v>#VALUE!</v>
      </c>
      <c r="V55" s="196" t="e">
        <f t="shared" si="11"/>
        <v>#DIV/0!</v>
      </c>
      <c r="W55" s="197" t="e">
        <f t="shared" si="8"/>
        <v>#VALUE!</v>
      </c>
      <c r="X55" s="190" t="e">
        <f>H55*Export!L53*V54</f>
        <v>#VALUE!</v>
      </c>
      <c r="Y55" s="190" t="e">
        <f t="shared" si="1"/>
        <v>#VALUE!</v>
      </c>
      <c r="Z55" s="190" t="e">
        <f>IF(Export!M53&lt;&gt;"",W55*Export!K53*(1/Export!M53),W55*Export!K53)</f>
        <v>#VALUE!</v>
      </c>
      <c r="AA55" s="190" t="e">
        <f>Y55*Export!J53</f>
        <v>#VALUE!</v>
      </c>
      <c r="AC55" s="143" t="e">
        <f t="shared" si="12"/>
        <v>#VALUE!</v>
      </c>
      <c r="AD55" s="144" t="e">
        <f t="shared" si="12"/>
        <v>#VALUE!</v>
      </c>
      <c r="AE55" s="144" t="e">
        <f t="shared" si="13"/>
        <v>#VALUE!</v>
      </c>
      <c r="AF55" s="144" t="e">
        <f t="shared" si="13"/>
        <v>#VALUE!</v>
      </c>
      <c r="AG55" s="144" t="e">
        <f t="shared" si="4"/>
        <v>#VALUE!</v>
      </c>
      <c r="AH55" s="198"/>
      <c r="AI55" s="198"/>
      <c r="AJ55" s="198"/>
      <c r="AK55" s="198"/>
      <c r="AL55" s="199"/>
      <c r="AM55" s="150"/>
      <c r="AN55" s="150"/>
      <c r="AO55" s="150"/>
      <c r="AP55" s="150"/>
      <c r="AQ55" s="151"/>
      <c r="AR55" s="144"/>
    </row>
    <row r="56" spans="1:44" x14ac:dyDescent="0.35">
      <c r="A56" s="130">
        <f>EffectivelyVax!B55</f>
        <v>4</v>
      </c>
      <c r="B56" s="131" t="str">
        <f>EffectivelyVax!C55</f>
        <v/>
      </c>
      <c r="C56" s="132" t="str">
        <f>Export!N54</f>
        <v/>
      </c>
      <c r="D56" s="177" t="str">
        <f>Export!B54</f>
        <v/>
      </c>
      <c r="E56" s="178" t="e">
        <f>C56*D56*HelperFunctions!G$59</f>
        <v>#VALUE!</v>
      </c>
      <c r="F56" s="179" t="e">
        <f>C56*D56*(1-HelperFunctions!G$59)</f>
        <v>#VALUE!</v>
      </c>
      <c r="G56" s="180" t="str">
        <f>Export!C54</f>
        <v/>
      </c>
      <c r="H56" s="191" t="e">
        <f>G56/(I55+'NotEffectivelyVax (current)'!F55*HelperFunctions!R$14+'NotEffectivelyVax (current)'!I55*HelperFunctions!R$14+'NotEffectivelyVax (current)'!L55*HelperFunctions!R$14+'NotEffectivelyVax (current)'!O55*HelperFunctions!R$14+'NotEffectivelyVax (current)'!R55*HelperFunctions!R$14+'NotEffectivelyVax (current)'!U55*HelperFunctions!R$14+'NotEffectivelyVax (current)'!X55*HelperFunctions!R$14+'NotEffectivelyVax (current)'!AA55*HelperFunctions!R$14+'NotEffectivelyVax (current)'!AD55*HelperFunctions!R$14+'NotEffectivelyVax (current)'!AG55*HelperFunctions!R$14+'NotEffectivelyVax (current)'!AJ55*HelperFunctions!R$14+'NotEffectivelyVax (current)'!AM55*HelperFunctions!R$14+'NotEffectivelyVax (current)'!AP55*HelperFunctions!R$28+'NotEffectivelyVax (current)'!AS55*HelperFunctions!R$28+'NotEffectivelyVax (current)'!AV55*HelperFunctions!R$28+'NotEffectivelyVax (current)'!AY55*HelperFunctions!R$28+'NotEffectivelyVax (current)'!BB55*HelperFunctions!R$28+'NotEffectivelyVax (current)'!BE55*HelperFunctions!R$28+'NotEffectivelyVax (current)'!BH55*HelperFunctions!R$28+'NotEffectivelyVax (current)'!BK55*HelperFunctions!R$28+'NotEffectivelyVax (current)'!BN55*HelperFunctions!R$28+'NotEffectivelyVax (current)'!BQ55*HelperFunctions!R$28+'NotEffectivelyVax (current)'!BT55*HelperFunctions!R$28+'NotEffectivelyVax (current)'!BW55*HelperFunctions!R$28+'NotEffectivelyVax (current)'!BZ55*HelperFunctions!R$42+'NotEffectivelyVax (current)'!CC55*HelperFunctions!R$42+'NotEffectivelyVax (current)'!CF55*HelperFunctions!R$42+'NotEffectivelyVax (current)'!CI55*HelperFunctions!R$42+'NotEffectivelyVax (current)'!CL55*HelperFunctions!R$42+'NotEffectivelyVax (current)'!CO55*HelperFunctions!R$42+'NotEffectivelyVax (current)'!CR55*HelperFunctions!R$42+'NotEffectivelyVax (current)'!CU55*HelperFunctions!R$42+'NotEffectivelyVax (current)'!CX55*HelperFunctions!R$42+'NotEffectivelyVax (current)'!DA55*HelperFunctions!R$42+'NotEffectivelyVax (current)'!DD55*HelperFunctions!R$42+'NotEffectivelyVax (current)'!DG55*HelperFunctions!R$42+'NotEffectivelyVax (current)'!DJ55*HelperFunctions!R$56+'NotEffectivelyVax (current)'!DM55*HelperFunctions!R$56+'NotEffectivelyVax (current)'!DP55*HelperFunctions!R$56+'NotEffectivelyVax (current)'!DS55*HelperFunctions!R$56+'NotEffectivelyVax (current)'!DV55*HelperFunctions!R$56+'NotEffectivelyVax (current)'!DY55*HelperFunctions!R55+'NotEffectivelyVax (current)'!EB55*HelperFunctions!R54+'NotEffectivelyVax (current)'!EE55*HelperFunctions!R53+'NotEffectivelyVax (current)'!EH55*HelperFunctions!R52+'NotEffectivelyVax (current)'!EK55*HelperFunctions!R51+'NotEffectivelyVax (current)'!EN55*HelperFunctions!R50+'NotEffectivelyVax (current)'!EQ55*HelperFunctions!R49+'NotEffectivelyVax (current)'!ET55*HelperFunctions!R62+'NotEffectivelyVax (current)'!EW55*HelperFunctions!R61+'NotEffectivelyVax (current)'!EZ55*HelperFunctions!R60+'NotEffectivelyVax (current)'!FC55*HelperFunctions!R59)</f>
        <v>#VALUE!</v>
      </c>
      <c r="I56" s="192" t="e">
        <f t="shared" si="10"/>
        <v>#VALUE!</v>
      </c>
      <c r="J56" s="153">
        <f>SUM(EffectivelyVax!D55:BK55)</f>
        <v>0</v>
      </c>
      <c r="K56" s="193" t="e">
        <f t="shared" si="5"/>
        <v>#VALUE!</v>
      </c>
      <c r="L56" s="194" t="e">
        <f>I55*H56*Export!L54</f>
        <v>#VALUE!</v>
      </c>
      <c r="M56" s="195" t="e">
        <f t="shared" si="0"/>
        <v>#VALUE!</v>
      </c>
      <c r="N56" s="178" t="e">
        <f>IF(Export!M54&lt;&gt;"",K56*Export!K54*(1/Export!M54),K56*Export!K54)</f>
        <v>#VALUE!</v>
      </c>
      <c r="O56" s="154" t="e">
        <f>M56*Export!J54</f>
        <v>#VALUE!</v>
      </c>
      <c r="P56" s="186" t="e">
        <f>SUM('NotEffectivelyVax (current)'!F56,'NotEffectivelyVax (current)'!I56,'NotEffectivelyVax (current)'!L56,'NotEffectivelyVax (current)'!O56,'NotEffectivelyVax (current)'!R56,'NotEffectivelyVax (current)'!U56,'NotEffectivelyVax (current)'!X56,'NotEffectivelyVax (current)'!AA56,'NotEffectivelyVax (current)'!AD56,'NotEffectivelyVax (current)'!AG56,'NotEffectivelyVax (current)'!AJ56,'NotEffectivelyVax (current)'!AM56,'NotEffectivelyVax (current)'!AP56,'NotEffectivelyVax (current)'!AS56,'NotEffectivelyVax (current)'!AV56,'NotEffectivelyVax (current)'!AY56,'NotEffectivelyVax (current)'!BB56,'NotEffectivelyVax (current)'!BE56,'NotEffectivelyVax (current)'!BH56,'NotEffectivelyVax (current)'!BK56,'NotEffectivelyVax (current)'!BN56,'NotEffectivelyVax (current)'!BQ56,'NotEffectivelyVax (current)'!BT56,'NotEffectivelyVax (current)'!BW56,'NotEffectivelyVax (current)'!BZ56,'NotEffectivelyVax (current)'!CC56,'NotEffectivelyVax (current)'!CF56,'NotEffectivelyVax (current)'!CI56,'NotEffectivelyVax (current)'!CL56,'NotEffectivelyVax (current)'!CO56,'NotEffectivelyVax (current)'!CR56,'NotEffectivelyVax (current)'!CU56,'NotEffectivelyVax (current)'!CX56,'NotEffectivelyVax (current)'!DA56,'NotEffectivelyVax (current)'!DD56,'NotEffectivelyVax (current)'!DG56,'NotEffectivelyVax (current)'!DJ56,'NotEffectivelyVax (current)'!DM56,'NotEffectivelyVax (current)'!DP56,'NotEffectivelyVax (current)'!DS56,'NotEffectivelyVax (current)'!DV56,'NotEffectivelyVax (current)'!DY56,'NotEffectivelyVax (current)'!EB56,'NotEffectivelyVax (current)'!EE56,'NotEffectivelyVax (current)'!EH56,'NotEffectivelyVax (current)'!EK56,'NotEffectivelyVax (current)'!EN56,'NotEffectivelyVax (current)'!EQ56,'NotEffectivelyVax (current)'!ET56,'NotEffectivelyVax (current)'!EW56,'NotEffectivelyVax (current)'!EZ56,'NotEffectivelyVax (current)'!FC56,'NotEffectivelyVax (current)'!FF56,'NotEffectivelyVax (current)'!FI56,'NotEffectivelyVax (current)'!FL56,'NotEffectivelyVax (current)'!FO56,'NotEffectivelyVax (current)'!FR56,'NotEffectivelyVax (current)'!FU56,'NotEffectivelyVax (current)'!FX56,'NotEffectivelyVax (current)'!GA56)</f>
        <v>#VALUE!</v>
      </c>
      <c r="Q56" s="155" t="e">
        <f>SUM('NotEffectivelyVax (current)'!D56,'NotEffectivelyVax (current)'!G56,'NotEffectivelyVax (current)'!J56,'NotEffectivelyVax (current)'!M56,'NotEffectivelyVax (current)'!P56,'NotEffectivelyVax (current)'!S56,'NotEffectivelyVax (current)'!V56,'NotEffectivelyVax (current)'!Y56,'NotEffectivelyVax (current)'!AB56,'NotEffectivelyVax (current)'!AE56,'NotEffectivelyVax (current)'!AH56,'NotEffectivelyVax (current)'!AK56,'NotEffectivelyVax (current)'!AN56,'NotEffectivelyVax (current)'!AQ56,'NotEffectivelyVax (current)'!AT56,'NotEffectivelyVax (current)'!AW56,'NotEffectivelyVax (current)'!AZ56,'NotEffectivelyVax (current)'!BC56,'NotEffectivelyVax (current)'!BF56,'NotEffectivelyVax (current)'!BI56,'NotEffectivelyVax (current)'!BL56,'NotEffectivelyVax (current)'!BO56,'NotEffectivelyVax (current)'!BR56,'NotEffectivelyVax (current)'!BU56,'NotEffectivelyVax (current)'!BX56,'NotEffectivelyVax (current)'!CA56,'NotEffectivelyVax (current)'!CD56,'NotEffectivelyVax (current)'!CG56,'NotEffectivelyVax (current)'!CJ56,'NotEffectivelyVax (current)'!CM56,'NotEffectivelyVax (current)'!CP56,'NotEffectivelyVax (current)'!CS56,'NotEffectivelyVax (current)'!CV56,'NotEffectivelyVax (current)'!CY56,'NotEffectivelyVax (current)'!DB56,'NotEffectivelyVax (current)'!DE56,'NotEffectivelyVax (current)'!DH56,'NotEffectivelyVax (current)'!DK56,'NotEffectivelyVax (current)'!DN56,'NotEffectivelyVax (current)'!DQ56,'NotEffectivelyVax (current)'!DT56,'NotEffectivelyVax (current)'!DW56,'NotEffectivelyVax (current)'!DZ56,'NotEffectivelyVax (current)'!EC56,'NotEffectivelyVax (current)'!EF56,'NotEffectivelyVax (current)'!EI56,'NotEffectivelyVax (current)'!EL56,'NotEffectivelyVax (current)'!EO56,'NotEffectivelyVax (current)'!ER56,'NotEffectivelyVax (current)'!EU56,'NotEffectivelyVax (current)'!EX56,'NotEffectivelyVax (current)'!FA56,'NotEffectivelyVax (current)'!FD56,'NotEffectivelyVax (current)'!FG56,'NotEffectivelyVax (current)'!FJ56,'NotEffectivelyVax (current)'!FM56,'NotEffectivelyVax (current)'!FP56,'NotEffectivelyVax (current)'!FS56,'NotEffectivelyVax (current)'!FV56,'NotEffectivelyVax (current)'!FY56)</f>
        <v>#VALUE!</v>
      </c>
      <c r="R56" s="155" t="e">
        <f>SUM('NotEffectivelyVax (current)'!E56,'NotEffectivelyVax (current)'!H56,'NotEffectivelyVax (current)'!K56,'NotEffectivelyVax (current)'!N56,'NotEffectivelyVax (current)'!Q56,'NotEffectivelyVax (current)'!T56,'NotEffectivelyVax (current)'!W56,'NotEffectivelyVax (current)'!Z56,'NotEffectivelyVax (current)'!AC56,'NotEffectivelyVax (current)'!AF56,'NotEffectivelyVax (current)'!AI56,'NotEffectivelyVax (current)'!AL56,'NotEffectivelyVax (current)'!AO56,'NotEffectivelyVax (current)'!AR56,'NotEffectivelyVax (current)'!AU56,'NotEffectivelyVax (current)'!AX56,'NotEffectivelyVax (current)'!BA56,'NotEffectivelyVax (current)'!BD56,'NotEffectivelyVax (current)'!BG56,'NotEffectivelyVax (current)'!BJ56,'NotEffectivelyVax (current)'!BM56,'NotEffectivelyVax (current)'!BP56,'NotEffectivelyVax (current)'!BS56,'NotEffectivelyVax (current)'!BV56,'NotEffectivelyVax (current)'!BY56,'NotEffectivelyVax (current)'!CB56,'NotEffectivelyVax (current)'!CE56,'NotEffectivelyVax (current)'!CH56,'NotEffectivelyVax (current)'!CK56,'NotEffectivelyVax (current)'!CN56,'NotEffectivelyVax (current)'!CQ56,'NotEffectivelyVax (current)'!CT56,'NotEffectivelyVax (current)'!CW56,'NotEffectivelyVax (current)'!CZ56,'NotEffectivelyVax (current)'!DC56,'NotEffectivelyVax (current)'!DF56,'NotEffectivelyVax (current)'!DI56,'NotEffectivelyVax (current)'!DL56,'NotEffectivelyVax (current)'!DO56,'NotEffectivelyVax (current)'!DR56,'NotEffectivelyVax (current)'!DU56,'NotEffectivelyVax (current)'!DX56,'NotEffectivelyVax (current)'!EA56,'NotEffectivelyVax (current)'!ED56,'NotEffectivelyVax (current)'!EG56,'NotEffectivelyVax (current)'!EJ56,'NotEffectivelyVax (current)'!EM56,'NotEffectivelyVax (current)'!EP56,'NotEffectivelyVax (current)'!ES56,'NotEffectivelyVax (current)'!EV56,'NotEffectivelyVax (current)'!EY56,'NotEffectivelyVax (current)'!FB56,'NotEffectivelyVax (current)'!FE56,'NotEffectivelyVax (current)'!FH56,'NotEffectivelyVax (current)'!FK56,'NotEffectivelyVax (current)'!FN56,'NotEffectivelyVax (current)'!FQ56,'NotEffectivelyVax (current)'!FT56,'NotEffectivelyVax (current)'!FW56,'NotEffectivelyVax (current)'!FZ56)</f>
        <v>#VALUE!</v>
      </c>
      <c r="S56" s="138" t="e">
        <f t="shared" si="6"/>
        <v>#VALUE!</v>
      </c>
      <c r="T56" s="187" t="e">
        <f>IF(Export!M54&lt;&gt;"",Q56*Export!K54*(1/Export!M54),Q56*Export!K54)</f>
        <v>#VALUE!</v>
      </c>
      <c r="U56" s="188" t="e">
        <f>S56*Export!J54</f>
        <v>#VALUE!</v>
      </c>
      <c r="V56" s="196" t="e">
        <f t="shared" si="11"/>
        <v>#DIV/0!</v>
      </c>
      <c r="W56" s="197" t="e">
        <f t="shared" si="8"/>
        <v>#VALUE!</v>
      </c>
      <c r="X56" s="190" t="e">
        <f>H56*Export!L54*V55</f>
        <v>#VALUE!</v>
      </c>
      <c r="Y56" s="190" t="e">
        <f t="shared" si="1"/>
        <v>#VALUE!</v>
      </c>
      <c r="Z56" s="190" t="e">
        <f>IF(Export!M54&lt;&gt;"",W56*Export!K54*(1/Export!M54),W56*Export!K54)</f>
        <v>#VALUE!</v>
      </c>
      <c r="AA56" s="190" t="e">
        <f>Y56*Export!J54</f>
        <v>#VALUE!</v>
      </c>
      <c r="AC56" s="143" t="e">
        <f t="shared" si="12"/>
        <v>#VALUE!</v>
      </c>
      <c r="AD56" s="144" t="e">
        <f t="shared" si="12"/>
        <v>#VALUE!</v>
      </c>
      <c r="AE56" s="144" t="e">
        <f t="shared" si="13"/>
        <v>#VALUE!</v>
      </c>
      <c r="AF56" s="144" t="e">
        <f t="shared" si="13"/>
        <v>#VALUE!</v>
      </c>
      <c r="AG56" s="144" t="e">
        <f t="shared" si="4"/>
        <v>#VALUE!</v>
      </c>
      <c r="AH56" s="198"/>
      <c r="AI56" s="198"/>
      <c r="AJ56" s="198"/>
      <c r="AK56" s="198"/>
      <c r="AL56" s="199"/>
      <c r="AM56" s="150"/>
      <c r="AN56" s="150"/>
      <c r="AO56" s="150"/>
      <c r="AP56" s="150"/>
      <c r="AQ56" s="151"/>
      <c r="AR56" s="144"/>
    </row>
    <row r="57" spans="1:44" x14ac:dyDescent="0.35">
      <c r="A57" s="130">
        <f>EffectivelyVax!B56</f>
        <v>4</v>
      </c>
      <c r="B57" s="131" t="str">
        <f>EffectivelyVax!C56</f>
        <v/>
      </c>
      <c r="C57" s="132" t="str">
        <f>Export!N55</f>
        <v/>
      </c>
      <c r="D57" s="177" t="str">
        <f>Export!B55</f>
        <v/>
      </c>
      <c r="E57" s="178" t="e">
        <f>C57*D57*HelperFunctions!G$59</f>
        <v>#VALUE!</v>
      </c>
      <c r="F57" s="179" t="e">
        <f>C57*D57*(1-HelperFunctions!G$59)</f>
        <v>#VALUE!</v>
      </c>
      <c r="G57" s="180" t="str">
        <f>Export!C55</f>
        <v/>
      </c>
      <c r="H57" s="191" t="e">
        <f>G57/(I56+'NotEffectivelyVax (current)'!F56*HelperFunctions!R$14+'NotEffectivelyVax (current)'!I56*HelperFunctions!R$14+'NotEffectivelyVax (current)'!L56*HelperFunctions!R$14+'NotEffectivelyVax (current)'!O56*HelperFunctions!R$14+'NotEffectivelyVax (current)'!R56*HelperFunctions!R$14+'NotEffectivelyVax (current)'!U56*HelperFunctions!R$14+'NotEffectivelyVax (current)'!X56*HelperFunctions!R$14+'NotEffectivelyVax (current)'!AA56*HelperFunctions!R$14+'NotEffectivelyVax (current)'!AD56*HelperFunctions!R$14+'NotEffectivelyVax (current)'!AG56*HelperFunctions!R$14+'NotEffectivelyVax (current)'!AJ56*HelperFunctions!R$14+'NotEffectivelyVax (current)'!AM56*HelperFunctions!R$14+'NotEffectivelyVax (current)'!AP56*HelperFunctions!R$28+'NotEffectivelyVax (current)'!AS56*HelperFunctions!R$28+'NotEffectivelyVax (current)'!AV56*HelperFunctions!R$28+'NotEffectivelyVax (current)'!AY56*HelperFunctions!R$28+'NotEffectivelyVax (current)'!BB56*HelperFunctions!R$28+'NotEffectivelyVax (current)'!BE56*HelperFunctions!R$28+'NotEffectivelyVax (current)'!BH56*HelperFunctions!R$28+'NotEffectivelyVax (current)'!BK56*HelperFunctions!R$28+'NotEffectivelyVax (current)'!BN56*HelperFunctions!R$28+'NotEffectivelyVax (current)'!BQ56*HelperFunctions!R$28+'NotEffectivelyVax (current)'!BT56*HelperFunctions!R$28+'NotEffectivelyVax (current)'!BW56*HelperFunctions!R$28+'NotEffectivelyVax (current)'!BZ56*HelperFunctions!R$42+'NotEffectivelyVax (current)'!CC56*HelperFunctions!R$42+'NotEffectivelyVax (current)'!CF56*HelperFunctions!R$42+'NotEffectivelyVax (current)'!CI56*HelperFunctions!R$42+'NotEffectivelyVax (current)'!CL56*HelperFunctions!R$42+'NotEffectivelyVax (current)'!CO56*HelperFunctions!R$42+'NotEffectivelyVax (current)'!CR56*HelperFunctions!R$42+'NotEffectivelyVax (current)'!CU56*HelperFunctions!R$42+'NotEffectivelyVax (current)'!CX56*HelperFunctions!R$42+'NotEffectivelyVax (current)'!DA56*HelperFunctions!R$42+'NotEffectivelyVax (current)'!DD56*HelperFunctions!R$42+'NotEffectivelyVax (current)'!DG56*HelperFunctions!R$42+'NotEffectivelyVax (current)'!DJ56*HelperFunctions!R$56+'NotEffectivelyVax (current)'!DM56*HelperFunctions!R$56+'NotEffectivelyVax (current)'!DP56*HelperFunctions!R$56+'NotEffectivelyVax (current)'!DS56*HelperFunctions!R$56+'NotEffectivelyVax (current)'!DV56*HelperFunctions!R$56+'NotEffectivelyVax (current)'!DY56*HelperFunctions!R$56+'NotEffectivelyVax (current)'!EB56*HelperFunctions!R55+'NotEffectivelyVax (current)'!EE56*HelperFunctions!R54+'NotEffectivelyVax (current)'!EH56*HelperFunctions!R53+'NotEffectivelyVax (current)'!EK56*HelperFunctions!R52+'NotEffectivelyVax (current)'!EN56*HelperFunctions!R51+'NotEffectivelyVax (current)'!EQ56*HelperFunctions!R50+'NotEffectivelyVax (current)'!ET56*HelperFunctions!R63+'NotEffectivelyVax (current)'!EW56*HelperFunctions!R62+'NotEffectivelyVax (current)'!EZ56*HelperFunctions!R61+'NotEffectivelyVax (current)'!FC56*HelperFunctions!R60+'NotEffectivelyVax (current)'!FF56*HelperFunctions!R59)</f>
        <v>#VALUE!</v>
      </c>
      <c r="I57" s="192" t="e">
        <f t="shared" si="10"/>
        <v>#VALUE!</v>
      </c>
      <c r="J57" s="153">
        <f>SUM(EffectivelyVax!D56:BK56)</f>
        <v>0</v>
      </c>
      <c r="K57" s="193" t="e">
        <f t="shared" si="5"/>
        <v>#VALUE!</v>
      </c>
      <c r="L57" s="194" t="e">
        <f>I56*H57*Export!L55</f>
        <v>#VALUE!</v>
      </c>
      <c r="M57" s="195" t="e">
        <f t="shared" si="0"/>
        <v>#VALUE!</v>
      </c>
      <c r="N57" s="178" t="e">
        <f>IF(Export!M55&lt;&gt;"",K57*Export!K55*(1/Export!M55),K57*Export!K55)</f>
        <v>#VALUE!</v>
      </c>
      <c r="O57" s="154" t="e">
        <f>M57*Export!J55</f>
        <v>#VALUE!</v>
      </c>
      <c r="P57" s="186" t="e">
        <f>SUM('NotEffectivelyVax (current)'!F57,'NotEffectivelyVax (current)'!I57,'NotEffectivelyVax (current)'!L57,'NotEffectivelyVax (current)'!O57,'NotEffectivelyVax (current)'!R57,'NotEffectivelyVax (current)'!U57,'NotEffectivelyVax (current)'!X57,'NotEffectivelyVax (current)'!AA57,'NotEffectivelyVax (current)'!AD57,'NotEffectivelyVax (current)'!AG57,'NotEffectivelyVax (current)'!AJ57,'NotEffectivelyVax (current)'!AM57,'NotEffectivelyVax (current)'!AP57,'NotEffectivelyVax (current)'!AS57,'NotEffectivelyVax (current)'!AV57,'NotEffectivelyVax (current)'!AY57,'NotEffectivelyVax (current)'!BB57,'NotEffectivelyVax (current)'!BE57,'NotEffectivelyVax (current)'!BH57,'NotEffectivelyVax (current)'!BK57,'NotEffectivelyVax (current)'!BN57,'NotEffectivelyVax (current)'!BQ57,'NotEffectivelyVax (current)'!BT57,'NotEffectivelyVax (current)'!BW57,'NotEffectivelyVax (current)'!BZ57,'NotEffectivelyVax (current)'!CC57,'NotEffectivelyVax (current)'!CF57,'NotEffectivelyVax (current)'!CI57,'NotEffectivelyVax (current)'!CL57,'NotEffectivelyVax (current)'!CO57,'NotEffectivelyVax (current)'!CR57,'NotEffectivelyVax (current)'!CU57,'NotEffectivelyVax (current)'!CX57,'NotEffectivelyVax (current)'!DA57,'NotEffectivelyVax (current)'!DD57,'NotEffectivelyVax (current)'!DG57,'NotEffectivelyVax (current)'!DJ57,'NotEffectivelyVax (current)'!DM57,'NotEffectivelyVax (current)'!DP57,'NotEffectivelyVax (current)'!DS57,'NotEffectivelyVax (current)'!DV57,'NotEffectivelyVax (current)'!DY57,'NotEffectivelyVax (current)'!EB57,'NotEffectivelyVax (current)'!EE57,'NotEffectivelyVax (current)'!EH57,'NotEffectivelyVax (current)'!EK57,'NotEffectivelyVax (current)'!EN57,'NotEffectivelyVax (current)'!EQ57,'NotEffectivelyVax (current)'!ET57,'NotEffectivelyVax (current)'!EW57,'NotEffectivelyVax (current)'!EZ57,'NotEffectivelyVax (current)'!FC57,'NotEffectivelyVax (current)'!FF57,'NotEffectivelyVax (current)'!FI57,'NotEffectivelyVax (current)'!FL57,'NotEffectivelyVax (current)'!FO57,'NotEffectivelyVax (current)'!FR57,'NotEffectivelyVax (current)'!FU57,'NotEffectivelyVax (current)'!FX57,'NotEffectivelyVax (current)'!GA57)</f>
        <v>#VALUE!</v>
      </c>
      <c r="Q57" s="155" t="e">
        <f>SUM('NotEffectivelyVax (current)'!D57,'NotEffectivelyVax (current)'!G57,'NotEffectivelyVax (current)'!J57,'NotEffectivelyVax (current)'!M57,'NotEffectivelyVax (current)'!P57,'NotEffectivelyVax (current)'!S57,'NotEffectivelyVax (current)'!V57,'NotEffectivelyVax (current)'!Y57,'NotEffectivelyVax (current)'!AB57,'NotEffectivelyVax (current)'!AE57,'NotEffectivelyVax (current)'!AH57,'NotEffectivelyVax (current)'!AK57,'NotEffectivelyVax (current)'!AN57,'NotEffectivelyVax (current)'!AQ57,'NotEffectivelyVax (current)'!AT57,'NotEffectivelyVax (current)'!AW57,'NotEffectivelyVax (current)'!AZ57,'NotEffectivelyVax (current)'!BC57,'NotEffectivelyVax (current)'!BF57,'NotEffectivelyVax (current)'!BI57,'NotEffectivelyVax (current)'!BL57,'NotEffectivelyVax (current)'!BO57,'NotEffectivelyVax (current)'!BR57,'NotEffectivelyVax (current)'!BU57,'NotEffectivelyVax (current)'!BX57,'NotEffectivelyVax (current)'!CA57,'NotEffectivelyVax (current)'!CD57,'NotEffectivelyVax (current)'!CG57,'NotEffectivelyVax (current)'!CJ57,'NotEffectivelyVax (current)'!CM57,'NotEffectivelyVax (current)'!CP57,'NotEffectivelyVax (current)'!CS57,'NotEffectivelyVax (current)'!CV57,'NotEffectivelyVax (current)'!CY57,'NotEffectivelyVax (current)'!DB57,'NotEffectivelyVax (current)'!DE57,'NotEffectivelyVax (current)'!DH57,'NotEffectivelyVax (current)'!DK57,'NotEffectivelyVax (current)'!DN57,'NotEffectivelyVax (current)'!DQ57,'NotEffectivelyVax (current)'!DT57,'NotEffectivelyVax (current)'!DW57,'NotEffectivelyVax (current)'!DZ57,'NotEffectivelyVax (current)'!EC57,'NotEffectivelyVax (current)'!EF57,'NotEffectivelyVax (current)'!EI57,'NotEffectivelyVax (current)'!EL57,'NotEffectivelyVax (current)'!EO57,'NotEffectivelyVax (current)'!ER57,'NotEffectivelyVax (current)'!EU57,'NotEffectivelyVax (current)'!EX57,'NotEffectivelyVax (current)'!FA57,'NotEffectivelyVax (current)'!FD57,'NotEffectivelyVax (current)'!FG57,'NotEffectivelyVax (current)'!FJ57,'NotEffectivelyVax (current)'!FM57,'NotEffectivelyVax (current)'!FP57,'NotEffectivelyVax (current)'!FS57,'NotEffectivelyVax (current)'!FV57,'NotEffectivelyVax (current)'!FY57)</f>
        <v>#VALUE!</v>
      </c>
      <c r="R57" s="155" t="e">
        <f>SUM('NotEffectivelyVax (current)'!E57,'NotEffectivelyVax (current)'!H57,'NotEffectivelyVax (current)'!K57,'NotEffectivelyVax (current)'!N57,'NotEffectivelyVax (current)'!Q57,'NotEffectivelyVax (current)'!T57,'NotEffectivelyVax (current)'!W57,'NotEffectivelyVax (current)'!Z57,'NotEffectivelyVax (current)'!AC57,'NotEffectivelyVax (current)'!AF57,'NotEffectivelyVax (current)'!AI57,'NotEffectivelyVax (current)'!AL57,'NotEffectivelyVax (current)'!AO57,'NotEffectivelyVax (current)'!AR57,'NotEffectivelyVax (current)'!AU57,'NotEffectivelyVax (current)'!AX57,'NotEffectivelyVax (current)'!BA57,'NotEffectivelyVax (current)'!BD57,'NotEffectivelyVax (current)'!BG57,'NotEffectivelyVax (current)'!BJ57,'NotEffectivelyVax (current)'!BM57,'NotEffectivelyVax (current)'!BP57,'NotEffectivelyVax (current)'!BS57,'NotEffectivelyVax (current)'!BV57,'NotEffectivelyVax (current)'!BY57,'NotEffectivelyVax (current)'!CB57,'NotEffectivelyVax (current)'!CE57,'NotEffectivelyVax (current)'!CH57,'NotEffectivelyVax (current)'!CK57,'NotEffectivelyVax (current)'!CN57,'NotEffectivelyVax (current)'!CQ57,'NotEffectivelyVax (current)'!CT57,'NotEffectivelyVax (current)'!CW57,'NotEffectivelyVax (current)'!CZ57,'NotEffectivelyVax (current)'!DC57,'NotEffectivelyVax (current)'!DF57,'NotEffectivelyVax (current)'!DI57,'NotEffectivelyVax (current)'!DL57,'NotEffectivelyVax (current)'!DO57,'NotEffectivelyVax (current)'!DR57,'NotEffectivelyVax (current)'!DU57,'NotEffectivelyVax (current)'!DX57,'NotEffectivelyVax (current)'!EA57,'NotEffectivelyVax (current)'!ED57,'NotEffectivelyVax (current)'!EG57,'NotEffectivelyVax (current)'!EJ57,'NotEffectivelyVax (current)'!EM57,'NotEffectivelyVax (current)'!EP57,'NotEffectivelyVax (current)'!ES57,'NotEffectivelyVax (current)'!EV57,'NotEffectivelyVax (current)'!EY57,'NotEffectivelyVax (current)'!FB57,'NotEffectivelyVax (current)'!FE57,'NotEffectivelyVax (current)'!FH57,'NotEffectivelyVax (current)'!FK57,'NotEffectivelyVax (current)'!FN57,'NotEffectivelyVax (current)'!FQ57,'NotEffectivelyVax (current)'!FT57,'NotEffectivelyVax (current)'!FW57,'NotEffectivelyVax (current)'!FZ57)</f>
        <v>#VALUE!</v>
      </c>
      <c r="S57" s="138" t="e">
        <f t="shared" si="6"/>
        <v>#VALUE!</v>
      </c>
      <c r="T57" s="187" t="e">
        <f>IF(Export!M55&lt;&gt;"",Q57*Export!K55*(1/Export!M55),Q57*Export!K55)</f>
        <v>#VALUE!</v>
      </c>
      <c r="U57" s="188" t="e">
        <f>S57*Export!J55</f>
        <v>#VALUE!</v>
      </c>
      <c r="V57" s="196" t="e">
        <f t="shared" si="11"/>
        <v>#DIV/0!</v>
      </c>
      <c r="W57" s="197" t="e">
        <f t="shared" si="8"/>
        <v>#VALUE!</v>
      </c>
      <c r="X57" s="190" t="e">
        <f>H57*Export!L55*V56</f>
        <v>#VALUE!</v>
      </c>
      <c r="Y57" s="190" t="e">
        <f t="shared" si="1"/>
        <v>#VALUE!</v>
      </c>
      <c r="Z57" s="190" t="e">
        <f>IF(Export!M55&lt;&gt;"",W57*Export!K55*(1/Export!M55),W57*Export!K55)</f>
        <v>#VALUE!</v>
      </c>
      <c r="AA57" s="190" t="e">
        <f>Y57*Export!J55</f>
        <v>#VALUE!</v>
      </c>
      <c r="AC57" s="143" t="e">
        <f t="shared" si="12"/>
        <v>#VALUE!</v>
      </c>
      <c r="AD57" s="144" t="e">
        <f t="shared" si="12"/>
        <v>#VALUE!</v>
      </c>
      <c r="AE57" s="144" t="e">
        <f t="shared" si="13"/>
        <v>#VALUE!</v>
      </c>
      <c r="AF57" s="144" t="e">
        <f t="shared" si="13"/>
        <v>#VALUE!</v>
      </c>
      <c r="AG57" s="144" t="e">
        <f t="shared" si="4"/>
        <v>#VALUE!</v>
      </c>
      <c r="AH57" s="198"/>
      <c r="AI57" s="198"/>
      <c r="AJ57" s="198"/>
      <c r="AK57" s="198"/>
      <c r="AL57" s="199"/>
      <c r="AM57" s="150"/>
      <c r="AN57" s="150"/>
      <c r="AO57" s="150"/>
      <c r="AP57" s="150"/>
      <c r="AQ57" s="151"/>
    </row>
    <row r="58" spans="1:44" x14ac:dyDescent="0.35">
      <c r="A58" s="130">
        <f>EffectivelyVax!B57</f>
        <v>4</v>
      </c>
      <c r="B58" s="131" t="str">
        <f>EffectivelyVax!C57</f>
        <v/>
      </c>
      <c r="C58" s="132" t="str">
        <f>Export!N56</f>
        <v/>
      </c>
      <c r="D58" s="177" t="str">
        <f>Export!B56</f>
        <v/>
      </c>
      <c r="E58" s="178" t="e">
        <f>C58*D58*HelperFunctions!G$59</f>
        <v>#VALUE!</v>
      </c>
      <c r="F58" s="179" t="e">
        <f>C58*D58*(1-HelperFunctions!G$59)</f>
        <v>#VALUE!</v>
      </c>
      <c r="G58" s="180" t="str">
        <f>Export!C56</f>
        <v/>
      </c>
      <c r="H58" s="191" t="e">
        <f>G58/(I57+'NotEffectivelyVax (current)'!F57*HelperFunctions!R$14+'NotEffectivelyVax (current)'!I57*HelperFunctions!R$14+'NotEffectivelyVax (current)'!L57*HelperFunctions!R$14+'NotEffectivelyVax (current)'!O57*HelperFunctions!R$14+'NotEffectivelyVax (current)'!R57*HelperFunctions!R$14+'NotEffectivelyVax (current)'!U57*HelperFunctions!R$14+'NotEffectivelyVax (current)'!X57*HelperFunctions!R$14+'NotEffectivelyVax (current)'!AA57*HelperFunctions!R$14+'NotEffectivelyVax (current)'!AD57*HelperFunctions!R$14+'NotEffectivelyVax (current)'!AG57*HelperFunctions!R$14+'NotEffectivelyVax (current)'!AJ57*HelperFunctions!R$14+'NotEffectivelyVax (current)'!AM57*HelperFunctions!R$14+'NotEffectivelyVax (current)'!AP57*HelperFunctions!R$28+'NotEffectivelyVax (current)'!AS57*HelperFunctions!R$28+'NotEffectivelyVax (current)'!AV57*HelperFunctions!R$28+'NotEffectivelyVax (current)'!AY57*HelperFunctions!R$28+'NotEffectivelyVax (current)'!BB57*HelperFunctions!R$28+'NotEffectivelyVax (current)'!BE57*HelperFunctions!R$28+'NotEffectivelyVax (current)'!BH57*HelperFunctions!R$28+'NotEffectivelyVax (current)'!BK57*HelperFunctions!R$28+'NotEffectivelyVax (current)'!BN57*HelperFunctions!R$28+'NotEffectivelyVax (current)'!BQ57*HelperFunctions!R$28+'NotEffectivelyVax (current)'!BT57*HelperFunctions!R$28+'NotEffectivelyVax (current)'!BW57*HelperFunctions!R$28+'NotEffectivelyVax (current)'!BZ57*HelperFunctions!R$42+'NotEffectivelyVax (current)'!CC57*HelperFunctions!R$42+'NotEffectivelyVax (current)'!CF57*HelperFunctions!R$42+'NotEffectivelyVax (current)'!CI57*HelperFunctions!R$42+'NotEffectivelyVax (current)'!CL57*HelperFunctions!R$42+'NotEffectivelyVax (current)'!CO57*HelperFunctions!R$42+'NotEffectivelyVax (current)'!CR57*HelperFunctions!R$42+'NotEffectivelyVax (current)'!CU57*HelperFunctions!R$42+'NotEffectivelyVax (current)'!CX57*HelperFunctions!R$42+'NotEffectivelyVax (current)'!DA57*HelperFunctions!R$42+'NotEffectivelyVax (current)'!DD57*HelperFunctions!R$42+'NotEffectivelyVax (current)'!DG57*HelperFunctions!R$42+'NotEffectivelyVax (current)'!DJ57*HelperFunctions!R$56+'NotEffectivelyVax (current)'!DM57*HelperFunctions!R$56+'NotEffectivelyVax (current)'!DP57*HelperFunctions!R$56+'NotEffectivelyVax (current)'!DS57*HelperFunctions!R$56+'NotEffectivelyVax (current)'!DV57*HelperFunctions!R$56+'NotEffectivelyVax (current)'!DY57*HelperFunctions!R$56+'NotEffectivelyVax (current)'!EB57*HelperFunctions!R$56+'NotEffectivelyVax (current)'!EE57*HelperFunctions!R55+'NotEffectivelyVax (current)'!EH57*HelperFunctions!R54+'NotEffectivelyVax (current)'!EK57*HelperFunctions!R53+'NotEffectivelyVax (current)'!EN57*HelperFunctions!R52+'NotEffectivelyVax (current)'!EQ57*HelperFunctions!R51+'NotEffectivelyVax (current)'!ET57*HelperFunctions!R64+'NotEffectivelyVax (current)'!EW57*HelperFunctions!R63+'NotEffectivelyVax (current)'!EZ57*HelperFunctions!R62+'NotEffectivelyVax (current)'!FC57*HelperFunctions!R61+'NotEffectivelyVax (current)'!FF57*HelperFunctions!R60+'NotEffectivelyVax (current)'!FI57*HelperFunctions!R59)</f>
        <v>#VALUE!</v>
      </c>
      <c r="I58" s="192" t="e">
        <f t="shared" si="10"/>
        <v>#VALUE!</v>
      </c>
      <c r="J58" s="153">
        <f>SUM(EffectivelyVax!D57:BK57)</f>
        <v>0</v>
      </c>
      <c r="K58" s="193" t="e">
        <f t="shared" si="5"/>
        <v>#VALUE!</v>
      </c>
      <c r="L58" s="194" t="e">
        <f>I57*H58*Export!L56</f>
        <v>#VALUE!</v>
      </c>
      <c r="M58" s="195" t="e">
        <f t="shared" si="0"/>
        <v>#VALUE!</v>
      </c>
      <c r="N58" s="178" t="e">
        <f>IF(Export!M56&lt;&gt;"",K58*Export!K56*(1/Export!M56),K58*Export!K56)</f>
        <v>#VALUE!</v>
      </c>
      <c r="O58" s="154" t="e">
        <f>M58*Export!J56</f>
        <v>#VALUE!</v>
      </c>
      <c r="P58" s="186" t="e">
        <f>SUM('NotEffectivelyVax (current)'!F58,'NotEffectivelyVax (current)'!I58,'NotEffectivelyVax (current)'!L58,'NotEffectivelyVax (current)'!O58,'NotEffectivelyVax (current)'!R58,'NotEffectivelyVax (current)'!U58,'NotEffectivelyVax (current)'!X58,'NotEffectivelyVax (current)'!AA58,'NotEffectivelyVax (current)'!AD58,'NotEffectivelyVax (current)'!AG58,'NotEffectivelyVax (current)'!AJ58,'NotEffectivelyVax (current)'!AM58,'NotEffectivelyVax (current)'!AP58,'NotEffectivelyVax (current)'!AS58,'NotEffectivelyVax (current)'!AV58,'NotEffectivelyVax (current)'!AY58,'NotEffectivelyVax (current)'!BB58,'NotEffectivelyVax (current)'!BE58,'NotEffectivelyVax (current)'!BH58,'NotEffectivelyVax (current)'!BK58,'NotEffectivelyVax (current)'!BN58,'NotEffectivelyVax (current)'!BQ58,'NotEffectivelyVax (current)'!BT58,'NotEffectivelyVax (current)'!BW58,'NotEffectivelyVax (current)'!BZ58,'NotEffectivelyVax (current)'!CC58,'NotEffectivelyVax (current)'!CF58,'NotEffectivelyVax (current)'!CI58,'NotEffectivelyVax (current)'!CL58,'NotEffectivelyVax (current)'!CO58,'NotEffectivelyVax (current)'!CR58,'NotEffectivelyVax (current)'!CU58,'NotEffectivelyVax (current)'!CX58,'NotEffectivelyVax (current)'!DA58,'NotEffectivelyVax (current)'!DD58,'NotEffectivelyVax (current)'!DG58,'NotEffectivelyVax (current)'!DJ58,'NotEffectivelyVax (current)'!DM58,'NotEffectivelyVax (current)'!DP58,'NotEffectivelyVax (current)'!DS58,'NotEffectivelyVax (current)'!DV58,'NotEffectivelyVax (current)'!DY58,'NotEffectivelyVax (current)'!EB58,'NotEffectivelyVax (current)'!EE58,'NotEffectivelyVax (current)'!EH58,'NotEffectivelyVax (current)'!EK58,'NotEffectivelyVax (current)'!EN58,'NotEffectivelyVax (current)'!EQ58,'NotEffectivelyVax (current)'!ET58,'NotEffectivelyVax (current)'!EW58,'NotEffectivelyVax (current)'!EZ58,'NotEffectivelyVax (current)'!FC58,'NotEffectivelyVax (current)'!FF58,'NotEffectivelyVax (current)'!FI58,'NotEffectivelyVax (current)'!FL58,'NotEffectivelyVax (current)'!FO58,'NotEffectivelyVax (current)'!FR58,'NotEffectivelyVax (current)'!FU58,'NotEffectivelyVax (current)'!FX58,'NotEffectivelyVax (current)'!GA58)</f>
        <v>#VALUE!</v>
      </c>
      <c r="Q58" s="155" t="e">
        <f>SUM('NotEffectivelyVax (current)'!D58,'NotEffectivelyVax (current)'!G58,'NotEffectivelyVax (current)'!J58,'NotEffectivelyVax (current)'!M58,'NotEffectivelyVax (current)'!P58,'NotEffectivelyVax (current)'!S58,'NotEffectivelyVax (current)'!V58,'NotEffectivelyVax (current)'!Y58,'NotEffectivelyVax (current)'!AB58,'NotEffectivelyVax (current)'!AE58,'NotEffectivelyVax (current)'!AH58,'NotEffectivelyVax (current)'!AK58,'NotEffectivelyVax (current)'!AN58,'NotEffectivelyVax (current)'!AQ58,'NotEffectivelyVax (current)'!AT58,'NotEffectivelyVax (current)'!AW58,'NotEffectivelyVax (current)'!AZ58,'NotEffectivelyVax (current)'!BC58,'NotEffectivelyVax (current)'!BF58,'NotEffectivelyVax (current)'!BI58,'NotEffectivelyVax (current)'!BL58,'NotEffectivelyVax (current)'!BO58,'NotEffectivelyVax (current)'!BR58,'NotEffectivelyVax (current)'!BU58,'NotEffectivelyVax (current)'!BX58,'NotEffectivelyVax (current)'!CA58,'NotEffectivelyVax (current)'!CD58,'NotEffectivelyVax (current)'!CG58,'NotEffectivelyVax (current)'!CJ58,'NotEffectivelyVax (current)'!CM58,'NotEffectivelyVax (current)'!CP58,'NotEffectivelyVax (current)'!CS58,'NotEffectivelyVax (current)'!CV58,'NotEffectivelyVax (current)'!CY58,'NotEffectivelyVax (current)'!DB58,'NotEffectivelyVax (current)'!DE58,'NotEffectivelyVax (current)'!DH58,'NotEffectivelyVax (current)'!DK58,'NotEffectivelyVax (current)'!DN58,'NotEffectivelyVax (current)'!DQ58,'NotEffectivelyVax (current)'!DT58,'NotEffectivelyVax (current)'!DW58,'NotEffectivelyVax (current)'!DZ58,'NotEffectivelyVax (current)'!EC58,'NotEffectivelyVax (current)'!EF58,'NotEffectivelyVax (current)'!EI58,'NotEffectivelyVax (current)'!EL58,'NotEffectivelyVax (current)'!EO58,'NotEffectivelyVax (current)'!ER58,'NotEffectivelyVax (current)'!EU58,'NotEffectivelyVax (current)'!EX58,'NotEffectivelyVax (current)'!FA58,'NotEffectivelyVax (current)'!FD58,'NotEffectivelyVax (current)'!FG58,'NotEffectivelyVax (current)'!FJ58,'NotEffectivelyVax (current)'!FM58,'NotEffectivelyVax (current)'!FP58,'NotEffectivelyVax (current)'!FS58,'NotEffectivelyVax (current)'!FV58,'NotEffectivelyVax (current)'!FY58)</f>
        <v>#VALUE!</v>
      </c>
      <c r="R58" s="155" t="e">
        <f>SUM('NotEffectivelyVax (current)'!E58,'NotEffectivelyVax (current)'!H58,'NotEffectivelyVax (current)'!K58,'NotEffectivelyVax (current)'!N58,'NotEffectivelyVax (current)'!Q58,'NotEffectivelyVax (current)'!T58,'NotEffectivelyVax (current)'!W58,'NotEffectivelyVax (current)'!Z58,'NotEffectivelyVax (current)'!AC58,'NotEffectivelyVax (current)'!AF58,'NotEffectivelyVax (current)'!AI58,'NotEffectivelyVax (current)'!AL58,'NotEffectivelyVax (current)'!AO58,'NotEffectivelyVax (current)'!AR58,'NotEffectivelyVax (current)'!AU58,'NotEffectivelyVax (current)'!AX58,'NotEffectivelyVax (current)'!BA58,'NotEffectivelyVax (current)'!BD58,'NotEffectivelyVax (current)'!BG58,'NotEffectivelyVax (current)'!BJ58,'NotEffectivelyVax (current)'!BM58,'NotEffectivelyVax (current)'!BP58,'NotEffectivelyVax (current)'!BS58,'NotEffectivelyVax (current)'!BV58,'NotEffectivelyVax (current)'!BY58,'NotEffectivelyVax (current)'!CB58,'NotEffectivelyVax (current)'!CE58,'NotEffectivelyVax (current)'!CH58,'NotEffectivelyVax (current)'!CK58,'NotEffectivelyVax (current)'!CN58,'NotEffectivelyVax (current)'!CQ58,'NotEffectivelyVax (current)'!CT58,'NotEffectivelyVax (current)'!CW58,'NotEffectivelyVax (current)'!CZ58,'NotEffectivelyVax (current)'!DC58,'NotEffectivelyVax (current)'!DF58,'NotEffectivelyVax (current)'!DI58,'NotEffectivelyVax (current)'!DL58,'NotEffectivelyVax (current)'!DO58,'NotEffectivelyVax (current)'!DR58,'NotEffectivelyVax (current)'!DU58,'NotEffectivelyVax (current)'!DX58,'NotEffectivelyVax (current)'!EA58,'NotEffectivelyVax (current)'!ED58,'NotEffectivelyVax (current)'!EG58,'NotEffectivelyVax (current)'!EJ58,'NotEffectivelyVax (current)'!EM58,'NotEffectivelyVax (current)'!EP58,'NotEffectivelyVax (current)'!ES58,'NotEffectivelyVax (current)'!EV58,'NotEffectivelyVax (current)'!EY58,'NotEffectivelyVax (current)'!FB58,'NotEffectivelyVax (current)'!FE58,'NotEffectivelyVax (current)'!FH58,'NotEffectivelyVax (current)'!FK58,'NotEffectivelyVax (current)'!FN58,'NotEffectivelyVax (current)'!FQ58,'NotEffectivelyVax (current)'!FT58,'NotEffectivelyVax (current)'!FW58,'NotEffectivelyVax (current)'!FZ58)</f>
        <v>#VALUE!</v>
      </c>
      <c r="S58" s="138" t="e">
        <f t="shared" si="6"/>
        <v>#VALUE!</v>
      </c>
      <c r="T58" s="187" t="e">
        <f>IF(Export!M56&lt;&gt;"",Q58*Export!K56*(1/Export!M56),Q58*Export!K56)</f>
        <v>#VALUE!</v>
      </c>
      <c r="U58" s="188" t="e">
        <f>S58*Export!J56</f>
        <v>#VALUE!</v>
      </c>
      <c r="V58" s="196" t="e">
        <f t="shared" si="11"/>
        <v>#DIV/0!</v>
      </c>
      <c r="W58" s="197" t="e">
        <f t="shared" si="8"/>
        <v>#VALUE!</v>
      </c>
      <c r="X58" s="190" t="e">
        <f>H58*Export!L56*V57</f>
        <v>#VALUE!</v>
      </c>
      <c r="Y58" s="190" t="e">
        <f t="shared" si="1"/>
        <v>#VALUE!</v>
      </c>
      <c r="Z58" s="190" t="e">
        <f>IF(Export!M56&lt;&gt;"",W58*Export!K56*(1/Export!M56),W58*Export!K56)</f>
        <v>#VALUE!</v>
      </c>
      <c r="AA58" s="190" t="e">
        <f>Y58*Export!J56</f>
        <v>#VALUE!</v>
      </c>
      <c r="AC58" s="143" t="e">
        <f t="shared" si="12"/>
        <v>#VALUE!</v>
      </c>
      <c r="AD58" s="144" t="e">
        <f t="shared" si="12"/>
        <v>#VALUE!</v>
      </c>
      <c r="AE58" s="144" t="e">
        <f t="shared" si="13"/>
        <v>#VALUE!</v>
      </c>
      <c r="AF58" s="144" t="e">
        <f t="shared" si="13"/>
        <v>#VALUE!</v>
      </c>
      <c r="AG58" s="144" t="e">
        <f t="shared" si="4"/>
        <v>#VALUE!</v>
      </c>
      <c r="AH58" s="198"/>
      <c r="AI58" s="198"/>
      <c r="AJ58" s="198"/>
      <c r="AK58" s="198"/>
      <c r="AL58" s="199"/>
      <c r="AM58" s="150"/>
      <c r="AN58" s="150"/>
      <c r="AO58" s="150"/>
      <c r="AP58" s="150"/>
      <c r="AQ58" s="151"/>
    </row>
    <row r="59" spans="1:44" x14ac:dyDescent="0.35">
      <c r="A59" s="130">
        <f>EffectivelyVax!B58</f>
        <v>4</v>
      </c>
      <c r="B59" s="131" t="str">
        <f>EffectivelyVax!C58</f>
        <v/>
      </c>
      <c r="C59" s="132" t="str">
        <f>Export!N57</f>
        <v/>
      </c>
      <c r="D59" s="177" t="str">
        <f>Export!B57</f>
        <v/>
      </c>
      <c r="E59" s="178" t="e">
        <f>C59*D59*HelperFunctions!G$59</f>
        <v>#VALUE!</v>
      </c>
      <c r="F59" s="179" t="e">
        <f>C59*D59*(1-HelperFunctions!G$59)</f>
        <v>#VALUE!</v>
      </c>
      <c r="G59" s="180" t="str">
        <f>Export!C57</f>
        <v/>
      </c>
      <c r="H59" s="191" t="e">
        <f>G59/(I58+'NotEffectivelyVax (current)'!F58*HelperFunctions!R$14+'NotEffectivelyVax (current)'!I58*HelperFunctions!R$14+'NotEffectivelyVax (current)'!L58*HelperFunctions!R$14+'NotEffectivelyVax (current)'!O58*HelperFunctions!R$14+'NotEffectivelyVax (current)'!R58*HelperFunctions!R$14+'NotEffectivelyVax (current)'!U58*HelperFunctions!R$14+'NotEffectivelyVax (current)'!X58*HelperFunctions!R$14+'NotEffectivelyVax (current)'!AA58*HelperFunctions!R$14+'NotEffectivelyVax (current)'!AD58*HelperFunctions!R$14+'NotEffectivelyVax (current)'!AG58*HelperFunctions!R$14+'NotEffectivelyVax (current)'!AJ58*HelperFunctions!R$14+'NotEffectivelyVax (current)'!AM58*HelperFunctions!R$14+'NotEffectivelyVax (current)'!AP58*HelperFunctions!R$28+'NotEffectivelyVax (current)'!AS58*HelperFunctions!R$28+'NotEffectivelyVax (current)'!AV58*HelperFunctions!R$28+'NotEffectivelyVax (current)'!AY58*HelperFunctions!R$28+'NotEffectivelyVax (current)'!BB58*HelperFunctions!R$28+'NotEffectivelyVax (current)'!BE58*HelperFunctions!R$28+'NotEffectivelyVax (current)'!BH58*HelperFunctions!R$28+'NotEffectivelyVax (current)'!BK58*HelperFunctions!R$28+'NotEffectivelyVax (current)'!BN58*HelperFunctions!R$28+'NotEffectivelyVax (current)'!BQ58*HelperFunctions!R$28+'NotEffectivelyVax (current)'!BT58*HelperFunctions!R$28+'NotEffectivelyVax (current)'!BW58*HelperFunctions!R$28+'NotEffectivelyVax (current)'!BZ58*HelperFunctions!R$42+'NotEffectivelyVax (current)'!CC58*HelperFunctions!R$42+'NotEffectivelyVax (current)'!CF58*HelperFunctions!R$42+'NotEffectivelyVax (current)'!CI58*HelperFunctions!R$42+'NotEffectivelyVax (current)'!CL58*HelperFunctions!R$42+'NotEffectivelyVax (current)'!CO58*HelperFunctions!R$42+'NotEffectivelyVax (current)'!CR58*HelperFunctions!R$42+'NotEffectivelyVax (current)'!CU58*HelperFunctions!R$42+'NotEffectivelyVax (current)'!CX58*HelperFunctions!R$42+'NotEffectivelyVax (current)'!DA58*HelperFunctions!R$42+'NotEffectivelyVax (current)'!DD58*HelperFunctions!R$42+'NotEffectivelyVax (current)'!DG58*HelperFunctions!R$42+'NotEffectivelyVax (current)'!DJ58*HelperFunctions!R$56+'NotEffectivelyVax (current)'!DM58*HelperFunctions!R$56+'NotEffectivelyVax (current)'!DP58*HelperFunctions!R$56+'NotEffectivelyVax (current)'!DS58*HelperFunctions!R$56+'NotEffectivelyVax (current)'!DV58*HelperFunctions!R$56+'NotEffectivelyVax (current)'!DY58*HelperFunctions!R$56+'NotEffectivelyVax (current)'!EB58*HelperFunctions!R$56+'NotEffectivelyVax (current)'!EE58*HelperFunctions!R$56+'NotEffectivelyVax (current)'!EH58*HelperFunctions!R55+'NotEffectivelyVax (current)'!EK58*HelperFunctions!R54+'NotEffectivelyVax (current)'!EN58*HelperFunctions!R53+'NotEffectivelyVax (current)'!EQ58*HelperFunctions!R52+'NotEffectivelyVax (current)'!ET58*HelperFunctions!R65+'NotEffectivelyVax (current)'!EW58*HelperFunctions!R64+'NotEffectivelyVax (current)'!EZ58*HelperFunctions!R63+'NotEffectivelyVax (current)'!FC58*HelperFunctions!R62+'NotEffectivelyVax (current)'!FF58*HelperFunctions!R61+'NotEffectivelyVax (current)'!FI58*HelperFunctions!R60+'NotEffectivelyVax (current)'!FL58*HelperFunctions!R59)</f>
        <v>#VALUE!</v>
      </c>
      <c r="I59" s="192" t="e">
        <f t="shared" si="10"/>
        <v>#VALUE!</v>
      </c>
      <c r="J59" s="153">
        <f>SUM(EffectivelyVax!D58:BK58)</f>
        <v>0</v>
      </c>
      <c r="K59" s="193" t="e">
        <f t="shared" si="5"/>
        <v>#VALUE!</v>
      </c>
      <c r="L59" s="194" t="e">
        <f>I58*H59*Export!L57</f>
        <v>#VALUE!</v>
      </c>
      <c r="M59" s="195" t="e">
        <f t="shared" si="0"/>
        <v>#VALUE!</v>
      </c>
      <c r="N59" s="178" t="e">
        <f>IF(Export!M57&lt;&gt;"",K59*Export!K57*(1/Export!M57),K59*Export!K57)</f>
        <v>#VALUE!</v>
      </c>
      <c r="O59" s="154" t="e">
        <f>M59*Export!J57</f>
        <v>#VALUE!</v>
      </c>
      <c r="P59" s="186" t="e">
        <f>SUM('NotEffectivelyVax (current)'!F59,'NotEffectivelyVax (current)'!I59,'NotEffectivelyVax (current)'!L59,'NotEffectivelyVax (current)'!O59,'NotEffectivelyVax (current)'!R59,'NotEffectivelyVax (current)'!U59,'NotEffectivelyVax (current)'!X59,'NotEffectivelyVax (current)'!AA59,'NotEffectivelyVax (current)'!AD59,'NotEffectivelyVax (current)'!AG59,'NotEffectivelyVax (current)'!AJ59,'NotEffectivelyVax (current)'!AM59,'NotEffectivelyVax (current)'!AP59,'NotEffectivelyVax (current)'!AS59,'NotEffectivelyVax (current)'!AV59,'NotEffectivelyVax (current)'!AY59,'NotEffectivelyVax (current)'!BB59,'NotEffectivelyVax (current)'!BE59,'NotEffectivelyVax (current)'!BH59,'NotEffectivelyVax (current)'!BK59,'NotEffectivelyVax (current)'!BN59,'NotEffectivelyVax (current)'!BQ59,'NotEffectivelyVax (current)'!BT59,'NotEffectivelyVax (current)'!BW59,'NotEffectivelyVax (current)'!BZ59,'NotEffectivelyVax (current)'!CC59,'NotEffectivelyVax (current)'!CF59,'NotEffectivelyVax (current)'!CI59,'NotEffectivelyVax (current)'!CL59,'NotEffectivelyVax (current)'!CO59,'NotEffectivelyVax (current)'!CR59,'NotEffectivelyVax (current)'!CU59,'NotEffectivelyVax (current)'!CX59,'NotEffectivelyVax (current)'!DA59,'NotEffectivelyVax (current)'!DD59,'NotEffectivelyVax (current)'!DG59,'NotEffectivelyVax (current)'!DJ59,'NotEffectivelyVax (current)'!DM59,'NotEffectivelyVax (current)'!DP59,'NotEffectivelyVax (current)'!DS59,'NotEffectivelyVax (current)'!DV59,'NotEffectivelyVax (current)'!DY59,'NotEffectivelyVax (current)'!EB59,'NotEffectivelyVax (current)'!EE59,'NotEffectivelyVax (current)'!EH59,'NotEffectivelyVax (current)'!EK59,'NotEffectivelyVax (current)'!EN59,'NotEffectivelyVax (current)'!EQ59,'NotEffectivelyVax (current)'!ET59,'NotEffectivelyVax (current)'!EW59,'NotEffectivelyVax (current)'!EZ59,'NotEffectivelyVax (current)'!FC59,'NotEffectivelyVax (current)'!FF59,'NotEffectivelyVax (current)'!FI59,'NotEffectivelyVax (current)'!FL59,'NotEffectivelyVax (current)'!FO59,'NotEffectivelyVax (current)'!FR59,'NotEffectivelyVax (current)'!FU59,'NotEffectivelyVax (current)'!FX59,'NotEffectivelyVax (current)'!GA59)</f>
        <v>#VALUE!</v>
      </c>
      <c r="Q59" s="155" t="e">
        <f>SUM('NotEffectivelyVax (current)'!D59,'NotEffectivelyVax (current)'!G59,'NotEffectivelyVax (current)'!J59,'NotEffectivelyVax (current)'!M59,'NotEffectivelyVax (current)'!P59,'NotEffectivelyVax (current)'!S59,'NotEffectivelyVax (current)'!V59,'NotEffectivelyVax (current)'!Y59,'NotEffectivelyVax (current)'!AB59,'NotEffectivelyVax (current)'!AE59,'NotEffectivelyVax (current)'!AH59,'NotEffectivelyVax (current)'!AK59,'NotEffectivelyVax (current)'!AN59,'NotEffectivelyVax (current)'!AQ59,'NotEffectivelyVax (current)'!AT59,'NotEffectivelyVax (current)'!AW59,'NotEffectivelyVax (current)'!AZ59,'NotEffectivelyVax (current)'!BC59,'NotEffectivelyVax (current)'!BF59,'NotEffectivelyVax (current)'!BI59,'NotEffectivelyVax (current)'!BL59,'NotEffectivelyVax (current)'!BO59,'NotEffectivelyVax (current)'!BR59,'NotEffectivelyVax (current)'!BU59,'NotEffectivelyVax (current)'!BX59,'NotEffectivelyVax (current)'!CA59,'NotEffectivelyVax (current)'!CD59,'NotEffectivelyVax (current)'!CG59,'NotEffectivelyVax (current)'!CJ59,'NotEffectivelyVax (current)'!CM59,'NotEffectivelyVax (current)'!CP59,'NotEffectivelyVax (current)'!CS59,'NotEffectivelyVax (current)'!CV59,'NotEffectivelyVax (current)'!CY59,'NotEffectivelyVax (current)'!DB59,'NotEffectivelyVax (current)'!DE59,'NotEffectivelyVax (current)'!DH59,'NotEffectivelyVax (current)'!DK59,'NotEffectivelyVax (current)'!DN59,'NotEffectivelyVax (current)'!DQ59,'NotEffectivelyVax (current)'!DT59,'NotEffectivelyVax (current)'!DW59,'NotEffectivelyVax (current)'!DZ59,'NotEffectivelyVax (current)'!EC59,'NotEffectivelyVax (current)'!EF59,'NotEffectivelyVax (current)'!EI59,'NotEffectivelyVax (current)'!EL59,'NotEffectivelyVax (current)'!EO59,'NotEffectivelyVax (current)'!ER59,'NotEffectivelyVax (current)'!EU59,'NotEffectivelyVax (current)'!EX59,'NotEffectivelyVax (current)'!FA59,'NotEffectivelyVax (current)'!FD59,'NotEffectivelyVax (current)'!FG59,'NotEffectivelyVax (current)'!FJ59,'NotEffectivelyVax (current)'!FM59,'NotEffectivelyVax (current)'!FP59,'NotEffectivelyVax (current)'!FS59,'NotEffectivelyVax (current)'!FV59,'NotEffectivelyVax (current)'!FY59)</f>
        <v>#VALUE!</v>
      </c>
      <c r="R59" s="155" t="e">
        <f>SUM('NotEffectivelyVax (current)'!E59,'NotEffectivelyVax (current)'!H59,'NotEffectivelyVax (current)'!K59,'NotEffectivelyVax (current)'!N59,'NotEffectivelyVax (current)'!Q59,'NotEffectivelyVax (current)'!T59,'NotEffectivelyVax (current)'!W59,'NotEffectivelyVax (current)'!Z59,'NotEffectivelyVax (current)'!AC59,'NotEffectivelyVax (current)'!AF59,'NotEffectivelyVax (current)'!AI59,'NotEffectivelyVax (current)'!AL59,'NotEffectivelyVax (current)'!AO59,'NotEffectivelyVax (current)'!AR59,'NotEffectivelyVax (current)'!AU59,'NotEffectivelyVax (current)'!AX59,'NotEffectivelyVax (current)'!BA59,'NotEffectivelyVax (current)'!BD59,'NotEffectivelyVax (current)'!BG59,'NotEffectivelyVax (current)'!BJ59,'NotEffectivelyVax (current)'!BM59,'NotEffectivelyVax (current)'!BP59,'NotEffectivelyVax (current)'!BS59,'NotEffectivelyVax (current)'!BV59,'NotEffectivelyVax (current)'!BY59,'NotEffectivelyVax (current)'!CB59,'NotEffectivelyVax (current)'!CE59,'NotEffectivelyVax (current)'!CH59,'NotEffectivelyVax (current)'!CK59,'NotEffectivelyVax (current)'!CN59,'NotEffectivelyVax (current)'!CQ59,'NotEffectivelyVax (current)'!CT59,'NotEffectivelyVax (current)'!CW59,'NotEffectivelyVax (current)'!CZ59,'NotEffectivelyVax (current)'!DC59,'NotEffectivelyVax (current)'!DF59,'NotEffectivelyVax (current)'!DI59,'NotEffectivelyVax (current)'!DL59,'NotEffectivelyVax (current)'!DO59,'NotEffectivelyVax (current)'!DR59,'NotEffectivelyVax (current)'!DU59,'NotEffectivelyVax (current)'!DX59,'NotEffectivelyVax (current)'!EA59,'NotEffectivelyVax (current)'!ED59,'NotEffectivelyVax (current)'!EG59,'NotEffectivelyVax (current)'!EJ59,'NotEffectivelyVax (current)'!EM59,'NotEffectivelyVax (current)'!EP59,'NotEffectivelyVax (current)'!ES59,'NotEffectivelyVax (current)'!EV59,'NotEffectivelyVax (current)'!EY59,'NotEffectivelyVax (current)'!FB59,'NotEffectivelyVax (current)'!FE59,'NotEffectivelyVax (current)'!FH59,'NotEffectivelyVax (current)'!FK59,'NotEffectivelyVax (current)'!FN59,'NotEffectivelyVax (current)'!FQ59,'NotEffectivelyVax (current)'!FT59,'NotEffectivelyVax (current)'!FW59,'NotEffectivelyVax (current)'!FZ59)</f>
        <v>#VALUE!</v>
      </c>
      <c r="S59" s="138" t="e">
        <f t="shared" si="6"/>
        <v>#VALUE!</v>
      </c>
      <c r="T59" s="187" t="e">
        <f>IF(Export!M57&lt;&gt;"",Q59*Export!K57*(1/Export!M57),Q59*Export!K57)</f>
        <v>#VALUE!</v>
      </c>
      <c r="U59" s="188" t="e">
        <f>S59*Export!J57</f>
        <v>#VALUE!</v>
      </c>
      <c r="V59" s="196" t="e">
        <f t="shared" si="11"/>
        <v>#DIV/0!</v>
      </c>
      <c r="W59" s="197" t="e">
        <f t="shared" si="8"/>
        <v>#VALUE!</v>
      </c>
      <c r="X59" s="190" t="e">
        <f>H59*Export!L57*V58</f>
        <v>#VALUE!</v>
      </c>
      <c r="Y59" s="190" t="e">
        <f t="shared" si="1"/>
        <v>#VALUE!</v>
      </c>
      <c r="Z59" s="190" t="e">
        <f>IF(Export!M57&lt;&gt;"",W59*Export!K57*(1/Export!M57),W59*Export!K57)</f>
        <v>#VALUE!</v>
      </c>
      <c r="AA59" s="190" t="e">
        <f>Y59*Export!J57</f>
        <v>#VALUE!</v>
      </c>
      <c r="AC59" s="143" t="e">
        <f t="shared" si="12"/>
        <v>#VALUE!</v>
      </c>
      <c r="AD59" s="144" t="e">
        <f t="shared" si="12"/>
        <v>#VALUE!</v>
      </c>
      <c r="AE59" s="144" t="e">
        <f t="shared" si="13"/>
        <v>#VALUE!</v>
      </c>
      <c r="AF59" s="144" t="e">
        <f t="shared" si="13"/>
        <v>#VALUE!</v>
      </c>
      <c r="AG59" s="144" t="e">
        <f t="shared" si="4"/>
        <v>#VALUE!</v>
      </c>
      <c r="AH59" s="198"/>
      <c r="AI59" s="198"/>
      <c r="AJ59" s="198"/>
      <c r="AK59" s="198"/>
      <c r="AL59" s="199"/>
      <c r="AM59" s="150"/>
      <c r="AN59" s="150"/>
      <c r="AO59" s="150"/>
      <c r="AP59" s="150"/>
      <c r="AQ59" s="151"/>
    </row>
    <row r="60" spans="1:44" x14ac:dyDescent="0.35">
      <c r="A60" s="130">
        <f>EffectivelyVax!B59</f>
        <v>4</v>
      </c>
      <c r="B60" s="131" t="str">
        <f>EffectivelyVax!C59</f>
        <v/>
      </c>
      <c r="C60" s="132" t="str">
        <f>Export!N58</f>
        <v/>
      </c>
      <c r="D60" s="177" t="str">
        <f>Export!B58</f>
        <v/>
      </c>
      <c r="E60" s="178" t="e">
        <f>C60*D60*HelperFunctions!G$59</f>
        <v>#VALUE!</v>
      </c>
      <c r="F60" s="179" t="e">
        <f>C60*D60*(1-HelperFunctions!G$59)</f>
        <v>#VALUE!</v>
      </c>
      <c r="G60" s="180" t="str">
        <f>Export!C58</f>
        <v/>
      </c>
      <c r="H60" s="191" t="e">
        <f>G60/(I59+'NotEffectivelyVax (current)'!F59*HelperFunctions!R$14+'NotEffectivelyVax (current)'!I59*HelperFunctions!R$14+'NotEffectivelyVax (current)'!L59*HelperFunctions!R$14+'NotEffectivelyVax (current)'!O59*HelperFunctions!R$14+'NotEffectivelyVax (current)'!R59*HelperFunctions!R$14+'NotEffectivelyVax (current)'!U59*HelperFunctions!R$14+'NotEffectivelyVax (current)'!X59*HelperFunctions!R$14+'NotEffectivelyVax (current)'!AA59*HelperFunctions!R$14+'NotEffectivelyVax (current)'!AD59*HelperFunctions!R$14+'NotEffectivelyVax (current)'!AG59*HelperFunctions!R$14+'NotEffectivelyVax (current)'!AJ59*HelperFunctions!R$14+'NotEffectivelyVax (current)'!AM59*HelperFunctions!R$14+'NotEffectivelyVax (current)'!AP59*HelperFunctions!R$28+'NotEffectivelyVax (current)'!AS59*HelperFunctions!R$28+'NotEffectivelyVax (current)'!AV59*HelperFunctions!R$28+'NotEffectivelyVax (current)'!AY59*HelperFunctions!R$28+'NotEffectivelyVax (current)'!BB59*HelperFunctions!R$28+'NotEffectivelyVax (current)'!BE59*HelperFunctions!R$28+'NotEffectivelyVax (current)'!BH59*HelperFunctions!R$28+'NotEffectivelyVax (current)'!BK59*HelperFunctions!R$28+'NotEffectivelyVax (current)'!BN59*HelperFunctions!R$28+'NotEffectivelyVax (current)'!BQ59*HelperFunctions!R$28+'NotEffectivelyVax (current)'!BT59*HelperFunctions!R$28+'NotEffectivelyVax (current)'!BW59*HelperFunctions!R$28+'NotEffectivelyVax (current)'!BZ59*HelperFunctions!R$42+'NotEffectivelyVax (current)'!CC59*HelperFunctions!R$42+'NotEffectivelyVax (current)'!CF59*HelperFunctions!R$42+'NotEffectivelyVax (current)'!CI59*HelperFunctions!R$42+'NotEffectivelyVax (current)'!CL59*HelperFunctions!R$42+'NotEffectivelyVax (current)'!CO59*HelperFunctions!R$42+'NotEffectivelyVax (current)'!CR59*HelperFunctions!R$42+'NotEffectivelyVax (current)'!CU59*HelperFunctions!R$42+'NotEffectivelyVax (current)'!CX59*HelperFunctions!R$42+'NotEffectivelyVax (current)'!DA59*HelperFunctions!R$42+'NotEffectivelyVax (current)'!DD59*HelperFunctions!R$42+'NotEffectivelyVax (current)'!DG59*HelperFunctions!R$42+'NotEffectivelyVax (current)'!DJ59*HelperFunctions!R$56+'NotEffectivelyVax (current)'!DM59*HelperFunctions!R$56+'NotEffectivelyVax (current)'!DP59*HelperFunctions!R$56+'NotEffectivelyVax (current)'!DS59*HelperFunctions!R$56+'NotEffectivelyVax (current)'!DV59*HelperFunctions!R$56+'NotEffectivelyVax (current)'!DY59*HelperFunctions!R$56+'NotEffectivelyVax (current)'!EB59*HelperFunctions!R$56+'NotEffectivelyVax (current)'!EE59*HelperFunctions!R$56+'NotEffectivelyVax (current)'!EH59*HelperFunctions!R$56+'NotEffectivelyVax (current)'!EK59*HelperFunctions!R55+'NotEffectivelyVax (current)'!EN59*HelperFunctions!R54+'NotEffectivelyVax (current)'!EQ59*HelperFunctions!R53+'NotEffectivelyVax (current)'!ET59*HelperFunctions!R66+'NotEffectivelyVax (current)'!EW59*HelperFunctions!R65+'NotEffectivelyVax (current)'!EZ59*HelperFunctions!R64+'NotEffectivelyVax (current)'!FC59*HelperFunctions!R63+'NotEffectivelyVax (current)'!FF59*HelperFunctions!R62+'NotEffectivelyVax (current)'!FI59*HelperFunctions!R61+'NotEffectivelyVax (current)'!FL59*HelperFunctions!R60+'NotEffectivelyVax (current)'!FO59*HelperFunctions!R59)</f>
        <v>#VALUE!</v>
      </c>
      <c r="I60" s="192" t="e">
        <f t="shared" si="10"/>
        <v>#VALUE!</v>
      </c>
      <c r="J60" s="153">
        <f>SUM(EffectivelyVax!D59:BK59)</f>
        <v>0</v>
      </c>
      <c r="K60" s="193" t="e">
        <f t="shared" si="5"/>
        <v>#VALUE!</v>
      </c>
      <c r="L60" s="194" t="e">
        <f>I59*H60*Export!L58</f>
        <v>#VALUE!</v>
      </c>
      <c r="M60" s="195" t="e">
        <f t="shared" si="0"/>
        <v>#VALUE!</v>
      </c>
      <c r="N60" s="178" t="e">
        <f>IF(Export!M58&lt;&gt;"",K60*Export!K58*(1/Export!M58),K60*Export!K58)</f>
        <v>#VALUE!</v>
      </c>
      <c r="O60" s="154" t="e">
        <f>M60*Export!J58</f>
        <v>#VALUE!</v>
      </c>
      <c r="P60" s="186" t="e">
        <f>SUM('NotEffectivelyVax (current)'!F60,'NotEffectivelyVax (current)'!I60,'NotEffectivelyVax (current)'!L60,'NotEffectivelyVax (current)'!O60,'NotEffectivelyVax (current)'!R60,'NotEffectivelyVax (current)'!U60,'NotEffectivelyVax (current)'!X60,'NotEffectivelyVax (current)'!AA60,'NotEffectivelyVax (current)'!AD60,'NotEffectivelyVax (current)'!AG60,'NotEffectivelyVax (current)'!AJ60,'NotEffectivelyVax (current)'!AM60,'NotEffectivelyVax (current)'!AP60,'NotEffectivelyVax (current)'!AS60,'NotEffectivelyVax (current)'!AV60,'NotEffectivelyVax (current)'!AY60,'NotEffectivelyVax (current)'!BB60,'NotEffectivelyVax (current)'!BE60,'NotEffectivelyVax (current)'!BH60,'NotEffectivelyVax (current)'!BK60,'NotEffectivelyVax (current)'!BN60,'NotEffectivelyVax (current)'!BQ60,'NotEffectivelyVax (current)'!BT60,'NotEffectivelyVax (current)'!BW60,'NotEffectivelyVax (current)'!BZ60,'NotEffectivelyVax (current)'!CC60,'NotEffectivelyVax (current)'!CF60,'NotEffectivelyVax (current)'!CI60,'NotEffectivelyVax (current)'!CL60,'NotEffectivelyVax (current)'!CO60,'NotEffectivelyVax (current)'!CR60,'NotEffectivelyVax (current)'!CU60,'NotEffectivelyVax (current)'!CX60,'NotEffectivelyVax (current)'!DA60,'NotEffectivelyVax (current)'!DD60,'NotEffectivelyVax (current)'!DG60,'NotEffectivelyVax (current)'!DJ60,'NotEffectivelyVax (current)'!DM60,'NotEffectivelyVax (current)'!DP60,'NotEffectivelyVax (current)'!DS60,'NotEffectivelyVax (current)'!DV60,'NotEffectivelyVax (current)'!DY60,'NotEffectivelyVax (current)'!EB60,'NotEffectivelyVax (current)'!EE60,'NotEffectivelyVax (current)'!EH60,'NotEffectivelyVax (current)'!EK60,'NotEffectivelyVax (current)'!EN60,'NotEffectivelyVax (current)'!EQ60,'NotEffectivelyVax (current)'!ET60,'NotEffectivelyVax (current)'!EW60,'NotEffectivelyVax (current)'!EZ60,'NotEffectivelyVax (current)'!FC60,'NotEffectivelyVax (current)'!FF60,'NotEffectivelyVax (current)'!FI60,'NotEffectivelyVax (current)'!FL60,'NotEffectivelyVax (current)'!FO60,'NotEffectivelyVax (current)'!FR60,'NotEffectivelyVax (current)'!FU60,'NotEffectivelyVax (current)'!FX60,'NotEffectivelyVax (current)'!GA60)</f>
        <v>#VALUE!</v>
      </c>
      <c r="Q60" s="155" t="e">
        <f>SUM('NotEffectivelyVax (current)'!D60,'NotEffectivelyVax (current)'!G60,'NotEffectivelyVax (current)'!J60,'NotEffectivelyVax (current)'!M60,'NotEffectivelyVax (current)'!P60,'NotEffectivelyVax (current)'!S60,'NotEffectivelyVax (current)'!V60,'NotEffectivelyVax (current)'!Y60,'NotEffectivelyVax (current)'!AB60,'NotEffectivelyVax (current)'!AE60,'NotEffectivelyVax (current)'!AH60,'NotEffectivelyVax (current)'!AK60,'NotEffectivelyVax (current)'!AN60,'NotEffectivelyVax (current)'!AQ60,'NotEffectivelyVax (current)'!AT60,'NotEffectivelyVax (current)'!AW60,'NotEffectivelyVax (current)'!AZ60,'NotEffectivelyVax (current)'!BC60,'NotEffectivelyVax (current)'!BF60,'NotEffectivelyVax (current)'!BI60,'NotEffectivelyVax (current)'!BL60,'NotEffectivelyVax (current)'!BO60,'NotEffectivelyVax (current)'!BR60,'NotEffectivelyVax (current)'!BU60,'NotEffectivelyVax (current)'!BX60,'NotEffectivelyVax (current)'!CA60,'NotEffectivelyVax (current)'!CD60,'NotEffectivelyVax (current)'!CG60,'NotEffectivelyVax (current)'!CJ60,'NotEffectivelyVax (current)'!CM60,'NotEffectivelyVax (current)'!CP60,'NotEffectivelyVax (current)'!CS60,'NotEffectivelyVax (current)'!CV60,'NotEffectivelyVax (current)'!CY60,'NotEffectivelyVax (current)'!DB60,'NotEffectivelyVax (current)'!DE60,'NotEffectivelyVax (current)'!DH60,'NotEffectivelyVax (current)'!DK60,'NotEffectivelyVax (current)'!DN60,'NotEffectivelyVax (current)'!DQ60,'NotEffectivelyVax (current)'!DT60,'NotEffectivelyVax (current)'!DW60,'NotEffectivelyVax (current)'!DZ60,'NotEffectivelyVax (current)'!EC60,'NotEffectivelyVax (current)'!EF60,'NotEffectivelyVax (current)'!EI60,'NotEffectivelyVax (current)'!EL60,'NotEffectivelyVax (current)'!EO60,'NotEffectivelyVax (current)'!ER60,'NotEffectivelyVax (current)'!EU60,'NotEffectivelyVax (current)'!EX60,'NotEffectivelyVax (current)'!FA60,'NotEffectivelyVax (current)'!FD60,'NotEffectivelyVax (current)'!FG60,'NotEffectivelyVax (current)'!FJ60,'NotEffectivelyVax (current)'!FM60,'NotEffectivelyVax (current)'!FP60,'NotEffectivelyVax (current)'!FS60,'NotEffectivelyVax (current)'!FV60,'NotEffectivelyVax (current)'!FY60)</f>
        <v>#VALUE!</v>
      </c>
      <c r="R60" s="155" t="e">
        <f>SUM('NotEffectivelyVax (current)'!E60,'NotEffectivelyVax (current)'!H60,'NotEffectivelyVax (current)'!K60,'NotEffectivelyVax (current)'!N60,'NotEffectivelyVax (current)'!Q60,'NotEffectivelyVax (current)'!T60,'NotEffectivelyVax (current)'!W60,'NotEffectivelyVax (current)'!Z60,'NotEffectivelyVax (current)'!AC60,'NotEffectivelyVax (current)'!AF60,'NotEffectivelyVax (current)'!AI60,'NotEffectivelyVax (current)'!AL60,'NotEffectivelyVax (current)'!AO60,'NotEffectivelyVax (current)'!AR60,'NotEffectivelyVax (current)'!AU60,'NotEffectivelyVax (current)'!AX60,'NotEffectivelyVax (current)'!BA60,'NotEffectivelyVax (current)'!BD60,'NotEffectivelyVax (current)'!BG60,'NotEffectivelyVax (current)'!BJ60,'NotEffectivelyVax (current)'!BM60,'NotEffectivelyVax (current)'!BP60,'NotEffectivelyVax (current)'!BS60,'NotEffectivelyVax (current)'!BV60,'NotEffectivelyVax (current)'!BY60,'NotEffectivelyVax (current)'!CB60,'NotEffectivelyVax (current)'!CE60,'NotEffectivelyVax (current)'!CH60,'NotEffectivelyVax (current)'!CK60,'NotEffectivelyVax (current)'!CN60,'NotEffectivelyVax (current)'!CQ60,'NotEffectivelyVax (current)'!CT60,'NotEffectivelyVax (current)'!CW60,'NotEffectivelyVax (current)'!CZ60,'NotEffectivelyVax (current)'!DC60,'NotEffectivelyVax (current)'!DF60,'NotEffectivelyVax (current)'!DI60,'NotEffectivelyVax (current)'!DL60,'NotEffectivelyVax (current)'!DO60,'NotEffectivelyVax (current)'!DR60,'NotEffectivelyVax (current)'!DU60,'NotEffectivelyVax (current)'!DX60,'NotEffectivelyVax (current)'!EA60,'NotEffectivelyVax (current)'!ED60,'NotEffectivelyVax (current)'!EG60,'NotEffectivelyVax (current)'!EJ60,'NotEffectivelyVax (current)'!EM60,'NotEffectivelyVax (current)'!EP60,'NotEffectivelyVax (current)'!ES60,'NotEffectivelyVax (current)'!EV60,'NotEffectivelyVax (current)'!EY60,'NotEffectivelyVax (current)'!FB60,'NotEffectivelyVax (current)'!FE60,'NotEffectivelyVax (current)'!FH60,'NotEffectivelyVax (current)'!FK60,'NotEffectivelyVax (current)'!FN60,'NotEffectivelyVax (current)'!FQ60,'NotEffectivelyVax (current)'!FT60,'NotEffectivelyVax (current)'!FW60,'NotEffectivelyVax (current)'!FZ60)</f>
        <v>#VALUE!</v>
      </c>
      <c r="S60" s="138" t="e">
        <f t="shared" si="6"/>
        <v>#VALUE!</v>
      </c>
      <c r="T60" s="187" t="e">
        <f>IF(Export!M58&lt;&gt;"",Q60*Export!K58*(1/Export!M58),Q60*Export!K58)</f>
        <v>#VALUE!</v>
      </c>
      <c r="U60" s="188" t="e">
        <f>S60*Export!J58</f>
        <v>#VALUE!</v>
      </c>
      <c r="V60" s="196" t="e">
        <f t="shared" si="11"/>
        <v>#DIV/0!</v>
      </c>
      <c r="W60" s="197" t="e">
        <f t="shared" si="8"/>
        <v>#VALUE!</v>
      </c>
      <c r="X60" s="190" t="e">
        <f>H60*Export!L58*V59</f>
        <v>#VALUE!</v>
      </c>
      <c r="Y60" s="190" t="e">
        <f t="shared" si="1"/>
        <v>#VALUE!</v>
      </c>
      <c r="Z60" s="190" t="e">
        <f>IF(Export!M58&lt;&gt;"",W60*Export!K58*(1/Export!M58),W60*Export!K58)</f>
        <v>#VALUE!</v>
      </c>
      <c r="AA60" s="190" t="e">
        <f>Y60*Export!J58</f>
        <v>#VALUE!</v>
      </c>
      <c r="AC60" s="143" t="e">
        <f t="shared" si="12"/>
        <v>#VALUE!</v>
      </c>
      <c r="AD60" s="144" t="e">
        <f t="shared" si="12"/>
        <v>#VALUE!</v>
      </c>
      <c r="AE60" s="144" t="e">
        <f t="shared" si="13"/>
        <v>#VALUE!</v>
      </c>
      <c r="AF60" s="144" t="e">
        <f t="shared" si="13"/>
        <v>#VALUE!</v>
      </c>
      <c r="AG60" s="144" t="e">
        <f t="shared" si="4"/>
        <v>#VALUE!</v>
      </c>
      <c r="AH60" s="198"/>
      <c r="AI60" s="198"/>
      <c r="AJ60" s="198"/>
      <c r="AK60" s="198"/>
      <c r="AL60" s="199"/>
      <c r="AM60" s="150"/>
      <c r="AN60" s="150"/>
      <c r="AO60" s="150"/>
      <c r="AP60" s="150"/>
      <c r="AQ60" s="151"/>
    </row>
    <row r="61" spans="1:44" x14ac:dyDescent="0.35">
      <c r="A61" s="130">
        <f>EffectivelyVax!B60</f>
        <v>4</v>
      </c>
      <c r="B61" s="131" t="str">
        <f>EffectivelyVax!C60</f>
        <v/>
      </c>
      <c r="C61" s="132" t="str">
        <f>Export!N59</f>
        <v/>
      </c>
      <c r="D61" s="177" t="str">
        <f>Export!B59</f>
        <v/>
      </c>
      <c r="E61" s="178" t="e">
        <f>C61*D61*HelperFunctions!G$59</f>
        <v>#VALUE!</v>
      </c>
      <c r="F61" s="179" t="e">
        <f>C61*D61*(1-HelperFunctions!G$59)</f>
        <v>#VALUE!</v>
      </c>
      <c r="G61" s="180" t="str">
        <f>Export!C59</f>
        <v/>
      </c>
      <c r="H61" s="191" t="e">
        <f>G61/(I60+'NotEffectivelyVax (current)'!F60*HelperFunctions!R$14+'NotEffectivelyVax (current)'!I60*HelperFunctions!R$14+'NotEffectivelyVax (current)'!L60*HelperFunctions!R$14+'NotEffectivelyVax (current)'!O60*HelperFunctions!R$14+'NotEffectivelyVax (current)'!R60*HelperFunctions!R$14+'NotEffectivelyVax (current)'!U60*HelperFunctions!R$14+'NotEffectivelyVax (current)'!X60*HelperFunctions!R$14+'NotEffectivelyVax (current)'!AA60*HelperFunctions!R$14+'NotEffectivelyVax (current)'!AD60*HelperFunctions!R$14+'NotEffectivelyVax (current)'!AG60*HelperFunctions!R$14+'NotEffectivelyVax (current)'!AJ60*HelperFunctions!R$14+'NotEffectivelyVax (current)'!AM60*HelperFunctions!R$14+'NotEffectivelyVax (current)'!AP60*HelperFunctions!R$28+'NotEffectivelyVax (current)'!AS60*HelperFunctions!R$28+'NotEffectivelyVax (current)'!AV60*HelperFunctions!R$28+'NotEffectivelyVax (current)'!AY60*HelperFunctions!R$28+'NotEffectivelyVax (current)'!BB60*HelperFunctions!R$28+'NotEffectivelyVax (current)'!BE60*HelperFunctions!R$28+'NotEffectivelyVax (current)'!BH60*HelperFunctions!R$28+'NotEffectivelyVax (current)'!BK60*HelperFunctions!R$28+'NotEffectivelyVax (current)'!BN60*HelperFunctions!R$28+'NotEffectivelyVax (current)'!BQ60*HelperFunctions!R$28+'NotEffectivelyVax (current)'!BT60*HelperFunctions!R$28+'NotEffectivelyVax (current)'!BW60*HelperFunctions!R$28+'NotEffectivelyVax (current)'!BZ60*HelperFunctions!R$42+'NotEffectivelyVax (current)'!CC60*HelperFunctions!R$42+'NotEffectivelyVax (current)'!CF60*HelperFunctions!R$42+'NotEffectivelyVax (current)'!CI60*HelperFunctions!R$42+'NotEffectivelyVax (current)'!CL60*HelperFunctions!R$42+'NotEffectivelyVax (current)'!CO60*HelperFunctions!R$42+'NotEffectivelyVax (current)'!CR60*HelperFunctions!R$42+'NotEffectivelyVax (current)'!CU60*HelperFunctions!R$42+'NotEffectivelyVax (current)'!CX60*HelperFunctions!R$42+'NotEffectivelyVax (current)'!DA60*HelperFunctions!R$42+'NotEffectivelyVax (current)'!DD60*HelperFunctions!R$42+'NotEffectivelyVax (current)'!DG60*HelperFunctions!R$42+'NotEffectivelyVax (current)'!DJ60*HelperFunctions!R$56+'NotEffectivelyVax (current)'!DM60*HelperFunctions!R$56+'NotEffectivelyVax (current)'!DP60*HelperFunctions!R$56+'NotEffectivelyVax (current)'!DS60*HelperFunctions!R$56+'NotEffectivelyVax (current)'!DV60*HelperFunctions!R$56+'NotEffectivelyVax (current)'!DY60*HelperFunctions!R$56+'NotEffectivelyVax (current)'!EB60*HelperFunctions!R$56+'NotEffectivelyVax (current)'!EE60*HelperFunctions!R$56+'NotEffectivelyVax (current)'!EH60*HelperFunctions!R$56+'NotEffectivelyVax (current)'!EK60*HelperFunctions!R$56+'NotEffectivelyVax (current)'!EN60*HelperFunctions!R55+'NotEffectivelyVax (current)'!EQ60*HelperFunctions!R54+'NotEffectivelyVax (current)'!ET60*HelperFunctions!R67+'NotEffectivelyVax (current)'!EW60*HelperFunctions!R66+'NotEffectivelyVax (current)'!EZ60*HelperFunctions!R65+'NotEffectivelyVax (current)'!FC60*HelperFunctions!R64+'NotEffectivelyVax (current)'!FF60*HelperFunctions!R63+'NotEffectivelyVax (current)'!FI60*HelperFunctions!R62+'NotEffectivelyVax (current)'!FL60*HelperFunctions!R61+'NotEffectivelyVax (current)'!FO60*HelperFunctions!R60+'NotEffectivelyVax (current)'!FR60*HelperFunctions!R59)</f>
        <v>#VALUE!</v>
      </c>
      <c r="I61" s="192" t="e">
        <f t="shared" si="10"/>
        <v>#VALUE!</v>
      </c>
      <c r="J61" s="153">
        <f>SUM(EffectivelyVax!D60:BK60)</f>
        <v>0</v>
      </c>
      <c r="K61" s="193" t="e">
        <f t="shared" si="5"/>
        <v>#VALUE!</v>
      </c>
      <c r="L61" s="194" t="e">
        <f>I60*H61*Export!L59</f>
        <v>#VALUE!</v>
      </c>
      <c r="M61" s="195" t="e">
        <f t="shared" si="0"/>
        <v>#VALUE!</v>
      </c>
      <c r="N61" s="178" t="e">
        <f>IF(Export!M59&lt;&gt;"",K61*Export!K59*(1/Export!M59),K61*Export!K59)</f>
        <v>#VALUE!</v>
      </c>
      <c r="O61" s="154" t="e">
        <f>M61*Export!J59</f>
        <v>#VALUE!</v>
      </c>
      <c r="P61" s="186" t="e">
        <f>SUM('NotEffectivelyVax (current)'!F61,'NotEffectivelyVax (current)'!I61,'NotEffectivelyVax (current)'!L61,'NotEffectivelyVax (current)'!O61,'NotEffectivelyVax (current)'!R61,'NotEffectivelyVax (current)'!U61,'NotEffectivelyVax (current)'!X61,'NotEffectivelyVax (current)'!AA61,'NotEffectivelyVax (current)'!AD61,'NotEffectivelyVax (current)'!AG61,'NotEffectivelyVax (current)'!AJ61,'NotEffectivelyVax (current)'!AM61,'NotEffectivelyVax (current)'!AP61,'NotEffectivelyVax (current)'!AS61,'NotEffectivelyVax (current)'!AV61,'NotEffectivelyVax (current)'!AY61,'NotEffectivelyVax (current)'!BB61,'NotEffectivelyVax (current)'!BE61,'NotEffectivelyVax (current)'!BH61,'NotEffectivelyVax (current)'!BK61,'NotEffectivelyVax (current)'!BN61,'NotEffectivelyVax (current)'!BQ61,'NotEffectivelyVax (current)'!BT61,'NotEffectivelyVax (current)'!BW61,'NotEffectivelyVax (current)'!BZ61,'NotEffectivelyVax (current)'!CC61,'NotEffectivelyVax (current)'!CF61,'NotEffectivelyVax (current)'!CI61,'NotEffectivelyVax (current)'!CL61,'NotEffectivelyVax (current)'!CO61,'NotEffectivelyVax (current)'!CR61,'NotEffectivelyVax (current)'!CU61,'NotEffectivelyVax (current)'!CX61,'NotEffectivelyVax (current)'!DA61,'NotEffectivelyVax (current)'!DD61,'NotEffectivelyVax (current)'!DG61,'NotEffectivelyVax (current)'!DJ61,'NotEffectivelyVax (current)'!DM61,'NotEffectivelyVax (current)'!DP61,'NotEffectivelyVax (current)'!DS61,'NotEffectivelyVax (current)'!DV61,'NotEffectivelyVax (current)'!DY61,'NotEffectivelyVax (current)'!EB61,'NotEffectivelyVax (current)'!EE61,'NotEffectivelyVax (current)'!EH61,'NotEffectivelyVax (current)'!EK61,'NotEffectivelyVax (current)'!EN61,'NotEffectivelyVax (current)'!EQ61,'NotEffectivelyVax (current)'!ET61,'NotEffectivelyVax (current)'!EW61,'NotEffectivelyVax (current)'!EZ61,'NotEffectivelyVax (current)'!FC61,'NotEffectivelyVax (current)'!FF61,'NotEffectivelyVax (current)'!FI61,'NotEffectivelyVax (current)'!FL61,'NotEffectivelyVax (current)'!FO61,'NotEffectivelyVax (current)'!FR61,'NotEffectivelyVax (current)'!FU61,'NotEffectivelyVax (current)'!FX61,'NotEffectivelyVax (current)'!GA61)</f>
        <v>#VALUE!</v>
      </c>
      <c r="Q61" s="155" t="e">
        <f>SUM('NotEffectivelyVax (current)'!D61,'NotEffectivelyVax (current)'!G61,'NotEffectivelyVax (current)'!J61,'NotEffectivelyVax (current)'!M61,'NotEffectivelyVax (current)'!P61,'NotEffectivelyVax (current)'!S61,'NotEffectivelyVax (current)'!V61,'NotEffectivelyVax (current)'!Y61,'NotEffectivelyVax (current)'!AB61,'NotEffectivelyVax (current)'!AE61,'NotEffectivelyVax (current)'!AH61,'NotEffectivelyVax (current)'!AK61,'NotEffectivelyVax (current)'!AN61,'NotEffectivelyVax (current)'!AQ61,'NotEffectivelyVax (current)'!AT61,'NotEffectivelyVax (current)'!AW61,'NotEffectivelyVax (current)'!AZ61,'NotEffectivelyVax (current)'!BC61,'NotEffectivelyVax (current)'!BF61,'NotEffectivelyVax (current)'!BI61,'NotEffectivelyVax (current)'!BL61,'NotEffectivelyVax (current)'!BO61,'NotEffectivelyVax (current)'!BR61,'NotEffectivelyVax (current)'!BU61,'NotEffectivelyVax (current)'!BX61,'NotEffectivelyVax (current)'!CA61,'NotEffectivelyVax (current)'!CD61,'NotEffectivelyVax (current)'!CG61,'NotEffectivelyVax (current)'!CJ61,'NotEffectivelyVax (current)'!CM61,'NotEffectivelyVax (current)'!CP61,'NotEffectivelyVax (current)'!CS61,'NotEffectivelyVax (current)'!CV61,'NotEffectivelyVax (current)'!CY61,'NotEffectivelyVax (current)'!DB61,'NotEffectivelyVax (current)'!DE61,'NotEffectivelyVax (current)'!DH61,'NotEffectivelyVax (current)'!DK61,'NotEffectivelyVax (current)'!DN61,'NotEffectivelyVax (current)'!DQ61,'NotEffectivelyVax (current)'!DT61,'NotEffectivelyVax (current)'!DW61,'NotEffectivelyVax (current)'!DZ61,'NotEffectivelyVax (current)'!EC61,'NotEffectivelyVax (current)'!EF61,'NotEffectivelyVax (current)'!EI61,'NotEffectivelyVax (current)'!EL61,'NotEffectivelyVax (current)'!EO61,'NotEffectivelyVax (current)'!ER61,'NotEffectivelyVax (current)'!EU61,'NotEffectivelyVax (current)'!EX61,'NotEffectivelyVax (current)'!FA61,'NotEffectivelyVax (current)'!FD61,'NotEffectivelyVax (current)'!FG61,'NotEffectivelyVax (current)'!FJ61,'NotEffectivelyVax (current)'!FM61,'NotEffectivelyVax (current)'!FP61,'NotEffectivelyVax (current)'!FS61,'NotEffectivelyVax (current)'!FV61,'NotEffectivelyVax (current)'!FY61)</f>
        <v>#VALUE!</v>
      </c>
      <c r="R61" s="155" t="e">
        <f>SUM('NotEffectivelyVax (current)'!E61,'NotEffectivelyVax (current)'!H61,'NotEffectivelyVax (current)'!K61,'NotEffectivelyVax (current)'!N61,'NotEffectivelyVax (current)'!Q61,'NotEffectivelyVax (current)'!T61,'NotEffectivelyVax (current)'!W61,'NotEffectivelyVax (current)'!Z61,'NotEffectivelyVax (current)'!AC61,'NotEffectivelyVax (current)'!AF61,'NotEffectivelyVax (current)'!AI61,'NotEffectivelyVax (current)'!AL61,'NotEffectivelyVax (current)'!AO61,'NotEffectivelyVax (current)'!AR61,'NotEffectivelyVax (current)'!AU61,'NotEffectivelyVax (current)'!AX61,'NotEffectivelyVax (current)'!BA61,'NotEffectivelyVax (current)'!BD61,'NotEffectivelyVax (current)'!BG61,'NotEffectivelyVax (current)'!BJ61,'NotEffectivelyVax (current)'!BM61,'NotEffectivelyVax (current)'!BP61,'NotEffectivelyVax (current)'!BS61,'NotEffectivelyVax (current)'!BV61,'NotEffectivelyVax (current)'!BY61,'NotEffectivelyVax (current)'!CB61,'NotEffectivelyVax (current)'!CE61,'NotEffectivelyVax (current)'!CH61,'NotEffectivelyVax (current)'!CK61,'NotEffectivelyVax (current)'!CN61,'NotEffectivelyVax (current)'!CQ61,'NotEffectivelyVax (current)'!CT61,'NotEffectivelyVax (current)'!CW61,'NotEffectivelyVax (current)'!CZ61,'NotEffectivelyVax (current)'!DC61,'NotEffectivelyVax (current)'!DF61,'NotEffectivelyVax (current)'!DI61,'NotEffectivelyVax (current)'!DL61,'NotEffectivelyVax (current)'!DO61,'NotEffectivelyVax (current)'!DR61,'NotEffectivelyVax (current)'!DU61,'NotEffectivelyVax (current)'!DX61,'NotEffectivelyVax (current)'!EA61,'NotEffectivelyVax (current)'!ED61,'NotEffectivelyVax (current)'!EG61,'NotEffectivelyVax (current)'!EJ61,'NotEffectivelyVax (current)'!EM61,'NotEffectivelyVax (current)'!EP61,'NotEffectivelyVax (current)'!ES61,'NotEffectivelyVax (current)'!EV61,'NotEffectivelyVax (current)'!EY61,'NotEffectivelyVax (current)'!FB61,'NotEffectivelyVax (current)'!FE61,'NotEffectivelyVax (current)'!FH61,'NotEffectivelyVax (current)'!FK61,'NotEffectivelyVax (current)'!FN61,'NotEffectivelyVax (current)'!FQ61,'NotEffectivelyVax (current)'!FT61,'NotEffectivelyVax (current)'!FW61,'NotEffectivelyVax (current)'!FZ61)</f>
        <v>#VALUE!</v>
      </c>
      <c r="S61" s="138" t="e">
        <f t="shared" si="6"/>
        <v>#VALUE!</v>
      </c>
      <c r="T61" s="187" t="e">
        <f>IF(Export!M59&lt;&gt;"",Q61*Export!K59*(1/Export!M59),Q61*Export!K59)</f>
        <v>#VALUE!</v>
      </c>
      <c r="U61" s="188" t="e">
        <f>S61*Export!J59</f>
        <v>#VALUE!</v>
      </c>
      <c r="V61" s="196" t="e">
        <f t="shared" si="11"/>
        <v>#DIV/0!</v>
      </c>
      <c r="W61" s="197" t="e">
        <f t="shared" si="8"/>
        <v>#VALUE!</v>
      </c>
      <c r="X61" s="190" t="e">
        <f>H61*Export!L59*V60</f>
        <v>#VALUE!</v>
      </c>
      <c r="Y61" s="190" t="e">
        <f t="shared" si="1"/>
        <v>#VALUE!</v>
      </c>
      <c r="Z61" s="190" t="e">
        <f>IF(Export!M59&lt;&gt;"",W61*Export!K59*(1/Export!M59),W61*Export!K59)</f>
        <v>#VALUE!</v>
      </c>
      <c r="AA61" s="190" t="e">
        <f>Y61*Export!J59</f>
        <v>#VALUE!</v>
      </c>
      <c r="AC61" s="143" t="e">
        <f t="shared" si="12"/>
        <v>#VALUE!</v>
      </c>
      <c r="AD61" s="144" t="e">
        <f t="shared" si="12"/>
        <v>#VALUE!</v>
      </c>
      <c r="AE61" s="144" t="e">
        <f t="shared" si="13"/>
        <v>#VALUE!</v>
      </c>
      <c r="AF61" s="144" t="e">
        <f t="shared" si="13"/>
        <v>#VALUE!</v>
      </c>
      <c r="AG61" s="144" t="e">
        <f t="shared" si="4"/>
        <v>#VALUE!</v>
      </c>
      <c r="AH61" s="198"/>
      <c r="AI61" s="198"/>
      <c r="AJ61" s="198"/>
      <c r="AK61" s="198"/>
      <c r="AL61" s="199"/>
      <c r="AM61" s="150"/>
      <c r="AN61" s="150"/>
      <c r="AO61" s="150"/>
      <c r="AP61" s="150"/>
      <c r="AQ61" s="151"/>
    </row>
    <row r="62" spans="1:44" x14ac:dyDescent="0.35">
      <c r="A62" s="130">
        <f>EffectivelyVax!B61</f>
        <v>4</v>
      </c>
      <c r="B62" s="131" t="str">
        <f>EffectivelyVax!C61</f>
        <v/>
      </c>
      <c r="C62" s="132" t="str">
        <f>Export!N60</f>
        <v/>
      </c>
      <c r="D62" s="177" t="str">
        <f>Export!B60</f>
        <v/>
      </c>
      <c r="E62" s="178" t="e">
        <f>C62*D62*HelperFunctions!G$59</f>
        <v>#VALUE!</v>
      </c>
      <c r="F62" s="179" t="e">
        <f>C62*D62*(1-HelperFunctions!G$59)</f>
        <v>#VALUE!</v>
      </c>
      <c r="G62" s="180" t="str">
        <f>Export!C60</f>
        <v/>
      </c>
      <c r="H62" s="191" t="e">
        <f>G62/(I61+'NotEffectivelyVax (current)'!F61*HelperFunctions!R$14+'NotEffectivelyVax (current)'!I61*HelperFunctions!R$14+'NotEffectivelyVax (current)'!L61*HelperFunctions!R$14+'NotEffectivelyVax (current)'!O61*HelperFunctions!R$14+'NotEffectivelyVax (current)'!R61*HelperFunctions!R$14+'NotEffectivelyVax (current)'!U61*HelperFunctions!R$14+'NotEffectivelyVax (current)'!X61*HelperFunctions!R$14+'NotEffectivelyVax (current)'!AA61*HelperFunctions!R$14+'NotEffectivelyVax (current)'!AD61*HelperFunctions!R$14+'NotEffectivelyVax (current)'!AG61*HelperFunctions!R$14+'NotEffectivelyVax (current)'!AJ61*HelperFunctions!R$14+'NotEffectivelyVax (current)'!AM61*HelperFunctions!R$14+'NotEffectivelyVax (current)'!AP61*HelperFunctions!R$28+'NotEffectivelyVax (current)'!AS61*HelperFunctions!R$28+'NotEffectivelyVax (current)'!AV61*HelperFunctions!R$28+'NotEffectivelyVax (current)'!AY61*HelperFunctions!R$28+'NotEffectivelyVax (current)'!BB61*HelperFunctions!R$28+'NotEffectivelyVax (current)'!BE61*HelperFunctions!R$28+'NotEffectivelyVax (current)'!BH61*HelperFunctions!R$28+'NotEffectivelyVax (current)'!BK61*HelperFunctions!R$28+'NotEffectivelyVax (current)'!BN61*HelperFunctions!R$28+'NotEffectivelyVax (current)'!BQ61*HelperFunctions!R$28+'NotEffectivelyVax (current)'!BT61*HelperFunctions!R$28+'NotEffectivelyVax (current)'!BW61*HelperFunctions!R$28+'NotEffectivelyVax (current)'!BZ61*HelperFunctions!R$42+'NotEffectivelyVax (current)'!CC61*HelperFunctions!R$42+'NotEffectivelyVax (current)'!CF61*HelperFunctions!R$42+'NotEffectivelyVax (current)'!CI61*HelperFunctions!R$42+'NotEffectivelyVax (current)'!CL61*HelperFunctions!R$42+'NotEffectivelyVax (current)'!CO61*HelperFunctions!R$42+'NotEffectivelyVax (current)'!CR61*HelperFunctions!R$42+'NotEffectivelyVax (current)'!CU61*HelperFunctions!R$42+'NotEffectivelyVax (current)'!CX61*HelperFunctions!R$42+'NotEffectivelyVax (current)'!DA61*HelperFunctions!R$42+'NotEffectivelyVax (current)'!DD61*HelperFunctions!R$42+'NotEffectivelyVax (current)'!DG61*HelperFunctions!R$42+'NotEffectivelyVax (current)'!DJ61*HelperFunctions!R$56+'NotEffectivelyVax (current)'!DM61*HelperFunctions!R$56+'NotEffectivelyVax (current)'!DP61*HelperFunctions!R$56+'NotEffectivelyVax (current)'!DS61*HelperFunctions!R$56+'NotEffectivelyVax (current)'!DV61*HelperFunctions!R$56+'NotEffectivelyVax (current)'!DY61*HelperFunctions!R$56+'NotEffectivelyVax (current)'!EB61*HelperFunctions!R$56+'NotEffectivelyVax (current)'!EE61*HelperFunctions!R$56+'NotEffectivelyVax (current)'!EH61*HelperFunctions!R$56+'NotEffectivelyVax (current)'!EK61*HelperFunctions!R$56+'NotEffectivelyVax (current)'!EN61*HelperFunctions!R$56+'NotEffectivelyVax (current)'!EQ61*HelperFunctions!R55+'NotEffectivelyVax (current)'!ET61*HelperFunctions!R68+'NotEffectivelyVax (current)'!EW61*HelperFunctions!R67+'NotEffectivelyVax (current)'!EZ61*HelperFunctions!R66+'NotEffectivelyVax (current)'!FC61*HelperFunctions!R65+'NotEffectivelyVax (current)'!FF61*HelperFunctions!R64+'NotEffectivelyVax (current)'!FI61*HelperFunctions!R63+'NotEffectivelyVax (current)'!FL61*HelperFunctions!R62+'NotEffectivelyVax (current)'!FO61*HelperFunctions!R61+'NotEffectivelyVax (current)'!FR61*HelperFunctions!R60+'NotEffectivelyVax (current)'!FU61*HelperFunctions!R59)</f>
        <v>#VALUE!</v>
      </c>
      <c r="I62" s="192" t="e">
        <f t="shared" si="10"/>
        <v>#VALUE!</v>
      </c>
      <c r="J62" s="153">
        <f>SUM(EffectivelyVax!D61:BK61)</f>
        <v>0</v>
      </c>
      <c r="K62" s="193" t="e">
        <f t="shared" si="5"/>
        <v>#VALUE!</v>
      </c>
      <c r="L62" s="194" t="e">
        <f>I61*H62*Export!L60</f>
        <v>#VALUE!</v>
      </c>
      <c r="M62" s="195" t="e">
        <f t="shared" si="0"/>
        <v>#VALUE!</v>
      </c>
      <c r="N62" s="178" t="e">
        <f>IF(Export!M60&lt;&gt;"",K62*Export!K60*(1/Export!M60),K62*Export!K60)</f>
        <v>#VALUE!</v>
      </c>
      <c r="O62" s="154" t="e">
        <f>M62*Export!J60</f>
        <v>#VALUE!</v>
      </c>
      <c r="P62" s="186" t="e">
        <f>SUM('NotEffectivelyVax (current)'!F62,'NotEffectivelyVax (current)'!I62,'NotEffectivelyVax (current)'!L62,'NotEffectivelyVax (current)'!O62,'NotEffectivelyVax (current)'!R62,'NotEffectivelyVax (current)'!U62,'NotEffectivelyVax (current)'!X62,'NotEffectivelyVax (current)'!AA62,'NotEffectivelyVax (current)'!AD62,'NotEffectivelyVax (current)'!AG62,'NotEffectivelyVax (current)'!AJ62,'NotEffectivelyVax (current)'!AM62,'NotEffectivelyVax (current)'!AP62,'NotEffectivelyVax (current)'!AS62,'NotEffectivelyVax (current)'!AV62,'NotEffectivelyVax (current)'!AY62,'NotEffectivelyVax (current)'!BB62,'NotEffectivelyVax (current)'!BE62,'NotEffectivelyVax (current)'!BH62,'NotEffectivelyVax (current)'!BK62,'NotEffectivelyVax (current)'!BN62,'NotEffectivelyVax (current)'!BQ62,'NotEffectivelyVax (current)'!BT62,'NotEffectivelyVax (current)'!BW62,'NotEffectivelyVax (current)'!BZ62,'NotEffectivelyVax (current)'!CC62,'NotEffectivelyVax (current)'!CF62,'NotEffectivelyVax (current)'!CI62,'NotEffectivelyVax (current)'!CL62,'NotEffectivelyVax (current)'!CO62,'NotEffectivelyVax (current)'!CR62,'NotEffectivelyVax (current)'!CU62,'NotEffectivelyVax (current)'!CX62,'NotEffectivelyVax (current)'!DA62,'NotEffectivelyVax (current)'!DD62,'NotEffectivelyVax (current)'!DG62,'NotEffectivelyVax (current)'!DJ62,'NotEffectivelyVax (current)'!DM62,'NotEffectivelyVax (current)'!DP62,'NotEffectivelyVax (current)'!DS62,'NotEffectivelyVax (current)'!DV62,'NotEffectivelyVax (current)'!DY62,'NotEffectivelyVax (current)'!EB62,'NotEffectivelyVax (current)'!EE62,'NotEffectivelyVax (current)'!EH62,'NotEffectivelyVax (current)'!EK62,'NotEffectivelyVax (current)'!EN62,'NotEffectivelyVax (current)'!EQ62,'NotEffectivelyVax (current)'!ET62,'NotEffectivelyVax (current)'!EW62,'NotEffectivelyVax (current)'!EZ62,'NotEffectivelyVax (current)'!FC62,'NotEffectivelyVax (current)'!FF62,'NotEffectivelyVax (current)'!FI62,'NotEffectivelyVax (current)'!FL62,'NotEffectivelyVax (current)'!FO62,'NotEffectivelyVax (current)'!FR62,'NotEffectivelyVax (current)'!FU62,'NotEffectivelyVax (current)'!FX62,'NotEffectivelyVax (current)'!GA62)</f>
        <v>#VALUE!</v>
      </c>
      <c r="Q62" s="155" t="e">
        <f>SUM('NotEffectivelyVax (current)'!D62,'NotEffectivelyVax (current)'!G62,'NotEffectivelyVax (current)'!J62,'NotEffectivelyVax (current)'!M62,'NotEffectivelyVax (current)'!P62,'NotEffectivelyVax (current)'!S62,'NotEffectivelyVax (current)'!V62,'NotEffectivelyVax (current)'!Y62,'NotEffectivelyVax (current)'!AB62,'NotEffectivelyVax (current)'!AE62,'NotEffectivelyVax (current)'!AH62,'NotEffectivelyVax (current)'!AK62,'NotEffectivelyVax (current)'!AN62,'NotEffectivelyVax (current)'!AQ62,'NotEffectivelyVax (current)'!AT62,'NotEffectivelyVax (current)'!AW62,'NotEffectivelyVax (current)'!AZ62,'NotEffectivelyVax (current)'!BC62,'NotEffectivelyVax (current)'!BF62,'NotEffectivelyVax (current)'!BI62,'NotEffectivelyVax (current)'!BL62,'NotEffectivelyVax (current)'!BO62,'NotEffectivelyVax (current)'!BR62,'NotEffectivelyVax (current)'!BU62,'NotEffectivelyVax (current)'!BX62,'NotEffectivelyVax (current)'!CA62,'NotEffectivelyVax (current)'!CD62,'NotEffectivelyVax (current)'!CG62,'NotEffectivelyVax (current)'!CJ62,'NotEffectivelyVax (current)'!CM62,'NotEffectivelyVax (current)'!CP62,'NotEffectivelyVax (current)'!CS62,'NotEffectivelyVax (current)'!CV62,'NotEffectivelyVax (current)'!CY62,'NotEffectivelyVax (current)'!DB62,'NotEffectivelyVax (current)'!DE62,'NotEffectivelyVax (current)'!DH62,'NotEffectivelyVax (current)'!DK62,'NotEffectivelyVax (current)'!DN62,'NotEffectivelyVax (current)'!DQ62,'NotEffectivelyVax (current)'!DT62,'NotEffectivelyVax (current)'!DW62,'NotEffectivelyVax (current)'!DZ62,'NotEffectivelyVax (current)'!EC62,'NotEffectivelyVax (current)'!EF62,'NotEffectivelyVax (current)'!EI62,'NotEffectivelyVax (current)'!EL62,'NotEffectivelyVax (current)'!EO62,'NotEffectivelyVax (current)'!ER62,'NotEffectivelyVax (current)'!EU62,'NotEffectivelyVax (current)'!EX62,'NotEffectivelyVax (current)'!FA62,'NotEffectivelyVax (current)'!FD62,'NotEffectivelyVax (current)'!FG62,'NotEffectivelyVax (current)'!FJ62,'NotEffectivelyVax (current)'!FM62,'NotEffectivelyVax (current)'!FP62,'NotEffectivelyVax (current)'!FS62,'NotEffectivelyVax (current)'!FV62,'NotEffectivelyVax (current)'!FY62)</f>
        <v>#VALUE!</v>
      </c>
      <c r="R62" s="155" t="e">
        <f>SUM('NotEffectivelyVax (current)'!E62,'NotEffectivelyVax (current)'!H62,'NotEffectivelyVax (current)'!K62,'NotEffectivelyVax (current)'!N62,'NotEffectivelyVax (current)'!Q62,'NotEffectivelyVax (current)'!T62,'NotEffectivelyVax (current)'!W62,'NotEffectivelyVax (current)'!Z62,'NotEffectivelyVax (current)'!AC62,'NotEffectivelyVax (current)'!AF62,'NotEffectivelyVax (current)'!AI62,'NotEffectivelyVax (current)'!AL62,'NotEffectivelyVax (current)'!AO62,'NotEffectivelyVax (current)'!AR62,'NotEffectivelyVax (current)'!AU62,'NotEffectivelyVax (current)'!AX62,'NotEffectivelyVax (current)'!BA62,'NotEffectivelyVax (current)'!BD62,'NotEffectivelyVax (current)'!BG62,'NotEffectivelyVax (current)'!BJ62,'NotEffectivelyVax (current)'!BM62,'NotEffectivelyVax (current)'!BP62,'NotEffectivelyVax (current)'!BS62,'NotEffectivelyVax (current)'!BV62,'NotEffectivelyVax (current)'!BY62,'NotEffectivelyVax (current)'!CB62,'NotEffectivelyVax (current)'!CE62,'NotEffectivelyVax (current)'!CH62,'NotEffectivelyVax (current)'!CK62,'NotEffectivelyVax (current)'!CN62,'NotEffectivelyVax (current)'!CQ62,'NotEffectivelyVax (current)'!CT62,'NotEffectivelyVax (current)'!CW62,'NotEffectivelyVax (current)'!CZ62,'NotEffectivelyVax (current)'!DC62,'NotEffectivelyVax (current)'!DF62,'NotEffectivelyVax (current)'!DI62,'NotEffectivelyVax (current)'!DL62,'NotEffectivelyVax (current)'!DO62,'NotEffectivelyVax (current)'!DR62,'NotEffectivelyVax (current)'!DU62,'NotEffectivelyVax (current)'!DX62,'NotEffectivelyVax (current)'!EA62,'NotEffectivelyVax (current)'!ED62,'NotEffectivelyVax (current)'!EG62,'NotEffectivelyVax (current)'!EJ62,'NotEffectivelyVax (current)'!EM62,'NotEffectivelyVax (current)'!EP62,'NotEffectivelyVax (current)'!ES62,'NotEffectivelyVax (current)'!EV62,'NotEffectivelyVax (current)'!EY62,'NotEffectivelyVax (current)'!FB62,'NotEffectivelyVax (current)'!FE62,'NotEffectivelyVax (current)'!FH62,'NotEffectivelyVax (current)'!FK62,'NotEffectivelyVax (current)'!FN62,'NotEffectivelyVax (current)'!FQ62,'NotEffectivelyVax (current)'!FT62,'NotEffectivelyVax (current)'!FW62,'NotEffectivelyVax (current)'!FZ62)</f>
        <v>#VALUE!</v>
      </c>
      <c r="S62" s="138" t="e">
        <f t="shared" si="6"/>
        <v>#VALUE!</v>
      </c>
      <c r="T62" s="187" t="e">
        <f>IF(Export!M60&lt;&gt;"",Q62*Export!K60*(1/Export!M60),Q62*Export!K60)</f>
        <v>#VALUE!</v>
      </c>
      <c r="U62" s="188" t="e">
        <f>S62*Export!J60</f>
        <v>#VALUE!</v>
      </c>
      <c r="V62" s="196" t="e">
        <f t="shared" si="11"/>
        <v>#DIV/0!</v>
      </c>
      <c r="W62" s="197" t="e">
        <f t="shared" si="8"/>
        <v>#VALUE!</v>
      </c>
      <c r="X62" s="190" t="e">
        <f>H62*Export!L60*V61</f>
        <v>#VALUE!</v>
      </c>
      <c r="Y62" s="190" t="e">
        <f t="shared" si="1"/>
        <v>#VALUE!</v>
      </c>
      <c r="Z62" s="190" t="e">
        <f>IF(Export!M60&lt;&gt;"",W62*Export!K60*(1/Export!M60),W62*Export!K60)</f>
        <v>#VALUE!</v>
      </c>
      <c r="AA62" s="190" t="e">
        <f>Y62*Export!J60</f>
        <v>#VALUE!</v>
      </c>
      <c r="AC62" s="143" t="e">
        <f t="shared" si="12"/>
        <v>#VALUE!</v>
      </c>
      <c r="AD62" s="144" t="e">
        <f t="shared" si="12"/>
        <v>#VALUE!</v>
      </c>
      <c r="AE62" s="144" t="e">
        <f t="shared" si="13"/>
        <v>#VALUE!</v>
      </c>
      <c r="AF62" s="144" t="e">
        <f t="shared" si="13"/>
        <v>#VALUE!</v>
      </c>
      <c r="AG62" s="144" t="e">
        <f t="shared" si="4"/>
        <v>#VALUE!</v>
      </c>
      <c r="AH62" s="198"/>
      <c r="AI62" s="198"/>
      <c r="AJ62" s="198"/>
      <c r="AK62" s="198"/>
      <c r="AL62" s="199"/>
      <c r="AM62" s="150"/>
      <c r="AN62" s="150"/>
      <c r="AO62" s="150"/>
      <c r="AP62" s="150"/>
      <c r="AQ62" s="151"/>
    </row>
    <row r="63" spans="1:44" ht="15.75" customHeight="1" x14ac:dyDescent="0.35">
      <c r="A63" s="130">
        <f>EffectivelyVax!B62</f>
        <v>4</v>
      </c>
      <c r="B63" s="131" t="str">
        <f>EffectivelyVax!C62</f>
        <v/>
      </c>
      <c r="C63" s="132" t="str">
        <f>Export!N61</f>
        <v/>
      </c>
      <c r="D63" s="177" t="str">
        <f>Export!B61</f>
        <v/>
      </c>
      <c r="E63" s="178" t="e">
        <f>C63*D63*HelperFunctions!G$59</f>
        <v>#VALUE!</v>
      </c>
      <c r="F63" s="179" t="e">
        <f>C63*D63*(1-HelperFunctions!G$59)</f>
        <v>#VALUE!</v>
      </c>
      <c r="G63" s="180" t="str">
        <f>Export!C61</f>
        <v/>
      </c>
      <c r="H63" s="191" t="e">
        <f>G63/(I62+'NotEffectivelyVax (current)'!F62*HelperFunctions!R$14+'NotEffectivelyVax (current)'!I62*HelperFunctions!R$14+'NotEffectivelyVax (current)'!L62*HelperFunctions!R$14+'NotEffectivelyVax (current)'!O62*HelperFunctions!R$14+'NotEffectivelyVax (current)'!R62*HelperFunctions!R$14+'NotEffectivelyVax (current)'!U62*HelperFunctions!R$14+'NotEffectivelyVax (current)'!X62*HelperFunctions!R$14+'NotEffectivelyVax (current)'!AA62*HelperFunctions!R$14+'NotEffectivelyVax (current)'!AD62*HelperFunctions!R$14+'NotEffectivelyVax (current)'!AG62*HelperFunctions!R$14+'NotEffectivelyVax (current)'!AJ62*HelperFunctions!R$14+'NotEffectivelyVax (current)'!AM62*HelperFunctions!R$14+'NotEffectivelyVax (current)'!AP62*HelperFunctions!R$28+'NotEffectivelyVax (current)'!AS62*HelperFunctions!R$28+'NotEffectivelyVax (current)'!AV62*HelperFunctions!R$28+'NotEffectivelyVax (current)'!AY62*HelperFunctions!R$28+'NotEffectivelyVax (current)'!BB62*HelperFunctions!R$28+'NotEffectivelyVax (current)'!BE62*HelperFunctions!R$28+'NotEffectivelyVax (current)'!BH62*HelperFunctions!R$28+'NotEffectivelyVax (current)'!BK62*HelperFunctions!R$28+'NotEffectivelyVax (current)'!BN62*HelperFunctions!R$28+'NotEffectivelyVax (current)'!BQ62*HelperFunctions!R$28+'NotEffectivelyVax (current)'!BT62*HelperFunctions!R$28+'NotEffectivelyVax (current)'!BW62*HelperFunctions!R$28+'NotEffectivelyVax (current)'!BZ62*HelperFunctions!R$42+'NotEffectivelyVax (current)'!CC62*HelperFunctions!R$42+'NotEffectivelyVax (current)'!CF62*HelperFunctions!R$42+'NotEffectivelyVax (current)'!CI62*HelperFunctions!R$42+'NotEffectivelyVax (current)'!CL62*HelperFunctions!R$42+'NotEffectivelyVax (current)'!CO62*HelperFunctions!R$42+'NotEffectivelyVax (current)'!CR62*HelperFunctions!R$42+'NotEffectivelyVax (current)'!CU62*HelperFunctions!R$42+'NotEffectivelyVax (current)'!CX62*HelperFunctions!R$42+'NotEffectivelyVax (current)'!DA62*HelperFunctions!R$42+'NotEffectivelyVax (current)'!DD62*HelperFunctions!R$42+'NotEffectivelyVax (current)'!DG62*HelperFunctions!R$42+'NotEffectivelyVax (current)'!DJ62*HelperFunctions!R$56+'NotEffectivelyVax (current)'!DM62*HelperFunctions!R$56+'NotEffectivelyVax (current)'!DP62*HelperFunctions!R$56+'NotEffectivelyVax (current)'!DS62*HelperFunctions!R$56+'NotEffectivelyVax (current)'!DV62*HelperFunctions!R$56+'NotEffectivelyVax (current)'!DY62*HelperFunctions!R$56+'NotEffectivelyVax (current)'!EB62*HelperFunctions!R$56+'NotEffectivelyVax (current)'!EE62*HelperFunctions!R$56+'NotEffectivelyVax (current)'!EH62*HelperFunctions!R$56+'NotEffectivelyVax (current)'!EK62*HelperFunctions!R$56+'NotEffectivelyVax (current)'!EN62*HelperFunctions!R$56+'NotEffectivelyVax (current)'!EQ62*HelperFunctions!R$56+'NotEffectivelyVax (current)'!ET62*HelperFunctions!R69+'NotEffectivelyVax (current)'!EW62*HelperFunctions!R68+'NotEffectivelyVax (current)'!EZ62*HelperFunctions!R67+'NotEffectivelyVax (current)'!FC62*HelperFunctions!R66+'NotEffectivelyVax (current)'!FF62*HelperFunctions!R65+'NotEffectivelyVax (current)'!FI62*HelperFunctions!R64+'NotEffectivelyVax (current)'!FL62*HelperFunctions!R63+'NotEffectivelyVax (current)'!FO62*HelperFunctions!R62+'NotEffectivelyVax (current)'!FR62*HelperFunctions!R61+'NotEffectivelyVax (current)'!FU62*HelperFunctions!R60+'NotEffectivelyVax (current)'!FX62*HelperFunctions!R59)</f>
        <v>#VALUE!</v>
      </c>
      <c r="I63" s="192" t="e">
        <f t="shared" si="10"/>
        <v>#VALUE!</v>
      </c>
      <c r="J63" s="153">
        <f>SUM(EffectivelyVax!D62:BK62)</f>
        <v>0</v>
      </c>
      <c r="K63" s="193" t="e">
        <f t="shared" si="5"/>
        <v>#VALUE!</v>
      </c>
      <c r="L63" s="194" t="e">
        <f>I62*H63*Export!L61</f>
        <v>#VALUE!</v>
      </c>
      <c r="M63" s="195" t="e">
        <f t="shared" si="0"/>
        <v>#VALUE!</v>
      </c>
      <c r="N63" s="178" t="e">
        <f>IF(Export!M61&lt;&gt;"",K63*Export!K61*(1/Export!M61),K63*Export!K61)</f>
        <v>#VALUE!</v>
      </c>
      <c r="O63" s="154" t="e">
        <f>M63*Export!J61</f>
        <v>#VALUE!</v>
      </c>
      <c r="P63" s="186" t="e">
        <f>SUM('NotEffectivelyVax (current)'!F63,'NotEffectivelyVax (current)'!I63,'NotEffectivelyVax (current)'!L63,'NotEffectivelyVax (current)'!O63,'NotEffectivelyVax (current)'!R63,'NotEffectivelyVax (current)'!U63,'NotEffectivelyVax (current)'!X63,'NotEffectivelyVax (current)'!AA63,'NotEffectivelyVax (current)'!AD63,'NotEffectivelyVax (current)'!AG63,'NotEffectivelyVax (current)'!AJ63,'NotEffectivelyVax (current)'!AM63,'NotEffectivelyVax (current)'!AP63,'NotEffectivelyVax (current)'!AS63,'NotEffectivelyVax (current)'!AV63,'NotEffectivelyVax (current)'!AY63,'NotEffectivelyVax (current)'!BB63,'NotEffectivelyVax (current)'!BE63,'NotEffectivelyVax (current)'!BH63,'NotEffectivelyVax (current)'!BK63,'NotEffectivelyVax (current)'!BN63,'NotEffectivelyVax (current)'!BQ63,'NotEffectivelyVax (current)'!BT63,'NotEffectivelyVax (current)'!BW63,'NotEffectivelyVax (current)'!BZ63,'NotEffectivelyVax (current)'!CC63,'NotEffectivelyVax (current)'!CF63,'NotEffectivelyVax (current)'!CI63,'NotEffectivelyVax (current)'!CL63,'NotEffectivelyVax (current)'!CO63,'NotEffectivelyVax (current)'!CR63,'NotEffectivelyVax (current)'!CU63,'NotEffectivelyVax (current)'!CX63,'NotEffectivelyVax (current)'!DA63,'NotEffectivelyVax (current)'!DD63,'NotEffectivelyVax (current)'!DG63,'NotEffectivelyVax (current)'!DJ63,'NotEffectivelyVax (current)'!DM63,'NotEffectivelyVax (current)'!DP63,'NotEffectivelyVax (current)'!DS63,'NotEffectivelyVax (current)'!DV63,'NotEffectivelyVax (current)'!DY63,'NotEffectivelyVax (current)'!EB63,'NotEffectivelyVax (current)'!EE63,'NotEffectivelyVax (current)'!EH63,'NotEffectivelyVax (current)'!EK63,'NotEffectivelyVax (current)'!EN63,'NotEffectivelyVax (current)'!EQ63,'NotEffectivelyVax (current)'!ET63,'NotEffectivelyVax (current)'!EW63,'NotEffectivelyVax (current)'!EZ63,'NotEffectivelyVax (current)'!FC63,'NotEffectivelyVax (current)'!FF63,'NotEffectivelyVax (current)'!FI63,'NotEffectivelyVax (current)'!FL63,'NotEffectivelyVax (current)'!FO63,'NotEffectivelyVax (current)'!FR63,'NotEffectivelyVax (current)'!FU63,'NotEffectivelyVax (current)'!FX63,'NotEffectivelyVax (current)'!GA63)</f>
        <v>#VALUE!</v>
      </c>
      <c r="Q63" s="155" t="e">
        <f>SUM('NotEffectivelyVax (current)'!D63,'NotEffectivelyVax (current)'!G63,'NotEffectivelyVax (current)'!J63,'NotEffectivelyVax (current)'!M63,'NotEffectivelyVax (current)'!P63,'NotEffectivelyVax (current)'!S63,'NotEffectivelyVax (current)'!V63,'NotEffectivelyVax (current)'!Y63,'NotEffectivelyVax (current)'!AB63,'NotEffectivelyVax (current)'!AE63,'NotEffectivelyVax (current)'!AH63,'NotEffectivelyVax (current)'!AK63,'NotEffectivelyVax (current)'!AN63,'NotEffectivelyVax (current)'!AQ63,'NotEffectivelyVax (current)'!AT63,'NotEffectivelyVax (current)'!AW63,'NotEffectivelyVax (current)'!AZ63,'NotEffectivelyVax (current)'!BC63,'NotEffectivelyVax (current)'!BF63,'NotEffectivelyVax (current)'!BI63,'NotEffectivelyVax (current)'!BL63,'NotEffectivelyVax (current)'!BO63,'NotEffectivelyVax (current)'!BR63,'NotEffectivelyVax (current)'!BU63,'NotEffectivelyVax (current)'!BX63,'NotEffectivelyVax (current)'!CA63,'NotEffectivelyVax (current)'!CD63,'NotEffectivelyVax (current)'!CG63,'NotEffectivelyVax (current)'!CJ63,'NotEffectivelyVax (current)'!CM63,'NotEffectivelyVax (current)'!CP63,'NotEffectivelyVax (current)'!CS63,'NotEffectivelyVax (current)'!CV63,'NotEffectivelyVax (current)'!CY63,'NotEffectivelyVax (current)'!DB63,'NotEffectivelyVax (current)'!DE63,'NotEffectivelyVax (current)'!DH63,'NotEffectivelyVax (current)'!DK63,'NotEffectivelyVax (current)'!DN63,'NotEffectivelyVax (current)'!DQ63,'NotEffectivelyVax (current)'!DT63,'NotEffectivelyVax (current)'!DW63,'NotEffectivelyVax (current)'!DZ63,'NotEffectivelyVax (current)'!EC63,'NotEffectivelyVax (current)'!EF63,'NotEffectivelyVax (current)'!EI63,'NotEffectivelyVax (current)'!EL63,'NotEffectivelyVax (current)'!EO63,'NotEffectivelyVax (current)'!ER63,'NotEffectivelyVax (current)'!EU63,'NotEffectivelyVax (current)'!EX63,'NotEffectivelyVax (current)'!FA63,'NotEffectivelyVax (current)'!FD63,'NotEffectivelyVax (current)'!FG63,'NotEffectivelyVax (current)'!FJ63,'NotEffectivelyVax (current)'!FM63,'NotEffectivelyVax (current)'!FP63,'NotEffectivelyVax (current)'!FS63,'NotEffectivelyVax (current)'!FV63,'NotEffectivelyVax (current)'!FY63)</f>
        <v>#VALUE!</v>
      </c>
      <c r="R63" s="155" t="e">
        <f>SUM('NotEffectivelyVax (current)'!E63,'NotEffectivelyVax (current)'!H63,'NotEffectivelyVax (current)'!K63,'NotEffectivelyVax (current)'!N63,'NotEffectivelyVax (current)'!Q63,'NotEffectivelyVax (current)'!T63,'NotEffectivelyVax (current)'!W63,'NotEffectivelyVax (current)'!Z63,'NotEffectivelyVax (current)'!AC63,'NotEffectivelyVax (current)'!AF63,'NotEffectivelyVax (current)'!AI63,'NotEffectivelyVax (current)'!AL63,'NotEffectivelyVax (current)'!AO63,'NotEffectivelyVax (current)'!AR63,'NotEffectivelyVax (current)'!AU63,'NotEffectivelyVax (current)'!AX63,'NotEffectivelyVax (current)'!BA63,'NotEffectivelyVax (current)'!BD63,'NotEffectivelyVax (current)'!BG63,'NotEffectivelyVax (current)'!BJ63,'NotEffectivelyVax (current)'!BM63,'NotEffectivelyVax (current)'!BP63,'NotEffectivelyVax (current)'!BS63,'NotEffectivelyVax (current)'!BV63,'NotEffectivelyVax (current)'!BY63,'NotEffectivelyVax (current)'!CB63,'NotEffectivelyVax (current)'!CE63,'NotEffectivelyVax (current)'!CH63,'NotEffectivelyVax (current)'!CK63,'NotEffectivelyVax (current)'!CN63,'NotEffectivelyVax (current)'!CQ63,'NotEffectivelyVax (current)'!CT63,'NotEffectivelyVax (current)'!CW63,'NotEffectivelyVax (current)'!CZ63,'NotEffectivelyVax (current)'!DC63,'NotEffectivelyVax (current)'!DF63,'NotEffectivelyVax (current)'!DI63,'NotEffectivelyVax (current)'!DL63,'NotEffectivelyVax (current)'!DO63,'NotEffectivelyVax (current)'!DR63,'NotEffectivelyVax (current)'!DU63,'NotEffectivelyVax (current)'!DX63,'NotEffectivelyVax (current)'!EA63,'NotEffectivelyVax (current)'!ED63,'NotEffectivelyVax (current)'!EG63,'NotEffectivelyVax (current)'!EJ63,'NotEffectivelyVax (current)'!EM63,'NotEffectivelyVax (current)'!EP63,'NotEffectivelyVax (current)'!ES63,'NotEffectivelyVax (current)'!EV63,'NotEffectivelyVax (current)'!EY63,'NotEffectivelyVax (current)'!FB63,'NotEffectivelyVax (current)'!FE63,'NotEffectivelyVax (current)'!FH63,'NotEffectivelyVax (current)'!FK63,'NotEffectivelyVax (current)'!FN63,'NotEffectivelyVax (current)'!FQ63,'NotEffectivelyVax (current)'!FT63,'NotEffectivelyVax (current)'!FW63,'NotEffectivelyVax (current)'!FZ63)</f>
        <v>#VALUE!</v>
      </c>
      <c r="S63" s="138" t="e">
        <f t="shared" si="6"/>
        <v>#VALUE!</v>
      </c>
      <c r="T63" s="187" t="e">
        <f>IF(Export!M61&lt;&gt;"",Q63*Export!K61*(1/Export!M61),Q63*Export!K61)</f>
        <v>#VALUE!</v>
      </c>
      <c r="U63" s="188" t="e">
        <f>S63*Export!J61</f>
        <v>#VALUE!</v>
      </c>
      <c r="V63" s="196" t="e">
        <f t="shared" si="11"/>
        <v>#DIV/0!</v>
      </c>
      <c r="W63" s="197" t="e">
        <f t="shared" si="8"/>
        <v>#VALUE!</v>
      </c>
      <c r="X63" s="190" t="e">
        <f>H63*Export!L61*V62</f>
        <v>#VALUE!</v>
      </c>
      <c r="Y63" s="190" t="e">
        <f t="shared" si="1"/>
        <v>#VALUE!</v>
      </c>
      <c r="Z63" s="190" t="e">
        <f>IF(Export!M61&lt;&gt;"",W63*Export!K61*(1/Export!M61),W63*Export!K61)</f>
        <v>#VALUE!</v>
      </c>
      <c r="AA63" s="190" t="e">
        <f>Y63*Export!J61</f>
        <v>#VALUE!</v>
      </c>
      <c r="AC63" s="156" t="e">
        <f t="shared" si="12"/>
        <v>#VALUE!</v>
      </c>
      <c r="AD63" s="157" t="e">
        <f t="shared" si="12"/>
        <v>#VALUE!</v>
      </c>
      <c r="AE63" s="157" t="e">
        <f t="shared" si="13"/>
        <v>#VALUE!</v>
      </c>
      <c r="AF63" s="157" t="e">
        <f t="shared" si="13"/>
        <v>#VALUE!</v>
      </c>
      <c r="AG63" s="157" t="e">
        <f t="shared" si="4"/>
        <v>#VALUE!</v>
      </c>
      <c r="AH63" s="147" t="e">
        <f>SUM(AC52:AC63)/SUM(W52:W63)</f>
        <v>#VALUE!</v>
      </c>
      <c r="AI63" s="147" t="e">
        <f>SUM(AD52:AD63)/SUM(X52:X63)</f>
        <v>#VALUE!</v>
      </c>
      <c r="AJ63" s="147" t="e">
        <f>SUM(AE52:AE63)/SUM(Z52:Z63)</f>
        <v>#VALUE!</v>
      </c>
      <c r="AK63" s="147" t="e">
        <f>SUM(AF52:AF63)/SUM(AA52:AA63)</f>
        <v>#VALUE!</v>
      </c>
      <c r="AL63" s="241" t="e">
        <f>SUM(AG52:AG63)/SUM(W52:X63)</f>
        <v>#VALUE!</v>
      </c>
      <c r="AM63" s="148" t="e">
        <f>SUM($E52:$F63)/SUM(AC52:AC63)</f>
        <v>#VALUE!</v>
      </c>
      <c r="AN63" s="148" t="e">
        <f>SUM($E52:$F63)/SUM(AD52:AD63)</f>
        <v>#VALUE!</v>
      </c>
      <c r="AO63" s="148" t="e">
        <f>SUM($E52:$F63)/SUM(AE52:AE63)</f>
        <v>#VALUE!</v>
      </c>
      <c r="AP63" s="148" t="e">
        <f>SUM($E52:$F63)/SUM(AF52:AF63)</f>
        <v>#VALUE!</v>
      </c>
      <c r="AQ63" s="148" t="e">
        <f>SUM($E52:$F63)/SUM(AG52:AG63)</f>
        <v>#VALUE!</v>
      </c>
    </row>
    <row r="64" spans="1:44" ht="15.75" customHeight="1" x14ac:dyDescent="0.35">
      <c r="A64" s="357" t="s">
        <v>310</v>
      </c>
      <c r="B64" s="358"/>
      <c r="C64" s="200"/>
      <c r="D64" s="200"/>
      <c r="E64" s="200"/>
      <c r="F64" s="200"/>
      <c r="G64" s="113">
        <f>SUM(G4:G27)</f>
        <v>0</v>
      </c>
      <c r="H64" s="200"/>
      <c r="I64" s="200"/>
      <c r="J64" s="200"/>
      <c r="K64" s="113" t="e">
        <f>SUM(K4:K27)</f>
        <v>#VALUE!</v>
      </c>
      <c r="L64" s="113" t="e">
        <f>SUM(L4:L27)</f>
        <v>#VALUE!</v>
      </c>
      <c r="M64" s="113" t="e">
        <f>SUM(M4:M27)</f>
        <v>#VALUE!</v>
      </c>
      <c r="N64" s="113" t="e">
        <f>SUM(N4:N27)</f>
        <v>#VALUE!</v>
      </c>
      <c r="O64" s="113" t="e">
        <f>SUM(O4:O27)</f>
        <v>#VALUE!</v>
      </c>
      <c r="P64" s="200"/>
      <c r="Q64" s="113" t="e">
        <f>SUM(Q4:Q27)</f>
        <v>#VALUE!</v>
      </c>
      <c r="R64" s="113" t="e">
        <f>SUM(R4:R27)</f>
        <v>#VALUE!</v>
      </c>
      <c r="S64" s="113" t="e">
        <f>SUM(S4:S27)</f>
        <v>#VALUE!</v>
      </c>
      <c r="T64" s="113" t="e">
        <f>SUM(T4:T27)</f>
        <v>#VALUE!</v>
      </c>
      <c r="U64" s="113" t="e">
        <f>SUM(U4:U27)</f>
        <v>#VALUE!</v>
      </c>
      <c r="V64" s="152"/>
      <c r="W64" s="201" t="e">
        <f>SUM(W4:W27)</f>
        <v>#DIV/0!</v>
      </c>
      <c r="X64" s="201" t="e">
        <f>SUM(X4:X27)</f>
        <v>#DIV/0!</v>
      </c>
      <c r="Y64" s="201" t="e">
        <f>SUM(Y4:Y27)</f>
        <v>#DIV/0!</v>
      </c>
      <c r="Z64" s="201" t="e">
        <f>SUM(Z4:Z27)</f>
        <v>#DIV/0!</v>
      </c>
      <c r="AA64" s="201" t="e">
        <f>SUM(AA4:AA27)</f>
        <v>#DIV/0!</v>
      </c>
      <c r="AC64" s="144" t="e">
        <f>SUM(AC16:AC27)</f>
        <v>#VALUE!</v>
      </c>
      <c r="AD64" s="144" t="e">
        <f t="shared" ref="AD64:AG64" si="14">SUM(AD16:AD27)</f>
        <v>#VALUE!</v>
      </c>
      <c r="AE64" s="144" t="e">
        <f t="shared" si="14"/>
        <v>#VALUE!</v>
      </c>
      <c r="AF64" s="144" t="e">
        <f t="shared" si="14"/>
        <v>#VALUE!</v>
      </c>
      <c r="AG64" s="144" t="e">
        <f t="shared" si="14"/>
        <v>#VALUE!</v>
      </c>
    </row>
    <row r="65" spans="29:33" x14ac:dyDescent="0.35">
      <c r="AC65" s="144" t="e">
        <f>SUM(AC28:AC39)</f>
        <v>#VALUE!</v>
      </c>
      <c r="AD65" s="144" t="e">
        <f t="shared" ref="AD65:AG65" si="15">SUM(AD28:AD39)</f>
        <v>#VALUE!</v>
      </c>
      <c r="AE65" s="144" t="e">
        <f t="shared" si="15"/>
        <v>#VALUE!</v>
      </c>
      <c r="AF65" s="144" t="e">
        <f t="shared" si="15"/>
        <v>#VALUE!</v>
      </c>
      <c r="AG65" s="144" t="e">
        <f t="shared" si="15"/>
        <v>#VALUE!</v>
      </c>
    </row>
  </sheetData>
  <mergeCells count="7">
    <mergeCell ref="AM2:AQ2"/>
    <mergeCell ref="A64:B64"/>
    <mergeCell ref="AH2:AL2"/>
    <mergeCell ref="A2:B2"/>
    <mergeCell ref="C2:U2"/>
    <mergeCell ref="V2:AA2"/>
    <mergeCell ref="AC2:AG2"/>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DA4"/>
  <sheetViews>
    <sheetView topLeftCell="AZ1" workbookViewId="0">
      <selection activeCell="BB1" sqref="BB1"/>
    </sheetView>
  </sheetViews>
  <sheetFormatPr defaultColWidth="10.90625" defaultRowHeight="14.5" x14ac:dyDescent="0.35"/>
  <sheetData>
    <row r="1" spans="1:105" x14ac:dyDescent="0.35">
      <c r="A1" s="246" t="s">
        <v>322</v>
      </c>
      <c r="B1" s="246" t="s">
        <v>323</v>
      </c>
      <c r="C1" s="246" t="s">
        <v>324</v>
      </c>
      <c r="D1" s="246" t="s">
        <v>325</v>
      </c>
      <c r="E1" s="246" t="s">
        <v>326</v>
      </c>
      <c r="F1" s="246" t="s">
        <v>327</v>
      </c>
      <c r="G1" s="246" t="s">
        <v>328</v>
      </c>
      <c r="H1" s="246" t="s">
        <v>329</v>
      </c>
      <c r="I1" s="246" t="s">
        <v>330</v>
      </c>
      <c r="J1" s="246" t="s">
        <v>331</v>
      </c>
      <c r="K1" s="246" t="s">
        <v>332</v>
      </c>
      <c r="L1" s="246" t="s">
        <v>333</v>
      </c>
      <c r="M1" s="246" t="s">
        <v>334</v>
      </c>
      <c r="N1" s="246" t="s">
        <v>335</v>
      </c>
      <c r="O1" s="246" t="s">
        <v>336</v>
      </c>
      <c r="P1" s="246" t="s">
        <v>337</v>
      </c>
      <c r="Q1" s="246" t="s">
        <v>338</v>
      </c>
      <c r="R1" s="246" t="s">
        <v>339</v>
      </c>
      <c r="S1" s="246" t="s">
        <v>340</v>
      </c>
      <c r="T1" s="246" t="s">
        <v>341</v>
      </c>
      <c r="U1" s="246" t="s">
        <v>342</v>
      </c>
      <c r="V1" s="246" t="s">
        <v>343</v>
      </c>
      <c r="W1" s="246" t="s">
        <v>344</v>
      </c>
      <c r="X1" s="246" t="s">
        <v>345</v>
      </c>
      <c r="Y1" s="246" t="s">
        <v>346</v>
      </c>
      <c r="Z1" s="246" t="s">
        <v>347</v>
      </c>
      <c r="AA1" s="246" t="s">
        <v>348</v>
      </c>
      <c r="AB1" s="246" t="s">
        <v>349</v>
      </c>
      <c r="AC1" s="246" t="s">
        <v>350</v>
      </c>
      <c r="AD1" s="246" t="s">
        <v>351</v>
      </c>
      <c r="AE1" s="246" t="s">
        <v>352</v>
      </c>
      <c r="AF1" s="246" t="s">
        <v>353</v>
      </c>
      <c r="AG1" s="246" t="s">
        <v>354</v>
      </c>
      <c r="AH1" s="246" t="s">
        <v>355</v>
      </c>
      <c r="AI1" s="246" t="s">
        <v>356</v>
      </c>
      <c r="AJ1" s="246" t="s">
        <v>357</v>
      </c>
      <c r="AK1" s="246" t="s">
        <v>358</v>
      </c>
      <c r="AL1" s="247" t="s">
        <v>359</v>
      </c>
      <c r="AM1" s="247" t="s">
        <v>360</v>
      </c>
      <c r="AN1" s="247" t="s">
        <v>361</v>
      </c>
      <c r="AO1" s="247" t="s">
        <v>362</v>
      </c>
      <c r="AP1" s="247" t="s">
        <v>363</v>
      </c>
      <c r="AQ1" s="247" t="s">
        <v>364</v>
      </c>
      <c r="AR1" s="247" t="s">
        <v>365</v>
      </c>
      <c r="AS1" s="247" t="s">
        <v>366</v>
      </c>
      <c r="AT1" s="247" t="s">
        <v>367</v>
      </c>
      <c r="AU1" s="247" t="s">
        <v>368</v>
      </c>
      <c r="AV1" s="247" t="s">
        <v>369</v>
      </c>
      <c r="AW1" s="247" t="s">
        <v>370</v>
      </c>
      <c r="AX1" s="247" t="s">
        <v>371</v>
      </c>
      <c r="AY1" s="247" t="s">
        <v>372</v>
      </c>
      <c r="AZ1" s="247" t="s">
        <v>373</v>
      </c>
      <c r="BA1" s="246" t="s">
        <v>374</v>
      </c>
      <c r="BB1" s="246" t="s">
        <v>375</v>
      </c>
      <c r="BC1" s="246" t="s">
        <v>376</v>
      </c>
      <c r="BD1" s="246" t="s">
        <v>377</v>
      </c>
      <c r="BE1" s="246" t="s">
        <v>378</v>
      </c>
      <c r="BF1" s="246" t="s">
        <v>379</v>
      </c>
      <c r="BG1" s="246" t="s">
        <v>380</v>
      </c>
      <c r="BH1" s="246" t="s">
        <v>381</v>
      </c>
      <c r="BI1" s="246" t="s">
        <v>382</v>
      </c>
      <c r="BJ1" s="246" t="s">
        <v>383</v>
      </c>
      <c r="BK1" s="246" t="s">
        <v>384</v>
      </c>
      <c r="BL1" s="246" t="s">
        <v>385</v>
      </c>
      <c r="BM1" s="246" t="s">
        <v>386</v>
      </c>
      <c r="BN1" s="246" t="s">
        <v>387</v>
      </c>
      <c r="BO1" s="246" t="s">
        <v>388</v>
      </c>
      <c r="BP1" s="248" t="s">
        <v>389</v>
      </c>
      <c r="BQ1" s="248" t="s">
        <v>390</v>
      </c>
      <c r="BR1" s="248" t="s">
        <v>391</v>
      </c>
      <c r="BS1" s="248" t="s">
        <v>392</v>
      </c>
      <c r="BT1" s="248" t="s">
        <v>393</v>
      </c>
      <c r="BU1" s="248" t="s">
        <v>394</v>
      </c>
      <c r="BV1" s="248" t="s">
        <v>395</v>
      </c>
      <c r="BW1" s="248" t="s">
        <v>396</v>
      </c>
      <c r="BX1" s="248" t="s">
        <v>397</v>
      </c>
      <c r="BY1" s="248" t="s">
        <v>398</v>
      </c>
      <c r="BZ1" s="248" t="s">
        <v>399</v>
      </c>
      <c r="CA1" s="248" t="s">
        <v>400</v>
      </c>
      <c r="CB1" s="248" t="s">
        <v>401</v>
      </c>
      <c r="CC1" s="248" t="s">
        <v>402</v>
      </c>
      <c r="CD1" s="248" t="s">
        <v>403</v>
      </c>
      <c r="CE1" s="248" t="s">
        <v>404</v>
      </c>
      <c r="CF1" s="248" t="s">
        <v>405</v>
      </c>
      <c r="CG1" s="248" t="s">
        <v>406</v>
      </c>
      <c r="CH1" s="248" t="s">
        <v>407</v>
      </c>
      <c r="CI1" s="246" t="s">
        <v>408</v>
      </c>
      <c r="CJ1" s="246" t="s">
        <v>409</v>
      </c>
      <c r="CK1" s="246" t="s">
        <v>410</v>
      </c>
      <c r="CL1" s="246" t="s">
        <v>411</v>
      </c>
      <c r="CM1" s="246" t="s">
        <v>412</v>
      </c>
      <c r="CN1" s="246" t="s">
        <v>413</v>
      </c>
      <c r="DA1" s="246">
        <f>Inputs!B12</f>
        <v>0</v>
      </c>
    </row>
    <row r="2" spans="1:105" x14ac:dyDescent="0.35">
      <c r="AL2" s="247"/>
      <c r="AM2" s="247"/>
      <c r="AN2" s="247"/>
      <c r="AO2" s="247"/>
      <c r="AP2" s="247"/>
      <c r="AQ2" s="247"/>
      <c r="AR2" s="247"/>
      <c r="AS2" s="247"/>
      <c r="AT2" s="247"/>
      <c r="AU2" s="247"/>
      <c r="AV2" s="247"/>
      <c r="AW2" s="247"/>
      <c r="AX2" s="247"/>
      <c r="AY2" s="247"/>
      <c r="AZ2" s="247"/>
      <c r="BP2" s="249"/>
      <c r="BQ2" s="249"/>
      <c r="BR2" s="249"/>
      <c r="BS2" s="249"/>
      <c r="BT2" s="249"/>
      <c r="BU2" s="249"/>
      <c r="BV2" s="249"/>
      <c r="BW2" s="249"/>
      <c r="BX2" s="249"/>
      <c r="BY2" s="249"/>
      <c r="BZ2" s="249"/>
      <c r="CA2" s="249"/>
      <c r="CB2" s="249"/>
      <c r="CC2" s="249"/>
      <c r="CD2" s="249"/>
      <c r="CE2" s="248"/>
      <c r="CF2" s="248"/>
      <c r="CG2" s="248"/>
      <c r="CH2" s="248"/>
      <c r="CI2" s="248"/>
      <c r="CJ2" s="249"/>
      <c r="CK2" s="249"/>
      <c r="CL2" s="249"/>
      <c r="CM2" s="249"/>
      <c r="CN2" s="249"/>
      <c r="CO2" s="249"/>
    </row>
    <row r="3" spans="1:105" x14ac:dyDescent="0.35">
      <c r="AL3" s="247"/>
      <c r="AM3" s="247"/>
      <c r="AN3" s="247"/>
      <c r="AO3" s="247"/>
      <c r="AP3" s="247"/>
      <c r="AQ3" s="247"/>
      <c r="AR3" s="247"/>
      <c r="AS3" s="247"/>
      <c r="AT3" s="247"/>
      <c r="AU3" s="247"/>
      <c r="AV3" s="247"/>
      <c r="AW3" s="247"/>
      <c r="AX3" s="247"/>
      <c r="AY3" s="247"/>
      <c r="AZ3" s="247"/>
      <c r="BP3" s="249"/>
      <c r="BQ3" s="249"/>
      <c r="BR3" s="249"/>
      <c r="BS3" s="249"/>
      <c r="BT3" s="249"/>
      <c r="BU3" s="249"/>
      <c r="BV3" s="249"/>
      <c r="BW3" s="249"/>
      <c r="BX3" s="249"/>
      <c r="BY3" s="249"/>
      <c r="BZ3" s="249"/>
      <c r="CA3" s="249"/>
      <c r="CB3" s="249"/>
      <c r="CC3" s="249"/>
      <c r="CD3" s="249"/>
      <c r="CE3" s="248"/>
      <c r="CF3" s="248"/>
      <c r="CG3" s="248"/>
      <c r="CH3" s="248"/>
      <c r="CI3" s="248"/>
      <c r="CJ3" s="249"/>
      <c r="CK3" s="249"/>
      <c r="CL3" s="249"/>
      <c r="CM3" s="249"/>
      <c r="CN3" s="249"/>
      <c r="CO3" s="249"/>
    </row>
    <row r="4" spans="1:105" x14ac:dyDescent="0.35">
      <c r="BQ4" s="249"/>
      <c r="BR4" s="249"/>
      <c r="BS4" s="249"/>
      <c r="BT4" s="249"/>
      <c r="BU4" s="249"/>
      <c r="BV4" s="249"/>
      <c r="BW4" s="249"/>
      <c r="BX4" s="249"/>
      <c r="BY4" s="249"/>
      <c r="BZ4" s="249"/>
      <c r="CA4" s="249"/>
      <c r="CB4" s="249"/>
      <c r="CC4" s="249"/>
      <c r="CD4" s="249"/>
      <c r="CE4" s="248"/>
      <c r="CF4" s="248"/>
      <c r="CG4" s="248"/>
      <c r="CH4" s="248"/>
      <c r="CI4" s="248"/>
      <c r="CJ4" s="249"/>
      <c r="CK4" s="249"/>
      <c r="CL4" s="249"/>
      <c r="CM4" s="249"/>
      <c r="CN4" s="249"/>
      <c r="CO4" s="249"/>
    </row>
  </sheetData>
  <autoFilter ref="A1:CN5" xr:uid="{00000000-0009-0000-0000-00000A000000}"/>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S81"/>
  <sheetViews>
    <sheetView topLeftCell="B1" zoomScale="70" zoomScaleNormal="70" workbookViewId="0">
      <selection activeCell="G61" sqref="G61"/>
    </sheetView>
  </sheetViews>
  <sheetFormatPr defaultColWidth="10.90625" defaultRowHeight="14.5" x14ac:dyDescent="0.35"/>
  <cols>
    <col min="1" max="1" width="11.453125" hidden="1" customWidth="1"/>
    <col min="2" max="2" width="17.7265625" customWidth="1"/>
    <col min="3" max="3" width="19.7265625" customWidth="1"/>
    <col min="4" max="4" width="14.1796875" customWidth="1"/>
    <col min="5" max="5" width="15.7265625" customWidth="1"/>
    <col min="6" max="6" width="14.54296875" customWidth="1"/>
    <col min="7" max="7" width="14.1796875" customWidth="1"/>
    <col min="8" max="8" width="4.81640625" customWidth="1"/>
    <col min="9" max="9" width="4.54296875" customWidth="1"/>
    <col min="10" max="10" width="2.1796875" customWidth="1"/>
    <col min="13" max="13" width="20.81640625" customWidth="1"/>
  </cols>
  <sheetData>
    <row r="1" spans="1:45" ht="63" customHeight="1" x14ac:dyDescent="0.6">
      <c r="B1" s="257" t="s">
        <v>54</v>
      </c>
      <c r="C1" s="253"/>
      <c r="D1" s="253"/>
      <c r="E1" s="253"/>
      <c r="F1" s="253"/>
      <c r="G1" s="253"/>
      <c r="H1" s="253"/>
      <c r="I1" s="37"/>
      <c r="J1" s="253"/>
      <c r="K1" s="257" t="s">
        <v>49</v>
      </c>
      <c r="L1" s="52"/>
      <c r="M1" s="52"/>
      <c r="N1" s="266"/>
      <c r="O1" s="363" t="s">
        <v>62</v>
      </c>
      <c r="P1" s="364"/>
      <c r="Q1" s="365"/>
      <c r="R1" s="267"/>
      <c r="S1" s="363" t="s">
        <v>63</v>
      </c>
      <c r="T1" s="364"/>
      <c r="U1" s="364"/>
      <c r="V1" s="364"/>
      <c r="W1" s="52"/>
      <c r="X1" s="52"/>
      <c r="Y1" s="253"/>
      <c r="Z1" s="253"/>
      <c r="AA1" s="253"/>
      <c r="AB1" s="253"/>
      <c r="AC1" s="253"/>
      <c r="AD1" s="253"/>
      <c r="AE1" s="253"/>
      <c r="AF1" s="253"/>
      <c r="AG1" s="253"/>
      <c r="AH1" s="253"/>
      <c r="AI1" s="253"/>
      <c r="AJ1" s="253"/>
      <c r="AK1" s="253"/>
      <c r="AL1" s="253"/>
      <c r="AM1" s="253"/>
      <c r="AN1" s="253"/>
      <c r="AO1" s="253"/>
      <c r="AP1" s="253"/>
      <c r="AQ1" s="253"/>
      <c r="AR1" s="253"/>
      <c r="AS1" s="253"/>
    </row>
    <row r="2" spans="1:45" ht="19.5" customHeight="1" x14ac:dyDescent="0.35">
      <c r="B2" s="37"/>
      <c r="C2" s="37"/>
      <c r="D2" s="37"/>
      <c r="E2" s="37"/>
      <c r="F2" s="37"/>
      <c r="G2" s="37"/>
      <c r="H2" s="37"/>
      <c r="I2" s="37"/>
      <c r="J2" s="253"/>
      <c r="K2" s="52"/>
      <c r="L2" s="52"/>
      <c r="M2" s="52"/>
      <c r="N2" s="52"/>
      <c r="O2" s="52"/>
      <c r="P2" s="52"/>
      <c r="Q2" s="52"/>
      <c r="R2" s="52"/>
      <c r="S2" s="52"/>
      <c r="T2" s="52"/>
      <c r="U2" s="52"/>
      <c r="V2" s="52"/>
      <c r="W2" s="52"/>
      <c r="X2" s="52"/>
      <c r="Y2" s="253"/>
      <c r="Z2" s="253"/>
      <c r="AA2" s="253"/>
      <c r="AB2" s="253"/>
      <c r="AC2" s="253"/>
      <c r="AD2" s="253"/>
      <c r="AE2" s="253"/>
      <c r="AF2" s="253"/>
      <c r="AG2" s="253"/>
      <c r="AH2" s="253"/>
      <c r="AI2" s="253"/>
      <c r="AJ2" s="253"/>
      <c r="AK2" s="253"/>
      <c r="AL2" s="253"/>
      <c r="AM2" s="253"/>
      <c r="AN2" s="253"/>
      <c r="AO2" s="253"/>
      <c r="AP2" s="253"/>
      <c r="AQ2" s="253"/>
      <c r="AR2" s="253"/>
      <c r="AS2" s="253"/>
    </row>
    <row r="3" spans="1:45" ht="30" customHeight="1" x14ac:dyDescent="0.55000000000000004">
      <c r="B3" s="362" t="s">
        <v>123</v>
      </c>
      <c r="C3" s="362"/>
      <c r="D3" s="362"/>
      <c r="E3" s="362"/>
      <c r="F3" s="52"/>
      <c r="G3" s="253"/>
      <c r="H3" s="253"/>
      <c r="I3" s="37"/>
      <c r="J3" s="253"/>
      <c r="K3" s="366" t="s">
        <v>321</v>
      </c>
      <c r="L3" s="366"/>
      <c r="M3" s="366"/>
      <c r="N3" s="366"/>
      <c r="O3" s="366"/>
      <c r="P3" s="366"/>
      <c r="Q3" s="366"/>
      <c r="R3" s="366"/>
      <c r="S3" s="366"/>
      <c r="T3" s="366"/>
      <c r="U3" s="366"/>
      <c r="V3" s="366"/>
      <c r="W3" s="366"/>
      <c r="X3" s="366"/>
      <c r="Y3" s="253"/>
      <c r="Z3" s="253"/>
      <c r="AA3" s="253"/>
      <c r="AB3" s="253"/>
      <c r="AC3" s="253"/>
      <c r="AD3" s="253"/>
      <c r="AE3" s="253"/>
      <c r="AF3" s="253"/>
      <c r="AG3" s="253"/>
      <c r="AH3" s="253"/>
      <c r="AI3" s="253"/>
      <c r="AJ3" s="253"/>
      <c r="AK3" s="253"/>
      <c r="AL3" s="253"/>
      <c r="AM3" s="253"/>
      <c r="AN3" s="253"/>
      <c r="AO3" s="253"/>
      <c r="AP3" s="253"/>
      <c r="AQ3" s="253"/>
      <c r="AR3" s="253"/>
      <c r="AS3" s="253"/>
    </row>
    <row r="4" spans="1:45" ht="20.149999999999999" customHeight="1" x14ac:dyDescent="0.5">
      <c r="B4" s="258"/>
      <c r="C4" s="259" t="s">
        <v>55</v>
      </c>
      <c r="D4" s="259" t="s">
        <v>47</v>
      </c>
      <c r="E4" s="259" t="s">
        <v>56</v>
      </c>
      <c r="F4" s="259" t="s">
        <v>140</v>
      </c>
      <c r="G4" s="253"/>
      <c r="H4" s="253"/>
      <c r="I4" s="37"/>
      <c r="J4" s="253"/>
      <c r="K4" s="366"/>
      <c r="L4" s="366"/>
      <c r="M4" s="366"/>
      <c r="N4" s="366"/>
      <c r="O4" s="366"/>
      <c r="P4" s="366"/>
      <c r="Q4" s="366"/>
      <c r="R4" s="366"/>
      <c r="S4" s="366"/>
      <c r="T4" s="366"/>
      <c r="U4" s="366"/>
      <c r="V4" s="366"/>
      <c r="W4" s="366"/>
      <c r="X4" s="366"/>
      <c r="Y4" s="253"/>
      <c r="Z4" s="253"/>
      <c r="AA4" s="253"/>
      <c r="AB4" s="253"/>
      <c r="AC4" s="253"/>
      <c r="AD4" s="253"/>
      <c r="AE4" s="253"/>
      <c r="AF4" s="253"/>
      <c r="AG4" s="253"/>
      <c r="AH4" s="253"/>
      <c r="AI4" s="253"/>
      <c r="AJ4" s="253"/>
      <c r="AK4" s="253"/>
      <c r="AL4" s="253"/>
      <c r="AM4" s="253"/>
      <c r="AN4" s="253"/>
      <c r="AO4" s="253"/>
      <c r="AP4" s="253"/>
      <c r="AQ4" s="253"/>
      <c r="AR4" s="253"/>
      <c r="AS4" s="253"/>
    </row>
    <row r="5" spans="1:45" ht="20.149999999999999" customHeight="1" x14ac:dyDescent="0.5">
      <c r="B5" s="259" t="s">
        <v>57</v>
      </c>
      <c r="C5" s="260">
        <f>Inputs!M47</f>
        <v>0</v>
      </c>
      <c r="D5" s="260">
        <f>Inputs!M59</f>
        <v>0</v>
      </c>
      <c r="E5" s="260">
        <f>Inputs!M71</f>
        <v>0</v>
      </c>
      <c r="F5" s="260">
        <f>Inputs!M83</f>
        <v>0</v>
      </c>
      <c r="G5" s="253"/>
      <c r="H5" s="253"/>
      <c r="I5" s="37"/>
      <c r="J5" s="253"/>
      <c r="K5" s="366"/>
      <c r="L5" s="366"/>
      <c r="M5" s="366"/>
      <c r="N5" s="366"/>
      <c r="O5" s="366"/>
      <c r="P5" s="366"/>
      <c r="Q5" s="366"/>
      <c r="R5" s="366"/>
      <c r="S5" s="366"/>
      <c r="T5" s="366"/>
      <c r="U5" s="366"/>
      <c r="V5" s="366"/>
      <c r="W5" s="366"/>
      <c r="X5" s="366"/>
      <c r="Y5" s="253"/>
      <c r="Z5" s="253"/>
      <c r="AA5" s="253"/>
      <c r="AB5" s="253"/>
      <c r="AC5" s="253"/>
      <c r="AD5" s="253"/>
      <c r="AE5" s="253"/>
      <c r="AF5" s="253"/>
      <c r="AG5" s="253"/>
      <c r="AH5" s="253"/>
      <c r="AI5" s="253"/>
      <c r="AJ5" s="253"/>
      <c r="AK5" s="253"/>
      <c r="AL5" s="253"/>
      <c r="AM5" s="253"/>
      <c r="AN5" s="253"/>
      <c r="AO5" s="253"/>
      <c r="AP5" s="253"/>
      <c r="AQ5" s="253"/>
      <c r="AR5" s="253"/>
      <c r="AS5" s="253"/>
    </row>
    <row r="6" spans="1:45" ht="20.149999999999999" customHeight="1" x14ac:dyDescent="0.5">
      <c r="B6" s="259" t="s">
        <v>58</v>
      </c>
      <c r="C6" s="251"/>
      <c r="D6" s="251"/>
      <c r="E6" s="251"/>
      <c r="F6" s="251"/>
      <c r="G6" s="253"/>
      <c r="H6" s="253"/>
      <c r="I6" s="37"/>
      <c r="J6" s="253"/>
      <c r="K6" s="366" t="s">
        <v>126</v>
      </c>
      <c r="L6" s="366"/>
      <c r="M6" s="366"/>
      <c r="N6" s="366"/>
      <c r="O6" s="366"/>
      <c r="P6" s="366"/>
      <c r="Q6" s="366"/>
      <c r="R6" s="366"/>
      <c r="S6" s="366"/>
      <c r="T6" s="366"/>
      <c r="U6" s="366"/>
      <c r="V6" s="366"/>
      <c r="W6" s="366"/>
      <c r="X6" s="366"/>
      <c r="Y6" s="253"/>
      <c r="Z6" s="253"/>
      <c r="AA6" s="253"/>
      <c r="AB6" s="253"/>
      <c r="AC6" s="253"/>
      <c r="AD6" s="253"/>
      <c r="AE6" s="253"/>
      <c r="AF6" s="253"/>
      <c r="AG6" s="253"/>
      <c r="AH6" s="253"/>
      <c r="AI6" s="253"/>
      <c r="AJ6" s="253"/>
      <c r="AK6" s="253"/>
      <c r="AL6" s="253"/>
      <c r="AM6" s="253"/>
      <c r="AN6" s="253"/>
      <c r="AO6" s="253"/>
      <c r="AP6" s="253"/>
      <c r="AQ6" s="253"/>
      <c r="AR6" s="253"/>
      <c r="AS6" s="253"/>
    </row>
    <row r="7" spans="1:45" ht="20.149999999999999" customHeight="1" x14ac:dyDescent="0.5">
      <c r="B7" s="259" t="s">
        <v>59</v>
      </c>
      <c r="C7" s="251"/>
      <c r="D7" s="251"/>
      <c r="E7" s="251"/>
      <c r="F7" s="251"/>
      <c r="G7" s="253"/>
      <c r="H7" s="253"/>
      <c r="I7" s="37"/>
      <c r="J7" s="253"/>
      <c r="K7" s="366"/>
      <c r="L7" s="366"/>
      <c r="M7" s="366"/>
      <c r="N7" s="366"/>
      <c r="O7" s="366"/>
      <c r="P7" s="366"/>
      <c r="Q7" s="366"/>
      <c r="R7" s="366"/>
      <c r="S7" s="366"/>
      <c r="T7" s="366"/>
      <c r="U7" s="366"/>
      <c r="V7" s="366"/>
      <c r="W7" s="366"/>
      <c r="X7" s="366"/>
      <c r="Y7" s="253"/>
      <c r="Z7" s="253"/>
      <c r="AA7" s="253"/>
      <c r="AB7" s="253"/>
      <c r="AC7" s="253"/>
      <c r="AD7" s="253"/>
      <c r="AE7" s="253"/>
      <c r="AF7" s="253"/>
      <c r="AG7" s="253"/>
      <c r="AH7" s="253"/>
      <c r="AI7" s="253"/>
      <c r="AJ7" s="253"/>
      <c r="AK7" s="253"/>
      <c r="AL7" s="253"/>
      <c r="AM7" s="253"/>
      <c r="AN7" s="253"/>
      <c r="AO7" s="253"/>
      <c r="AP7" s="253"/>
      <c r="AQ7" s="253"/>
      <c r="AR7" s="253"/>
      <c r="AS7" s="253"/>
    </row>
    <row r="8" spans="1:45" ht="20.149999999999999" customHeight="1" x14ac:dyDescent="0.5">
      <c r="B8" s="259" t="s">
        <v>60</v>
      </c>
      <c r="C8" s="251"/>
      <c r="D8" s="251"/>
      <c r="E8" s="251"/>
      <c r="F8" s="251"/>
      <c r="G8" s="253"/>
      <c r="H8" s="253"/>
      <c r="I8" s="37"/>
      <c r="J8" s="253"/>
      <c r="K8" s="366"/>
      <c r="L8" s="366"/>
      <c r="M8" s="366"/>
      <c r="N8" s="366"/>
      <c r="O8" s="366"/>
      <c r="P8" s="366"/>
      <c r="Q8" s="366"/>
      <c r="R8" s="366"/>
      <c r="S8" s="366"/>
      <c r="T8" s="366"/>
      <c r="U8" s="366"/>
      <c r="V8" s="366"/>
      <c r="W8" s="366"/>
      <c r="X8" s="366"/>
      <c r="Y8" s="253"/>
      <c r="Z8" s="253"/>
      <c r="AA8" s="253"/>
      <c r="AB8" s="253"/>
      <c r="AC8" s="253"/>
      <c r="AD8" s="253"/>
      <c r="AE8" s="253"/>
      <c r="AF8" s="253"/>
      <c r="AG8" s="253"/>
      <c r="AH8" s="253"/>
      <c r="AI8" s="253"/>
      <c r="AJ8" s="253"/>
      <c r="AK8" s="253"/>
      <c r="AL8" s="253"/>
      <c r="AM8" s="253"/>
      <c r="AN8" s="253"/>
      <c r="AO8" s="253"/>
      <c r="AP8" s="253"/>
      <c r="AQ8" s="253"/>
      <c r="AR8" s="253"/>
      <c r="AS8" s="253"/>
    </row>
    <row r="9" spans="1:45" ht="20.149999999999999" customHeight="1" x14ac:dyDescent="0.5">
      <c r="B9" s="259" t="s">
        <v>61</v>
      </c>
      <c r="C9" s="251"/>
      <c r="D9" s="251"/>
      <c r="E9" s="251"/>
      <c r="F9" s="251"/>
      <c r="G9" s="253"/>
      <c r="H9" s="253"/>
      <c r="I9" s="37"/>
      <c r="J9" s="253"/>
      <c r="K9" s="366"/>
      <c r="L9" s="366"/>
      <c r="M9" s="366"/>
      <c r="N9" s="366"/>
      <c r="O9" s="366"/>
      <c r="P9" s="366"/>
      <c r="Q9" s="366"/>
      <c r="R9" s="366"/>
      <c r="S9" s="366"/>
      <c r="T9" s="366"/>
      <c r="U9" s="366"/>
      <c r="V9" s="366"/>
      <c r="W9" s="366"/>
      <c r="X9" s="366"/>
      <c r="Y9" s="253"/>
      <c r="Z9" s="253"/>
      <c r="AA9" s="253"/>
      <c r="AB9" s="253"/>
      <c r="AC9" s="253"/>
      <c r="AD9" s="253"/>
      <c r="AE9" s="253"/>
      <c r="AF9" s="253"/>
      <c r="AG9" s="253"/>
      <c r="AH9" s="253"/>
      <c r="AI9" s="253"/>
      <c r="AJ9" s="253"/>
      <c r="AK9" s="253"/>
      <c r="AL9" s="253"/>
      <c r="AM9" s="253"/>
      <c r="AN9" s="253"/>
      <c r="AO9" s="253"/>
      <c r="AP9" s="253"/>
      <c r="AQ9" s="253"/>
      <c r="AR9" s="253"/>
      <c r="AS9" s="253"/>
    </row>
    <row r="10" spans="1:45" ht="20.149999999999999" customHeight="1" x14ac:dyDescent="0.35">
      <c r="B10" s="253"/>
      <c r="C10" s="253"/>
      <c r="D10" s="253"/>
      <c r="F10" s="253"/>
      <c r="G10" s="253"/>
      <c r="H10" s="253"/>
      <c r="I10" s="37"/>
      <c r="J10" s="253"/>
      <c r="K10" s="366"/>
      <c r="L10" s="366"/>
      <c r="M10" s="366"/>
      <c r="N10" s="366"/>
      <c r="O10" s="366"/>
      <c r="P10" s="366"/>
      <c r="Q10" s="366"/>
      <c r="R10" s="366"/>
      <c r="S10" s="366"/>
      <c r="T10" s="366"/>
      <c r="U10" s="366"/>
      <c r="V10" s="366"/>
      <c r="W10" s="366"/>
      <c r="X10" s="366"/>
      <c r="Y10" s="253"/>
      <c r="Z10" s="253"/>
      <c r="AA10" s="253"/>
      <c r="AB10" s="253"/>
      <c r="AC10" s="253"/>
      <c r="AD10" s="253"/>
      <c r="AE10" s="253"/>
      <c r="AF10" s="253"/>
      <c r="AG10" s="253"/>
      <c r="AH10" s="253"/>
      <c r="AI10" s="253"/>
      <c r="AJ10" s="253"/>
      <c r="AK10" s="253"/>
      <c r="AL10" s="253"/>
      <c r="AM10" s="253"/>
      <c r="AN10" s="253"/>
      <c r="AO10" s="253"/>
      <c r="AP10" s="253"/>
      <c r="AQ10" s="253"/>
      <c r="AR10" s="253"/>
      <c r="AS10" s="253"/>
    </row>
    <row r="11" spans="1:45" ht="23.15" customHeight="1" x14ac:dyDescent="0.55000000000000004">
      <c r="B11" s="261" t="s">
        <v>124</v>
      </c>
      <c r="C11" s="252"/>
      <c r="D11" s="252"/>
      <c r="E11" s="252"/>
      <c r="F11" s="252"/>
      <c r="G11" s="252"/>
      <c r="H11" s="255"/>
      <c r="I11" s="37"/>
      <c r="J11" s="253"/>
      <c r="K11" s="366"/>
      <c r="L11" s="366"/>
      <c r="M11" s="366"/>
      <c r="N11" s="366"/>
      <c r="O11" s="366"/>
      <c r="P11" s="366"/>
      <c r="Q11" s="366"/>
      <c r="R11" s="366"/>
      <c r="S11" s="366"/>
      <c r="T11" s="366"/>
      <c r="U11" s="366"/>
      <c r="V11" s="366"/>
      <c r="W11" s="366"/>
      <c r="X11" s="366"/>
      <c r="Y11" s="253"/>
      <c r="Z11" s="253"/>
      <c r="AA11" s="253"/>
      <c r="AB11" s="253"/>
      <c r="AC11" s="253"/>
      <c r="AD11" s="253"/>
      <c r="AE11" s="253"/>
      <c r="AF11" s="253"/>
      <c r="AG11" s="253"/>
      <c r="AH11" s="253"/>
      <c r="AI11" s="253"/>
      <c r="AJ11" s="253"/>
      <c r="AK11" s="253"/>
      <c r="AL11" s="253"/>
      <c r="AM11" s="253"/>
      <c r="AN11" s="253"/>
      <c r="AO11" s="253"/>
      <c r="AP11" s="253"/>
      <c r="AQ11" s="253"/>
      <c r="AR11" s="253"/>
      <c r="AS11" s="253"/>
    </row>
    <row r="12" spans="1:45" ht="21" customHeight="1" x14ac:dyDescent="0.5">
      <c r="B12" s="250" t="s">
        <v>55</v>
      </c>
      <c r="C12" s="250"/>
      <c r="D12" s="264">
        <f>SUM(D14:D25)</f>
        <v>0</v>
      </c>
      <c r="E12" s="264">
        <f t="shared" ref="E12:G12" si="0">SUM(E14:E25)</f>
        <v>0</v>
      </c>
      <c r="F12" s="264">
        <f t="shared" si="0"/>
        <v>0</v>
      </c>
      <c r="G12" s="264">
        <f t="shared" si="0"/>
        <v>0</v>
      </c>
      <c r="H12" s="253"/>
      <c r="I12" s="37"/>
      <c r="J12" s="253"/>
      <c r="K12" s="320" t="s">
        <v>317</v>
      </c>
      <c r="L12" s="320"/>
      <c r="M12" s="320"/>
      <c r="N12" s="320"/>
      <c r="O12" s="320"/>
      <c r="P12" s="320"/>
      <c r="Q12" s="320"/>
      <c r="R12" s="320"/>
      <c r="S12" s="320"/>
      <c r="T12" s="320"/>
      <c r="U12" s="320"/>
      <c r="V12" s="320"/>
      <c r="W12" s="320"/>
      <c r="X12" s="320"/>
      <c r="Y12" s="253"/>
      <c r="Z12" s="253"/>
      <c r="AA12" s="253"/>
      <c r="AB12" s="9"/>
      <c r="AC12" s="253"/>
      <c r="AD12" s="253"/>
      <c r="AE12" s="253"/>
      <c r="AF12" s="253"/>
      <c r="AG12" s="253"/>
      <c r="AH12" s="253"/>
      <c r="AI12" s="253"/>
      <c r="AJ12" s="253"/>
      <c r="AK12" s="253"/>
      <c r="AL12" s="253"/>
      <c r="AM12" s="253"/>
      <c r="AN12" s="253"/>
      <c r="AO12" s="253"/>
      <c r="AP12" s="253"/>
      <c r="AQ12" s="253"/>
      <c r="AR12" s="253"/>
      <c r="AS12" s="253"/>
    </row>
    <row r="13" spans="1:45" ht="20.149999999999999" customHeight="1" x14ac:dyDescent="0.5">
      <c r="B13" s="262" t="s">
        <v>64</v>
      </c>
      <c r="C13" s="262" t="s">
        <v>57</v>
      </c>
      <c r="D13" s="265" t="s">
        <v>65</v>
      </c>
      <c r="E13" s="265" t="s">
        <v>66</v>
      </c>
      <c r="F13" s="265" t="s">
        <v>67</v>
      </c>
      <c r="G13" s="265" t="s">
        <v>68</v>
      </c>
      <c r="H13" s="253"/>
      <c r="I13" s="37"/>
      <c r="J13" s="253"/>
      <c r="K13" s="254"/>
      <c r="L13" s="254"/>
      <c r="M13" s="254"/>
      <c r="N13" s="254"/>
      <c r="O13" s="254"/>
      <c r="P13" s="254"/>
      <c r="Q13" s="254"/>
      <c r="R13" s="254"/>
      <c r="S13" s="254"/>
      <c r="T13" s="254"/>
      <c r="U13" s="254"/>
      <c r="V13" s="254"/>
      <c r="W13" s="254"/>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row>
    <row r="14" spans="1:45" ht="20.149999999999999" customHeight="1" x14ac:dyDescent="0.5">
      <c r="A14" s="256" t="str">
        <f>Inputs!H36</f>
        <v/>
      </c>
      <c r="B14" s="262">
        <f>Inputs!I22</f>
        <v>0</v>
      </c>
      <c r="C14" s="260" t="e">
        <f>Inputs!J36/$C$5</f>
        <v>#DIV/0!</v>
      </c>
      <c r="D14" s="251"/>
      <c r="E14" s="251"/>
      <c r="F14" s="251"/>
      <c r="G14" s="251"/>
      <c r="H14" s="253"/>
      <c r="I14" s="37"/>
      <c r="J14" s="253"/>
      <c r="K14" s="254"/>
      <c r="L14" s="254"/>
      <c r="M14" s="254"/>
      <c r="N14" s="254"/>
      <c r="O14" s="254"/>
      <c r="P14" s="254"/>
      <c r="Q14" s="254"/>
      <c r="R14" s="254"/>
      <c r="S14" s="254"/>
      <c r="T14" s="254"/>
      <c r="U14" s="254"/>
      <c r="V14" s="254"/>
      <c r="W14" s="254"/>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row>
    <row r="15" spans="1:45" ht="20.149999999999999" customHeight="1" x14ac:dyDescent="0.5">
      <c r="A15" s="256" t="str">
        <f>Inputs!H37</f>
        <v/>
      </c>
      <c r="B15" s="262">
        <f>Inputs!I23</f>
        <v>0</v>
      </c>
      <c r="C15" s="260" t="e">
        <f>Inputs!J37/$C$5</f>
        <v>#DIV/0!</v>
      </c>
      <c r="D15" s="251"/>
      <c r="E15" s="251"/>
      <c r="F15" s="251"/>
      <c r="G15" s="251"/>
      <c r="H15" s="253"/>
      <c r="I15" s="37"/>
      <c r="J15" s="253"/>
      <c r="K15" s="254"/>
      <c r="L15" s="254"/>
      <c r="M15" s="254"/>
      <c r="N15" s="254"/>
      <c r="O15" s="254"/>
      <c r="P15" s="254"/>
      <c r="Q15" s="254"/>
      <c r="R15" s="254"/>
      <c r="S15" s="254"/>
      <c r="T15" s="254"/>
      <c r="U15" s="254"/>
      <c r="V15" s="254"/>
      <c r="W15" s="254"/>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row>
    <row r="16" spans="1:45" ht="20.149999999999999" customHeight="1" x14ac:dyDescent="0.5">
      <c r="A16" s="256" t="str">
        <f>Inputs!H38</f>
        <v/>
      </c>
      <c r="B16" s="262">
        <f>Inputs!I24</f>
        <v>0</v>
      </c>
      <c r="C16" s="260" t="e">
        <f>Inputs!J38/$C$5</f>
        <v>#DIV/0!</v>
      </c>
      <c r="D16" s="251"/>
      <c r="E16" s="251"/>
      <c r="F16" s="251"/>
      <c r="G16" s="251"/>
      <c r="H16" s="253"/>
      <c r="I16" s="37"/>
      <c r="J16" s="253"/>
      <c r="K16" s="253"/>
      <c r="L16" s="253"/>
      <c r="M16" s="253"/>
      <c r="N16" s="253"/>
      <c r="O16" s="253"/>
      <c r="P16" s="253"/>
      <c r="Q16" s="253"/>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row>
    <row r="17" spans="1:45" ht="20.149999999999999" customHeight="1" x14ac:dyDescent="0.5">
      <c r="A17" s="256" t="str">
        <f>Inputs!H39</f>
        <v/>
      </c>
      <c r="B17" s="262">
        <f>Inputs!I25</f>
        <v>0</v>
      </c>
      <c r="C17" s="260" t="e">
        <f>Inputs!J39/$C$5</f>
        <v>#DIV/0!</v>
      </c>
      <c r="D17" s="251"/>
      <c r="E17" s="251"/>
      <c r="F17" s="251"/>
      <c r="G17" s="251"/>
      <c r="H17" s="253"/>
      <c r="I17" s="37"/>
      <c r="J17" s="253"/>
      <c r="K17" s="253"/>
      <c r="L17" s="253"/>
      <c r="M17" s="253"/>
      <c r="N17" s="253"/>
      <c r="O17" s="253"/>
      <c r="P17" s="253"/>
      <c r="Q17" s="253"/>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row>
    <row r="18" spans="1:45" ht="20.149999999999999" customHeight="1" x14ac:dyDescent="0.5">
      <c r="A18" s="256" t="str">
        <f>Inputs!H40</f>
        <v/>
      </c>
      <c r="B18" s="262">
        <f>Inputs!I26</f>
        <v>0</v>
      </c>
      <c r="C18" s="260" t="e">
        <f>Inputs!J40/$C$5</f>
        <v>#DIV/0!</v>
      </c>
      <c r="D18" s="251"/>
      <c r="E18" s="251"/>
      <c r="F18" s="251"/>
      <c r="G18" s="251"/>
      <c r="H18" s="253"/>
      <c r="I18" s="37"/>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row>
    <row r="19" spans="1:45" ht="20.149999999999999" customHeight="1" x14ac:dyDescent="0.5">
      <c r="A19" s="256" t="str">
        <f>Inputs!H41</f>
        <v/>
      </c>
      <c r="B19" s="262">
        <f>Inputs!I27</f>
        <v>0</v>
      </c>
      <c r="C19" s="260" t="e">
        <f>Inputs!J41/$C$5</f>
        <v>#DIV/0!</v>
      </c>
      <c r="D19" s="251"/>
      <c r="E19" s="251"/>
      <c r="F19" s="251"/>
      <c r="G19" s="251"/>
      <c r="H19" s="253"/>
      <c r="I19" s="37"/>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row>
    <row r="20" spans="1:45" ht="20.149999999999999" customHeight="1" x14ac:dyDescent="0.5">
      <c r="A20" s="256" t="str">
        <f>Inputs!H42</f>
        <v/>
      </c>
      <c r="B20" s="262">
        <f>Inputs!I28</f>
        <v>0</v>
      </c>
      <c r="C20" s="260" t="e">
        <f>Inputs!J42/$C$5</f>
        <v>#DIV/0!</v>
      </c>
      <c r="D20" s="251"/>
      <c r="E20" s="251"/>
      <c r="F20" s="251"/>
      <c r="G20" s="251"/>
      <c r="H20" s="253"/>
      <c r="I20" s="37"/>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row>
    <row r="21" spans="1:45" ht="20.149999999999999" customHeight="1" x14ac:dyDescent="0.5">
      <c r="A21" s="256" t="str">
        <f>Inputs!H43</f>
        <v/>
      </c>
      <c r="B21" s="262">
        <f>Inputs!I29</f>
        <v>0</v>
      </c>
      <c r="C21" s="260" t="e">
        <f>Inputs!J43/$C$5</f>
        <v>#DIV/0!</v>
      </c>
      <c r="D21" s="251"/>
      <c r="E21" s="251"/>
      <c r="F21" s="251"/>
      <c r="G21" s="251"/>
      <c r="H21" s="253"/>
      <c r="I21" s="37"/>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row>
    <row r="22" spans="1:45" ht="20.149999999999999" customHeight="1" x14ac:dyDescent="0.5">
      <c r="A22" s="256" t="str">
        <f>Inputs!H44</f>
        <v/>
      </c>
      <c r="B22" s="262">
        <f>Inputs!I30</f>
        <v>0</v>
      </c>
      <c r="C22" s="260" t="e">
        <f>Inputs!J44/$C$5</f>
        <v>#DIV/0!</v>
      </c>
      <c r="D22" s="251"/>
      <c r="E22" s="251"/>
      <c r="F22" s="251"/>
      <c r="G22" s="251"/>
      <c r="H22" s="253"/>
      <c r="I22" s="37"/>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row>
    <row r="23" spans="1:45" ht="20.149999999999999" customHeight="1" x14ac:dyDescent="0.5">
      <c r="A23" s="256" t="str">
        <f>Inputs!H45</f>
        <v/>
      </c>
      <c r="B23" s="262">
        <f>Inputs!I31</f>
        <v>0</v>
      </c>
      <c r="C23" s="260" t="e">
        <f>Inputs!J45/$C$5</f>
        <v>#DIV/0!</v>
      </c>
      <c r="D23" s="251"/>
      <c r="E23" s="251"/>
      <c r="F23" s="251"/>
      <c r="G23" s="251"/>
      <c r="H23" s="253"/>
      <c r="I23" s="37"/>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row>
    <row r="24" spans="1:45" ht="20.149999999999999" customHeight="1" x14ac:dyDescent="0.5">
      <c r="A24" s="256" t="str">
        <f>Inputs!H46</f>
        <v/>
      </c>
      <c r="B24" s="262">
        <f>Inputs!I32</f>
        <v>0</v>
      </c>
      <c r="C24" s="260" t="e">
        <f>Inputs!J46/$C$5</f>
        <v>#DIV/0!</v>
      </c>
      <c r="D24" s="251"/>
      <c r="E24" s="251"/>
      <c r="F24" s="251"/>
      <c r="G24" s="251"/>
      <c r="H24" s="253"/>
      <c r="I24" s="37"/>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row>
    <row r="25" spans="1:45" ht="20.149999999999999" customHeight="1" x14ac:dyDescent="0.5">
      <c r="A25" s="256" t="str">
        <f>Inputs!H47</f>
        <v/>
      </c>
      <c r="B25" s="262">
        <f>Inputs!I33</f>
        <v>0</v>
      </c>
      <c r="C25" s="260" t="e">
        <f>Inputs!J47/$C$5</f>
        <v>#DIV/0!</v>
      </c>
      <c r="D25" s="251"/>
      <c r="E25" s="251"/>
      <c r="F25" s="251"/>
      <c r="G25" s="251"/>
      <c r="H25" s="253"/>
      <c r="I25" s="37"/>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row>
    <row r="26" spans="1:45" ht="13" customHeight="1" x14ac:dyDescent="0.5">
      <c r="B26" s="250"/>
      <c r="C26" s="263"/>
      <c r="H26" s="255"/>
      <c r="I26" s="37"/>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row>
    <row r="27" spans="1:45" ht="20.149999999999999" customHeight="1" x14ac:dyDescent="0.5">
      <c r="B27" s="250" t="s">
        <v>47</v>
      </c>
      <c r="C27" s="263"/>
      <c r="D27" s="264">
        <f>SUM(D28:D39)</f>
        <v>0</v>
      </c>
      <c r="E27" s="264">
        <f t="shared" ref="E27:G27" si="1">SUM(E28:E39)</f>
        <v>0</v>
      </c>
      <c r="F27" s="264">
        <f t="shared" si="1"/>
        <v>0</v>
      </c>
      <c r="G27" s="264">
        <f t="shared" si="1"/>
        <v>0</v>
      </c>
      <c r="H27" s="253"/>
      <c r="I27" s="37"/>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row>
    <row r="28" spans="1:45" ht="20.149999999999999" customHeight="1" x14ac:dyDescent="0.5">
      <c r="A28" s="256" t="str">
        <f>Inputs!H48</f>
        <v/>
      </c>
      <c r="B28" s="262">
        <f>Inputs!I36</f>
        <v>0</v>
      </c>
      <c r="C28" s="260" t="str">
        <f>IF(Inputs!J48="", "", Inputs!J48/$D$5)</f>
        <v/>
      </c>
      <c r="D28" s="251"/>
      <c r="E28" s="251"/>
      <c r="F28" s="251"/>
      <c r="G28" s="251"/>
      <c r="H28" s="253"/>
      <c r="I28" s="37"/>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row>
    <row r="29" spans="1:45" ht="20.149999999999999" customHeight="1" x14ac:dyDescent="0.5">
      <c r="A29" s="256" t="str">
        <f>Inputs!H49</f>
        <v/>
      </c>
      <c r="B29" s="262">
        <f>Inputs!I37</f>
        <v>0</v>
      </c>
      <c r="C29" s="260" t="str">
        <f>IF(Inputs!J49="", "", Inputs!J49/$D$5)</f>
        <v/>
      </c>
      <c r="D29" s="251"/>
      <c r="E29" s="251"/>
      <c r="F29" s="251"/>
      <c r="G29" s="251"/>
      <c r="H29" s="253"/>
      <c r="I29" s="37"/>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row>
    <row r="30" spans="1:45" ht="20.149999999999999" customHeight="1" x14ac:dyDescent="0.5">
      <c r="A30" s="256" t="str">
        <f>Inputs!H50</f>
        <v/>
      </c>
      <c r="B30" s="262">
        <f>Inputs!I38</f>
        <v>0</v>
      </c>
      <c r="C30" s="260" t="str">
        <f>IF(Inputs!J50="", "", Inputs!J50/$D$5)</f>
        <v/>
      </c>
      <c r="D30" s="251"/>
      <c r="E30" s="251"/>
      <c r="F30" s="251"/>
      <c r="G30" s="251"/>
      <c r="H30" s="253"/>
      <c r="I30" s="37"/>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row>
    <row r="31" spans="1:45" ht="20.149999999999999" customHeight="1" x14ac:dyDescent="0.5">
      <c r="A31" s="256" t="str">
        <f>Inputs!H51</f>
        <v/>
      </c>
      <c r="B31" s="262">
        <f>Inputs!I39</f>
        <v>0</v>
      </c>
      <c r="C31" s="260" t="str">
        <f>IF(Inputs!J51="", "", Inputs!J51/$D$5)</f>
        <v/>
      </c>
      <c r="D31" s="251"/>
      <c r="E31" s="251"/>
      <c r="F31" s="251"/>
      <c r="G31" s="251"/>
      <c r="H31" s="253"/>
      <c r="I31" s="37"/>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row>
    <row r="32" spans="1:45" ht="20.149999999999999" customHeight="1" x14ac:dyDescent="0.5">
      <c r="A32" s="256" t="str">
        <f>Inputs!H52</f>
        <v/>
      </c>
      <c r="B32" s="262">
        <f>Inputs!I40</f>
        <v>0</v>
      </c>
      <c r="C32" s="260" t="str">
        <f>IF(Inputs!J52="", "", Inputs!J52/$D$5)</f>
        <v/>
      </c>
      <c r="D32" s="251"/>
      <c r="E32" s="251"/>
      <c r="F32" s="251"/>
      <c r="G32" s="251"/>
      <c r="H32" s="253"/>
      <c r="I32" s="37"/>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row>
    <row r="33" spans="1:45" ht="20.149999999999999" customHeight="1" x14ac:dyDescent="0.5">
      <c r="A33" s="256" t="str">
        <f>Inputs!H53</f>
        <v/>
      </c>
      <c r="B33" s="262">
        <f>Inputs!I41</f>
        <v>0</v>
      </c>
      <c r="C33" s="260" t="str">
        <f>IF(Inputs!J53="", "", Inputs!J53/$D$5)</f>
        <v/>
      </c>
      <c r="D33" s="251"/>
      <c r="E33" s="251"/>
      <c r="F33" s="251"/>
      <c r="G33" s="251"/>
      <c r="H33" s="253"/>
      <c r="I33" s="37"/>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row>
    <row r="34" spans="1:45" ht="20.149999999999999" customHeight="1" x14ac:dyDescent="0.5">
      <c r="A34" s="256" t="str">
        <f>Inputs!H54</f>
        <v/>
      </c>
      <c r="B34" s="262">
        <f>Inputs!I42</f>
        <v>0</v>
      </c>
      <c r="C34" s="260" t="str">
        <f>IF(Inputs!J54="", "", Inputs!J54/$D$5)</f>
        <v/>
      </c>
      <c r="D34" s="251"/>
      <c r="E34" s="251"/>
      <c r="F34" s="251"/>
      <c r="G34" s="251"/>
      <c r="H34" s="253"/>
      <c r="I34" s="37"/>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row>
    <row r="35" spans="1:45" ht="20.149999999999999" customHeight="1" x14ac:dyDescent="0.5">
      <c r="A35" s="256" t="str">
        <f>Inputs!H55</f>
        <v/>
      </c>
      <c r="B35" s="262">
        <f>Inputs!I43</f>
        <v>0</v>
      </c>
      <c r="C35" s="260" t="str">
        <f>IF(Inputs!J55="", "", Inputs!J55/$D$5)</f>
        <v/>
      </c>
      <c r="D35" s="251"/>
      <c r="E35" s="251"/>
      <c r="F35" s="251"/>
      <c r="G35" s="251"/>
      <c r="H35" s="253"/>
      <c r="I35" s="37"/>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row>
    <row r="36" spans="1:45" ht="20.149999999999999" customHeight="1" x14ac:dyDescent="0.5">
      <c r="A36" s="256" t="str">
        <f>Inputs!H56</f>
        <v/>
      </c>
      <c r="B36" s="262">
        <f>Inputs!I44</f>
        <v>0</v>
      </c>
      <c r="C36" s="260" t="str">
        <f>IF(Inputs!J56="", "", Inputs!J56/$D$5)</f>
        <v/>
      </c>
      <c r="D36" s="251"/>
      <c r="E36" s="251"/>
      <c r="F36" s="251"/>
      <c r="G36" s="251"/>
      <c r="H36" s="253"/>
      <c r="I36" s="37"/>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row>
    <row r="37" spans="1:45" ht="20.149999999999999" customHeight="1" x14ac:dyDescent="0.5">
      <c r="A37" s="256" t="str">
        <f>Inputs!H57</f>
        <v/>
      </c>
      <c r="B37" s="262">
        <f>Inputs!I45</f>
        <v>0</v>
      </c>
      <c r="C37" s="260" t="str">
        <f>IF(Inputs!J57="", "", Inputs!J57/$D$5)</f>
        <v/>
      </c>
      <c r="D37" s="251"/>
      <c r="E37" s="251"/>
      <c r="F37" s="251"/>
      <c r="G37" s="251"/>
      <c r="H37" s="253"/>
      <c r="I37" s="37"/>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row>
    <row r="38" spans="1:45" ht="20.149999999999999" customHeight="1" x14ac:dyDescent="0.5">
      <c r="A38" s="256" t="str">
        <f>Inputs!H58</f>
        <v/>
      </c>
      <c r="B38" s="262">
        <f>Inputs!I46</f>
        <v>0</v>
      </c>
      <c r="C38" s="260" t="str">
        <f>IF(Inputs!J58="", "", Inputs!J58/$D$5)</f>
        <v/>
      </c>
      <c r="D38" s="251"/>
      <c r="E38" s="251"/>
      <c r="F38" s="251"/>
      <c r="G38" s="251"/>
      <c r="H38" s="253"/>
      <c r="I38" s="37"/>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row>
    <row r="39" spans="1:45" ht="20.149999999999999" customHeight="1" x14ac:dyDescent="0.5">
      <c r="A39" s="256" t="str">
        <f>Inputs!H59</f>
        <v/>
      </c>
      <c r="B39" s="262">
        <f>Inputs!I47</f>
        <v>0</v>
      </c>
      <c r="C39" s="260" t="str">
        <f>IF(Inputs!J59="", "", Inputs!J59/$D$5)</f>
        <v/>
      </c>
      <c r="D39" s="251"/>
      <c r="E39" s="251"/>
      <c r="F39" s="251"/>
      <c r="G39" s="251"/>
      <c r="H39" s="253"/>
      <c r="I39" s="37"/>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row>
    <row r="40" spans="1:45" ht="13" customHeight="1" x14ac:dyDescent="0.35">
      <c r="C40" s="52"/>
      <c r="H40" s="253"/>
      <c r="I40" s="37"/>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row>
    <row r="41" spans="1:45" ht="20.5" customHeight="1" x14ac:dyDescent="0.5">
      <c r="B41" s="250" t="s">
        <v>56</v>
      </c>
      <c r="C41" s="79"/>
      <c r="D41" s="264">
        <f>SUM(D42:D53)</f>
        <v>0</v>
      </c>
      <c r="E41" s="264">
        <f t="shared" ref="E41:G41" si="2">SUM(E42:E53)</f>
        <v>0</v>
      </c>
      <c r="F41" s="264">
        <f t="shared" si="2"/>
        <v>0</v>
      </c>
      <c r="G41" s="264">
        <f t="shared" si="2"/>
        <v>0</v>
      </c>
      <c r="H41" s="253"/>
      <c r="I41" s="37"/>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row>
    <row r="42" spans="1:45" ht="20.5" customHeight="1" x14ac:dyDescent="0.5">
      <c r="A42" s="256" t="str">
        <f>Inputs!H60</f>
        <v/>
      </c>
      <c r="B42" s="262" t="str">
        <f>Inputs!I48</f>
        <v/>
      </c>
      <c r="C42" s="260" t="str">
        <f>IF(Inputs!J60="", "", Inputs!J60/$E$5)</f>
        <v/>
      </c>
      <c r="D42" s="251"/>
      <c r="E42" s="251"/>
      <c r="F42" s="251"/>
      <c r="G42" s="251"/>
      <c r="H42" s="253"/>
      <c r="I42" s="37"/>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row>
    <row r="43" spans="1:45" ht="20.5" customHeight="1" x14ac:dyDescent="0.5">
      <c r="A43" s="256" t="str">
        <f>Inputs!H61</f>
        <v/>
      </c>
      <c r="B43" s="262" t="str">
        <f>Inputs!I49</f>
        <v/>
      </c>
      <c r="C43" s="260" t="str">
        <f>IF(Inputs!J61="", "", Inputs!J61/$E$5)</f>
        <v/>
      </c>
      <c r="D43" s="251"/>
      <c r="E43" s="251"/>
      <c r="F43" s="251"/>
      <c r="G43" s="251"/>
      <c r="H43" s="253"/>
      <c r="I43" s="37"/>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row>
    <row r="44" spans="1:45" ht="20.5" customHeight="1" x14ac:dyDescent="0.5">
      <c r="A44" s="256" t="str">
        <f>Inputs!H62</f>
        <v/>
      </c>
      <c r="B44" s="262" t="str">
        <f>Inputs!I50</f>
        <v/>
      </c>
      <c r="C44" s="260" t="str">
        <f>IF(Inputs!J62="", "", Inputs!J62/$E$5)</f>
        <v/>
      </c>
      <c r="D44" s="251"/>
      <c r="E44" s="251"/>
      <c r="F44" s="251"/>
      <c r="G44" s="251"/>
      <c r="H44" s="253"/>
      <c r="I44" s="37"/>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row>
    <row r="45" spans="1:45" ht="20.5" customHeight="1" x14ac:dyDescent="0.5">
      <c r="A45" s="256" t="str">
        <f>Inputs!H63</f>
        <v/>
      </c>
      <c r="B45" s="262" t="str">
        <f>Inputs!I51</f>
        <v/>
      </c>
      <c r="C45" s="260" t="str">
        <f>IF(Inputs!J63="", "", Inputs!J63/$E$5)</f>
        <v/>
      </c>
      <c r="D45" s="251"/>
      <c r="E45" s="251"/>
      <c r="F45" s="251"/>
      <c r="G45" s="251"/>
      <c r="H45" s="253"/>
      <c r="I45" s="37"/>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row>
    <row r="46" spans="1:45" ht="20.5" customHeight="1" x14ac:dyDescent="0.5">
      <c r="A46" s="256" t="str">
        <f>Inputs!H64</f>
        <v/>
      </c>
      <c r="B46" s="262" t="str">
        <f>Inputs!I52</f>
        <v/>
      </c>
      <c r="C46" s="260" t="str">
        <f>IF(Inputs!J64="", "", Inputs!J64/$E$5)</f>
        <v/>
      </c>
      <c r="D46" s="251"/>
      <c r="E46" s="251"/>
      <c r="F46" s="251"/>
      <c r="G46" s="251"/>
      <c r="H46" s="253"/>
      <c r="I46" s="37"/>
      <c r="J46" s="253"/>
      <c r="K46" s="253"/>
      <c r="L46" s="253"/>
      <c r="M46" s="253"/>
      <c r="N46" s="253"/>
      <c r="O46" s="253"/>
      <c r="P46" s="253"/>
      <c r="Q46" s="253"/>
      <c r="R46" s="253"/>
      <c r="S46" s="253"/>
      <c r="T46" s="253"/>
      <c r="U46" s="253"/>
      <c r="V46" s="253"/>
      <c r="W46" s="253"/>
      <c r="X46" s="253"/>
      <c r="Y46" s="253"/>
      <c r="Z46" s="253"/>
      <c r="AA46" s="253"/>
      <c r="AB46" s="253"/>
      <c r="AC46" s="253"/>
      <c r="AD46" s="253"/>
      <c r="AE46" s="253"/>
      <c r="AF46" s="253"/>
      <c r="AG46" s="253"/>
      <c r="AH46" s="253"/>
      <c r="AI46" s="253"/>
      <c r="AJ46" s="253"/>
      <c r="AK46" s="253"/>
      <c r="AL46" s="253"/>
      <c r="AM46" s="253"/>
      <c r="AN46" s="253"/>
      <c r="AO46" s="253"/>
      <c r="AP46" s="253"/>
      <c r="AQ46" s="253"/>
      <c r="AR46" s="253"/>
      <c r="AS46" s="253"/>
    </row>
    <row r="47" spans="1:45" ht="20.5" customHeight="1" x14ac:dyDescent="0.5">
      <c r="A47" s="256" t="str">
        <f>Inputs!H65</f>
        <v/>
      </c>
      <c r="B47" s="262" t="str">
        <f>Inputs!I53</f>
        <v/>
      </c>
      <c r="C47" s="260" t="str">
        <f>IF(Inputs!J65="", "", Inputs!J65/$E$5)</f>
        <v/>
      </c>
      <c r="D47" s="251"/>
      <c r="E47" s="251"/>
      <c r="F47" s="251"/>
      <c r="G47" s="251"/>
      <c r="H47" s="253"/>
      <c r="I47" s="37"/>
      <c r="J47" s="253"/>
      <c r="K47" s="253"/>
      <c r="L47" s="253"/>
      <c r="M47" s="253"/>
      <c r="N47" s="253"/>
      <c r="O47" s="253"/>
      <c r="P47" s="253"/>
      <c r="Q47" s="253"/>
      <c r="R47" s="253"/>
      <c r="S47" s="253"/>
      <c r="T47" s="253"/>
      <c r="U47" s="253"/>
      <c r="V47" s="253"/>
      <c r="W47" s="253"/>
      <c r="X47" s="253"/>
      <c r="Y47" s="253"/>
      <c r="Z47" s="253"/>
      <c r="AA47" s="253"/>
      <c r="AB47" s="253"/>
      <c r="AC47" s="253"/>
      <c r="AD47" s="253"/>
      <c r="AE47" s="253"/>
      <c r="AF47" s="253"/>
      <c r="AG47" s="253"/>
      <c r="AH47" s="253"/>
      <c r="AI47" s="253"/>
      <c r="AJ47" s="253"/>
      <c r="AK47" s="253"/>
      <c r="AL47" s="253"/>
      <c r="AM47" s="253"/>
      <c r="AN47" s="253"/>
      <c r="AO47" s="253"/>
      <c r="AP47" s="253"/>
      <c r="AQ47" s="253"/>
      <c r="AR47" s="253"/>
      <c r="AS47" s="253"/>
    </row>
    <row r="48" spans="1:45" ht="20.5" customHeight="1" x14ac:dyDescent="0.5">
      <c r="A48" s="256" t="str">
        <f>Inputs!H66</f>
        <v/>
      </c>
      <c r="B48" s="262" t="str">
        <f>Inputs!I54</f>
        <v/>
      </c>
      <c r="C48" s="260" t="str">
        <f>IF(Inputs!J66="", "", Inputs!J66/$E$5)</f>
        <v/>
      </c>
      <c r="D48" s="251"/>
      <c r="E48" s="251"/>
      <c r="F48" s="251"/>
      <c r="G48" s="251"/>
      <c r="H48" s="253"/>
      <c r="I48" s="37"/>
      <c r="J48" s="253"/>
      <c r="K48" s="253"/>
      <c r="L48" s="253"/>
      <c r="M48" s="253"/>
      <c r="N48" s="253"/>
      <c r="O48" s="253"/>
      <c r="P48" s="253"/>
      <c r="Q48" s="253"/>
      <c r="R48" s="253"/>
      <c r="S48" s="253"/>
      <c r="T48" s="253"/>
      <c r="U48" s="253"/>
      <c r="V48" s="253"/>
      <c r="W48" s="253"/>
      <c r="X48" s="253"/>
      <c r="Y48" s="253"/>
      <c r="Z48" s="253"/>
      <c r="AA48" s="253"/>
      <c r="AB48" s="253"/>
      <c r="AC48" s="253"/>
      <c r="AD48" s="253"/>
      <c r="AE48" s="253"/>
      <c r="AF48" s="253"/>
      <c r="AG48" s="253"/>
      <c r="AH48" s="253"/>
      <c r="AI48" s="253"/>
      <c r="AJ48" s="253"/>
      <c r="AK48" s="253"/>
      <c r="AL48" s="253"/>
      <c r="AM48" s="253"/>
      <c r="AN48" s="253"/>
      <c r="AO48" s="253"/>
      <c r="AP48" s="253"/>
      <c r="AQ48" s="253"/>
      <c r="AR48" s="253"/>
      <c r="AS48" s="253"/>
    </row>
    <row r="49" spans="1:45" ht="20.5" customHeight="1" x14ac:dyDescent="0.5">
      <c r="A49" s="256" t="str">
        <f>Inputs!H67</f>
        <v/>
      </c>
      <c r="B49" s="262" t="str">
        <f>Inputs!I55</f>
        <v/>
      </c>
      <c r="C49" s="260" t="str">
        <f>IF(Inputs!J67="", "", Inputs!J67/$E$5)</f>
        <v/>
      </c>
      <c r="D49" s="251"/>
      <c r="E49" s="251"/>
      <c r="F49" s="251"/>
      <c r="G49" s="251"/>
      <c r="H49" s="253"/>
      <c r="I49" s="37"/>
      <c r="J49" s="253"/>
      <c r="K49" s="253"/>
      <c r="L49" s="253"/>
      <c r="M49" s="253"/>
      <c r="N49" s="253"/>
      <c r="O49" s="253"/>
      <c r="P49" s="253"/>
      <c r="Q49" s="253"/>
      <c r="R49" s="253"/>
      <c r="S49" s="253"/>
      <c r="T49" s="253"/>
      <c r="U49" s="253"/>
      <c r="V49" s="253"/>
      <c r="W49" s="253"/>
      <c r="X49" s="253"/>
      <c r="Y49" s="253"/>
      <c r="Z49" s="253"/>
      <c r="AA49" s="253"/>
      <c r="AB49" s="253"/>
      <c r="AC49" s="253"/>
      <c r="AD49" s="253"/>
      <c r="AE49" s="253"/>
      <c r="AF49" s="253"/>
      <c r="AG49" s="253"/>
      <c r="AH49" s="253"/>
      <c r="AI49" s="253"/>
      <c r="AJ49" s="253"/>
      <c r="AK49" s="253"/>
      <c r="AL49" s="253"/>
      <c r="AM49" s="253"/>
      <c r="AN49" s="253"/>
      <c r="AO49" s="253"/>
      <c r="AP49" s="253"/>
      <c r="AQ49" s="253"/>
      <c r="AR49" s="253"/>
      <c r="AS49" s="253"/>
    </row>
    <row r="50" spans="1:45" ht="20.5" customHeight="1" x14ac:dyDescent="0.5">
      <c r="A50" s="256" t="str">
        <f>Inputs!H68</f>
        <v/>
      </c>
      <c r="B50" s="262" t="str">
        <f>Inputs!I56</f>
        <v/>
      </c>
      <c r="C50" s="260" t="str">
        <f>IF(Inputs!J68="", "", Inputs!J68/$E$5)</f>
        <v/>
      </c>
      <c r="D50" s="251"/>
      <c r="E50" s="251"/>
      <c r="F50" s="251"/>
      <c r="G50" s="251"/>
      <c r="H50" s="253"/>
      <c r="I50" s="37"/>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253"/>
      <c r="AM50" s="253"/>
      <c r="AN50" s="253"/>
      <c r="AO50" s="253"/>
      <c r="AP50" s="253"/>
      <c r="AQ50" s="253"/>
      <c r="AR50" s="253"/>
      <c r="AS50" s="253"/>
    </row>
    <row r="51" spans="1:45" ht="20.5" customHeight="1" x14ac:dyDescent="0.5">
      <c r="A51" s="256" t="str">
        <f>Inputs!H69</f>
        <v/>
      </c>
      <c r="B51" s="262" t="str">
        <f>Inputs!I57</f>
        <v/>
      </c>
      <c r="C51" s="260" t="str">
        <f>IF(Inputs!J69="", "", Inputs!J69/$E$5)</f>
        <v/>
      </c>
      <c r="D51" s="251"/>
      <c r="E51" s="251"/>
      <c r="F51" s="251"/>
      <c r="G51" s="251"/>
      <c r="H51" s="253"/>
      <c r="I51" s="37"/>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253"/>
      <c r="AK51" s="253"/>
      <c r="AL51" s="253"/>
      <c r="AM51" s="253"/>
      <c r="AN51" s="253"/>
      <c r="AO51" s="253"/>
      <c r="AP51" s="253"/>
      <c r="AQ51" s="253"/>
      <c r="AR51" s="253"/>
      <c r="AS51" s="253"/>
    </row>
    <row r="52" spans="1:45" ht="20.5" customHeight="1" x14ac:dyDescent="0.5">
      <c r="A52" s="256" t="str">
        <f>Inputs!H70</f>
        <v/>
      </c>
      <c r="B52" s="262" t="str">
        <f>Inputs!I58</f>
        <v/>
      </c>
      <c r="C52" s="260" t="str">
        <f>IF(Inputs!J70="", "", Inputs!J70/$E$5)</f>
        <v/>
      </c>
      <c r="D52" s="251"/>
      <c r="E52" s="251"/>
      <c r="F52" s="251"/>
      <c r="G52" s="251"/>
      <c r="H52" s="253"/>
      <c r="I52" s="37"/>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row>
    <row r="53" spans="1:45" ht="20.149999999999999" customHeight="1" x14ac:dyDescent="0.5">
      <c r="A53" s="256" t="str">
        <f>Inputs!H71</f>
        <v/>
      </c>
      <c r="B53" s="262" t="str">
        <f>Inputs!I59</f>
        <v/>
      </c>
      <c r="C53" s="260" t="str">
        <f>IF(Inputs!J71="", "", Inputs!J71/$E$5)</f>
        <v/>
      </c>
      <c r="D53" s="251"/>
      <c r="E53" s="251"/>
      <c r="F53" s="251"/>
      <c r="G53" s="251"/>
      <c r="H53" s="253"/>
      <c r="I53" s="37"/>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row>
    <row r="54" spans="1:45" ht="20.149999999999999" customHeight="1" x14ac:dyDescent="0.35">
      <c r="B54" s="52"/>
      <c r="C54" s="52"/>
      <c r="D54" s="52"/>
      <c r="E54" s="52"/>
      <c r="F54" s="52"/>
      <c r="G54" s="52"/>
      <c r="H54" s="253"/>
      <c r="I54" s="37"/>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253"/>
      <c r="AK54" s="253"/>
      <c r="AL54" s="253"/>
      <c r="AM54" s="253"/>
      <c r="AN54" s="253"/>
      <c r="AO54" s="253"/>
      <c r="AP54" s="253"/>
      <c r="AQ54" s="253"/>
      <c r="AR54" s="253"/>
      <c r="AS54" s="253"/>
    </row>
    <row r="55" spans="1:45" ht="20.149999999999999" customHeight="1" x14ac:dyDescent="0.5">
      <c r="B55" s="250" t="s">
        <v>140</v>
      </c>
      <c r="C55" s="79"/>
      <c r="D55" s="264">
        <f>SUM(D56:D67)</f>
        <v>0</v>
      </c>
      <c r="E55" s="264">
        <f t="shared" ref="E55:G55" si="3">SUM(E56:E67)</f>
        <v>0</v>
      </c>
      <c r="F55" s="264">
        <f t="shared" si="3"/>
        <v>0</v>
      </c>
      <c r="G55" s="264">
        <f t="shared" si="3"/>
        <v>0</v>
      </c>
      <c r="H55" s="253"/>
      <c r="I55" s="37"/>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253"/>
      <c r="AK55" s="253"/>
      <c r="AL55" s="253"/>
      <c r="AM55" s="253"/>
      <c r="AN55" s="253"/>
      <c r="AO55" s="253"/>
      <c r="AP55" s="253"/>
      <c r="AQ55" s="253"/>
      <c r="AR55" s="253"/>
      <c r="AS55" s="253"/>
    </row>
    <row r="56" spans="1:45" ht="20.149999999999999" customHeight="1" x14ac:dyDescent="0.5">
      <c r="A56" s="256" t="str">
        <f>Inputs!H72</f>
        <v/>
      </c>
      <c r="B56" s="262" t="str">
        <f>Inputs!I60</f>
        <v/>
      </c>
      <c r="C56" s="260" t="str">
        <f>IF(Inputs!J72="", "", Inputs!J72/$F$5)</f>
        <v/>
      </c>
      <c r="D56" s="251"/>
      <c r="E56" s="251"/>
      <c r="F56" s="251"/>
      <c r="G56" s="251"/>
      <c r="H56" s="253"/>
      <c r="I56" s="37"/>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253"/>
      <c r="AK56" s="253"/>
      <c r="AL56" s="253"/>
      <c r="AM56" s="253"/>
      <c r="AN56" s="253"/>
      <c r="AO56" s="253"/>
      <c r="AP56" s="253"/>
      <c r="AQ56" s="253"/>
      <c r="AR56" s="253"/>
      <c r="AS56" s="253"/>
    </row>
    <row r="57" spans="1:45" ht="20.149999999999999" customHeight="1" x14ac:dyDescent="0.5">
      <c r="A57" s="256" t="str">
        <f>Inputs!H73</f>
        <v/>
      </c>
      <c r="B57" s="262" t="str">
        <f>Inputs!I61</f>
        <v/>
      </c>
      <c r="C57" s="260" t="str">
        <f>IF(Inputs!J73="", "", Inputs!J73/$F$5)</f>
        <v/>
      </c>
      <c r="D57" s="251"/>
      <c r="E57" s="251"/>
      <c r="F57" s="251"/>
      <c r="G57" s="251"/>
      <c r="H57" s="253"/>
      <c r="I57" s="37"/>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row>
    <row r="58" spans="1:45" ht="20.149999999999999" customHeight="1" x14ac:dyDescent="0.5">
      <c r="A58" s="256" t="str">
        <f>Inputs!H74</f>
        <v/>
      </c>
      <c r="B58" s="262" t="str">
        <f>Inputs!I62</f>
        <v/>
      </c>
      <c r="C58" s="260" t="str">
        <f>IF(Inputs!J74="", "", Inputs!J74/$F$5)</f>
        <v/>
      </c>
      <c r="D58" s="251"/>
      <c r="E58" s="251"/>
      <c r="F58" s="251"/>
      <c r="G58" s="251"/>
      <c r="H58" s="253"/>
      <c r="I58" s="37"/>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row>
    <row r="59" spans="1:45" ht="21" customHeight="1" x14ac:dyDescent="0.5">
      <c r="A59" s="256" t="str">
        <f>Inputs!H75</f>
        <v/>
      </c>
      <c r="B59" s="262" t="str">
        <f>Inputs!I63</f>
        <v/>
      </c>
      <c r="C59" s="260" t="str">
        <f>IF(Inputs!J75="", "", Inputs!J75/$F$5)</f>
        <v/>
      </c>
      <c r="D59" s="251"/>
      <c r="E59" s="251"/>
      <c r="F59" s="251"/>
      <c r="G59" s="251"/>
      <c r="H59" s="253"/>
      <c r="I59" s="37"/>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row>
    <row r="60" spans="1:45" ht="21" customHeight="1" x14ac:dyDescent="0.5">
      <c r="A60" s="256" t="str">
        <f>Inputs!H76</f>
        <v/>
      </c>
      <c r="B60" s="262" t="str">
        <f>Inputs!I64</f>
        <v/>
      </c>
      <c r="C60" s="260" t="str">
        <f>IF(Inputs!J76="", "", Inputs!J76/$F$5)</f>
        <v/>
      </c>
      <c r="D60" s="251"/>
      <c r="E60" s="251"/>
      <c r="F60" s="251"/>
      <c r="G60" s="251"/>
      <c r="H60" s="253"/>
      <c r="I60" s="37"/>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row>
    <row r="61" spans="1:45" ht="21" customHeight="1" x14ac:dyDescent="0.5">
      <c r="A61" s="256" t="str">
        <f>Inputs!H77</f>
        <v/>
      </c>
      <c r="B61" s="262" t="str">
        <f>Inputs!I65</f>
        <v/>
      </c>
      <c r="C61" s="260" t="str">
        <f>IF(Inputs!J77="", "", Inputs!J77/$F$5)</f>
        <v/>
      </c>
      <c r="D61" s="251"/>
      <c r="E61" s="251"/>
      <c r="F61" s="251"/>
      <c r="G61" s="251"/>
      <c r="H61" s="253"/>
      <c r="I61" s="37"/>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row>
    <row r="62" spans="1:45" ht="21" customHeight="1" x14ac:dyDescent="0.5">
      <c r="A62" s="256" t="str">
        <f>Inputs!H78</f>
        <v/>
      </c>
      <c r="B62" s="262" t="str">
        <f>Inputs!I66</f>
        <v/>
      </c>
      <c r="C62" s="260" t="str">
        <f>IF(Inputs!J78="", "", Inputs!J78/$F$5)</f>
        <v/>
      </c>
      <c r="D62" s="251"/>
      <c r="E62" s="251"/>
      <c r="F62" s="251"/>
      <c r="G62" s="251"/>
      <c r="H62" s="253"/>
      <c r="I62" s="37"/>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row>
    <row r="63" spans="1:45" ht="21" customHeight="1" x14ac:dyDescent="0.5">
      <c r="A63" s="256" t="str">
        <f>Inputs!H79</f>
        <v/>
      </c>
      <c r="B63" s="262" t="str">
        <f>Inputs!I67</f>
        <v/>
      </c>
      <c r="C63" s="260" t="str">
        <f>IF(Inputs!J79="", "", Inputs!J79/$F$5)</f>
        <v/>
      </c>
      <c r="D63" s="251"/>
      <c r="E63" s="251"/>
      <c r="F63" s="251"/>
      <c r="G63" s="251"/>
      <c r="H63" s="253"/>
      <c r="I63" s="37"/>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row>
    <row r="64" spans="1:45" ht="21" customHeight="1" x14ac:dyDescent="0.5">
      <c r="A64" s="256" t="str">
        <f>Inputs!H80</f>
        <v/>
      </c>
      <c r="B64" s="262" t="str">
        <f>Inputs!I68</f>
        <v/>
      </c>
      <c r="C64" s="260" t="str">
        <f>IF(Inputs!J80="", "", Inputs!J80/$F$5)</f>
        <v/>
      </c>
      <c r="D64" s="251"/>
      <c r="E64" s="251"/>
      <c r="F64" s="251"/>
      <c r="G64" s="251"/>
      <c r="H64" s="253"/>
      <c r="I64" s="37"/>
      <c r="J64" s="253"/>
      <c r="K64" s="253"/>
      <c r="L64" s="253"/>
      <c r="M64" s="253"/>
      <c r="N64" s="253"/>
      <c r="O64" s="253"/>
      <c r="P64" s="253"/>
      <c r="Q64" s="253"/>
      <c r="R64" s="253"/>
      <c r="S64" s="253"/>
      <c r="T64" s="253"/>
      <c r="U64" s="253"/>
      <c r="V64" s="253"/>
      <c r="W64" s="253"/>
      <c r="X64" s="253"/>
      <c r="Y64" s="253"/>
      <c r="Z64" s="253"/>
      <c r="AA64" s="253"/>
      <c r="AB64" s="253"/>
      <c r="AC64" s="253"/>
      <c r="AD64" s="253"/>
      <c r="AE64" s="253"/>
      <c r="AF64" s="253"/>
      <c r="AG64" s="253"/>
      <c r="AH64" s="253"/>
      <c r="AI64" s="253"/>
      <c r="AJ64" s="253"/>
      <c r="AK64" s="253"/>
      <c r="AL64" s="253"/>
      <c r="AM64" s="253"/>
      <c r="AN64" s="253"/>
      <c r="AO64" s="253"/>
      <c r="AP64" s="253"/>
      <c r="AQ64" s="253"/>
      <c r="AR64" s="253"/>
      <c r="AS64" s="253"/>
    </row>
    <row r="65" spans="1:45" ht="21" customHeight="1" x14ac:dyDescent="0.5">
      <c r="A65" s="256" t="str">
        <f>Inputs!H81</f>
        <v/>
      </c>
      <c r="B65" s="262" t="str">
        <f>Inputs!I69</f>
        <v/>
      </c>
      <c r="C65" s="260" t="str">
        <f>IF(Inputs!J81="", "", Inputs!J81/$F$5)</f>
        <v/>
      </c>
      <c r="D65" s="251"/>
      <c r="E65" s="251"/>
      <c r="F65" s="251"/>
      <c r="G65" s="251"/>
      <c r="H65" s="253"/>
      <c r="I65" s="37"/>
      <c r="J65" s="253"/>
      <c r="K65" s="253"/>
      <c r="L65" s="253"/>
      <c r="M65" s="253"/>
      <c r="N65" s="253"/>
      <c r="O65" s="253"/>
      <c r="P65" s="253"/>
      <c r="Q65" s="253"/>
      <c r="R65" s="253"/>
      <c r="S65" s="253"/>
      <c r="T65" s="253"/>
      <c r="U65" s="253"/>
      <c r="V65" s="253"/>
      <c r="W65" s="253"/>
      <c r="X65" s="253"/>
      <c r="Y65" s="253"/>
      <c r="Z65" s="253"/>
      <c r="AA65" s="253"/>
      <c r="AB65" s="253"/>
      <c r="AC65" s="253"/>
      <c r="AD65" s="253"/>
      <c r="AE65" s="253"/>
      <c r="AF65" s="253"/>
      <c r="AG65" s="253"/>
      <c r="AH65" s="253"/>
      <c r="AI65" s="253"/>
      <c r="AJ65" s="253"/>
      <c r="AK65" s="253"/>
      <c r="AL65" s="253"/>
      <c r="AM65" s="253"/>
      <c r="AN65" s="253"/>
      <c r="AO65" s="253"/>
      <c r="AP65" s="253"/>
      <c r="AQ65" s="253"/>
      <c r="AR65" s="253"/>
      <c r="AS65" s="253"/>
    </row>
    <row r="66" spans="1:45" ht="21" customHeight="1" x14ac:dyDescent="0.5">
      <c r="A66" s="256" t="str">
        <f>Inputs!H82</f>
        <v/>
      </c>
      <c r="B66" s="262" t="str">
        <f>Inputs!I70</f>
        <v/>
      </c>
      <c r="C66" s="260" t="str">
        <f>IF(Inputs!J82="", "", Inputs!J82/$F$5)</f>
        <v/>
      </c>
      <c r="D66" s="251"/>
      <c r="E66" s="251"/>
      <c r="F66" s="251"/>
      <c r="G66" s="251"/>
      <c r="H66" s="253"/>
      <c r="I66" s="37"/>
      <c r="J66" s="253"/>
      <c r="K66" s="253"/>
      <c r="L66" s="253"/>
      <c r="M66" s="253"/>
      <c r="N66" s="253"/>
      <c r="O66" s="253"/>
      <c r="P66" s="253"/>
      <c r="Q66" s="253"/>
      <c r="R66" s="253"/>
      <c r="S66" s="253"/>
      <c r="T66" s="253"/>
      <c r="U66" s="253"/>
      <c r="V66" s="253"/>
      <c r="W66" s="253"/>
      <c r="X66" s="253"/>
      <c r="Y66" s="253"/>
      <c r="Z66" s="253"/>
      <c r="AA66" s="253"/>
      <c r="AB66" s="253"/>
      <c r="AC66" s="253"/>
      <c r="AD66" s="253"/>
      <c r="AE66" s="253"/>
      <c r="AF66" s="253"/>
      <c r="AG66" s="253"/>
      <c r="AH66" s="253"/>
      <c r="AI66" s="253"/>
      <c r="AJ66" s="253"/>
      <c r="AK66" s="253"/>
      <c r="AL66" s="253"/>
      <c r="AM66" s="253"/>
      <c r="AN66" s="253"/>
      <c r="AO66" s="253"/>
      <c r="AP66" s="253"/>
      <c r="AQ66" s="253"/>
      <c r="AR66" s="253"/>
      <c r="AS66" s="253"/>
    </row>
    <row r="67" spans="1:45" ht="21" customHeight="1" x14ac:dyDescent="0.5">
      <c r="A67" s="256" t="str">
        <f>Inputs!H83</f>
        <v/>
      </c>
      <c r="B67" s="262" t="str">
        <f>Inputs!I71</f>
        <v/>
      </c>
      <c r="C67" s="260" t="str">
        <f>IF(Inputs!J83="", "", Inputs!J83/$F$5)</f>
        <v/>
      </c>
      <c r="D67" s="251"/>
      <c r="E67" s="251"/>
      <c r="F67" s="251"/>
      <c r="G67" s="251"/>
      <c r="H67" s="253"/>
      <c r="I67" s="37"/>
      <c r="J67" s="253"/>
      <c r="K67" s="253"/>
      <c r="L67" s="253"/>
      <c r="M67" s="253"/>
      <c r="N67" s="253"/>
      <c r="O67" s="253"/>
      <c r="P67" s="253"/>
      <c r="Q67" s="253"/>
      <c r="R67" s="253"/>
      <c r="S67" s="253"/>
      <c r="T67" s="253"/>
      <c r="U67" s="253"/>
      <c r="V67" s="253"/>
      <c r="W67" s="253"/>
      <c r="X67" s="253"/>
      <c r="Y67" s="253"/>
      <c r="Z67" s="253"/>
      <c r="AA67" s="253"/>
      <c r="AB67" s="253"/>
      <c r="AC67" s="253"/>
      <c r="AD67" s="253"/>
      <c r="AE67" s="253"/>
      <c r="AF67" s="253"/>
      <c r="AG67" s="253"/>
      <c r="AH67" s="253"/>
      <c r="AI67" s="253"/>
      <c r="AJ67" s="253"/>
      <c r="AK67" s="253"/>
      <c r="AL67" s="253"/>
      <c r="AM67" s="253"/>
      <c r="AN67" s="253"/>
      <c r="AO67" s="253"/>
      <c r="AP67" s="253"/>
      <c r="AQ67" s="253"/>
      <c r="AR67" s="253"/>
      <c r="AS67" s="253"/>
    </row>
    <row r="68" spans="1:45" x14ac:dyDescent="0.35">
      <c r="B68" s="253"/>
      <c r="C68" s="253"/>
      <c r="D68" s="253"/>
      <c r="E68" s="253"/>
      <c r="F68" s="253"/>
      <c r="G68" s="253"/>
      <c r="H68" s="253"/>
      <c r="I68" s="37"/>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row>
    <row r="69" spans="1:45" ht="21" customHeight="1" x14ac:dyDescent="0.35"/>
    <row r="70" spans="1:45" ht="21" customHeight="1" x14ac:dyDescent="0.35"/>
    <row r="71" spans="1:45" ht="21" customHeight="1" x14ac:dyDescent="0.35"/>
    <row r="72" spans="1:45" ht="21" customHeight="1" x14ac:dyDescent="0.35"/>
    <row r="73" spans="1:45" ht="21" customHeight="1" x14ac:dyDescent="0.35"/>
    <row r="74" spans="1:45" ht="21" customHeight="1" x14ac:dyDescent="0.35"/>
    <row r="75" spans="1:45" ht="21" customHeight="1" x14ac:dyDescent="0.35"/>
    <row r="76" spans="1:45" ht="21" customHeight="1" x14ac:dyDescent="0.35"/>
    <row r="77" spans="1:45" ht="21" customHeight="1" x14ac:dyDescent="0.35"/>
    <row r="78" spans="1:45" ht="21" customHeight="1" x14ac:dyDescent="0.35"/>
    <row r="79" spans="1:45" ht="21" customHeight="1" x14ac:dyDescent="0.35"/>
    <row r="80" spans="1:45" ht="21" customHeight="1" x14ac:dyDescent="0.35"/>
    <row r="81" ht="21" customHeight="1" x14ac:dyDescent="0.35"/>
  </sheetData>
  <sheetProtection sheet="1" objects="1" scenarios="1" selectLockedCells="1"/>
  <mergeCells count="6">
    <mergeCell ref="K12:X12"/>
    <mergeCell ref="B3:E3"/>
    <mergeCell ref="O1:Q1"/>
    <mergeCell ref="S1:V1"/>
    <mergeCell ref="K3:X5"/>
    <mergeCell ref="K6:X11"/>
  </mergeCells>
  <conditionalFormatting sqref="B28:G39">
    <cfRule type="expression" dxfId="36" priority="56">
      <formula>$A28=""</formula>
    </cfRule>
  </conditionalFormatting>
  <conditionalFormatting sqref="B56:G67">
    <cfRule type="expression" dxfId="35" priority="85">
      <formula>$A56=""</formula>
    </cfRule>
  </conditionalFormatting>
  <conditionalFormatting sqref="B42:G53">
    <cfRule type="expression" dxfId="34" priority="59">
      <formula>$A42=""</formula>
    </cfRule>
  </conditionalFormatting>
  <conditionalFormatting sqref="D12">
    <cfRule type="expression" dxfId="33" priority="17">
      <formula>$D$12=1</formula>
    </cfRule>
  </conditionalFormatting>
  <conditionalFormatting sqref="E12">
    <cfRule type="expression" dxfId="32" priority="22">
      <formula>$E$12=1</formula>
    </cfRule>
  </conditionalFormatting>
  <conditionalFormatting sqref="F12">
    <cfRule type="expression" dxfId="31" priority="27">
      <formula>$F$12=1</formula>
    </cfRule>
  </conditionalFormatting>
  <conditionalFormatting sqref="G12">
    <cfRule type="expression" dxfId="30" priority="31">
      <formula>$G$12=1</formula>
    </cfRule>
  </conditionalFormatting>
  <conditionalFormatting sqref="D27">
    <cfRule type="expression" dxfId="29" priority="18">
      <formula>$D$27=1</formula>
    </cfRule>
  </conditionalFormatting>
  <conditionalFormatting sqref="D41">
    <cfRule type="expression" dxfId="28" priority="19">
      <formula>$D$41=1</formula>
    </cfRule>
  </conditionalFormatting>
  <conditionalFormatting sqref="D55">
    <cfRule type="expression" dxfId="27" priority="20">
      <formula>$D$55=1</formula>
    </cfRule>
  </conditionalFormatting>
  <conditionalFormatting sqref="E55">
    <cfRule type="expression" dxfId="26" priority="26">
      <formula>$E$55=1</formula>
    </cfRule>
  </conditionalFormatting>
  <conditionalFormatting sqref="E41">
    <cfRule type="expression" dxfId="25" priority="24">
      <formula>$E$41=1</formula>
    </cfRule>
  </conditionalFormatting>
  <conditionalFormatting sqref="E27">
    <cfRule type="expression" dxfId="24" priority="23">
      <formula>$E$27=1</formula>
    </cfRule>
  </conditionalFormatting>
  <conditionalFormatting sqref="F55">
    <cfRule type="expression" dxfId="23" priority="30">
      <formula>$F$55=1</formula>
    </cfRule>
  </conditionalFormatting>
  <conditionalFormatting sqref="F41">
    <cfRule type="expression" dxfId="22" priority="29">
      <formula>$F$41=1</formula>
    </cfRule>
  </conditionalFormatting>
  <conditionalFormatting sqref="F27">
    <cfRule type="expression" dxfId="21" priority="28">
      <formula>$F$27=1</formula>
    </cfRule>
  </conditionalFormatting>
  <conditionalFormatting sqref="G55">
    <cfRule type="expression" dxfId="20" priority="34">
      <formula>$G$55=1</formula>
    </cfRule>
  </conditionalFormatting>
  <conditionalFormatting sqref="G41">
    <cfRule type="expression" dxfId="19" priority="33">
      <formula>$G$41=1</formula>
    </cfRule>
  </conditionalFormatting>
  <conditionalFormatting sqref="G27">
    <cfRule type="expression" dxfId="18" priority="32">
      <formula>$G$27=1</formula>
    </cfRule>
  </conditionalFormatting>
  <conditionalFormatting sqref="B6">
    <cfRule type="expression" dxfId="17" priority="1">
      <formula>AND($C$6&lt;&gt;"",$D$6&lt;&gt;"",$E$6&lt;&gt;"",$F$6&lt;&gt;"")</formula>
    </cfRule>
  </conditionalFormatting>
  <conditionalFormatting sqref="B7">
    <cfRule type="expression" dxfId="16" priority="2">
      <formula>AND($C$7&lt;&gt;"",$D$7&lt;&gt;"",$E$7&lt;&gt;"",$F$7&lt;&gt;"")</formula>
    </cfRule>
  </conditionalFormatting>
  <conditionalFormatting sqref="B8">
    <cfRule type="expression" dxfId="15" priority="3">
      <formula>AND($C$8&lt;&gt;"",$D$8&lt;&gt;"",$E$8&lt;&gt;"",$F$8&lt;&gt;"")</formula>
    </cfRule>
  </conditionalFormatting>
  <conditionalFormatting sqref="B9">
    <cfRule type="expression" dxfId="14" priority="4">
      <formula>AND($C$9&lt;&gt;"",$D$9&lt;&gt;"",$E$9&lt;&gt;"",$F$9&lt;&gt;"")</formula>
    </cfRule>
  </conditionalFormatting>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expression" priority="36" id="{007FC458-29C1-4FE9-92D7-AD437960CFF6}">
            <xm:f>OR(Inputs!$B$12&lt;=12, Inputs!$B$12="")</xm:f>
            <x14:dxf>
              <font>
                <color theme="0"/>
              </font>
            </x14:dxf>
          </x14:cfRule>
          <xm:sqref>B27:G27 B41:G41 B55:G55</xm:sqref>
        </x14:conditionalFormatting>
        <x14:conditionalFormatting xmlns:xm="http://schemas.microsoft.com/office/excel/2006/main">
          <x14:cfRule type="expression" priority="40" id="{0355F0F7-7F2F-4A6B-8647-797EC794DCE4}">
            <xm:f>Inputs!$B$12&lt;=24</xm:f>
            <x14:dxf>
              <font>
                <color theme="0"/>
              </font>
            </x14:dxf>
          </x14:cfRule>
          <xm:sqref>B41:G41 B55:G55</xm:sqref>
        </x14:conditionalFormatting>
        <x14:conditionalFormatting xmlns:xm="http://schemas.microsoft.com/office/excel/2006/main">
          <x14:cfRule type="expression" priority="55" id="{F49755F9-1100-4A21-98BD-A7996D17C914}">
            <xm:f>Inputs!$B$12&lt;=36</xm:f>
            <x14:dxf>
              <font>
                <color theme="0"/>
              </font>
              <fill>
                <patternFill>
                  <fgColor theme="0"/>
                  <bgColor theme="0"/>
                </patternFill>
              </fill>
            </x14:dxf>
          </x14:cfRule>
          <xm:sqref>B55:G55</xm:sqref>
        </x14:conditionalFormatting>
        <x14:conditionalFormatting xmlns:xm="http://schemas.microsoft.com/office/excel/2006/main">
          <x14:cfRule type="expression" priority="35" id="{090F9E9D-19CB-4FCA-BC29-1017B155A5C9}">
            <xm:f>OR(Inputs!$B$12&lt;=12, Inputs!$B$12="")</xm:f>
            <x14:dxf>
              <font>
                <color theme="0"/>
              </font>
              <fill>
                <patternFill>
                  <bgColor theme="0"/>
                </patternFill>
              </fill>
              <border>
                <right/>
                <top/>
                <bottom/>
                <vertical/>
                <horizontal/>
              </border>
            </x14:dxf>
          </x14:cfRule>
          <xm:sqref>D4:F9</xm:sqref>
        </x14:conditionalFormatting>
        <x14:conditionalFormatting xmlns:xm="http://schemas.microsoft.com/office/excel/2006/main">
          <x14:cfRule type="expression" priority="37" id="{58890EF4-40C8-444F-8923-ED79AA12A23A}">
            <xm:f>Inputs!$B$12&lt;=24</xm:f>
            <x14:dxf>
              <font>
                <color theme="0"/>
              </font>
              <fill>
                <patternFill>
                  <bgColor theme="0"/>
                </patternFill>
              </fill>
              <border>
                <right/>
                <top/>
                <bottom/>
                <vertical/>
                <horizontal/>
              </border>
            </x14:dxf>
          </x14:cfRule>
          <xm:sqref>E4:F9</xm:sqref>
        </x14:conditionalFormatting>
        <x14:conditionalFormatting xmlns:xm="http://schemas.microsoft.com/office/excel/2006/main">
          <x14:cfRule type="expression" priority="45" id="{6044ABED-43BA-4394-9A6E-FBE1297AE70B}">
            <xm:f>Inputs!$B$12&lt;=36</xm:f>
            <x14:dxf>
              <font>
                <color theme="0"/>
              </font>
              <fill>
                <patternFill>
                  <bgColor theme="0"/>
                </patternFill>
              </fill>
              <border>
                <right/>
                <top/>
                <bottom/>
                <vertical/>
                <horizontal/>
              </border>
            </x14:dxf>
          </x14:cfRule>
          <xm:sqref>F4:F9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Y74"/>
  <sheetViews>
    <sheetView workbookViewId="0">
      <pane ySplit="1" topLeftCell="A2" activePane="bottomLeft" state="frozen"/>
      <selection pane="bottomLeft" activeCell="B17" sqref="B17"/>
    </sheetView>
  </sheetViews>
  <sheetFormatPr defaultColWidth="10.90625" defaultRowHeight="14.5" x14ac:dyDescent="0.35"/>
  <cols>
    <col min="1" max="25" width="15.54296875" customWidth="1"/>
  </cols>
  <sheetData>
    <row r="1" spans="1:25" x14ac:dyDescent="0.35">
      <c r="A1" s="80" t="s">
        <v>99</v>
      </c>
      <c r="B1" s="80" t="s">
        <v>98</v>
      </c>
      <c r="C1" s="80" t="s">
        <v>97</v>
      </c>
      <c r="D1" s="80" t="s">
        <v>96</v>
      </c>
      <c r="E1" s="80" t="s">
        <v>95</v>
      </c>
      <c r="F1" s="80" t="s">
        <v>94</v>
      </c>
      <c r="G1" s="80" t="s">
        <v>93</v>
      </c>
      <c r="H1" s="80" t="s">
        <v>92</v>
      </c>
      <c r="I1" s="80" t="s">
        <v>91</v>
      </c>
      <c r="J1" s="80" t="s">
        <v>90</v>
      </c>
      <c r="K1" s="80" t="s">
        <v>89</v>
      </c>
      <c r="L1" s="80" t="s">
        <v>88</v>
      </c>
      <c r="M1" s="80" t="s">
        <v>87</v>
      </c>
      <c r="N1" s="80" t="s">
        <v>86</v>
      </c>
      <c r="O1" s="80" t="s">
        <v>85</v>
      </c>
      <c r="P1" s="80" t="s">
        <v>84</v>
      </c>
      <c r="Q1" s="80" t="s">
        <v>83</v>
      </c>
      <c r="R1" s="80" t="s">
        <v>82</v>
      </c>
      <c r="S1" s="80" t="s">
        <v>81</v>
      </c>
      <c r="T1" s="80" t="s">
        <v>80</v>
      </c>
      <c r="U1" s="80" t="s">
        <v>79</v>
      </c>
      <c r="V1" s="80" t="s">
        <v>78</v>
      </c>
      <c r="W1" s="80" t="s">
        <v>77</v>
      </c>
      <c r="X1" s="80" t="s">
        <v>76</v>
      </c>
      <c r="Y1" s="80" t="s">
        <v>75</v>
      </c>
    </row>
    <row r="2" spans="1:25" x14ac:dyDescent="0.35">
      <c r="A2" s="84">
        <f>Inputs!$J22</f>
        <v>0</v>
      </c>
      <c r="B2" s="84" t="str">
        <f>IF(Scenarios!$D$12&lt;&gt;1, "", Inputs!$J22)</f>
        <v/>
      </c>
      <c r="C2" s="84" t="str">
        <f>IF(Scenarios!$E$12&lt;&gt;1, "", Inputs!$J22)</f>
        <v/>
      </c>
      <c r="D2" s="84" t="str">
        <f>IF(Scenarios!$F$12&lt;&gt;1, "", Inputs!$J22)</f>
        <v/>
      </c>
      <c r="E2" s="84" t="str">
        <f>IF(Scenarios!$G$12&lt;&gt;1, "", Inputs!$J22)</f>
        <v/>
      </c>
      <c r="F2" s="84" t="str">
        <f>IF(Scenarios!$C$6="", "", Inputs!$J22)</f>
        <v/>
      </c>
      <c r="G2" s="84" t="str">
        <f>IF(OR(Scenarios!$C$6="",Scenarios!$D$12&lt;&gt;1),"",Inputs!$J22)</f>
        <v/>
      </c>
      <c r="H2" s="84" t="str">
        <f>IF(OR(Scenarios!$C$6="",Scenarios!$E$12&lt;&gt;1),"",Inputs!$J22)</f>
        <v/>
      </c>
      <c r="I2" s="84" t="str">
        <f>IF(OR(Scenarios!$C$6="",Scenarios!$F$12&lt;&gt;1),"",Inputs!$J22)</f>
        <v/>
      </c>
      <c r="J2" s="84" t="str">
        <f>IF(OR(Scenarios!$C$6="",Scenarios!$G$12&lt;&gt;1),"",Inputs!$J22)</f>
        <v/>
      </c>
      <c r="K2" s="84" t="str">
        <f>IF(Scenarios!$C$7="", "", Inputs!$J22)</f>
        <v/>
      </c>
      <c r="L2" s="84" t="str">
        <f>IF(OR(Scenarios!$C$7="",Scenarios!$D$12&lt;&gt;1),"",Inputs!$J22)</f>
        <v/>
      </c>
      <c r="M2" s="84" t="str">
        <f>IF(OR(Scenarios!$C$7="",Scenarios!$E$12&lt;&gt;1),"",Inputs!$J22)</f>
        <v/>
      </c>
      <c r="N2" s="84" t="str">
        <f>IF(OR(Scenarios!$C$7="",Scenarios!$F$12&lt;&gt;1),"",Inputs!$J22)</f>
        <v/>
      </c>
      <c r="O2" s="84" t="str">
        <f>IF(OR(Scenarios!$C$7="",Scenarios!$G$12&lt;&gt;1),"",Inputs!$J22)</f>
        <v/>
      </c>
      <c r="P2" s="84" t="str">
        <f>IF(Scenarios!$C$8="", "", Inputs!$J22)</f>
        <v/>
      </c>
      <c r="Q2" s="84" t="str">
        <f>IF(OR(Scenarios!$C$8="",Scenarios!$D$12&lt;&gt;1),"",Inputs!$J22)</f>
        <v/>
      </c>
      <c r="R2" s="84" t="str">
        <f>IF(OR(Scenarios!$C$8="",Scenarios!$E$12&lt;&gt;1),"",Inputs!$J22)</f>
        <v/>
      </c>
      <c r="S2" s="84" t="str">
        <f>IF(OR(Scenarios!$C$8="",Scenarios!$F$12&lt;&gt;1),"",Inputs!$J22)</f>
        <v/>
      </c>
      <c r="T2" s="84" t="str">
        <f>IF(OR(Scenarios!$C$8="",Scenarios!$G$12&lt;&gt;1),"",Inputs!$J22)</f>
        <v/>
      </c>
      <c r="U2" s="84" t="str">
        <f>IF(Scenarios!$C$9="", "",Inputs!$J22)</f>
        <v/>
      </c>
      <c r="V2" s="84" t="str">
        <f>IF(OR(Scenarios!$C$9="",Scenarios!$D$12&lt;&gt;1),"",Inputs!$J22)</f>
        <v/>
      </c>
      <c r="W2" s="84" t="str">
        <f>IF(OR(Scenarios!$C$9="",Scenarios!$E$12&lt;&gt;1),"",Inputs!$J22)</f>
        <v/>
      </c>
      <c r="X2" s="84" t="str">
        <f>IF(OR(Scenarios!$C$9="",Scenarios!$F$12&lt;&gt;1),"",Inputs!$J22)</f>
        <v/>
      </c>
      <c r="Y2" s="84" t="str">
        <f>IF(OR(Scenarios!$C$9="",Scenarios!$G$12&lt;&gt;1),"",Inputs!$J22)</f>
        <v/>
      </c>
    </row>
    <row r="3" spans="1:25" x14ac:dyDescent="0.35">
      <c r="A3" s="84">
        <f>Inputs!$J23</f>
        <v>0</v>
      </c>
      <c r="B3" s="84" t="str">
        <f>IF(Scenarios!$D$12&lt;&gt;1, "", Inputs!$J23)</f>
        <v/>
      </c>
      <c r="C3" s="84" t="str">
        <f>IF(Scenarios!$E$12&lt;&gt;1, "", Inputs!$J23)</f>
        <v/>
      </c>
      <c r="D3" s="84" t="str">
        <f>IF(Scenarios!$F$12&lt;&gt;1, "", Inputs!$J23)</f>
        <v/>
      </c>
      <c r="E3" s="84" t="str">
        <f>IF(Scenarios!$G$12&lt;&gt;1, "", Inputs!$J23)</f>
        <v/>
      </c>
      <c r="F3" s="84" t="str">
        <f>IF(Scenarios!$C$6="", "", Inputs!$J23)</f>
        <v/>
      </c>
      <c r="G3" s="84" t="str">
        <f>IF(OR(Scenarios!$C$6="",Scenarios!$D$12&lt;&gt;1),"",Inputs!$J23)</f>
        <v/>
      </c>
      <c r="H3" s="84" t="str">
        <f>IF(OR(Scenarios!$C$6="",Scenarios!$E$12&lt;&gt;1),"",Inputs!$J23)</f>
        <v/>
      </c>
      <c r="I3" s="84" t="str">
        <f>IF(OR(Scenarios!$C$6="",Scenarios!$F$12&lt;&gt;1),"",Inputs!$J23)</f>
        <v/>
      </c>
      <c r="J3" s="84" t="str">
        <f>IF(OR(Scenarios!$C$6="",Scenarios!$G$12&lt;&gt;1),"",Inputs!$J23)</f>
        <v/>
      </c>
      <c r="K3" s="84" t="str">
        <f>IF(Scenarios!$C$7="", "", Inputs!$J23)</f>
        <v/>
      </c>
      <c r="L3" s="84" t="str">
        <f>IF(OR(Scenarios!$C$7="",Scenarios!$D$12&lt;&gt;1),"",Inputs!$J23)</f>
        <v/>
      </c>
      <c r="M3" s="84" t="str">
        <f>IF(OR(Scenarios!$C$7="",Scenarios!$E$12&lt;&gt;1),"",Inputs!$J23)</f>
        <v/>
      </c>
      <c r="N3" s="84" t="str">
        <f>IF(OR(Scenarios!$C$7="",Scenarios!$F$12&lt;&gt;1),"",Inputs!$J23)</f>
        <v/>
      </c>
      <c r="O3" s="84" t="str">
        <f>IF(OR(Scenarios!$C$7="",Scenarios!$G$12&lt;&gt;1),"",Inputs!$J23)</f>
        <v/>
      </c>
      <c r="P3" s="84" t="str">
        <f>IF(Scenarios!$C$8="", "", Inputs!$J23)</f>
        <v/>
      </c>
      <c r="Q3" s="84" t="str">
        <f>IF(OR(Scenarios!$C$8="",Scenarios!$D$12&lt;&gt;1),"",Inputs!$J23)</f>
        <v/>
      </c>
      <c r="R3" s="84" t="str">
        <f>IF(OR(Scenarios!$C$8="",Scenarios!$E$12&lt;&gt;1),"",Inputs!$J23)</f>
        <v/>
      </c>
      <c r="S3" s="84" t="str">
        <f>IF(OR(Scenarios!$C$8="",Scenarios!$F$12&lt;&gt;1),"",Inputs!$J23)</f>
        <v/>
      </c>
      <c r="T3" s="84" t="str">
        <f>IF(OR(Scenarios!$C$8="",Scenarios!$G$12&lt;&gt;1),"",Inputs!$J23)</f>
        <v/>
      </c>
      <c r="U3" s="84" t="str">
        <f>IF(Scenarios!$C$9="", "",Inputs!$J23)</f>
        <v/>
      </c>
      <c r="V3" s="84" t="str">
        <f>IF(OR(Scenarios!$C$9="",Scenarios!$D$12&lt;&gt;1),"",Inputs!$J23)</f>
        <v/>
      </c>
      <c r="W3" s="84" t="str">
        <f>IF(OR(Scenarios!$C$9="",Scenarios!$E$12&lt;&gt;1),"",Inputs!$J23)</f>
        <v/>
      </c>
      <c r="X3" s="84" t="str">
        <f>IF(OR(Scenarios!$C$9="",Scenarios!$F$12&lt;&gt;1),"",Inputs!$J23)</f>
        <v/>
      </c>
      <c r="Y3" s="84" t="str">
        <f>IF(OR(Scenarios!$C$9="",Scenarios!$G$12&lt;&gt;1),"",Inputs!$J23)</f>
        <v/>
      </c>
    </row>
    <row r="4" spans="1:25" x14ac:dyDescent="0.35">
      <c r="A4" s="84">
        <f>Inputs!$J24</f>
        <v>0</v>
      </c>
      <c r="B4" s="84" t="str">
        <f>IF(Scenarios!$D$12&lt;&gt;1, "", Inputs!$J24)</f>
        <v/>
      </c>
      <c r="C4" s="84" t="str">
        <f>IF(Scenarios!$E$12&lt;&gt;1, "", Inputs!$J24)</f>
        <v/>
      </c>
      <c r="D4" s="84" t="str">
        <f>IF(Scenarios!$F$12&lt;&gt;1, "", Inputs!$J24)</f>
        <v/>
      </c>
      <c r="E4" s="84" t="str">
        <f>IF(Scenarios!$G$12&lt;&gt;1, "", Inputs!$J24)</f>
        <v/>
      </c>
      <c r="F4" s="84" t="str">
        <f>IF(Scenarios!$C$6="", "", Inputs!$J24)</f>
        <v/>
      </c>
      <c r="G4" s="84" t="str">
        <f>IF(OR(Scenarios!$C$6="",Scenarios!$D$12&lt;&gt;1),"",Inputs!$J24)</f>
        <v/>
      </c>
      <c r="H4" s="84" t="str">
        <f>IF(OR(Scenarios!$C$6="",Scenarios!$E$12&lt;&gt;1),"",Inputs!$J24)</f>
        <v/>
      </c>
      <c r="I4" s="84" t="str">
        <f>IF(OR(Scenarios!$C$6="",Scenarios!$F$12&lt;&gt;1),"",Inputs!$J24)</f>
        <v/>
      </c>
      <c r="J4" s="84" t="str">
        <f>IF(OR(Scenarios!$C$6="",Scenarios!$G$12&lt;&gt;1),"",Inputs!$J24)</f>
        <v/>
      </c>
      <c r="K4" s="84" t="str">
        <f>IF(Scenarios!$C$7="", "", Inputs!$J24)</f>
        <v/>
      </c>
      <c r="L4" s="84" t="str">
        <f>IF(OR(Scenarios!$C$7="",Scenarios!$D$12&lt;&gt;1),"",Inputs!$J24)</f>
        <v/>
      </c>
      <c r="M4" s="84" t="str">
        <f>IF(OR(Scenarios!$C$7="",Scenarios!$E$12&lt;&gt;1),"",Inputs!$J24)</f>
        <v/>
      </c>
      <c r="N4" s="84" t="str">
        <f>IF(OR(Scenarios!$C$7="",Scenarios!$F$12&lt;&gt;1),"",Inputs!$J24)</f>
        <v/>
      </c>
      <c r="O4" s="84" t="str">
        <f>IF(OR(Scenarios!$C$7="",Scenarios!$G$12&lt;&gt;1),"",Inputs!$J24)</f>
        <v/>
      </c>
      <c r="P4" s="84" t="str">
        <f>IF(Scenarios!$C$8="", "", Inputs!$J24)</f>
        <v/>
      </c>
      <c r="Q4" s="84" t="str">
        <f>IF(OR(Scenarios!$C$8="",Scenarios!$D$12&lt;&gt;1),"",Inputs!$J24)</f>
        <v/>
      </c>
      <c r="R4" s="84" t="str">
        <f>IF(OR(Scenarios!$C$8="",Scenarios!$E$12&lt;&gt;1),"",Inputs!$J24)</f>
        <v/>
      </c>
      <c r="S4" s="84" t="str">
        <f>IF(OR(Scenarios!$C$8="",Scenarios!$F$12&lt;&gt;1),"",Inputs!$J24)</f>
        <v/>
      </c>
      <c r="T4" s="84" t="str">
        <f>IF(OR(Scenarios!$C$8="",Scenarios!$G$12&lt;&gt;1),"",Inputs!$J24)</f>
        <v/>
      </c>
      <c r="U4" s="84" t="str">
        <f>IF(Scenarios!$C$9="", "",Inputs!$J24)</f>
        <v/>
      </c>
      <c r="V4" s="84" t="str">
        <f>IF(OR(Scenarios!$C$9="",Scenarios!$D$12&lt;&gt;1),"",Inputs!$J24)</f>
        <v/>
      </c>
      <c r="W4" s="84" t="str">
        <f>IF(OR(Scenarios!$C$9="",Scenarios!$E$12&lt;&gt;1),"",Inputs!$J24)</f>
        <v/>
      </c>
      <c r="X4" s="84" t="str">
        <f>IF(OR(Scenarios!$C$9="",Scenarios!$F$12&lt;&gt;1),"",Inputs!$J24)</f>
        <v/>
      </c>
      <c r="Y4" s="84" t="str">
        <f>IF(OR(Scenarios!$C$9="",Scenarios!$G$12&lt;&gt;1),"",Inputs!$J24)</f>
        <v/>
      </c>
    </row>
    <row r="5" spans="1:25" x14ac:dyDescent="0.35">
      <c r="A5" s="84">
        <f>Inputs!$J25</f>
        <v>0</v>
      </c>
      <c r="B5" s="84" t="str">
        <f>IF(Scenarios!$D$12&lt;&gt;1, "", Inputs!$J25)</f>
        <v/>
      </c>
      <c r="C5" s="84" t="str">
        <f>IF(Scenarios!$E$12&lt;&gt;1, "", Inputs!$J25)</f>
        <v/>
      </c>
      <c r="D5" s="84" t="str">
        <f>IF(Scenarios!$F$12&lt;&gt;1, "", Inputs!$J25)</f>
        <v/>
      </c>
      <c r="E5" s="84" t="str">
        <f>IF(Scenarios!$G$12&lt;&gt;1, "", Inputs!$J25)</f>
        <v/>
      </c>
      <c r="F5" s="84" t="str">
        <f>IF(Scenarios!$C$6="", "", Inputs!$J25)</f>
        <v/>
      </c>
      <c r="G5" s="84" t="str">
        <f>IF(OR(Scenarios!$C$6="",Scenarios!$D$12&lt;&gt;1),"",Inputs!$J25)</f>
        <v/>
      </c>
      <c r="H5" s="84" t="str">
        <f>IF(OR(Scenarios!$C$6="",Scenarios!$E$12&lt;&gt;1),"",Inputs!$J25)</f>
        <v/>
      </c>
      <c r="I5" s="84" t="str">
        <f>IF(OR(Scenarios!$C$6="",Scenarios!$F$12&lt;&gt;1),"",Inputs!$J25)</f>
        <v/>
      </c>
      <c r="J5" s="84" t="str">
        <f>IF(OR(Scenarios!$C$6="",Scenarios!$G$12&lt;&gt;1),"",Inputs!$J25)</f>
        <v/>
      </c>
      <c r="K5" s="84" t="str">
        <f>IF(Scenarios!$C$7="", "", Inputs!$J25)</f>
        <v/>
      </c>
      <c r="L5" s="84" t="str">
        <f>IF(OR(Scenarios!$C$7="",Scenarios!$D$12&lt;&gt;1),"",Inputs!$J25)</f>
        <v/>
      </c>
      <c r="M5" s="84" t="str">
        <f>IF(OR(Scenarios!$C$7="",Scenarios!$E$12&lt;&gt;1),"",Inputs!$J25)</f>
        <v/>
      </c>
      <c r="N5" s="84" t="str">
        <f>IF(OR(Scenarios!$C$7="",Scenarios!$F$12&lt;&gt;1),"",Inputs!$J25)</f>
        <v/>
      </c>
      <c r="O5" s="84" t="str">
        <f>IF(OR(Scenarios!$C$7="",Scenarios!$G$12&lt;&gt;1),"",Inputs!$J25)</f>
        <v/>
      </c>
      <c r="P5" s="84" t="str">
        <f>IF(Scenarios!$C$8="", "", Inputs!$J25)</f>
        <v/>
      </c>
      <c r="Q5" s="84" t="str">
        <f>IF(OR(Scenarios!$C$8="",Scenarios!$D$12&lt;&gt;1),"",Inputs!$J25)</f>
        <v/>
      </c>
      <c r="R5" s="84" t="str">
        <f>IF(OR(Scenarios!$C$8="",Scenarios!$E$12&lt;&gt;1),"",Inputs!$J25)</f>
        <v/>
      </c>
      <c r="S5" s="84" t="str">
        <f>IF(OR(Scenarios!$C$8="",Scenarios!$F$12&lt;&gt;1),"",Inputs!$J25)</f>
        <v/>
      </c>
      <c r="T5" s="84" t="str">
        <f>IF(OR(Scenarios!$C$8="",Scenarios!$G$12&lt;&gt;1),"",Inputs!$J25)</f>
        <v/>
      </c>
      <c r="U5" s="84" t="str">
        <f>IF(Scenarios!$C$9="", "",Inputs!$J25)</f>
        <v/>
      </c>
      <c r="V5" s="84" t="str">
        <f>IF(OR(Scenarios!$C$9="",Scenarios!$D$12&lt;&gt;1),"",Inputs!$J25)</f>
        <v/>
      </c>
      <c r="W5" s="84" t="str">
        <f>IF(OR(Scenarios!$C$9="",Scenarios!$E$12&lt;&gt;1),"",Inputs!$J25)</f>
        <v/>
      </c>
      <c r="X5" s="84" t="str">
        <f>IF(OR(Scenarios!$C$9="",Scenarios!$F$12&lt;&gt;1),"",Inputs!$J25)</f>
        <v/>
      </c>
      <c r="Y5" s="84" t="str">
        <f>IF(OR(Scenarios!$C$9="",Scenarios!$G$12&lt;&gt;1),"",Inputs!$J25)</f>
        <v/>
      </c>
    </row>
    <row r="6" spans="1:25" x14ac:dyDescent="0.35">
      <c r="A6" s="84">
        <f>Inputs!$J26</f>
        <v>0</v>
      </c>
      <c r="B6" s="84" t="str">
        <f>IF(Scenarios!$D$12&lt;&gt;1, "", Inputs!$J26)</f>
        <v/>
      </c>
      <c r="C6" s="84" t="str">
        <f>IF(Scenarios!$E$12&lt;&gt;1, "", Inputs!$J26)</f>
        <v/>
      </c>
      <c r="D6" s="84" t="str">
        <f>IF(Scenarios!$F$12&lt;&gt;1, "", Inputs!$J26)</f>
        <v/>
      </c>
      <c r="E6" s="84" t="str">
        <f>IF(Scenarios!$G$12&lt;&gt;1, "", Inputs!$J26)</f>
        <v/>
      </c>
      <c r="F6" s="84" t="str">
        <f>IF(Scenarios!$C$6="", "", Inputs!$J26)</f>
        <v/>
      </c>
      <c r="G6" s="84" t="str">
        <f>IF(OR(Scenarios!$C$6="",Scenarios!$D$12&lt;&gt;1),"",Inputs!$J26)</f>
        <v/>
      </c>
      <c r="H6" s="84" t="str">
        <f>IF(OR(Scenarios!$C$6="",Scenarios!$E$12&lt;&gt;1),"",Inputs!$J26)</f>
        <v/>
      </c>
      <c r="I6" s="84" t="str">
        <f>IF(OR(Scenarios!$C$6="",Scenarios!$F$12&lt;&gt;1),"",Inputs!$J26)</f>
        <v/>
      </c>
      <c r="J6" s="84" t="str">
        <f>IF(OR(Scenarios!$C$6="",Scenarios!$G$12&lt;&gt;1),"",Inputs!$J26)</f>
        <v/>
      </c>
      <c r="K6" s="84" t="str">
        <f>IF(Scenarios!$C$7="", "", Inputs!$J26)</f>
        <v/>
      </c>
      <c r="L6" s="84" t="str">
        <f>IF(OR(Scenarios!$C$7="",Scenarios!$D$12&lt;&gt;1),"",Inputs!$J26)</f>
        <v/>
      </c>
      <c r="M6" s="84" t="str">
        <f>IF(OR(Scenarios!$C$7="",Scenarios!$E$12&lt;&gt;1),"",Inputs!$J26)</f>
        <v/>
      </c>
      <c r="N6" s="84" t="str">
        <f>IF(OR(Scenarios!$C$7="",Scenarios!$F$12&lt;&gt;1),"",Inputs!$J26)</f>
        <v/>
      </c>
      <c r="O6" s="84" t="str">
        <f>IF(OR(Scenarios!$C$7="",Scenarios!$G$12&lt;&gt;1),"",Inputs!$J26)</f>
        <v/>
      </c>
      <c r="P6" s="84" t="str">
        <f>IF(Scenarios!$C$8="", "", Inputs!$J26)</f>
        <v/>
      </c>
      <c r="Q6" s="84" t="str">
        <f>IF(OR(Scenarios!$C$8="",Scenarios!$D$12&lt;&gt;1),"",Inputs!$J26)</f>
        <v/>
      </c>
      <c r="R6" s="84" t="str">
        <f>IF(OR(Scenarios!$C$8="",Scenarios!$E$12&lt;&gt;1),"",Inputs!$J26)</f>
        <v/>
      </c>
      <c r="S6" s="84" t="str">
        <f>IF(OR(Scenarios!$C$8="",Scenarios!$F$12&lt;&gt;1),"",Inputs!$J26)</f>
        <v/>
      </c>
      <c r="T6" s="84" t="str">
        <f>IF(OR(Scenarios!$C$8="",Scenarios!$G$12&lt;&gt;1),"",Inputs!$J26)</f>
        <v/>
      </c>
      <c r="U6" s="84" t="str">
        <f>IF(Scenarios!$C$9="", "",Inputs!$J26)</f>
        <v/>
      </c>
      <c r="V6" s="84" t="str">
        <f>IF(OR(Scenarios!$C$9="",Scenarios!$D$12&lt;&gt;1),"",Inputs!$J26)</f>
        <v/>
      </c>
      <c r="W6" s="84" t="str">
        <f>IF(OR(Scenarios!$C$9="",Scenarios!$E$12&lt;&gt;1),"",Inputs!$J26)</f>
        <v/>
      </c>
      <c r="X6" s="84" t="str">
        <f>IF(OR(Scenarios!$C$9="",Scenarios!$F$12&lt;&gt;1),"",Inputs!$J26)</f>
        <v/>
      </c>
      <c r="Y6" s="84" t="str">
        <f>IF(OR(Scenarios!$C$9="",Scenarios!$G$12&lt;&gt;1),"",Inputs!$J26)</f>
        <v/>
      </c>
    </row>
    <row r="7" spans="1:25" x14ac:dyDescent="0.35">
      <c r="A7" s="84">
        <f>Inputs!$J27</f>
        <v>0</v>
      </c>
      <c r="B7" s="84" t="str">
        <f>IF(Scenarios!$D$12&lt;&gt;1, "", Inputs!$J27)</f>
        <v/>
      </c>
      <c r="C7" s="84" t="str">
        <f>IF(Scenarios!$E$12&lt;&gt;1, "", Inputs!$J27)</f>
        <v/>
      </c>
      <c r="D7" s="84" t="str">
        <f>IF(Scenarios!$F$12&lt;&gt;1, "", Inputs!$J27)</f>
        <v/>
      </c>
      <c r="E7" s="84" t="str">
        <f>IF(Scenarios!$G$12&lt;&gt;1, "", Inputs!$J27)</f>
        <v/>
      </c>
      <c r="F7" s="84" t="str">
        <f>IF(Scenarios!$C$6="", "", Inputs!$J27)</f>
        <v/>
      </c>
      <c r="G7" s="84" t="str">
        <f>IF(OR(Scenarios!$C$6="",Scenarios!$D$12&lt;&gt;1),"",Inputs!$J27)</f>
        <v/>
      </c>
      <c r="H7" s="84" t="str">
        <f>IF(OR(Scenarios!$C$6="",Scenarios!$E$12&lt;&gt;1),"",Inputs!$J27)</f>
        <v/>
      </c>
      <c r="I7" s="84" t="str">
        <f>IF(OR(Scenarios!$C$6="",Scenarios!$F$12&lt;&gt;1),"",Inputs!$J27)</f>
        <v/>
      </c>
      <c r="J7" s="84" t="str">
        <f>IF(OR(Scenarios!$C$6="",Scenarios!$G$12&lt;&gt;1),"",Inputs!$J27)</f>
        <v/>
      </c>
      <c r="K7" s="84" t="str">
        <f>IF(Scenarios!$C$7="", "", Inputs!$J27)</f>
        <v/>
      </c>
      <c r="L7" s="84" t="str">
        <f>IF(OR(Scenarios!$C$7="",Scenarios!$D$12&lt;&gt;1),"",Inputs!$J27)</f>
        <v/>
      </c>
      <c r="M7" s="84" t="str">
        <f>IF(OR(Scenarios!$C$7="",Scenarios!$E$12&lt;&gt;1),"",Inputs!$J27)</f>
        <v/>
      </c>
      <c r="N7" s="84" t="str">
        <f>IF(OR(Scenarios!$C$7="",Scenarios!$F$12&lt;&gt;1),"",Inputs!$J27)</f>
        <v/>
      </c>
      <c r="O7" s="84" t="str">
        <f>IF(OR(Scenarios!$C$7="",Scenarios!$G$12&lt;&gt;1),"",Inputs!$J27)</f>
        <v/>
      </c>
      <c r="P7" s="84" t="str">
        <f>IF(Scenarios!$C$8="", "", Inputs!$J27)</f>
        <v/>
      </c>
      <c r="Q7" s="84" t="str">
        <f>IF(OR(Scenarios!$C$8="",Scenarios!$D$12&lt;&gt;1),"",Inputs!$J27)</f>
        <v/>
      </c>
      <c r="R7" s="84" t="str">
        <f>IF(OR(Scenarios!$C$8="",Scenarios!$E$12&lt;&gt;1),"",Inputs!$J27)</f>
        <v/>
      </c>
      <c r="S7" s="84" t="str">
        <f>IF(OR(Scenarios!$C$8="",Scenarios!$F$12&lt;&gt;1),"",Inputs!$J27)</f>
        <v/>
      </c>
      <c r="T7" s="84" t="str">
        <f>IF(OR(Scenarios!$C$8="",Scenarios!$G$12&lt;&gt;1),"",Inputs!$J27)</f>
        <v/>
      </c>
      <c r="U7" s="84" t="str">
        <f>IF(Scenarios!$C$9="", "",Inputs!$J27)</f>
        <v/>
      </c>
      <c r="V7" s="84" t="str">
        <f>IF(OR(Scenarios!$C$9="",Scenarios!$D$12&lt;&gt;1),"",Inputs!$J27)</f>
        <v/>
      </c>
      <c r="W7" s="84" t="str">
        <f>IF(OR(Scenarios!$C$9="",Scenarios!$E$12&lt;&gt;1),"",Inputs!$J27)</f>
        <v/>
      </c>
      <c r="X7" s="84" t="str">
        <f>IF(OR(Scenarios!$C$9="",Scenarios!$F$12&lt;&gt;1),"",Inputs!$J27)</f>
        <v/>
      </c>
      <c r="Y7" s="84" t="str">
        <f>IF(OR(Scenarios!$C$9="",Scenarios!$G$12&lt;&gt;1),"",Inputs!$J27)</f>
        <v/>
      </c>
    </row>
    <row r="8" spans="1:25" x14ac:dyDescent="0.35">
      <c r="A8" s="84">
        <f>Inputs!$J28</f>
        <v>0</v>
      </c>
      <c r="B8" s="84" t="str">
        <f>IF(Scenarios!$D$12&lt;&gt;1, "", Inputs!$J28)</f>
        <v/>
      </c>
      <c r="C8" s="84" t="str">
        <f>IF(Scenarios!$E$12&lt;&gt;1, "", Inputs!$J28)</f>
        <v/>
      </c>
      <c r="D8" s="84" t="str">
        <f>IF(Scenarios!$F$12&lt;&gt;1, "", Inputs!$J28)</f>
        <v/>
      </c>
      <c r="E8" s="84" t="str">
        <f>IF(Scenarios!$G$12&lt;&gt;1, "", Inputs!$J28)</f>
        <v/>
      </c>
      <c r="F8" s="84" t="str">
        <f>IF(Scenarios!$C$6="", "", Inputs!$J28)</f>
        <v/>
      </c>
      <c r="G8" s="84" t="str">
        <f>IF(OR(Scenarios!$C$6="",Scenarios!$D$12&lt;&gt;1),"",Inputs!$J28)</f>
        <v/>
      </c>
      <c r="H8" s="84" t="str">
        <f>IF(OR(Scenarios!$C$6="",Scenarios!$E$12&lt;&gt;1),"",Inputs!$J28)</f>
        <v/>
      </c>
      <c r="I8" s="84" t="str">
        <f>IF(OR(Scenarios!$C$6="",Scenarios!$F$12&lt;&gt;1),"",Inputs!$J28)</f>
        <v/>
      </c>
      <c r="J8" s="84" t="str">
        <f>IF(OR(Scenarios!$C$6="",Scenarios!$G$12&lt;&gt;1),"",Inputs!$J28)</f>
        <v/>
      </c>
      <c r="K8" s="84" t="str">
        <f>IF(Scenarios!$C$7="", "", Inputs!$J28)</f>
        <v/>
      </c>
      <c r="L8" s="84" t="str">
        <f>IF(OR(Scenarios!$C$7="",Scenarios!$D$12&lt;&gt;1),"",Inputs!$J28)</f>
        <v/>
      </c>
      <c r="M8" s="84" t="str">
        <f>IF(OR(Scenarios!$C$7="",Scenarios!$E$12&lt;&gt;1),"",Inputs!$J28)</f>
        <v/>
      </c>
      <c r="N8" s="84" t="str">
        <f>IF(OR(Scenarios!$C$7="",Scenarios!$F$12&lt;&gt;1),"",Inputs!$J28)</f>
        <v/>
      </c>
      <c r="O8" s="84" t="str">
        <f>IF(OR(Scenarios!$C$7="",Scenarios!$G$12&lt;&gt;1),"",Inputs!$J28)</f>
        <v/>
      </c>
      <c r="P8" s="84" t="str">
        <f>IF(Scenarios!$C$8="", "", Inputs!$J28)</f>
        <v/>
      </c>
      <c r="Q8" s="84" t="str">
        <f>IF(OR(Scenarios!$C$8="",Scenarios!$D$12&lt;&gt;1),"",Inputs!$J28)</f>
        <v/>
      </c>
      <c r="R8" s="84" t="str">
        <f>IF(OR(Scenarios!$C$8="",Scenarios!$E$12&lt;&gt;1),"",Inputs!$J28)</f>
        <v/>
      </c>
      <c r="S8" s="84" t="str">
        <f>IF(OR(Scenarios!$C$8="",Scenarios!$F$12&lt;&gt;1),"",Inputs!$J28)</f>
        <v/>
      </c>
      <c r="T8" s="84" t="str">
        <f>IF(OR(Scenarios!$C$8="",Scenarios!$G$12&lt;&gt;1),"",Inputs!$J28)</f>
        <v/>
      </c>
      <c r="U8" s="84" t="str">
        <f>IF(Scenarios!$C$9="", "",Inputs!$J28)</f>
        <v/>
      </c>
      <c r="V8" s="84" t="str">
        <f>IF(OR(Scenarios!$C$9="",Scenarios!$D$12&lt;&gt;1),"",Inputs!$J28)</f>
        <v/>
      </c>
      <c r="W8" s="84" t="str">
        <f>IF(OR(Scenarios!$C$9="",Scenarios!$E$12&lt;&gt;1),"",Inputs!$J28)</f>
        <v/>
      </c>
      <c r="X8" s="84" t="str">
        <f>IF(OR(Scenarios!$C$9="",Scenarios!$F$12&lt;&gt;1),"",Inputs!$J28)</f>
        <v/>
      </c>
      <c r="Y8" s="84" t="str">
        <f>IF(OR(Scenarios!$C$9="",Scenarios!$G$12&lt;&gt;1),"",Inputs!$J28)</f>
        <v/>
      </c>
    </row>
    <row r="9" spans="1:25" x14ac:dyDescent="0.35">
      <c r="A9" s="84">
        <f>Inputs!$J29</f>
        <v>0</v>
      </c>
      <c r="B9" s="84" t="str">
        <f>IF(Scenarios!$D$12&lt;&gt;1, "", Inputs!$J29)</f>
        <v/>
      </c>
      <c r="C9" s="84" t="str">
        <f>IF(Scenarios!$E$12&lt;&gt;1, "", Inputs!$J29)</f>
        <v/>
      </c>
      <c r="D9" s="84" t="str">
        <f>IF(Scenarios!$F$12&lt;&gt;1, "", Inputs!$J29)</f>
        <v/>
      </c>
      <c r="E9" s="84" t="str">
        <f>IF(Scenarios!$G$12&lt;&gt;1, "", Inputs!$J29)</f>
        <v/>
      </c>
      <c r="F9" s="84" t="str">
        <f>IF(Scenarios!$C$6="", "", Inputs!$J29)</f>
        <v/>
      </c>
      <c r="G9" s="84" t="str">
        <f>IF(OR(Scenarios!$C$6="",Scenarios!$D$12&lt;&gt;1),"",Inputs!$J29)</f>
        <v/>
      </c>
      <c r="H9" s="84" t="str">
        <f>IF(OR(Scenarios!$C$6="",Scenarios!$E$12&lt;&gt;1),"",Inputs!$J29)</f>
        <v/>
      </c>
      <c r="I9" s="84" t="str">
        <f>IF(OR(Scenarios!$C$6="",Scenarios!$F$12&lt;&gt;1),"",Inputs!$J29)</f>
        <v/>
      </c>
      <c r="J9" s="84" t="str">
        <f>IF(OR(Scenarios!$C$6="",Scenarios!$G$12&lt;&gt;1),"",Inputs!$J29)</f>
        <v/>
      </c>
      <c r="K9" s="84" t="str">
        <f>IF(Scenarios!$C$7="", "", Inputs!$J29)</f>
        <v/>
      </c>
      <c r="L9" s="84" t="str">
        <f>IF(OR(Scenarios!$C$7="",Scenarios!$D$12&lt;&gt;1),"",Inputs!$J29)</f>
        <v/>
      </c>
      <c r="M9" s="84" t="str">
        <f>IF(OR(Scenarios!$C$7="",Scenarios!$E$12&lt;&gt;1),"",Inputs!$J29)</f>
        <v/>
      </c>
      <c r="N9" s="84" t="str">
        <f>IF(OR(Scenarios!$C$7="",Scenarios!$F$12&lt;&gt;1),"",Inputs!$J29)</f>
        <v/>
      </c>
      <c r="O9" s="84" t="str">
        <f>IF(OR(Scenarios!$C$7="",Scenarios!$G$12&lt;&gt;1),"",Inputs!$J29)</f>
        <v/>
      </c>
      <c r="P9" s="84" t="str">
        <f>IF(Scenarios!$C$8="", "", Inputs!$J29)</f>
        <v/>
      </c>
      <c r="Q9" s="84" t="str">
        <f>IF(OR(Scenarios!$C$8="",Scenarios!$D$12&lt;&gt;1),"",Inputs!$J29)</f>
        <v/>
      </c>
      <c r="R9" s="84" t="str">
        <f>IF(OR(Scenarios!$C$8="",Scenarios!$E$12&lt;&gt;1),"",Inputs!$J29)</f>
        <v/>
      </c>
      <c r="S9" s="84" t="str">
        <f>IF(OR(Scenarios!$C$8="",Scenarios!$F$12&lt;&gt;1),"",Inputs!$J29)</f>
        <v/>
      </c>
      <c r="T9" s="84" t="str">
        <f>IF(OR(Scenarios!$C$8="",Scenarios!$G$12&lt;&gt;1),"",Inputs!$J29)</f>
        <v/>
      </c>
      <c r="U9" s="84" t="str">
        <f>IF(Scenarios!$C$9="", "",Inputs!$J29)</f>
        <v/>
      </c>
      <c r="V9" s="84" t="str">
        <f>IF(OR(Scenarios!$C$9="",Scenarios!$D$12&lt;&gt;1),"",Inputs!$J29)</f>
        <v/>
      </c>
      <c r="W9" s="84" t="str">
        <f>IF(OR(Scenarios!$C$9="",Scenarios!$E$12&lt;&gt;1),"",Inputs!$J29)</f>
        <v/>
      </c>
      <c r="X9" s="84" t="str">
        <f>IF(OR(Scenarios!$C$9="",Scenarios!$F$12&lt;&gt;1),"",Inputs!$J29)</f>
        <v/>
      </c>
      <c r="Y9" s="84" t="str">
        <f>IF(OR(Scenarios!$C$9="",Scenarios!$G$12&lt;&gt;1),"",Inputs!$J29)</f>
        <v/>
      </c>
    </row>
    <row r="10" spans="1:25" x14ac:dyDescent="0.35">
      <c r="A10" s="84">
        <f>Inputs!$J30</f>
        <v>0</v>
      </c>
      <c r="B10" s="84" t="str">
        <f>IF(Scenarios!$D$12&lt;&gt;1, "", Inputs!$J30)</f>
        <v/>
      </c>
      <c r="C10" s="84" t="str">
        <f>IF(Scenarios!$E$12&lt;&gt;1, "", Inputs!$J30)</f>
        <v/>
      </c>
      <c r="D10" s="84" t="str">
        <f>IF(Scenarios!$F$12&lt;&gt;1, "", Inputs!$J30)</f>
        <v/>
      </c>
      <c r="E10" s="84" t="str">
        <f>IF(Scenarios!$G$12&lt;&gt;1, "", Inputs!$J30)</f>
        <v/>
      </c>
      <c r="F10" s="84" t="str">
        <f>IF(Scenarios!$C$6="", "", Inputs!$J30)</f>
        <v/>
      </c>
      <c r="G10" s="84" t="str">
        <f>IF(OR(Scenarios!$C$6="",Scenarios!$D$12&lt;&gt;1),"",Inputs!$J30)</f>
        <v/>
      </c>
      <c r="H10" s="84" t="str">
        <f>IF(OR(Scenarios!$C$6="",Scenarios!$E$12&lt;&gt;1),"",Inputs!$J30)</f>
        <v/>
      </c>
      <c r="I10" s="84" t="str">
        <f>IF(OR(Scenarios!$C$6="",Scenarios!$F$12&lt;&gt;1),"",Inputs!$J30)</f>
        <v/>
      </c>
      <c r="J10" s="84" t="str">
        <f>IF(OR(Scenarios!$C$6="",Scenarios!$G$12&lt;&gt;1),"",Inputs!$J30)</f>
        <v/>
      </c>
      <c r="K10" s="84" t="str">
        <f>IF(Scenarios!$C$7="", "", Inputs!$J30)</f>
        <v/>
      </c>
      <c r="L10" s="84" t="str">
        <f>IF(OR(Scenarios!$C$7="",Scenarios!$D$12&lt;&gt;1),"",Inputs!$J30)</f>
        <v/>
      </c>
      <c r="M10" s="84" t="str">
        <f>IF(OR(Scenarios!$C$7="",Scenarios!$E$12&lt;&gt;1),"",Inputs!$J30)</f>
        <v/>
      </c>
      <c r="N10" s="84" t="str">
        <f>IF(OR(Scenarios!$C$7="",Scenarios!$F$12&lt;&gt;1),"",Inputs!$J30)</f>
        <v/>
      </c>
      <c r="O10" s="84" t="str">
        <f>IF(OR(Scenarios!$C$7="",Scenarios!$G$12&lt;&gt;1),"",Inputs!$J30)</f>
        <v/>
      </c>
      <c r="P10" s="84" t="str">
        <f>IF(Scenarios!$C$8="", "", Inputs!$J30)</f>
        <v/>
      </c>
      <c r="Q10" s="84" t="str">
        <f>IF(OR(Scenarios!$C$8="",Scenarios!$D$12&lt;&gt;1),"",Inputs!$J30)</f>
        <v/>
      </c>
      <c r="R10" s="84" t="str">
        <f>IF(OR(Scenarios!$C$8="",Scenarios!$E$12&lt;&gt;1),"",Inputs!$J30)</f>
        <v/>
      </c>
      <c r="S10" s="84" t="str">
        <f>IF(OR(Scenarios!$C$8="",Scenarios!$F$12&lt;&gt;1),"",Inputs!$J30)</f>
        <v/>
      </c>
      <c r="T10" s="84" t="str">
        <f>IF(OR(Scenarios!$C$8="",Scenarios!$G$12&lt;&gt;1),"",Inputs!$J30)</f>
        <v/>
      </c>
      <c r="U10" s="84" t="str">
        <f>IF(Scenarios!$C$9="", "",Inputs!$J30)</f>
        <v/>
      </c>
      <c r="V10" s="84" t="str">
        <f>IF(OR(Scenarios!$C$9="",Scenarios!$D$12&lt;&gt;1),"",Inputs!$J30)</f>
        <v/>
      </c>
      <c r="W10" s="84" t="str">
        <f>IF(OR(Scenarios!$C$9="",Scenarios!$E$12&lt;&gt;1),"",Inputs!$J30)</f>
        <v/>
      </c>
      <c r="X10" s="84" t="str">
        <f>IF(OR(Scenarios!$C$9="",Scenarios!$F$12&lt;&gt;1),"",Inputs!$J30)</f>
        <v/>
      </c>
      <c r="Y10" s="84" t="str">
        <f>IF(OR(Scenarios!$C$9="",Scenarios!$G$12&lt;&gt;1),"",Inputs!$J30)</f>
        <v/>
      </c>
    </row>
    <row r="11" spans="1:25" x14ac:dyDescent="0.35">
      <c r="A11" s="84">
        <f>Inputs!$J31</f>
        <v>0</v>
      </c>
      <c r="B11" s="84" t="str">
        <f>IF(Scenarios!$D$12&lt;&gt;1, "", Inputs!$J31)</f>
        <v/>
      </c>
      <c r="C11" s="84" t="str">
        <f>IF(Scenarios!$E$12&lt;&gt;1, "", Inputs!$J31)</f>
        <v/>
      </c>
      <c r="D11" s="84" t="str">
        <f>IF(Scenarios!$F$12&lt;&gt;1, "", Inputs!$J31)</f>
        <v/>
      </c>
      <c r="E11" s="84" t="str">
        <f>IF(Scenarios!$G$12&lt;&gt;1, "", Inputs!$J31)</f>
        <v/>
      </c>
      <c r="F11" s="84" t="str">
        <f>IF(Scenarios!$C$6="", "", Inputs!$J31)</f>
        <v/>
      </c>
      <c r="G11" s="84" t="str">
        <f>IF(OR(Scenarios!$C$6="",Scenarios!$D$12&lt;&gt;1),"",Inputs!$J31)</f>
        <v/>
      </c>
      <c r="H11" s="84" t="str">
        <f>IF(OR(Scenarios!$C$6="",Scenarios!$E$12&lt;&gt;1),"",Inputs!$J31)</f>
        <v/>
      </c>
      <c r="I11" s="84" t="str">
        <f>IF(OR(Scenarios!$C$6="",Scenarios!$F$12&lt;&gt;1),"",Inputs!$J31)</f>
        <v/>
      </c>
      <c r="J11" s="84" t="str">
        <f>IF(OR(Scenarios!$C$6="",Scenarios!$G$12&lt;&gt;1),"",Inputs!$J31)</f>
        <v/>
      </c>
      <c r="K11" s="84" t="str">
        <f>IF(Scenarios!$C$7="", "", Inputs!$J31)</f>
        <v/>
      </c>
      <c r="L11" s="84" t="str">
        <f>IF(OR(Scenarios!$C$7="",Scenarios!$D$12&lt;&gt;1),"",Inputs!$J31)</f>
        <v/>
      </c>
      <c r="M11" s="84" t="str">
        <f>IF(OR(Scenarios!$C$7="",Scenarios!$E$12&lt;&gt;1),"",Inputs!$J31)</f>
        <v/>
      </c>
      <c r="N11" s="84" t="str">
        <f>IF(OR(Scenarios!$C$7="",Scenarios!$F$12&lt;&gt;1),"",Inputs!$J31)</f>
        <v/>
      </c>
      <c r="O11" s="84" t="str">
        <f>IF(OR(Scenarios!$C$7="",Scenarios!$G$12&lt;&gt;1),"",Inputs!$J31)</f>
        <v/>
      </c>
      <c r="P11" s="84" t="str">
        <f>IF(Scenarios!$C$8="", "", Inputs!$J31)</f>
        <v/>
      </c>
      <c r="Q11" s="84" t="str">
        <f>IF(OR(Scenarios!$C$8="",Scenarios!$D$12&lt;&gt;1),"",Inputs!$J31)</f>
        <v/>
      </c>
      <c r="R11" s="84" t="str">
        <f>IF(OR(Scenarios!$C$8="",Scenarios!$E$12&lt;&gt;1),"",Inputs!$J31)</f>
        <v/>
      </c>
      <c r="S11" s="84" t="str">
        <f>IF(OR(Scenarios!$C$8="",Scenarios!$F$12&lt;&gt;1),"",Inputs!$J31)</f>
        <v/>
      </c>
      <c r="T11" s="84" t="str">
        <f>IF(OR(Scenarios!$C$8="",Scenarios!$G$12&lt;&gt;1),"",Inputs!$J31)</f>
        <v/>
      </c>
      <c r="U11" s="84" t="str">
        <f>IF(Scenarios!$C$9="", "",Inputs!$J31)</f>
        <v/>
      </c>
      <c r="V11" s="84" t="str">
        <f>IF(OR(Scenarios!$C$9="",Scenarios!$D$12&lt;&gt;1),"",Inputs!$J31)</f>
        <v/>
      </c>
      <c r="W11" s="84" t="str">
        <f>IF(OR(Scenarios!$C$9="",Scenarios!$E$12&lt;&gt;1),"",Inputs!$J31)</f>
        <v/>
      </c>
      <c r="X11" s="84" t="str">
        <f>IF(OR(Scenarios!$C$9="",Scenarios!$F$12&lt;&gt;1),"",Inputs!$J31)</f>
        <v/>
      </c>
      <c r="Y11" s="84" t="str">
        <f>IF(OR(Scenarios!$C$9="",Scenarios!$G$12&lt;&gt;1),"",Inputs!$J31)</f>
        <v/>
      </c>
    </row>
    <row r="12" spans="1:25" x14ac:dyDescent="0.35">
      <c r="A12" s="84">
        <f>Inputs!$J32</f>
        <v>0</v>
      </c>
      <c r="B12" s="84" t="str">
        <f>IF(Scenarios!$D$12&lt;&gt;1, "", Inputs!$J32)</f>
        <v/>
      </c>
      <c r="C12" s="84" t="str">
        <f>IF(Scenarios!$E$12&lt;&gt;1, "", Inputs!$J32)</f>
        <v/>
      </c>
      <c r="D12" s="84" t="str">
        <f>IF(Scenarios!$F$12&lt;&gt;1, "", Inputs!$J32)</f>
        <v/>
      </c>
      <c r="E12" s="84" t="str">
        <f>IF(Scenarios!$G$12&lt;&gt;1, "", Inputs!$J32)</f>
        <v/>
      </c>
      <c r="F12" s="84" t="str">
        <f>IF(Scenarios!$C$6="", "", Inputs!$J32)</f>
        <v/>
      </c>
      <c r="G12" s="84" t="str">
        <f>IF(OR(Scenarios!$C$6="",Scenarios!$D$12&lt;&gt;1),"",Inputs!$J32)</f>
        <v/>
      </c>
      <c r="H12" s="84" t="str">
        <f>IF(OR(Scenarios!$C$6="",Scenarios!$E$12&lt;&gt;1),"",Inputs!$J32)</f>
        <v/>
      </c>
      <c r="I12" s="84" t="str">
        <f>IF(OR(Scenarios!$C$6="",Scenarios!$F$12&lt;&gt;1),"",Inputs!$J32)</f>
        <v/>
      </c>
      <c r="J12" s="84" t="str">
        <f>IF(OR(Scenarios!$C$6="",Scenarios!$G$12&lt;&gt;1),"",Inputs!$J32)</f>
        <v/>
      </c>
      <c r="K12" s="84" t="str">
        <f>IF(Scenarios!$C$7="", "", Inputs!$J32)</f>
        <v/>
      </c>
      <c r="L12" s="84" t="str">
        <f>IF(OR(Scenarios!$C$7="",Scenarios!$D$12&lt;&gt;1),"",Inputs!$J32)</f>
        <v/>
      </c>
      <c r="M12" s="84" t="str">
        <f>IF(OR(Scenarios!$C$7="",Scenarios!$E$12&lt;&gt;1),"",Inputs!$J32)</f>
        <v/>
      </c>
      <c r="N12" s="84" t="str">
        <f>IF(OR(Scenarios!$C$7="",Scenarios!$F$12&lt;&gt;1),"",Inputs!$J32)</f>
        <v/>
      </c>
      <c r="O12" s="84" t="str">
        <f>IF(OR(Scenarios!$C$7="",Scenarios!$G$12&lt;&gt;1),"",Inputs!$J32)</f>
        <v/>
      </c>
      <c r="P12" s="84" t="str">
        <f>IF(Scenarios!$C$8="", "", Inputs!$J32)</f>
        <v/>
      </c>
      <c r="Q12" s="84" t="str">
        <f>IF(OR(Scenarios!$C$8="",Scenarios!$D$12&lt;&gt;1),"",Inputs!$J32)</f>
        <v/>
      </c>
      <c r="R12" s="84" t="str">
        <f>IF(OR(Scenarios!$C$8="",Scenarios!$E$12&lt;&gt;1),"",Inputs!$J32)</f>
        <v/>
      </c>
      <c r="S12" s="84" t="str">
        <f>IF(OR(Scenarios!$C$8="",Scenarios!$F$12&lt;&gt;1),"",Inputs!$J32)</f>
        <v/>
      </c>
      <c r="T12" s="84" t="str">
        <f>IF(OR(Scenarios!$C$8="",Scenarios!$G$12&lt;&gt;1),"",Inputs!$J32)</f>
        <v/>
      </c>
      <c r="U12" s="84" t="str">
        <f>IF(Scenarios!$C$9="", "",Inputs!$J32)</f>
        <v/>
      </c>
      <c r="V12" s="84" t="str">
        <f>IF(OR(Scenarios!$C$9="",Scenarios!$D$12&lt;&gt;1),"",Inputs!$J32)</f>
        <v/>
      </c>
      <c r="W12" s="84" t="str">
        <f>IF(OR(Scenarios!$C$9="",Scenarios!$E$12&lt;&gt;1),"",Inputs!$J32)</f>
        <v/>
      </c>
      <c r="X12" s="84" t="str">
        <f>IF(OR(Scenarios!$C$9="",Scenarios!$F$12&lt;&gt;1),"",Inputs!$J32)</f>
        <v/>
      </c>
      <c r="Y12" s="84" t="str">
        <f>IF(OR(Scenarios!$C$9="",Scenarios!$G$12&lt;&gt;1),"",Inputs!$J32)</f>
        <v/>
      </c>
    </row>
    <row r="13" spans="1:25" x14ac:dyDescent="0.35">
      <c r="A13" s="84">
        <f>Inputs!$J33</f>
        <v>0</v>
      </c>
      <c r="B13" s="84" t="str">
        <f>IF(Scenarios!$D$12&lt;&gt;1, "", Inputs!$J33)</f>
        <v/>
      </c>
      <c r="C13" s="84" t="str">
        <f>IF(Scenarios!$E$12&lt;&gt;1, "", Inputs!$J33)</f>
        <v/>
      </c>
      <c r="D13" s="84" t="str">
        <f>IF(Scenarios!$F$12&lt;&gt;1, "", Inputs!$J33)</f>
        <v/>
      </c>
      <c r="E13" s="84" t="str">
        <f>IF(Scenarios!$G$12&lt;&gt;1, "", Inputs!$J33)</f>
        <v/>
      </c>
      <c r="F13" s="84" t="str">
        <f>IF(Scenarios!$C$6="", "", Inputs!$J33)</f>
        <v/>
      </c>
      <c r="G13" s="84" t="str">
        <f>IF(OR(Scenarios!$C$6="",Scenarios!$D$12&lt;&gt;1),"",Inputs!$J33)</f>
        <v/>
      </c>
      <c r="H13" s="84" t="str">
        <f>IF(OR(Scenarios!$C$6="",Scenarios!$E$12&lt;&gt;1),"",Inputs!$J33)</f>
        <v/>
      </c>
      <c r="I13" s="84" t="str">
        <f>IF(OR(Scenarios!$C$6="",Scenarios!$F$12&lt;&gt;1),"",Inputs!$J33)</f>
        <v/>
      </c>
      <c r="J13" s="84" t="str">
        <f>IF(OR(Scenarios!$C$6="",Scenarios!$G$12&lt;&gt;1),"",Inputs!$J33)</f>
        <v/>
      </c>
      <c r="K13" s="84" t="str">
        <f>IF(Scenarios!$C$7="", "", Inputs!$J33)</f>
        <v/>
      </c>
      <c r="L13" s="84" t="str">
        <f>IF(OR(Scenarios!$C$7="",Scenarios!$D$12&lt;&gt;1),"",Inputs!$J33)</f>
        <v/>
      </c>
      <c r="M13" s="84" t="str">
        <f>IF(OR(Scenarios!$C$7="",Scenarios!$E$12&lt;&gt;1),"",Inputs!$J33)</f>
        <v/>
      </c>
      <c r="N13" s="84" t="str">
        <f>IF(OR(Scenarios!$C$7="",Scenarios!$F$12&lt;&gt;1),"",Inputs!$J33)</f>
        <v/>
      </c>
      <c r="O13" s="84" t="str">
        <f>IF(OR(Scenarios!$C$7="",Scenarios!$G$12&lt;&gt;1),"",Inputs!$J33)</f>
        <v/>
      </c>
      <c r="P13" s="84" t="str">
        <f>IF(Scenarios!$C$8="", "", Inputs!$J33)</f>
        <v/>
      </c>
      <c r="Q13" s="84" t="str">
        <f>IF(OR(Scenarios!$C$8="",Scenarios!$D$12&lt;&gt;1),"",Inputs!$J33)</f>
        <v/>
      </c>
      <c r="R13" s="84" t="str">
        <f>IF(OR(Scenarios!$C$8="",Scenarios!$E$12&lt;&gt;1),"",Inputs!$J33)</f>
        <v/>
      </c>
      <c r="S13" s="84" t="str">
        <f>IF(OR(Scenarios!$C$8="",Scenarios!$F$12&lt;&gt;1),"",Inputs!$J33)</f>
        <v/>
      </c>
      <c r="T13" s="84" t="str">
        <f>IF(OR(Scenarios!$C$8="",Scenarios!$G$12&lt;&gt;1),"",Inputs!$J33)</f>
        <v/>
      </c>
      <c r="U13" s="84" t="str">
        <f>IF(Scenarios!$C$9="", "",Inputs!$J33)</f>
        <v/>
      </c>
      <c r="V13" s="84" t="str">
        <f>IF(OR(Scenarios!$C$9="",Scenarios!$D$12&lt;&gt;1),"",Inputs!$J33)</f>
        <v/>
      </c>
      <c r="W13" s="84" t="str">
        <f>IF(OR(Scenarios!$C$9="",Scenarios!$E$12&lt;&gt;1),"",Inputs!$J33)</f>
        <v/>
      </c>
      <c r="X13" s="84" t="str">
        <f>IF(OR(Scenarios!$C$9="",Scenarios!$F$12&lt;&gt;1),"",Inputs!$J33)</f>
        <v/>
      </c>
      <c r="Y13" s="84" t="str">
        <f>IF(OR(Scenarios!$C$9="",Scenarios!$G$12&lt;&gt;1),"",Inputs!$J33)</f>
        <v/>
      </c>
    </row>
    <row r="14" spans="1:25" x14ac:dyDescent="0.35">
      <c r="A14" s="84" t="e">
        <f>Scenarios!$C$5*Scenarios!C14</f>
        <v>#DIV/0!</v>
      </c>
      <c r="B14" s="84" t="str">
        <f>IF(Scenarios!$D$12&lt;&gt;1, "", Scenarios!$C$5*Scenarios!D14)</f>
        <v/>
      </c>
      <c r="C14" s="84" t="str">
        <f>IF(Scenarios!$E$12&lt;&gt;1, "", Scenarios!$C$5*Scenarios!E14)</f>
        <v/>
      </c>
      <c r="D14" s="84" t="str">
        <f>IF(Scenarios!$F$12&lt;&gt;1, "", Scenarios!$C$5*Scenarios!F14)</f>
        <v/>
      </c>
      <c r="E14" s="84" t="str">
        <f>IF(Scenarios!$G$12&lt;&gt;1, "", Scenarios!$C$5*Scenarios!G14)</f>
        <v/>
      </c>
      <c r="F14" s="84" t="str">
        <f>IF(Scenarios!$C$6="", "", Scenarios!$C$6*Scenarios!C14)</f>
        <v/>
      </c>
      <c r="G14" s="84" t="str">
        <f>IF(OR(Scenarios!$C$6="",Scenarios!$D$12&lt;&gt;1), "", Scenarios!$C$6*Scenarios!D14)</f>
        <v/>
      </c>
      <c r="H14" s="84" t="str">
        <f>IF(OR(Scenarios!$C$6="",Scenarios!$E$12&lt;&gt;1), "", Scenarios!$C$6*Scenarios!E14)</f>
        <v/>
      </c>
      <c r="I14" s="84" t="str">
        <f>IF(OR(Scenarios!$C$6="",Scenarios!$F$12&lt;&gt;1),"",Scenarios!$C$6*Scenarios!F14)</f>
        <v/>
      </c>
      <c r="J14" s="84" t="str">
        <f>IF(OR(Scenarios!$C$6="",Scenarios!$G$12&lt;&gt;1),"",Scenarios!$C$6*Scenarios!G14)</f>
        <v/>
      </c>
      <c r="K14" s="84" t="str">
        <f>IF(Scenarios!$C$7="", "", Scenarios!$C$7*Scenarios!C14)</f>
        <v/>
      </c>
      <c r="L14" s="84" t="str">
        <f>IF(OR(Scenarios!$C$7="",Scenarios!$D$12&lt;&gt;1),"",Scenarios!$C$7*Scenarios!D14)</f>
        <v/>
      </c>
      <c r="M14" s="84" t="str">
        <f>IF(OR(Scenarios!$C$7="",Scenarios!$E$12&lt;&gt;1),"",Scenarios!$C$7*Scenarios!E14)</f>
        <v/>
      </c>
      <c r="N14" s="84" t="str">
        <f>IF(OR(Scenarios!$C$7="",Scenarios!$F$12&lt;&gt;1),"",Scenarios!$C$7*Scenarios!F14)</f>
        <v/>
      </c>
      <c r="O14" s="84" t="str">
        <f>IF(OR(Scenarios!$C$7="",Scenarios!$G$12&lt;&gt;1),"",Scenarios!$C$7*Scenarios!G14)</f>
        <v/>
      </c>
      <c r="P14" s="84" t="str">
        <f>IF(Scenarios!$C$8="", "", Scenarios!$C$8*Scenarios!C14)</f>
        <v/>
      </c>
      <c r="Q14" s="84" t="str">
        <f>IF(OR(Scenarios!$C$8="",Scenarios!$D$12&lt;&gt;1),"",Scenarios!$C$8*Scenarios!D14)</f>
        <v/>
      </c>
      <c r="R14" s="84" t="str">
        <f>IF(OR(Scenarios!$C$8="",Scenarios!$E$12&lt;&gt;1),"",Scenarios!$C$8*Scenarios!E14)</f>
        <v/>
      </c>
      <c r="S14" s="84" t="str">
        <f>IF(OR(Scenarios!$C$8="",Scenarios!$F$12&lt;&gt;1),"",Scenarios!$C$8*Scenarios!F14)</f>
        <v/>
      </c>
      <c r="T14" s="84" t="str">
        <f>IF(OR(Scenarios!$C$8="",Scenarios!$G$12&lt;&gt;1),"",Scenarios!$C$8*Scenarios!G14)</f>
        <v/>
      </c>
      <c r="U14" s="84" t="str">
        <f>IF(Scenarios!$C$9="", "", Scenarios!$C$9*Scenarios!C14)</f>
        <v/>
      </c>
      <c r="V14" s="84" t="str">
        <f>IF(OR(Scenarios!$C$9="",Scenarios!$D$12&lt;&gt;1),"",Scenarios!$C$9*Scenarios!D14)</f>
        <v/>
      </c>
      <c r="W14" s="84" t="str">
        <f>IF(OR(Scenarios!$C$9="",Scenarios!$E$12&lt;&gt;1),"",Scenarios!$C$9*Scenarios!E14)</f>
        <v/>
      </c>
      <c r="X14" s="84" t="str">
        <f>IF(OR(Scenarios!$C$9="",Scenarios!$F$12&lt;&gt;1),"",Scenarios!$C$9*Scenarios!F14)</f>
        <v/>
      </c>
      <c r="Y14" s="84" t="str">
        <f>IF(OR(Scenarios!$C$9="",Scenarios!$G$12&lt;&gt;1),"",Scenarios!$C$9*Scenarios!G14)</f>
        <v/>
      </c>
    </row>
    <row r="15" spans="1:25" x14ac:dyDescent="0.35">
      <c r="A15" s="84" t="e">
        <f>Scenarios!$C$5*Scenarios!C15</f>
        <v>#DIV/0!</v>
      </c>
      <c r="B15" s="84" t="str">
        <f>IF(Scenarios!$D$12&lt;&gt;1, "", Scenarios!$C$5*Scenarios!D15)</f>
        <v/>
      </c>
      <c r="C15" s="84" t="str">
        <f>IF(Scenarios!$E$12&lt;&gt;1, "", Scenarios!$C$5*Scenarios!E15)</f>
        <v/>
      </c>
      <c r="D15" s="84" t="str">
        <f>IF(Scenarios!$F$12&lt;&gt;1, "", Scenarios!$C$5*Scenarios!F15)</f>
        <v/>
      </c>
      <c r="E15" s="84" t="str">
        <f>IF(Scenarios!$G$12&lt;&gt;1, "", Scenarios!$C$5*Scenarios!G15)</f>
        <v/>
      </c>
      <c r="F15" s="84" t="str">
        <f>IF(Scenarios!$C$6="", "", Scenarios!$C$6*Scenarios!C15)</f>
        <v/>
      </c>
      <c r="G15" s="84" t="str">
        <f>IF(OR(Scenarios!$C$6="",Scenarios!$D$12&lt;&gt;1), "", Scenarios!$C$6*Scenarios!D15)</f>
        <v/>
      </c>
      <c r="H15" s="84" t="str">
        <f>IF(OR(Scenarios!$C$6="",Scenarios!$E$12&lt;&gt;1), "", Scenarios!$C$6*Scenarios!E15)</f>
        <v/>
      </c>
      <c r="I15" s="84" t="str">
        <f>IF(OR(Scenarios!$C$6="",Scenarios!$F$12&lt;&gt;1),"",Scenarios!$C$6*Scenarios!F15)</f>
        <v/>
      </c>
      <c r="J15" s="84" t="str">
        <f>IF(OR(Scenarios!$C$6="",Scenarios!$G$12&lt;&gt;1),"",Scenarios!$C$6*Scenarios!G15)</f>
        <v/>
      </c>
      <c r="K15" s="84" t="str">
        <f>IF(Scenarios!$C$7="", "", Scenarios!$C$7*Scenarios!C15)</f>
        <v/>
      </c>
      <c r="L15" s="84" t="str">
        <f>IF(OR(Scenarios!$C$7="",Scenarios!$D$12&lt;&gt;1),"",Scenarios!$C$7*Scenarios!D15)</f>
        <v/>
      </c>
      <c r="M15" s="84" t="str">
        <f>IF(OR(Scenarios!$C$7="",Scenarios!$E$12&lt;&gt;1),"",Scenarios!$C$7*Scenarios!E15)</f>
        <v/>
      </c>
      <c r="N15" s="84" t="str">
        <f>IF(OR(Scenarios!$C$7="",Scenarios!$F$12&lt;&gt;1),"",Scenarios!$C$7*Scenarios!F15)</f>
        <v/>
      </c>
      <c r="O15" s="84" t="str">
        <f>IF(OR(Scenarios!$C$7="",Scenarios!$G$12&lt;&gt;1),"",Scenarios!$C$7*Scenarios!G15)</f>
        <v/>
      </c>
      <c r="P15" s="84" t="str">
        <f>IF(Scenarios!$C$8="", "", Scenarios!$C$8*Scenarios!C15)</f>
        <v/>
      </c>
      <c r="Q15" s="84" t="str">
        <f>IF(OR(Scenarios!$C$8="",Scenarios!$D$12&lt;&gt;1),"",Scenarios!$C$8*Scenarios!D15)</f>
        <v/>
      </c>
      <c r="R15" s="84" t="str">
        <f>IF(OR(Scenarios!$C$8="",Scenarios!$E$12&lt;&gt;1),"",Scenarios!$C$8*Scenarios!E15)</f>
        <v/>
      </c>
      <c r="S15" s="84" t="str">
        <f>IF(OR(Scenarios!$C$8="",Scenarios!$F$12&lt;&gt;1),"",Scenarios!$C$8*Scenarios!F15)</f>
        <v/>
      </c>
      <c r="T15" s="84" t="str">
        <f>IF(OR(Scenarios!$C$8="",Scenarios!$G$12&lt;&gt;1),"",Scenarios!$C$8*Scenarios!G15)</f>
        <v/>
      </c>
      <c r="U15" s="84" t="str">
        <f>IF(Scenarios!$C$9="", "", Scenarios!$C$9*Scenarios!C15)</f>
        <v/>
      </c>
      <c r="V15" s="84" t="str">
        <f>IF(OR(Scenarios!$C$9="",Scenarios!$D$12&lt;&gt;1),"",Scenarios!$C$9*Scenarios!D15)</f>
        <v/>
      </c>
      <c r="W15" s="84" t="str">
        <f>IF(OR(Scenarios!$C$9="",Scenarios!$E$12&lt;&gt;1),"",Scenarios!$C$9*Scenarios!E15)</f>
        <v/>
      </c>
      <c r="X15" s="84" t="str">
        <f>IF(OR(Scenarios!$C$9="",Scenarios!$F$12&lt;&gt;1),"",Scenarios!$C$9*Scenarios!F15)</f>
        <v/>
      </c>
      <c r="Y15" s="84" t="str">
        <f>IF(OR(Scenarios!$C$9="",Scenarios!$G$12&lt;&gt;1),"",Scenarios!$C$9*Scenarios!G15)</f>
        <v/>
      </c>
    </row>
    <row r="16" spans="1:25" x14ac:dyDescent="0.35">
      <c r="A16" s="84" t="e">
        <f>Scenarios!$C$5*Scenarios!C16</f>
        <v>#DIV/0!</v>
      </c>
      <c r="B16" s="84" t="str">
        <f>IF(Scenarios!$D$12&lt;&gt;1, "", Scenarios!$C$5*Scenarios!D16)</f>
        <v/>
      </c>
      <c r="C16" s="84" t="str">
        <f>IF(Scenarios!$E$12&lt;&gt;1, "", Scenarios!$C$5*Scenarios!E16)</f>
        <v/>
      </c>
      <c r="D16" s="84" t="str">
        <f>IF(Scenarios!$F$12&lt;&gt;1, "", Scenarios!$C$5*Scenarios!F16)</f>
        <v/>
      </c>
      <c r="E16" s="84" t="str">
        <f>IF(Scenarios!$G$12&lt;&gt;1, "", Scenarios!$C$5*Scenarios!G16)</f>
        <v/>
      </c>
      <c r="F16" s="84" t="str">
        <f>IF(Scenarios!$C$6="", "", Scenarios!$C$6*Scenarios!C16)</f>
        <v/>
      </c>
      <c r="G16" s="84" t="str">
        <f>IF(OR(Scenarios!$C$6="",Scenarios!$D$12&lt;&gt;1), "", Scenarios!$C$6*Scenarios!D16)</f>
        <v/>
      </c>
      <c r="H16" s="84" t="str">
        <f>IF(OR(Scenarios!$C$6="",Scenarios!$E$12&lt;&gt;1), "", Scenarios!$C$6*Scenarios!E16)</f>
        <v/>
      </c>
      <c r="I16" s="84" t="str">
        <f>IF(OR(Scenarios!$C$6="",Scenarios!$F$12&lt;&gt;1),"",Scenarios!$C$6*Scenarios!F16)</f>
        <v/>
      </c>
      <c r="J16" s="84" t="str">
        <f>IF(OR(Scenarios!$C$6="",Scenarios!$G$12&lt;&gt;1),"",Scenarios!$C$6*Scenarios!G16)</f>
        <v/>
      </c>
      <c r="K16" s="84" t="str">
        <f>IF(Scenarios!$C$7="", "", Scenarios!$C$7*Scenarios!C16)</f>
        <v/>
      </c>
      <c r="L16" s="84" t="str">
        <f>IF(OR(Scenarios!$C$7="",Scenarios!$D$12&lt;&gt;1),"",Scenarios!$C$7*Scenarios!D16)</f>
        <v/>
      </c>
      <c r="M16" s="84" t="str">
        <f>IF(OR(Scenarios!$C$7="",Scenarios!$E$12&lt;&gt;1),"",Scenarios!$C$7*Scenarios!E16)</f>
        <v/>
      </c>
      <c r="N16" s="84" t="str">
        <f>IF(OR(Scenarios!$C$7="",Scenarios!$F$12&lt;&gt;1),"",Scenarios!$C$7*Scenarios!F16)</f>
        <v/>
      </c>
      <c r="O16" s="84" t="str">
        <f>IF(OR(Scenarios!$C$7="",Scenarios!$G$12&lt;&gt;1),"",Scenarios!$C$7*Scenarios!G16)</f>
        <v/>
      </c>
      <c r="P16" s="84" t="str">
        <f>IF(Scenarios!$C$8="", "", Scenarios!$C$8*Scenarios!C16)</f>
        <v/>
      </c>
      <c r="Q16" s="84" t="str">
        <f>IF(OR(Scenarios!$C$8="",Scenarios!$D$12&lt;&gt;1),"",Scenarios!$C$8*Scenarios!D16)</f>
        <v/>
      </c>
      <c r="R16" s="84" t="str">
        <f>IF(OR(Scenarios!$C$8="",Scenarios!$E$12&lt;&gt;1),"",Scenarios!$C$8*Scenarios!E16)</f>
        <v/>
      </c>
      <c r="S16" s="84" t="str">
        <f>IF(OR(Scenarios!$C$8="",Scenarios!$F$12&lt;&gt;1),"",Scenarios!$C$8*Scenarios!F16)</f>
        <v/>
      </c>
      <c r="T16" s="84" t="str">
        <f>IF(OR(Scenarios!$C$8="",Scenarios!$G$12&lt;&gt;1),"",Scenarios!$C$8*Scenarios!G16)</f>
        <v/>
      </c>
      <c r="U16" s="84" t="str">
        <f>IF(Scenarios!$C$9="", "", Scenarios!$C$9*Scenarios!C16)</f>
        <v/>
      </c>
      <c r="V16" s="84" t="str">
        <f>IF(OR(Scenarios!$C$9="",Scenarios!$D$12&lt;&gt;1),"",Scenarios!$C$9*Scenarios!D16)</f>
        <v/>
      </c>
      <c r="W16" s="84" t="str">
        <f>IF(OR(Scenarios!$C$9="",Scenarios!$E$12&lt;&gt;1),"",Scenarios!$C$9*Scenarios!E16)</f>
        <v/>
      </c>
      <c r="X16" s="84" t="str">
        <f>IF(OR(Scenarios!$C$9="",Scenarios!$F$12&lt;&gt;1),"",Scenarios!$C$9*Scenarios!F16)</f>
        <v/>
      </c>
      <c r="Y16" s="84" t="str">
        <f>IF(OR(Scenarios!$C$9="",Scenarios!$G$12&lt;&gt;1),"",Scenarios!$C$9*Scenarios!G16)</f>
        <v/>
      </c>
    </row>
    <row r="17" spans="1:25" x14ac:dyDescent="0.35">
      <c r="A17" s="84" t="e">
        <f>Scenarios!$C$5*Scenarios!C17</f>
        <v>#DIV/0!</v>
      </c>
      <c r="B17" s="84" t="str">
        <f>IF(Scenarios!$D$12&lt;&gt;1, "", Scenarios!$C$5*Scenarios!D17)</f>
        <v/>
      </c>
      <c r="C17" s="84" t="str">
        <f>IF(Scenarios!$E$12&lt;&gt;1, "", Scenarios!$C$5*Scenarios!E17)</f>
        <v/>
      </c>
      <c r="D17" s="84" t="str">
        <f>IF(Scenarios!$F$12&lt;&gt;1, "", Scenarios!$C$5*Scenarios!F17)</f>
        <v/>
      </c>
      <c r="E17" s="84" t="str">
        <f>IF(Scenarios!$G$12&lt;&gt;1, "", Scenarios!$C$5*Scenarios!G17)</f>
        <v/>
      </c>
      <c r="F17" s="84" t="str">
        <f>IF(Scenarios!$C$6="", "", Scenarios!$C$6*Scenarios!C17)</f>
        <v/>
      </c>
      <c r="G17" s="84" t="str">
        <f>IF(OR(Scenarios!$C$6="",Scenarios!$D$12&lt;&gt;1), "", Scenarios!$C$6*Scenarios!D17)</f>
        <v/>
      </c>
      <c r="H17" s="84" t="str">
        <f>IF(OR(Scenarios!$C$6="",Scenarios!$E$12&lt;&gt;1), "", Scenarios!$C$6*Scenarios!E17)</f>
        <v/>
      </c>
      <c r="I17" s="84" t="str">
        <f>IF(OR(Scenarios!$C$6="",Scenarios!$F$12&lt;&gt;1),"",Scenarios!$C$6*Scenarios!F17)</f>
        <v/>
      </c>
      <c r="J17" s="84" t="str">
        <f>IF(OR(Scenarios!$C$6="",Scenarios!$G$12&lt;&gt;1),"",Scenarios!$C$6*Scenarios!G17)</f>
        <v/>
      </c>
      <c r="K17" s="84" t="str">
        <f>IF(Scenarios!$C$7="", "", Scenarios!$C$7*Scenarios!C17)</f>
        <v/>
      </c>
      <c r="L17" s="84" t="str">
        <f>IF(OR(Scenarios!$C$7="",Scenarios!$D$12&lt;&gt;1),"",Scenarios!$C$7*Scenarios!D17)</f>
        <v/>
      </c>
      <c r="M17" s="84" t="str">
        <f>IF(OR(Scenarios!$C$7="",Scenarios!$E$12&lt;&gt;1),"",Scenarios!$C$7*Scenarios!E17)</f>
        <v/>
      </c>
      <c r="N17" s="84" t="str">
        <f>IF(OR(Scenarios!$C$7="",Scenarios!$F$12&lt;&gt;1),"",Scenarios!$C$7*Scenarios!F17)</f>
        <v/>
      </c>
      <c r="O17" s="84" t="str">
        <f>IF(OR(Scenarios!$C$7="",Scenarios!$G$12&lt;&gt;1),"",Scenarios!$C$7*Scenarios!G17)</f>
        <v/>
      </c>
      <c r="P17" s="84" t="str">
        <f>IF(Scenarios!$C$8="", "", Scenarios!$C$8*Scenarios!C17)</f>
        <v/>
      </c>
      <c r="Q17" s="84" t="str">
        <f>IF(OR(Scenarios!$C$8="",Scenarios!$D$12&lt;&gt;1),"",Scenarios!$C$8*Scenarios!D17)</f>
        <v/>
      </c>
      <c r="R17" s="84" t="str">
        <f>IF(OR(Scenarios!$C$8="",Scenarios!$E$12&lt;&gt;1),"",Scenarios!$C$8*Scenarios!E17)</f>
        <v/>
      </c>
      <c r="S17" s="84" t="str">
        <f>IF(OR(Scenarios!$C$8="",Scenarios!$F$12&lt;&gt;1),"",Scenarios!$C$8*Scenarios!F17)</f>
        <v/>
      </c>
      <c r="T17" s="84" t="str">
        <f>IF(OR(Scenarios!$C$8="",Scenarios!$G$12&lt;&gt;1),"",Scenarios!$C$8*Scenarios!G17)</f>
        <v/>
      </c>
      <c r="U17" s="84" t="str">
        <f>IF(Scenarios!$C$9="", "", Scenarios!$C$9*Scenarios!C17)</f>
        <v/>
      </c>
      <c r="V17" s="84" t="str">
        <f>IF(OR(Scenarios!$C$9="",Scenarios!$D$12&lt;&gt;1),"",Scenarios!$C$9*Scenarios!D17)</f>
        <v/>
      </c>
      <c r="W17" s="84" t="str">
        <f>IF(OR(Scenarios!$C$9="",Scenarios!$E$12&lt;&gt;1),"",Scenarios!$C$9*Scenarios!E17)</f>
        <v/>
      </c>
      <c r="X17" s="84" t="str">
        <f>IF(OR(Scenarios!$C$9="",Scenarios!$F$12&lt;&gt;1),"",Scenarios!$C$9*Scenarios!F17)</f>
        <v/>
      </c>
      <c r="Y17" s="84" t="str">
        <f>IF(OR(Scenarios!$C$9="",Scenarios!$G$12&lt;&gt;1),"",Scenarios!$C$9*Scenarios!G17)</f>
        <v/>
      </c>
    </row>
    <row r="18" spans="1:25" x14ac:dyDescent="0.35">
      <c r="A18" s="84" t="e">
        <f>Scenarios!$C$5*Scenarios!C18</f>
        <v>#DIV/0!</v>
      </c>
      <c r="B18" s="84" t="str">
        <f>IF(Scenarios!$D$12&lt;&gt;1, "", Scenarios!$C$5*Scenarios!D18)</f>
        <v/>
      </c>
      <c r="C18" s="84" t="str">
        <f>IF(Scenarios!$E$12&lt;&gt;1, "", Scenarios!$C$5*Scenarios!E18)</f>
        <v/>
      </c>
      <c r="D18" s="84" t="str">
        <f>IF(Scenarios!$F$12&lt;&gt;1, "", Scenarios!$C$5*Scenarios!F18)</f>
        <v/>
      </c>
      <c r="E18" s="84" t="str">
        <f>IF(Scenarios!$G$12&lt;&gt;1, "", Scenarios!$C$5*Scenarios!G18)</f>
        <v/>
      </c>
      <c r="F18" s="84" t="str">
        <f>IF(Scenarios!$C$6="", "", Scenarios!$C$6*Scenarios!C18)</f>
        <v/>
      </c>
      <c r="G18" s="84" t="str">
        <f>IF(OR(Scenarios!$C$6="",Scenarios!$D$12&lt;&gt;1), "", Scenarios!$C$6*Scenarios!D18)</f>
        <v/>
      </c>
      <c r="H18" s="84" t="str">
        <f>IF(OR(Scenarios!$C$6="",Scenarios!$E$12&lt;&gt;1), "", Scenarios!$C$6*Scenarios!E18)</f>
        <v/>
      </c>
      <c r="I18" s="84" t="str">
        <f>IF(OR(Scenarios!$C$6="",Scenarios!$F$12&lt;&gt;1),"",Scenarios!$C$6*Scenarios!F18)</f>
        <v/>
      </c>
      <c r="J18" s="84" t="str">
        <f>IF(OR(Scenarios!$C$6="",Scenarios!$G$12&lt;&gt;1),"",Scenarios!$C$6*Scenarios!G18)</f>
        <v/>
      </c>
      <c r="K18" s="84" t="str">
        <f>IF(Scenarios!$C$7="", "", Scenarios!$C$7*Scenarios!C18)</f>
        <v/>
      </c>
      <c r="L18" s="84" t="str">
        <f>IF(OR(Scenarios!$C$7="",Scenarios!$D$12&lt;&gt;1),"",Scenarios!$C$7*Scenarios!D18)</f>
        <v/>
      </c>
      <c r="M18" s="84" t="str">
        <f>IF(OR(Scenarios!$C$7="",Scenarios!$E$12&lt;&gt;1),"",Scenarios!$C$7*Scenarios!E18)</f>
        <v/>
      </c>
      <c r="N18" s="84" t="str">
        <f>IF(OR(Scenarios!$C$7="",Scenarios!$F$12&lt;&gt;1),"",Scenarios!$C$7*Scenarios!F18)</f>
        <v/>
      </c>
      <c r="O18" s="84" t="str">
        <f>IF(OR(Scenarios!$C$7="",Scenarios!$G$12&lt;&gt;1),"",Scenarios!$C$7*Scenarios!G18)</f>
        <v/>
      </c>
      <c r="P18" s="84" t="str">
        <f>IF(Scenarios!$C$8="", "", Scenarios!$C$8*Scenarios!C18)</f>
        <v/>
      </c>
      <c r="Q18" s="84" t="str">
        <f>IF(OR(Scenarios!$C$8="",Scenarios!$D$12&lt;&gt;1),"",Scenarios!$C$8*Scenarios!D18)</f>
        <v/>
      </c>
      <c r="R18" s="84" t="str">
        <f>IF(OR(Scenarios!$C$8="",Scenarios!$E$12&lt;&gt;1),"",Scenarios!$C$8*Scenarios!E18)</f>
        <v/>
      </c>
      <c r="S18" s="84" t="str">
        <f>IF(OR(Scenarios!$C$8="",Scenarios!$F$12&lt;&gt;1),"",Scenarios!$C$8*Scenarios!F18)</f>
        <v/>
      </c>
      <c r="T18" s="84" t="str">
        <f>IF(OR(Scenarios!$C$8="",Scenarios!$G$12&lt;&gt;1),"",Scenarios!$C$8*Scenarios!G18)</f>
        <v/>
      </c>
      <c r="U18" s="84" t="str">
        <f>IF(Scenarios!$C$9="", "", Scenarios!$C$9*Scenarios!C18)</f>
        <v/>
      </c>
      <c r="V18" s="84" t="str">
        <f>IF(OR(Scenarios!$C$9="",Scenarios!$D$12&lt;&gt;1),"",Scenarios!$C$9*Scenarios!D18)</f>
        <v/>
      </c>
      <c r="W18" s="84" t="str">
        <f>IF(OR(Scenarios!$C$9="",Scenarios!$E$12&lt;&gt;1),"",Scenarios!$C$9*Scenarios!E18)</f>
        <v/>
      </c>
      <c r="X18" s="84" t="str">
        <f>IF(OR(Scenarios!$C$9="",Scenarios!$F$12&lt;&gt;1),"",Scenarios!$C$9*Scenarios!F18)</f>
        <v/>
      </c>
      <c r="Y18" s="84" t="str">
        <f>IF(OR(Scenarios!$C$9="",Scenarios!$G$12&lt;&gt;1),"",Scenarios!$C$9*Scenarios!G18)</f>
        <v/>
      </c>
    </row>
    <row r="19" spans="1:25" x14ac:dyDescent="0.35">
      <c r="A19" s="84" t="e">
        <f>Scenarios!$C$5*Scenarios!C19</f>
        <v>#DIV/0!</v>
      </c>
      <c r="B19" s="84" t="str">
        <f>IF(Scenarios!$D$12&lt;&gt;1, "", Scenarios!$C$5*Scenarios!D19)</f>
        <v/>
      </c>
      <c r="C19" s="84" t="str">
        <f>IF(Scenarios!$E$12&lt;&gt;1, "", Scenarios!$C$5*Scenarios!E19)</f>
        <v/>
      </c>
      <c r="D19" s="84" t="str">
        <f>IF(Scenarios!$F$12&lt;&gt;1, "", Scenarios!$C$5*Scenarios!F19)</f>
        <v/>
      </c>
      <c r="E19" s="84" t="str">
        <f>IF(Scenarios!$G$12&lt;&gt;1, "", Scenarios!$C$5*Scenarios!G19)</f>
        <v/>
      </c>
      <c r="F19" s="84" t="str">
        <f>IF(Scenarios!$C$6="", "", Scenarios!$C$6*Scenarios!C19)</f>
        <v/>
      </c>
      <c r="G19" s="84" t="str">
        <f>IF(OR(Scenarios!$C$6="",Scenarios!$D$12&lt;&gt;1), "", Scenarios!$C$6*Scenarios!D19)</f>
        <v/>
      </c>
      <c r="H19" s="84" t="str">
        <f>IF(OR(Scenarios!$C$6="",Scenarios!$E$12&lt;&gt;1), "", Scenarios!$C$6*Scenarios!E19)</f>
        <v/>
      </c>
      <c r="I19" s="84" t="str">
        <f>IF(OR(Scenarios!$C$6="",Scenarios!$F$12&lt;&gt;1),"",Scenarios!$C$6*Scenarios!F19)</f>
        <v/>
      </c>
      <c r="J19" s="84" t="str">
        <f>IF(OR(Scenarios!$C$6="",Scenarios!$G$12&lt;&gt;1),"",Scenarios!$C$6*Scenarios!G19)</f>
        <v/>
      </c>
      <c r="K19" s="84" t="str">
        <f>IF(Scenarios!$C$7="", "", Scenarios!$C$7*Scenarios!C19)</f>
        <v/>
      </c>
      <c r="L19" s="84" t="str">
        <f>IF(OR(Scenarios!$C$7="",Scenarios!$D$12&lt;&gt;1),"",Scenarios!$C$7*Scenarios!D19)</f>
        <v/>
      </c>
      <c r="M19" s="84" t="str">
        <f>IF(OR(Scenarios!$C$7="",Scenarios!$E$12&lt;&gt;1),"",Scenarios!$C$7*Scenarios!E19)</f>
        <v/>
      </c>
      <c r="N19" s="84" t="str">
        <f>IF(OR(Scenarios!$C$7="",Scenarios!$F$12&lt;&gt;1),"",Scenarios!$C$7*Scenarios!F19)</f>
        <v/>
      </c>
      <c r="O19" s="84" t="str">
        <f>IF(OR(Scenarios!$C$7="",Scenarios!$G$12&lt;&gt;1),"",Scenarios!$C$7*Scenarios!G19)</f>
        <v/>
      </c>
      <c r="P19" s="84" t="str">
        <f>IF(Scenarios!$C$8="", "", Scenarios!$C$8*Scenarios!C19)</f>
        <v/>
      </c>
      <c r="Q19" s="84" t="str">
        <f>IF(OR(Scenarios!$C$8="",Scenarios!$D$12&lt;&gt;1),"",Scenarios!$C$8*Scenarios!D19)</f>
        <v/>
      </c>
      <c r="R19" s="84" t="str">
        <f>IF(OR(Scenarios!$C$8="",Scenarios!$E$12&lt;&gt;1),"",Scenarios!$C$8*Scenarios!E19)</f>
        <v/>
      </c>
      <c r="S19" s="84" t="str">
        <f>IF(OR(Scenarios!$C$8="",Scenarios!$F$12&lt;&gt;1),"",Scenarios!$C$8*Scenarios!F19)</f>
        <v/>
      </c>
      <c r="T19" s="84" t="str">
        <f>IF(OR(Scenarios!$C$8="",Scenarios!$G$12&lt;&gt;1),"",Scenarios!$C$8*Scenarios!G19)</f>
        <v/>
      </c>
      <c r="U19" s="84" t="str">
        <f>IF(Scenarios!$C$9="", "", Scenarios!$C$9*Scenarios!C19)</f>
        <v/>
      </c>
      <c r="V19" s="84" t="str">
        <f>IF(OR(Scenarios!$C$9="",Scenarios!$D$12&lt;&gt;1),"",Scenarios!$C$9*Scenarios!D19)</f>
        <v/>
      </c>
      <c r="W19" s="84" t="str">
        <f>IF(OR(Scenarios!$C$9="",Scenarios!$E$12&lt;&gt;1),"",Scenarios!$C$9*Scenarios!E19)</f>
        <v/>
      </c>
      <c r="X19" s="84" t="str">
        <f>IF(OR(Scenarios!$C$9="",Scenarios!$F$12&lt;&gt;1),"",Scenarios!$C$9*Scenarios!F19)</f>
        <v/>
      </c>
      <c r="Y19" s="84" t="str">
        <f>IF(OR(Scenarios!$C$9="",Scenarios!$G$12&lt;&gt;1),"",Scenarios!$C$9*Scenarios!G19)</f>
        <v/>
      </c>
    </row>
    <row r="20" spans="1:25" x14ac:dyDescent="0.35">
      <c r="A20" s="84" t="e">
        <f>Scenarios!$C$5*Scenarios!C20</f>
        <v>#DIV/0!</v>
      </c>
      <c r="B20" s="84" t="str">
        <f>IF(Scenarios!$D$12&lt;&gt;1, "", Scenarios!$C$5*Scenarios!D20)</f>
        <v/>
      </c>
      <c r="C20" s="84" t="str">
        <f>IF(Scenarios!$E$12&lt;&gt;1, "", Scenarios!$C$5*Scenarios!E20)</f>
        <v/>
      </c>
      <c r="D20" s="84" t="str">
        <f>IF(Scenarios!$F$12&lt;&gt;1, "", Scenarios!$C$5*Scenarios!F20)</f>
        <v/>
      </c>
      <c r="E20" s="84" t="str">
        <f>IF(Scenarios!$G$12&lt;&gt;1, "", Scenarios!$C$5*Scenarios!G20)</f>
        <v/>
      </c>
      <c r="F20" s="84" t="str">
        <f>IF(Scenarios!$C$6="", "", Scenarios!$C$6*Scenarios!C20)</f>
        <v/>
      </c>
      <c r="G20" s="84" t="str">
        <f>IF(OR(Scenarios!$C$6="",Scenarios!$D$12&lt;&gt;1), "", Scenarios!$C$6*Scenarios!D20)</f>
        <v/>
      </c>
      <c r="H20" s="84" t="str">
        <f>IF(OR(Scenarios!$C$6="",Scenarios!$E$12&lt;&gt;1), "", Scenarios!$C$6*Scenarios!E20)</f>
        <v/>
      </c>
      <c r="I20" s="84" t="str">
        <f>IF(OR(Scenarios!$C$6="",Scenarios!$F$12&lt;&gt;1),"",Scenarios!$C$6*Scenarios!F20)</f>
        <v/>
      </c>
      <c r="J20" s="84" t="str">
        <f>IF(OR(Scenarios!$C$6="",Scenarios!$G$12&lt;&gt;1),"",Scenarios!$C$6*Scenarios!G20)</f>
        <v/>
      </c>
      <c r="K20" s="84" t="str">
        <f>IF(Scenarios!$C$7="", "", Scenarios!$C$7*Scenarios!C20)</f>
        <v/>
      </c>
      <c r="L20" s="84" t="str">
        <f>IF(OR(Scenarios!$C$7="",Scenarios!$D$12&lt;&gt;1),"",Scenarios!$C$7*Scenarios!D20)</f>
        <v/>
      </c>
      <c r="M20" s="84" t="str">
        <f>IF(OR(Scenarios!$C$7="",Scenarios!$E$12&lt;&gt;1),"",Scenarios!$C$7*Scenarios!E20)</f>
        <v/>
      </c>
      <c r="N20" s="84" t="str">
        <f>IF(OR(Scenarios!$C$7="",Scenarios!$F$12&lt;&gt;1),"",Scenarios!$C$7*Scenarios!F20)</f>
        <v/>
      </c>
      <c r="O20" s="84" t="str">
        <f>IF(OR(Scenarios!$C$7="",Scenarios!$G$12&lt;&gt;1),"",Scenarios!$C$7*Scenarios!G20)</f>
        <v/>
      </c>
      <c r="P20" s="84" t="str">
        <f>IF(Scenarios!$C$8="", "", Scenarios!$C$8*Scenarios!C20)</f>
        <v/>
      </c>
      <c r="Q20" s="84" t="str">
        <f>IF(OR(Scenarios!$C$8="",Scenarios!$D$12&lt;&gt;1),"",Scenarios!$C$8*Scenarios!D20)</f>
        <v/>
      </c>
      <c r="R20" s="84" t="str">
        <f>IF(OR(Scenarios!$C$8="",Scenarios!$E$12&lt;&gt;1),"",Scenarios!$C$8*Scenarios!E20)</f>
        <v/>
      </c>
      <c r="S20" s="84" t="str">
        <f>IF(OR(Scenarios!$C$8="",Scenarios!$F$12&lt;&gt;1),"",Scenarios!$C$8*Scenarios!F20)</f>
        <v/>
      </c>
      <c r="T20" s="84" t="str">
        <f>IF(OR(Scenarios!$C$8="",Scenarios!$G$12&lt;&gt;1),"",Scenarios!$C$8*Scenarios!G20)</f>
        <v/>
      </c>
      <c r="U20" s="84" t="str">
        <f>IF(Scenarios!$C$9="", "", Scenarios!$C$9*Scenarios!C20)</f>
        <v/>
      </c>
      <c r="V20" s="84" t="str">
        <f>IF(OR(Scenarios!$C$9="",Scenarios!$D$12&lt;&gt;1),"",Scenarios!$C$9*Scenarios!D20)</f>
        <v/>
      </c>
      <c r="W20" s="84" t="str">
        <f>IF(OR(Scenarios!$C$9="",Scenarios!$E$12&lt;&gt;1),"",Scenarios!$C$9*Scenarios!E20)</f>
        <v/>
      </c>
      <c r="X20" s="84" t="str">
        <f>IF(OR(Scenarios!$C$9="",Scenarios!$F$12&lt;&gt;1),"",Scenarios!$C$9*Scenarios!F20)</f>
        <v/>
      </c>
      <c r="Y20" s="84" t="str">
        <f>IF(OR(Scenarios!$C$9="",Scenarios!$G$12&lt;&gt;1),"",Scenarios!$C$9*Scenarios!G20)</f>
        <v/>
      </c>
    </row>
    <row r="21" spans="1:25" x14ac:dyDescent="0.35">
      <c r="A21" s="84" t="e">
        <f>Scenarios!$C$5*Scenarios!C21</f>
        <v>#DIV/0!</v>
      </c>
      <c r="B21" s="84" t="str">
        <f>IF(Scenarios!$D$12&lt;&gt;1, "", Scenarios!$C$5*Scenarios!D21)</f>
        <v/>
      </c>
      <c r="C21" s="84" t="str">
        <f>IF(Scenarios!$E$12&lt;&gt;1, "", Scenarios!$C$5*Scenarios!E21)</f>
        <v/>
      </c>
      <c r="D21" s="84" t="str">
        <f>IF(Scenarios!$F$12&lt;&gt;1, "", Scenarios!$C$5*Scenarios!F21)</f>
        <v/>
      </c>
      <c r="E21" s="84" t="str">
        <f>IF(Scenarios!$G$12&lt;&gt;1, "", Scenarios!$C$5*Scenarios!G21)</f>
        <v/>
      </c>
      <c r="F21" s="84" t="str">
        <f>IF(Scenarios!$C$6="", "", Scenarios!$C$6*Scenarios!C21)</f>
        <v/>
      </c>
      <c r="G21" s="84" t="str">
        <f>IF(OR(Scenarios!$C$6="",Scenarios!$D$12&lt;&gt;1), "", Scenarios!$C$6*Scenarios!D21)</f>
        <v/>
      </c>
      <c r="H21" s="84" t="str">
        <f>IF(OR(Scenarios!$C$6="",Scenarios!$E$12&lt;&gt;1), "", Scenarios!$C$6*Scenarios!E21)</f>
        <v/>
      </c>
      <c r="I21" s="84" t="str">
        <f>IF(OR(Scenarios!$C$6="",Scenarios!$F$12&lt;&gt;1),"",Scenarios!$C$6*Scenarios!F21)</f>
        <v/>
      </c>
      <c r="J21" s="84" t="str">
        <f>IF(OR(Scenarios!$C$6="",Scenarios!$G$12&lt;&gt;1),"",Scenarios!$C$6*Scenarios!G21)</f>
        <v/>
      </c>
      <c r="K21" s="84" t="str">
        <f>IF(Scenarios!$C$7="", "", Scenarios!$C$7*Scenarios!C21)</f>
        <v/>
      </c>
      <c r="L21" s="84" t="str">
        <f>IF(OR(Scenarios!$C$7="",Scenarios!$D$12&lt;&gt;1),"",Scenarios!$C$7*Scenarios!D21)</f>
        <v/>
      </c>
      <c r="M21" s="84" t="str">
        <f>IF(OR(Scenarios!$C$7="",Scenarios!$E$12&lt;&gt;1),"",Scenarios!$C$7*Scenarios!E21)</f>
        <v/>
      </c>
      <c r="N21" s="84" t="str">
        <f>IF(OR(Scenarios!$C$7="",Scenarios!$F$12&lt;&gt;1),"",Scenarios!$C$7*Scenarios!F21)</f>
        <v/>
      </c>
      <c r="O21" s="84" t="str">
        <f>IF(OR(Scenarios!$C$7="",Scenarios!$G$12&lt;&gt;1),"",Scenarios!$C$7*Scenarios!G21)</f>
        <v/>
      </c>
      <c r="P21" s="84" t="str">
        <f>IF(Scenarios!$C$8="", "", Scenarios!$C$8*Scenarios!C21)</f>
        <v/>
      </c>
      <c r="Q21" s="84" t="str">
        <f>IF(OR(Scenarios!$C$8="",Scenarios!$D$12&lt;&gt;1),"",Scenarios!$C$8*Scenarios!D21)</f>
        <v/>
      </c>
      <c r="R21" s="84" t="str">
        <f>IF(OR(Scenarios!$C$8="",Scenarios!$E$12&lt;&gt;1),"",Scenarios!$C$8*Scenarios!E21)</f>
        <v/>
      </c>
      <c r="S21" s="84" t="str">
        <f>IF(OR(Scenarios!$C$8="",Scenarios!$F$12&lt;&gt;1),"",Scenarios!$C$8*Scenarios!F21)</f>
        <v/>
      </c>
      <c r="T21" s="84" t="str">
        <f>IF(OR(Scenarios!$C$8="",Scenarios!$G$12&lt;&gt;1),"",Scenarios!$C$8*Scenarios!G21)</f>
        <v/>
      </c>
      <c r="U21" s="84" t="str">
        <f>IF(Scenarios!$C$9="", "", Scenarios!$C$9*Scenarios!C21)</f>
        <v/>
      </c>
      <c r="V21" s="84" t="str">
        <f>IF(OR(Scenarios!$C$9="",Scenarios!$D$12&lt;&gt;1),"",Scenarios!$C$9*Scenarios!D21)</f>
        <v/>
      </c>
      <c r="W21" s="84" t="str">
        <f>IF(OR(Scenarios!$C$9="",Scenarios!$E$12&lt;&gt;1),"",Scenarios!$C$9*Scenarios!E21)</f>
        <v/>
      </c>
      <c r="X21" s="84" t="str">
        <f>IF(OR(Scenarios!$C$9="",Scenarios!$F$12&lt;&gt;1),"",Scenarios!$C$9*Scenarios!F21)</f>
        <v/>
      </c>
      <c r="Y21" s="84" t="str">
        <f>IF(OR(Scenarios!$C$9="",Scenarios!$G$12&lt;&gt;1),"",Scenarios!$C$9*Scenarios!G21)</f>
        <v/>
      </c>
    </row>
    <row r="22" spans="1:25" x14ac:dyDescent="0.35">
      <c r="A22" s="84" t="e">
        <f>Scenarios!$C$5*Scenarios!C22</f>
        <v>#DIV/0!</v>
      </c>
      <c r="B22" s="84" t="str">
        <f>IF(Scenarios!$D$12&lt;&gt;1, "", Scenarios!$C$5*Scenarios!D22)</f>
        <v/>
      </c>
      <c r="C22" s="84" t="str">
        <f>IF(Scenarios!$E$12&lt;&gt;1, "", Scenarios!$C$5*Scenarios!E22)</f>
        <v/>
      </c>
      <c r="D22" s="84" t="str">
        <f>IF(Scenarios!$F$12&lt;&gt;1, "", Scenarios!$C$5*Scenarios!F22)</f>
        <v/>
      </c>
      <c r="E22" s="84" t="str">
        <f>IF(Scenarios!$G$12&lt;&gt;1, "", Scenarios!$C$5*Scenarios!G22)</f>
        <v/>
      </c>
      <c r="F22" s="84" t="str">
        <f>IF(Scenarios!$C$6="", "", Scenarios!$C$6*Scenarios!C22)</f>
        <v/>
      </c>
      <c r="G22" s="84" t="str">
        <f>IF(OR(Scenarios!$C$6="",Scenarios!$D$12&lt;&gt;1), "", Scenarios!$C$6*Scenarios!D22)</f>
        <v/>
      </c>
      <c r="H22" s="84" t="str">
        <f>IF(OR(Scenarios!$C$6="",Scenarios!$E$12&lt;&gt;1), "", Scenarios!$C$6*Scenarios!E22)</f>
        <v/>
      </c>
      <c r="I22" s="84" t="str">
        <f>IF(OR(Scenarios!$C$6="",Scenarios!$F$12&lt;&gt;1),"",Scenarios!$C$6*Scenarios!F22)</f>
        <v/>
      </c>
      <c r="J22" s="84" t="str">
        <f>IF(OR(Scenarios!$C$6="",Scenarios!$G$12&lt;&gt;1),"",Scenarios!$C$6*Scenarios!G22)</f>
        <v/>
      </c>
      <c r="K22" s="84" t="str">
        <f>IF(Scenarios!$C$7="", "", Scenarios!$C$7*Scenarios!C22)</f>
        <v/>
      </c>
      <c r="L22" s="84" t="str">
        <f>IF(OR(Scenarios!$C$7="",Scenarios!$D$12&lt;&gt;1),"",Scenarios!$C$7*Scenarios!D22)</f>
        <v/>
      </c>
      <c r="M22" s="84" t="str">
        <f>IF(OR(Scenarios!$C$7="",Scenarios!$E$12&lt;&gt;1),"",Scenarios!$C$7*Scenarios!E22)</f>
        <v/>
      </c>
      <c r="N22" s="84" t="str">
        <f>IF(OR(Scenarios!$C$7="",Scenarios!$F$12&lt;&gt;1),"",Scenarios!$C$7*Scenarios!F22)</f>
        <v/>
      </c>
      <c r="O22" s="84" t="str">
        <f>IF(OR(Scenarios!$C$7="",Scenarios!$G$12&lt;&gt;1),"",Scenarios!$C$7*Scenarios!G22)</f>
        <v/>
      </c>
      <c r="P22" s="84" t="str">
        <f>IF(Scenarios!$C$8="", "", Scenarios!$C$8*Scenarios!C22)</f>
        <v/>
      </c>
      <c r="Q22" s="84" t="str">
        <f>IF(OR(Scenarios!$C$8="",Scenarios!$D$12&lt;&gt;1),"",Scenarios!$C$8*Scenarios!D22)</f>
        <v/>
      </c>
      <c r="R22" s="84" t="str">
        <f>IF(OR(Scenarios!$C$8="",Scenarios!$E$12&lt;&gt;1),"",Scenarios!$C$8*Scenarios!E22)</f>
        <v/>
      </c>
      <c r="S22" s="84" t="str">
        <f>IF(OR(Scenarios!$C$8="",Scenarios!$F$12&lt;&gt;1),"",Scenarios!$C$8*Scenarios!F22)</f>
        <v/>
      </c>
      <c r="T22" s="84" t="str">
        <f>IF(OR(Scenarios!$C$8="",Scenarios!$G$12&lt;&gt;1),"",Scenarios!$C$8*Scenarios!G22)</f>
        <v/>
      </c>
      <c r="U22" s="84" t="str">
        <f>IF(Scenarios!$C$9="", "", Scenarios!$C$9*Scenarios!C22)</f>
        <v/>
      </c>
      <c r="V22" s="84" t="str">
        <f>IF(OR(Scenarios!$C$9="",Scenarios!$D$12&lt;&gt;1),"",Scenarios!$C$9*Scenarios!D22)</f>
        <v/>
      </c>
      <c r="W22" s="84" t="str">
        <f>IF(OR(Scenarios!$C$9="",Scenarios!$E$12&lt;&gt;1),"",Scenarios!$C$9*Scenarios!E22)</f>
        <v/>
      </c>
      <c r="X22" s="84" t="str">
        <f>IF(OR(Scenarios!$C$9="",Scenarios!$F$12&lt;&gt;1),"",Scenarios!$C$9*Scenarios!F22)</f>
        <v/>
      </c>
      <c r="Y22" s="84" t="str">
        <f>IF(OR(Scenarios!$C$9="",Scenarios!$G$12&lt;&gt;1),"",Scenarios!$C$9*Scenarios!G22)</f>
        <v/>
      </c>
    </row>
    <row r="23" spans="1:25" x14ac:dyDescent="0.35">
      <c r="A23" s="84" t="e">
        <f>Scenarios!$C$5*Scenarios!C23</f>
        <v>#DIV/0!</v>
      </c>
      <c r="B23" s="84" t="str">
        <f>IF(Scenarios!$D$12&lt;&gt;1, "", Scenarios!$C$5*Scenarios!D23)</f>
        <v/>
      </c>
      <c r="C23" s="84" t="str">
        <f>IF(Scenarios!$E$12&lt;&gt;1, "", Scenarios!$C$5*Scenarios!E23)</f>
        <v/>
      </c>
      <c r="D23" s="84" t="str">
        <f>IF(Scenarios!$F$12&lt;&gt;1, "", Scenarios!$C$5*Scenarios!F23)</f>
        <v/>
      </c>
      <c r="E23" s="84" t="str">
        <f>IF(Scenarios!$G$12&lt;&gt;1, "", Scenarios!$C$5*Scenarios!G23)</f>
        <v/>
      </c>
      <c r="F23" s="84" t="str">
        <f>IF(Scenarios!$C$6="", "", Scenarios!$C$6*Scenarios!C23)</f>
        <v/>
      </c>
      <c r="G23" s="84" t="str">
        <f>IF(OR(Scenarios!$C$6="",Scenarios!$D$12&lt;&gt;1), "", Scenarios!$C$6*Scenarios!D23)</f>
        <v/>
      </c>
      <c r="H23" s="84" t="str">
        <f>IF(OR(Scenarios!$C$6="",Scenarios!$E$12&lt;&gt;1), "", Scenarios!$C$6*Scenarios!E23)</f>
        <v/>
      </c>
      <c r="I23" s="84" t="str">
        <f>IF(OR(Scenarios!$C$6="",Scenarios!$F$12&lt;&gt;1),"",Scenarios!$C$6*Scenarios!F23)</f>
        <v/>
      </c>
      <c r="J23" s="84" t="str">
        <f>IF(OR(Scenarios!$C$6="",Scenarios!$G$12&lt;&gt;1),"",Scenarios!$C$6*Scenarios!G23)</f>
        <v/>
      </c>
      <c r="K23" s="84" t="str">
        <f>IF(Scenarios!$C$7="", "", Scenarios!$C$7*Scenarios!C23)</f>
        <v/>
      </c>
      <c r="L23" s="84" t="str">
        <f>IF(OR(Scenarios!$C$7="",Scenarios!$D$12&lt;&gt;1),"",Scenarios!$C$7*Scenarios!D23)</f>
        <v/>
      </c>
      <c r="M23" s="84" t="str">
        <f>IF(OR(Scenarios!$C$7="",Scenarios!$E$12&lt;&gt;1),"",Scenarios!$C$7*Scenarios!E23)</f>
        <v/>
      </c>
      <c r="N23" s="84" t="str">
        <f>IF(OR(Scenarios!$C$7="",Scenarios!$F$12&lt;&gt;1),"",Scenarios!$C$7*Scenarios!F23)</f>
        <v/>
      </c>
      <c r="O23" s="84" t="str">
        <f>IF(OR(Scenarios!$C$7="",Scenarios!$G$12&lt;&gt;1),"",Scenarios!$C$7*Scenarios!G23)</f>
        <v/>
      </c>
      <c r="P23" s="84" t="str">
        <f>IF(Scenarios!$C$8="", "", Scenarios!$C$8*Scenarios!C23)</f>
        <v/>
      </c>
      <c r="Q23" s="84" t="str">
        <f>IF(OR(Scenarios!$C$8="",Scenarios!$D$12&lt;&gt;1),"",Scenarios!$C$8*Scenarios!D23)</f>
        <v/>
      </c>
      <c r="R23" s="84" t="str">
        <f>IF(OR(Scenarios!$C$8="",Scenarios!$E$12&lt;&gt;1),"",Scenarios!$C$8*Scenarios!E23)</f>
        <v/>
      </c>
      <c r="S23" s="84" t="str">
        <f>IF(OR(Scenarios!$C$8="",Scenarios!$F$12&lt;&gt;1),"",Scenarios!$C$8*Scenarios!F23)</f>
        <v/>
      </c>
      <c r="T23" s="84" t="str">
        <f>IF(OR(Scenarios!$C$8="",Scenarios!$G$12&lt;&gt;1),"",Scenarios!$C$8*Scenarios!G23)</f>
        <v/>
      </c>
      <c r="U23" s="84" t="str">
        <f>IF(Scenarios!$C$9="", "", Scenarios!$C$9*Scenarios!C23)</f>
        <v/>
      </c>
      <c r="V23" s="84" t="str">
        <f>IF(OR(Scenarios!$C$9="",Scenarios!$D$12&lt;&gt;1),"",Scenarios!$C$9*Scenarios!D23)</f>
        <v/>
      </c>
      <c r="W23" s="84" t="str">
        <f>IF(OR(Scenarios!$C$9="",Scenarios!$E$12&lt;&gt;1),"",Scenarios!$C$9*Scenarios!E23)</f>
        <v/>
      </c>
      <c r="X23" s="84" t="str">
        <f>IF(OR(Scenarios!$C$9="",Scenarios!$F$12&lt;&gt;1),"",Scenarios!$C$9*Scenarios!F23)</f>
        <v/>
      </c>
      <c r="Y23" s="84" t="str">
        <f>IF(OR(Scenarios!$C$9="",Scenarios!$G$12&lt;&gt;1),"",Scenarios!$C$9*Scenarios!G23)</f>
        <v/>
      </c>
    </row>
    <row r="24" spans="1:25" x14ac:dyDescent="0.35">
      <c r="A24" s="84" t="e">
        <f>Scenarios!$C$5*Scenarios!C24</f>
        <v>#DIV/0!</v>
      </c>
      <c r="B24" s="84" t="str">
        <f>IF(Scenarios!$D$12&lt;&gt;1, "", Scenarios!$C$5*Scenarios!D24)</f>
        <v/>
      </c>
      <c r="C24" s="84" t="str">
        <f>IF(Scenarios!$E$12&lt;&gt;1, "", Scenarios!$C$5*Scenarios!E24)</f>
        <v/>
      </c>
      <c r="D24" s="84" t="str">
        <f>IF(Scenarios!$F$12&lt;&gt;1, "", Scenarios!$C$5*Scenarios!F24)</f>
        <v/>
      </c>
      <c r="E24" s="84" t="str">
        <f>IF(Scenarios!$G$12&lt;&gt;1, "", Scenarios!$C$5*Scenarios!G24)</f>
        <v/>
      </c>
      <c r="F24" s="84" t="str">
        <f>IF(Scenarios!$C$6="", "", Scenarios!$C$6*Scenarios!C24)</f>
        <v/>
      </c>
      <c r="G24" s="84" t="str">
        <f>IF(OR(Scenarios!$C$6="",Scenarios!$D$12&lt;&gt;1), "", Scenarios!$C$6*Scenarios!D24)</f>
        <v/>
      </c>
      <c r="H24" s="84" t="str">
        <f>IF(OR(Scenarios!$C$6="",Scenarios!$E$12&lt;&gt;1), "", Scenarios!$C$6*Scenarios!E24)</f>
        <v/>
      </c>
      <c r="I24" s="84" t="str">
        <f>IF(OR(Scenarios!$C$6="",Scenarios!$F$12&lt;&gt;1),"",Scenarios!$C$6*Scenarios!F24)</f>
        <v/>
      </c>
      <c r="J24" s="84" t="str">
        <f>IF(OR(Scenarios!$C$6="",Scenarios!$G$12&lt;&gt;1),"",Scenarios!$C$6*Scenarios!G24)</f>
        <v/>
      </c>
      <c r="K24" s="84" t="str">
        <f>IF(Scenarios!$C$7="", "", Scenarios!$C$7*Scenarios!C24)</f>
        <v/>
      </c>
      <c r="L24" s="84" t="str">
        <f>IF(OR(Scenarios!$C$7="",Scenarios!$D$12&lt;&gt;1),"",Scenarios!$C$7*Scenarios!D24)</f>
        <v/>
      </c>
      <c r="M24" s="84" t="str">
        <f>IF(OR(Scenarios!$C$7="",Scenarios!$E$12&lt;&gt;1),"",Scenarios!$C$7*Scenarios!E24)</f>
        <v/>
      </c>
      <c r="N24" s="84" t="str">
        <f>IF(OR(Scenarios!$C$7="",Scenarios!$F$12&lt;&gt;1),"",Scenarios!$C$7*Scenarios!F24)</f>
        <v/>
      </c>
      <c r="O24" s="84" t="str">
        <f>IF(OR(Scenarios!$C$7="",Scenarios!$G$12&lt;&gt;1),"",Scenarios!$C$7*Scenarios!G24)</f>
        <v/>
      </c>
      <c r="P24" s="84" t="str">
        <f>IF(Scenarios!$C$8="", "", Scenarios!$C$8*Scenarios!C24)</f>
        <v/>
      </c>
      <c r="Q24" s="84" t="str">
        <f>IF(OR(Scenarios!$C$8="",Scenarios!$D$12&lt;&gt;1),"",Scenarios!$C$8*Scenarios!D24)</f>
        <v/>
      </c>
      <c r="R24" s="84" t="str">
        <f>IF(OR(Scenarios!$C$8="",Scenarios!$E$12&lt;&gt;1),"",Scenarios!$C$8*Scenarios!E24)</f>
        <v/>
      </c>
      <c r="S24" s="84" t="str">
        <f>IF(OR(Scenarios!$C$8="",Scenarios!$F$12&lt;&gt;1),"",Scenarios!$C$8*Scenarios!F24)</f>
        <v/>
      </c>
      <c r="T24" s="84" t="str">
        <f>IF(OR(Scenarios!$C$8="",Scenarios!$G$12&lt;&gt;1),"",Scenarios!$C$8*Scenarios!G24)</f>
        <v/>
      </c>
      <c r="U24" s="84" t="str">
        <f>IF(Scenarios!$C$9="", "", Scenarios!$C$9*Scenarios!C24)</f>
        <v/>
      </c>
      <c r="V24" s="84" t="str">
        <f>IF(OR(Scenarios!$C$9="",Scenarios!$D$12&lt;&gt;1),"",Scenarios!$C$9*Scenarios!D24)</f>
        <v/>
      </c>
      <c r="W24" s="84" t="str">
        <f>IF(OR(Scenarios!$C$9="",Scenarios!$E$12&lt;&gt;1),"",Scenarios!$C$9*Scenarios!E24)</f>
        <v/>
      </c>
      <c r="X24" s="84" t="str">
        <f>IF(OR(Scenarios!$C$9="",Scenarios!$F$12&lt;&gt;1),"",Scenarios!$C$9*Scenarios!F24)</f>
        <v/>
      </c>
      <c r="Y24" s="84" t="str">
        <f>IF(OR(Scenarios!$C$9="",Scenarios!$G$12&lt;&gt;1),"",Scenarios!$C$9*Scenarios!G24)</f>
        <v/>
      </c>
    </row>
    <row r="25" spans="1:25" x14ac:dyDescent="0.35">
      <c r="A25" s="84" t="e">
        <f>Scenarios!$C$5*Scenarios!C25</f>
        <v>#DIV/0!</v>
      </c>
      <c r="B25" s="84" t="str">
        <f>IF(Scenarios!$D$12&lt;&gt;1, "", Scenarios!$C$5*Scenarios!D25)</f>
        <v/>
      </c>
      <c r="C25" s="84" t="str">
        <f>IF(Scenarios!$E$12&lt;&gt;1, "", Scenarios!$C$5*Scenarios!E25)</f>
        <v/>
      </c>
      <c r="D25" s="84" t="str">
        <f>IF(Scenarios!$F$12&lt;&gt;1, "", Scenarios!$C$5*Scenarios!F25)</f>
        <v/>
      </c>
      <c r="E25" s="84" t="str">
        <f>IF(Scenarios!$G$12&lt;&gt;1, "", Scenarios!$C$5*Scenarios!G25)</f>
        <v/>
      </c>
      <c r="F25" s="84" t="str">
        <f>IF(Scenarios!$C$6="", "", Scenarios!$C$6*Scenarios!C25)</f>
        <v/>
      </c>
      <c r="G25" s="84" t="str">
        <f>IF(OR(Scenarios!$C$6="",Scenarios!$D$12&lt;&gt;1), "", Scenarios!$C$6*Scenarios!D25)</f>
        <v/>
      </c>
      <c r="H25" s="84" t="str">
        <f>IF(OR(Scenarios!$C$6="",Scenarios!$E$12&lt;&gt;1), "", Scenarios!$C$6*Scenarios!E25)</f>
        <v/>
      </c>
      <c r="I25" s="84" t="str">
        <f>IF(OR(Scenarios!$C$6="",Scenarios!$F$12&lt;&gt;1),"",Scenarios!$C$6*Scenarios!F25)</f>
        <v/>
      </c>
      <c r="J25" s="84" t="str">
        <f>IF(OR(Scenarios!$C$6="",Scenarios!$G$12&lt;&gt;1),"",Scenarios!$C$6*Scenarios!G25)</f>
        <v/>
      </c>
      <c r="K25" s="84" t="str">
        <f>IF(Scenarios!$C$7="", "", Scenarios!$C$7*Scenarios!C25)</f>
        <v/>
      </c>
      <c r="L25" s="84" t="str">
        <f>IF(OR(Scenarios!$C$7="",Scenarios!$D$12&lt;&gt;1),"",Scenarios!$C$7*Scenarios!D25)</f>
        <v/>
      </c>
      <c r="M25" s="84" t="str">
        <f>IF(OR(Scenarios!$C$7="",Scenarios!$E$12&lt;&gt;1),"",Scenarios!$C$7*Scenarios!E25)</f>
        <v/>
      </c>
      <c r="N25" s="84" t="str">
        <f>IF(OR(Scenarios!$C$7="",Scenarios!$F$12&lt;&gt;1),"",Scenarios!$C$7*Scenarios!F25)</f>
        <v/>
      </c>
      <c r="O25" s="84" t="str">
        <f>IF(OR(Scenarios!$C$7="",Scenarios!$G$12&lt;&gt;1),"",Scenarios!$C$7*Scenarios!G25)</f>
        <v/>
      </c>
      <c r="P25" s="84" t="str">
        <f>IF(Scenarios!$C$8="", "", Scenarios!$C$8*Scenarios!C25)</f>
        <v/>
      </c>
      <c r="Q25" s="84" t="str">
        <f>IF(OR(Scenarios!$C$8="",Scenarios!$D$12&lt;&gt;1),"",Scenarios!$C$8*Scenarios!D25)</f>
        <v/>
      </c>
      <c r="R25" s="84" t="str">
        <f>IF(OR(Scenarios!$C$8="",Scenarios!$E$12&lt;&gt;1),"",Scenarios!$C$8*Scenarios!E25)</f>
        <v/>
      </c>
      <c r="S25" s="84" t="str">
        <f>IF(OR(Scenarios!$C$8="",Scenarios!$F$12&lt;&gt;1),"",Scenarios!$C$8*Scenarios!F25)</f>
        <v/>
      </c>
      <c r="T25" s="84" t="str">
        <f>IF(OR(Scenarios!$C$8="",Scenarios!$G$12&lt;&gt;1),"",Scenarios!$C$8*Scenarios!G25)</f>
        <v/>
      </c>
      <c r="U25" s="84" t="str">
        <f>IF(Scenarios!$C$9="", "", Scenarios!$C$9*Scenarios!C25)</f>
        <v/>
      </c>
      <c r="V25" s="84" t="str">
        <f>IF(OR(Scenarios!$C$9="",Scenarios!$D$12&lt;&gt;1),"",Scenarios!$C$9*Scenarios!D25)</f>
        <v/>
      </c>
      <c r="W25" s="84" t="str">
        <f>IF(OR(Scenarios!$C$9="",Scenarios!$E$12&lt;&gt;1),"",Scenarios!$C$9*Scenarios!E25)</f>
        <v/>
      </c>
      <c r="X25" s="84" t="str">
        <f>IF(OR(Scenarios!$C$9="",Scenarios!$F$12&lt;&gt;1),"",Scenarios!$C$9*Scenarios!F25)</f>
        <v/>
      </c>
      <c r="Y25" s="84" t="str">
        <f>IF(OR(Scenarios!$C$9="",Scenarios!$G$12&lt;&gt;1),"",Scenarios!$C$9*Scenarios!G25)</f>
        <v/>
      </c>
    </row>
    <row r="26" spans="1:25" x14ac:dyDescent="0.35">
      <c r="A26" s="84" t="str">
        <f>IF(Inputs!P48&lt;&gt;"", Scenarios!$D$5*Scenarios!C28,"")</f>
        <v/>
      </c>
      <c r="B26" s="84" t="str">
        <f>IF(Scenarios!$D$27&lt;&gt;1, "", IF(Inputs!P48&lt;&gt;"", Scenarios!$D$5*Scenarios!D28,""))</f>
        <v/>
      </c>
      <c r="C26" s="84" t="str">
        <f>IF(Scenarios!$E$27&lt;&gt;1, "", IF(Inputs!P48&lt;&gt;"", Scenarios!$D$5*Scenarios!E28,""))</f>
        <v/>
      </c>
      <c r="D26" s="84" t="str">
        <f>IF(Scenarios!$F$27&lt;&gt;1, "", IF(Inputs!P48&lt;&gt;"", Scenarios!$D$5*Scenarios!F28,""))</f>
        <v/>
      </c>
      <c r="E26" s="84" t="str">
        <f>IF(Scenarios!$G$27&lt;&gt;1, "", IF(Inputs!P48&lt;&gt;"", Scenarios!$D$5*Scenarios!G28,""))</f>
        <v/>
      </c>
      <c r="F26" s="84" t="str">
        <f>IF(Scenarios!$D$6="", "", IF(Inputs!P48&lt;&gt;"", Scenarios!$D$6*Scenarios!C28,""))</f>
        <v/>
      </c>
      <c r="G26" s="84" t="str">
        <f>IF(OR(Scenarios!$D$6="",Scenarios!$D$27&lt;&gt;1), "", IF(Inputs!P48&lt;&gt;"", Scenarios!$D$6*Scenarios!D28,""))</f>
        <v/>
      </c>
      <c r="H26" s="84" t="str">
        <f>IF(OR(Scenarios!$D$6="",Scenarios!$E$27&lt;&gt;1), "", IF(Inputs!P48&lt;&gt;"", Scenarios!$D$6*Scenarios!E28,""))</f>
        <v/>
      </c>
      <c r="I26" s="84" t="str">
        <f>IF(OR(Scenarios!$D$6="",Scenarios!$F$27&lt;&gt;1),"",IF(Inputs!P48&lt;&gt;"",Scenarios!$D$6*Scenarios!F28,""))</f>
        <v/>
      </c>
      <c r="J26" s="84" t="str">
        <f>IF(OR(Scenarios!$D$6="",Scenarios!$G$27&lt;&gt;1),"",IF(Inputs!P48&lt;&gt;"",Scenarios!$D$6*Scenarios!G28,""))</f>
        <v/>
      </c>
      <c r="K26" s="84" t="str">
        <f>IF(Scenarios!$D$7="","",IF(Inputs!P48&lt;&gt;"",Scenarios!$D$7*Scenarios!C28,""))</f>
        <v/>
      </c>
      <c r="L26" s="84" t="str">
        <f>IF(OR(Scenarios!$D$7="",Scenarios!$D$27&lt;&gt;1),"",IF(Inputs!P48&lt;&gt;"",Scenarios!$D$7*Scenarios!D28,""))</f>
        <v/>
      </c>
      <c r="M26" s="84" t="str">
        <f>IF(OR(Scenarios!$D$7="",Scenarios!$E$27&lt;&gt;1),"",IF(Inputs!P48&lt;&gt;"",Scenarios!$D$7*Scenarios!E28,""))</f>
        <v/>
      </c>
      <c r="N26" s="84" t="str">
        <f>IF(OR(Scenarios!$D$7="",Scenarios!$F$27&lt;&gt;1),"",IF(Inputs!P48&lt;&gt;"",Scenarios!$D$7*Scenarios!F28,""))</f>
        <v/>
      </c>
      <c r="O26" s="84" t="str">
        <f>IF(OR(Scenarios!$D$7="",Scenarios!$G$27&lt;&gt;1),"",IF(Inputs!P48&lt;&gt;"",Scenarios!$D$7*Scenarios!G28,""))</f>
        <v/>
      </c>
      <c r="P26" s="84" t="str">
        <f>IF(Scenarios!$D$8="","",IF(Inputs!P48&lt;&gt;"",Scenarios!$D$8*Scenarios!C28,""))</f>
        <v/>
      </c>
      <c r="Q26" s="84" t="str">
        <f>IF(OR(Scenarios!$D$8="",Scenarios!$D$27&lt;&gt;1),"",IF(Inputs!P48&lt;&gt;"",Scenarios!$D$8*Scenarios!D28,""))</f>
        <v/>
      </c>
      <c r="R26" s="84" t="str">
        <f>IF(OR(Scenarios!$D$8="",Scenarios!$E$27&lt;&gt;1),"",IF(Inputs!P48&lt;&gt;"",Scenarios!$D$8*Scenarios!E28,""))</f>
        <v/>
      </c>
      <c r="S26" s="84" t="str">
        <f>IF(OR(Scenarios!$D$8="",Scenarios!$F$27&lt;&gt;1),"",IF(Inputs!P48&lt;&gt;"",Scenarios!$D$8*Scenarios!F28,""))</f>
        <v/>
      </c>
      <c r="T26" s="84" t="str">
        <f>IF(OR(Scenarios!$D$8="",Scenarios!$G$27&lt;&gt;1),"",IF(Inputs!P48&lt;&gt;"",Scenarios!$D$8*Scenarios!G28,""))</f>
        <v/>
      </c>
      <c r="U26" s="84" t="str">
        <f>IF(Scenarios!$D$9="","",IF(Inputs!P48&lt;&gt;"",Scenarios!$D$9*Scenarios!C28,""))</f>
        <v/>
      </c>
      <c r="V26" s="84" t="str">
        <f>IF(OR(Scenarios!$D$9="",Scenarios!$D$27&lt;&gt;1),"",IF(Inputs!P48&lt;&gt;"",Scenarios!$D$9*Scenarios!D28,""))</f>
        <v/>
      </c>
      <c r="W26" s="84" t="str">
        <f>IF(OR(Scenarios!$D$9="",Scenarios!$E$27&lt;&gt;1),"",IF(Inputs!P48&lt;&gt;"",Scenarios!$D$9*Scenarios!E28,""))</f>
        <v/>
      </c>
      <c r="X26" s="84" t="str">
        <f>IF(OR(Scenarios!$D$9="",Scenarios!$F$27&lt;&gt;1),"",IF(Inputs!P48&lt;&gt;"",Scenarios!$D$9*Scenarios!F28,""))</f>
        <v/>
      </c>
      <c r="Y26" s="84" t="str">
        <f>IF(OR(Scenarios!$D$9="",Scenarios!$G$27&lt;&gt;1),"",IF(Inputs!P48&lt;&gt;"",Scenarios!$D$9*Scenarios!G28,""))</f>
        <v/>
      </c>
    </row>
    <row r="27" spans="1:25" x14ac:dyDescent="0.35">
      <c r="A27" s="84" t="str">
        <f>IF(Inputs!P49&lt;&gt;"", Scenarios!$D$5*Scenarios!C29,"")</f>
        <v/>
      </c>
      <c r="B27" s="84" t="str">
        <f>IF(Scenarios!$D$27&lt;&gt;1, "", IF(Inputs!P49&lt;&gt;"", Scenarios!$D$5*Scenarios!D29,""))</f>
        <v/>
      </c>
      <c r="C27" s="84" t="str">
        <f>IF(Scenarios!$E$27&lt;&gt;1, "", IF(Inputs!P49&lt;&gt;"", Scenarios!$D$5*Scenarios!E29,""))</f>
        <v/>
      </c>
      <c r="D27" s="84" t="str">
        <f>IF(Scenarios!$F$27&lt;&gt;1, "", IF(Inputs!P49&lt;&gt;"", Scenarios!$D$5*Scenarios!F29,""))</f>
        <v/>
      </c>
      <c r="E27" s="84" t="str">
        <f>IF(Scenarios!$G$27&lt;&gt;1, "", IF(Inputs!P49&lt;&gt;"", Scenarios!$D$5*Scenarios!G29,""))</f>
        <v/>
      </c>
      <c r="F27" s="84" t="str">
        <f>IF(Scenarios!$D$6="", "", IF(Inputs!P49&lt;&gt;"", Scenarios!$D$6*Scenarios!C29,""))</f>
        <v/>
      </c>
      <c r="G27" s="84" t="str">
        <f>IF(OR(Scenarios!$D$6="",Scenarios!$D$27&lt;&gt;1), "", IF(Inputs!P49&lt;&gt;"", Scenarios!$D$6*Scenarios!D29,""))</f>
        <v/>
      </c>
      <c r="H27" s="84" t="str">
        <f>IF(OR(Scenarios!$D$6="",Scenarios!$E$27&lt;&gt;1), "", IF(Inputs!P49&lt;&gt;"", Scenarios!$D$6*Scenarios!E29,""))</f>
        <v/>
      </c>
      <c r="I27" s="84" t="str">
        <f>IF(OR(Scenarios!$D$6="",Scenarios!$F$27&lt;&gt;1),"",IF(Inputs!P49&lt;&gt;"",Scenarios!$D$6*Scenarios!F29,""))</f>
        <v/>
      </c>
      <c r="J27" s="84" t="str">
        <f>IF(OR(Scenarios!$D$6="",Scenarios!$G$27&lt;&gt;1),"",IF(Inputs!P49&lt;&gt;"",Scenarios!$D$6*Scenarios!G29,""))</f>
        <v/>
      </c>
      <c r="K27" s="84" t="str">
        <f>IF(Scenarios!$D$7="","",IF(Inputs!P49&lt;&gt;"",Scenarios!$D$7*Scenarios!C29,""))</f>
        <v/>
      </c>
      <c r="L27" s="84" t="str">
        <f>IF(OR(Scenarios!$D$7="",Scenarios!$D$27&lt;&gt;1),"",IF(Inputs!P49&lt;&gt;"",Scenarios!$D$7*Scenarios!D29,""))</f>
        <v/>
      </c>
      <c r="M27" s="84" t="str">
        <f>IF(OR(Scenarios!$D$7="",Scenarios!$E$27&lt;&gt;1),"",IF(Inputs!P49&lt;&gt;"",Scenarios!$D$7*Scenarios!E29,""))</f>
        <v/>
      </c>
      <c r="N27" s="84" t="str">
        <f>IF(OR(Scenarios!$D$7="",Scenarios!$F$27&lt;&gt;1),"",IF(Inputs!P49&lt;&gt;"",Scenarios!$D$7*Scenarios!F29,""))</f>
        <v/>
      </c>
      <c r="O27" s="84" t="str">
        <f>IF(OR(Scenarios!$D$7="",Scenarios!$G$27&lt;&gt;1),"",IF(Inputs!P49&lt;&gt;"",Scenarios!$D$7*Scenarios!G29,""))</f>
        <v/>
      </c>
      <c r="P27" s="84" t="str">
        <f>IF(Scenarios!$D$8="","",IF(Inputs!P49&lt;&gt;"",Scenarios!$D$8*Scenarios!C29,""))</f>
        <v/>
      </c>
      <c r="Q27" s="84" t="str">
        <f>IF(OR(Scenarios!$D$8="",Scenarios!$D$27&lt;&gt;1),"",IF(Inputs!P49&lt;&gt;"",Scenarios!$D$8*Scenarios!D29,""))</f>
        <v/>
      </c>
      <c r="R27" s="84" t="str">
        <f>IF(OR(Scenarios!$D$8="",Scenarios!$E$27&lt;&gt;1),"",IF(Inputs!P49&lt;&gt;"",Scenarios!$D$8*Scenarios!E29,""))</f>
        <v/>
      </c>
      <c r="S27" s="84" t="str">
        <f>IF(OR(Scenarios!$D$8="",Scenarios!$F$27&lt;&gt;1),"",IF(Inputs!P49&lt;&gt;"",Scenarios!$D$8*Scenarios!F29,""))</f>
        <v/>
      </c>
      <c r="T27" s="84" t="str">
        <f>IF(OR(Scenarios!$D$8="",Scenarios!$G$27&lt;&gt;1),"",IF(Inputs!P49&lt;&gt;"",Scenarios!$D$8*Scenarios!G29,""))</f>
        <v/>
      </c>
      <c r="U27" s="84" t="str">
        <f>IF(Scenarios!$D$9="","",IF(Inputs!P49&lt;&gt;"",Scenarios!$D$9*Scenarios!C29,""))</f>
        <v/>
      </c>
      <c r="V27" s="84" t="str">
        <f>IF(OR(Scenarios!$D$9="",Scenarios!$D$27&lt;&gt;1),"",IF(Inputs!P49&lt;&gt;"",Scenarios!$D$9*Scenarios!D29,""))</f>
        <v/>
      </c>
      <c r="W27" s="84" t="str">
        <f>IF(OR(Scenarios!$D$9="",Scenarios!$E$27&lt;&gt;1),"",IF(Inputs!P49&lt;&gt;"",Scenarios!$D$9*Scenarios!E29,""))</f>
        <v/>
      </c>
      <c r="X27" s="84" t="str">
        <f>IF(OR(Scenarios!$D$9="",Scenarios!$F$27&lt;&gt;1),"",IF(Inputs!P49&lt;&gt;"",Scenarios!$D$9*Scenarios!F29,""))</f>
        <v/>
      </c>
      <c r="Y27" s="84" t="str">
        <f>IF(OR(Scenarios!$D$9="",Scenarios!$G$27&lt;&gt;1),"",IF(Inputs!P49&lt;&gt;"",Scenarios!$D$9*Scenarios!G29,""))</f>
        <v/>
      </c>
    </row>
    <row r="28" spans="1:25" x14ac:dyDescent="0.35">
      <c r="A28" s="84" t="str">
        <f>IF(Inputs!P50&lt;&gt;"", Scenarios!$D$5*Scenarios!C30,"")</f>
        <v/>
      </c>
      <c r="B28" s="84" t="str">
        <f>IF(Scenarios!$D$27&lt;&gt;1, "", IF(Inputs!P50&lt;&gt;"", Scenarios!$D$5*Scenarios!D30,""))</f>
        <v/>
      </c>
      <c r="C28" s="84" t="str">
        <f>IF(Scenarios!$E$27&lt;&gt;1, "", IF(Inputs!P50&lt;&gt;"", Scenarios!$D$5*Scenarios!E30,""))</f>
        <v/>
      </c>
      <c r="D28" s="84" t="str">
        <f>IF(Scenarios!$F$27&lt;&gt;1, "", IF(Inputs!P50&lt;&gt;"", Scenarios!$D$5*Scenarios!F30,""))</f>
        <v/>
      </c>
      <c r="E28" s="84" t="str">
        <f>IF(Scenarios!$G$27&lt;&gt;1, "", IF(Inputs!P50&lt;&gt;"", Scenarios!$D$5*Scenarios!G30,""))</f>
        <v/>
      </c>
      <c r="F28" s="84" t="str">
        <f>IF(Scenarios!$D$6="", "", IF(Inputs!P50&lt;&gt;"", Scenarios!$D$6*Scenarios!C30,""))</f>
        <v/>
      </c>
      <c r="G28" s="84" t="str">
        <f>IF(OR(Scenarios!$D$6="",Scenarios!$D$27&lt;&gt;1), "", IF(Inputs!P50&lt;&gt;"", Scenarios!$D$6*Scenarios!D30,""))</f>
        <v/>
      </c>
      <c r="H28" s="84" t="str">
        <f>IF(OR(Scenarios!$D$6="",Scenarios!$E$27&lt;&gt;1), "", IF(Inputs!P50&lt;&gt;"", Scenarios!$D$6*Scenarios!E30,""))</f>
        <v/>
      </c>
      <c r="I28" s="84" t="str">
        <f>IF(OR(Scenarios!$D$6="",Scenarios!$F$27&lt;&gt;1),"",IF(Inputs!P50&lt;&gt;"",Scenarios!$D$6*Scenarios!F30,""))</f>
        <v/>
      </c>
      <c r="J28" s="84" t="str">
        <f>IF(OR(Scenarios!$D$6="",Scenarios!$G$27&lt;&gt;1),"",IF(Inputs!P50&lt;&gt;"",Scenarios!$D$6*Scenarios!G30,""))</f>
        <v/>
      </c>
      <c r="K28" s="84" t="str">
        <f>IF(Scenarios!$D$7="","",IF(Inputs!P50&lt;&gt;"",Scenarios!$D$7*Scenarios!C30,""))</f>
        <v/>
      </c>
      <c r="L28" s="84" t="str">
        <f>IF(OR(Scenarios!$D$7="",Scenarios!$D$27&lt;&gt;1),"",IF(Inputs!P50&lt;&gt;"",Scenarios!$D$7*Scenarios!D30,""))</f>
        <v/>
      </c>
      <c r="M28" s="84" t="str">
        <f>IF(OR(Scenarios!$D$7="",Scenarios!$E$27&lt;&gt;1),"",IF(Inputs!P50&lt;&gt;"",Scenarios!$D$7*Scenarios!E30,""))</f>
        <v/>
      </c>
      <c r="N28" s="84" t="str">
        <f>IF(OR(Scenarios!$D$7="",Scenarios!$F$27&lt;&gt;1),"",IF(Inputs!P50&lt;&gt;"",Scenarios!$D$7*Scenarios!F30,""))</f>
        <v/>
      </c>
      <c r="O28" s="84" t="str">
        <f>IF(OR(Scenarios!$D$7="",Scenarios!$G$27&lt;&gt;1),"",IF(Inputs!P50&lt;&gt;"",Scenarios!$D$7*Scenarios!G30,""))</f>
        <v/>
      </c>
      <c r="P28" s="84" t="str">
        <f>IF(Scenarios!$D$8="","",IF(Inputs!P50&lt;&gt;"",Scenarios!$D$8*Scenarios!C30,""))</f>
        <v/>
      </c>
      <c r="Q28" s="84" t="str">
        <f>IF(OR(Scenarios!$D$8="",Scenarios!$D$27&lt;&gt;1),"",IF(Inputs!P50&lt;&gt;"",Scenarios!$D$8*Scenarios!D30,""))</f>
        <v/>
      </c>
      <c r="R28" s="84" t="str">
        <f>IF(OR(Scenarios!$D$8="",Scenarios!$E$27&lt;&gt;1),"",IF(Inputs!P50&lt;&gt;"",Scenarios!$D$8*Scenarios!E30,""))</f>
        <v/>
      </c>
      <c r="S28" s="84" t="str">
        <f>IF(OR(Scenarios!$D$8="",Scenarios!$F$27&lt;&gt;1),"",IF(Inputs!P50&lt;&gt;"",Scenarios!$D$8*Scenarios!F30,""))</f>
        <v/>
      </c>
      <c r="T28" s="84" t="str">
        <f>IF(OR(Scenarios!$D$8="",Scenarios!$G$27&lt;&gt;1),"",IF(Inputs!P50&lt;&gt;"",Scenarios!$D$8*Scenarios!G30,""))</f>
        <v/>
      </c>
      <c r="U28" s="84" t="str">
        <f>IF(Scenarios!$D$9="","",IF(Inputs!P50&lt;&gt;"",Scenarios!$D$9*Scenarios!C30,""))</f>
        <v/>
      </c>
      <c r="V28" s="84" t="str">
        <f>IF(OR(Scenarios!$D$9="",Scenarios!$D$27&lt;&gt;1),"",IF(Inputs!P50&lt;&gt;"",Scenarios!$D$9*Scenarios!D30,""))</f>
        <v/>
      </c>
      <c r="W28" s="84" t="str">
        <f>IF(OR(Scenarios!$D$9="",Scenarios!$E$27&lt;&gt;1),"",IF(Inputs!P50&lt;&gt;"",Scenarios!$D$9*Scenarios!E30,""))</f>
        <v/>
      </c>
      <c r="X28" s="84" t="str">
        <f>IF(OR(Scenarios!$D$9="",Scenarios!$F$27&lt;&gt;1),"",IF(Inputs!P50&lt;&gt;"",Scenarios!$D$9*Scenarios!F30,""))</f>
        <v/>
      </c>
      <c r="Y28" s="84" t="str">
        <f>IF(OR(Scenarios!$D$9="",Scenarios!$G$27&lt;&gt;1),"",IF(Inputs!P50&lt;&gt;"",Scenarios!$D$9*Scenarios!G30,""))</f>
        <v/>
      </c>
    </row>
    <row r="29" spans="1:25" x14ac:dyDescent="0.35">
      <c r="A29" s="84" t="str">
        <f>IF(Inputs!P51&lt;&gt;"", Scenarios!$D$5*Scenarios!C31,"")</f>
        <v/>
      </c>
      <c r="B29" s="84" t="str">
        <f>IF(Scenarios!$D$27&lt;&gt;1, "", IF(Inputs!P51&lt;&gt;"", Scenarios!$D$5*Scenarios!D31,""))</f>
        <v/>
      </c>
      <c r="C29" s="84" t="str">
        <f>IF(Scenarios!$E$27&lt;&gt;1, "", IF(Inputs!P51&lt;&gt;"", Scenarios!$D$5*Scenarios!E31,""))</f>
        <v/>
      </c>
      <c r="D29" s="84" t="str">
        <f>IF(Scenarios!$F$27&lt;&gt;1, "", IF(Inputs!P51&lt;&gt;"", Scenarios!$D$5*Scenarios!F31,""))</f>
        <v/>
      </c>
      <c r="E29" s="84" t="str">
        <f>IF(Scenarios!$G$27&lt;&gt;1, "", IF(Inputs!P51&lt;&gt;"", Scenarios!$D$5*Scenarios!G31,""))</f>
        <v/>
      </c>
      <c r="F29" s="84" t="str">
        <f>IF(Scenarios!$D$6="", "", IF(Inputs!P51&lt;&gt;"", Scenarios!$D$6*Scenarios!C31,""))</f>
        <v/>
      </c>
      <c r="G29" s="84" t="str">
        <f>IF(OR(Scenarios!$D$6="",Scenarios!$D$27&lt;&gt;1), "", IF(Inputs!P51&lt;&gt;"", Scenarios!$D$6*Scenarios!D31,""))</f>
        <v/>
      </c>
      <c r="H29" s="84" t="str">
        <f>IF(OR(Scenarios!$D$6="",Scenarios!$E$27&lt;&gt;1), "", IF(Inputs!P51&lt;&gt;"", Scenarios!$D$6*Scenarios!E31,""))</f>
        <v/>
      </c>
      <c r="I29" s="84" t="str">
        <f>IF(OR(Scenarios!$D$6="",Scenarios!$F$27&lt;&gt;1),"",IF(Inputs!P51&lt;&gt;"",Scenarios!$D$6*Scenarios!F31,""))</f>
        <v/>
      </c>
      <c r="J29" s="84" t="str">
        <f>IF(OR(Scenarios!$D$6="",Scenarios!$G$27&lt;&gt;1),"",IF(Inputs!P51&lt;&gt;"",Scenarios!$D$6*Scenarios!G31,""))</f>
        <v/>
      </c>
      <c r="K29" s="84" t="str">
        <f>IF(Scenarios!$D$7="","",IF(Inputs!P51&lt;&gt;"",Scenarios!$D$7*Scenarios!C31,""))</f>
        <v/>
      </c>
      <c r="L29" s="84" t="str">
        <f>IF(OR(Scenarios!$D$7="",Scenarios!$D$27&lt;&gt;1),"",IF(Inputs!P51&lt;&gt;"",Scenarios!$D$7*Scenarios!D31,""))</f>
        <v/>
      </c>
      <c r="M29" s="84" t="str">
        <f>IF(OR(Scenarios!$D$7="",Scenarios!$E$27&lt;&gt;1),"",IF(Inputs!P51&lt;&gt;"",Scenarios!$D$7*Scenarios!E31,""))</f>
        <v/>
      </c>
      <c r="N29" s="84" t="str">
        <f>IF(OR(Scenarios!$D$7="",Scenarios!$F$27&lt;&gt;1),"",IF(Inputs!P51&lt;&gt;"",Scenarios!$D$7*Scenarios!F31,""))</f>
        <v/>
      </c>
      <c r="O29" s="84" t="str">
        <f>IF(OR(Scenarios!$D$7="",Scenarios!$G$27&lt;&gt;1),"",IF(Inputs!P51&lt;&gt;"",Scenarios!$D$7*Scenarios!G31,""))</f>
        <v/>
      </c>
      <c r="P29" s="84" t="str">
        <f>IF(Scenarios!$D$8="","",IF(Inputs!P51&lt;&gt;"",Scenarios!$D$8*Scenarios!C31,""))</f>
        <v/>
      </c>
      <c r="Q29" s="84" t="str">
        <f>IF(OR(Scenarios!$D$8="",Scenarios!$D$27&lt;&gt;1),"",IF(Inputs!P51&lt;&gt;"",Scenarios!$D$8*Scenarios!D31,""))</f>
        <v/>
      </c>
      <c r="R29" s="84" t="str">
        <f>IF(OR(Scenarios!$D$8="",Scenarios!$E$27&lt;&gt;1),"",IF(Inputs!P51&lt;&gt;"",Scenarios!$D$8*Scenarios!E31,""))</f>
        <v/>
      </c>
      <c r="S29" s="84" t="str">
        <f>IF(OR(Scenarios!$D$8="",Scenarios!$F$27&lt;&gt;1),"",IF(Inputs!P51&lt;&gt;"",Scenarios!$D$8*Scenarios!F31,""))</f>
        <v/>
      </c>
      <c r="T29" s="84" t="str">
        <f>IF(OR(Scenarios!$D$8="",Scenarios!$G$27&lt;&gt;1),"",IF(Inputs!P51&lt;&gt;"",Scenarios!$D$8*Scenarios!G31,""))</f>
        <v/>
      </c>
      <c r="U29" s="84" t="str">
        <f>IF(Scenarios!$D$9="","",IF(Inputs!P51&lt;&gt;"",Scenarios!$D$9*Scenarios!C31,""))</f>
        <v/>
      </c>
      <c r="V29" s="84" t="str">
        <f>IF(OR(Scenarios!$D$9="",Scenarios!$D$27&lt;&gt;1),"",IF(Inputs!P51&lt;&gt;"",Scenarios!$D$9*Scenarios!D31,""))</f>
        <v/>
      </c>
      <c r="W29" s="84" t="str">
        <f>IF(OR(Scenarios!$D$9="",Scenarios!$E$27&lt;&gt;1),"",IF(Inputs!P51&lt;&gt;"",Scenarios!$D$9*Scenarios!E31,""))</f>
        <v/>
      </c>
      <c r="X29" s="84" t="str">
        <f>IF(OR(Scenarios!$D$9="",Scenarios!$F$27&lt;&gt;1),"",IF(Inputs!P51&lt;&gt;"",Scenarios!$D$9*Scenarios!F31,""))</f>
        <v/>
      </c>
      <c r="Y29" s="84" t="str">
        <f>IF(OR(Scenarios!$D$9="",Scenarios!$G$27&lt;&gt;1),"",IF(Inputs!P51&lt;&gt;"",Scenarios!$D$9*Scenarios!G31,""))</f>
        <v/>
      </c>
    </row>
    <row r="30" spans="1:25" x14ac:dyDescent="0.35">
      <c r="A30" s="84" t="str">
        <f>IF(Inputs!P52&lt;&gt;"", Scenarios!$D$5*Scenarios!C32,"")</f>
        <v/>
      </c>
      <c r="B30" s="84" t="str">
        <f>IF(Scenarios!$D$27&lt;&gt;1, "", IF(Inputs!P52&lt;&gt;"", Scenarios!$D$5*Scenarios!D32,""))</f>
        <v/>
      </c>
      <c r="C30" s="84" t="str">
        <f>IF(Scenarios!$E$27&lt;&gt;1, "", IF(Inputs!P52&lt;&gt;"", Scenarios!$D$5*Scenarios!E32,""))</f>
        <v/>
      </c>
      <c r="D30" s="84" t="str">
        <f>IF(Scenarios!$F$27&lt;&gt;1, "", IF(Inputs!P52&lt;&gt;"", Scenarios!$D$5*Scenarios!F32,""))</f>
        <v/>
      </c>
      <c r="E30" s="84" t="str">
        <f>IF(Scenarios!$G$27&lt;&gt;1, "", IF(Inputs!P52&lt;&gt;"", Scenarios!$D$5*Scenarios!G32,""))</f>
        <v/>
      </c>
      <c r="F30" s="84" t="str">
        <f>IF(Scenarios!$D$6="", "", IF(Inputs!P52&lt;&gt;"", Scenarios!$D$6*Scenarios!C32,""))</f>
        <v/>
      </c>
      <c r="G30" s="84" t="str">
        <f>IF(OR(Scenarios!$D$6="",Scenarios!$D$27&lt;&gt;1), "", IF(Inputs!P52&lt;&gt;"", Scenarios!$D$6*Scenarios!D32,""))</f>
        <v/>
      </c>
      <c r="H30" s="84" t="str">
        <f>IF(OR(Scenarios!$D$6="",Scenarios!$E$27&lt;&gt;1), "", IF(Inputs!P52&lt;&gt;"", Scenarios!$D$6*Scenarios!E32,""))</f>
        <v/>
      </c>
      <c r="I30" s="84" t="str">
        <f>IF(OR(Scenarios!$D$6="",Scenarios!$F$27&lt;&gt;1),"",IF(Inputs!P52&lt;&gt;"",Scenarios!$D$6*Scenarios!F32,""))</f>
        <v/>
      </c>
      <c r="J30" s="84" t="str">
        <f>IF(OR(Scenarios!$D$6="",Scenarios!$G$27&lt;&gt;1),"",IF(Inputs!P52&lt;&gt;"",Scenarios!$D$6*Scenarios!G32,""))</f>
        <v/>
      </c>
      <c r="K30" s="84" t="str">
        <f>IF(Scenarios!$D$7="","",IF(Inputs!P52&lt;&gt;"",Scenarios!$D$7*Scenarios!C32,""))</f>
        <v/>
      </c>
      <c r="L30" s="84" t="str">
        <f>IF(OR(Scenarios!$D$7="",Scenarios!$D$27&lt;&gt;1),"",IF(Inputs!P52&lt;&gt;"",Scenarios!$D$7*Scenarios!D32,""))</f>
        <v/>
      </c>
      <c r="M30" s="84" t="str">
        <f>IF(OR(Scenarios!$D$7="",Scenarios!$E$27&lt;&gt;1),"",IF(Inputs!P52&lt;&gt;"",Scenarios!$D$7*Scenarios!E32,""))</f>
        <v/>
      </c>
      <c r="N30" s="84" t="str">
        <f>IF(OR(Scenarios!$D$7="",Scenarios!$F$27&lt;&gt;1),"",IF(Inputs!P52&lt;&gt;"",Scenarios!$D$7*Scenarios!F32,""))</f>
        <v/>
      </c>
      <c r="O30" s="84" t="str">
        <f>IF(OR(Scenarios!$D$7="",Scenarios!$G$27&lt;&gt;1),"",IF(Inputs!P52&lt;&gt;"",Scenarios!$D$7*Scenarios!G32,""))</f>
        <v/>
      </c>
      <c r="P30" s="84" t="str">
        <f>IF(Scenarios!$D$8="","",IF(Inputs!P52&lt;&gt;"",Scenarios!$D$8*Scenarios!C32,""))</f>
        <v/>
      </c>
      <c r="Q30" s="84" t="str">
        <f>IF(OR(Scenarios!$D$8="",Scenarios!$D$27&lt;&gt;1),"",IF(Inputs!P52&lt;&gt;"",Scenarios!$D$8*Scenarios!D32,""))</f>
        <v/>
      </c>
      <c r="R30" s="84" t="str">
        <f>IF(OR(Scenarios!$D$8="",Scenarios!$E$27&lt;&gt;1),"",IF(Inputs!P52&lt;&gt;"",Scenarios!$D$8*Scenarios!E32,""))</f>
        <v/>
      </c>
      <c r="S30" s="84" t="str">
        <f>IF(OR(Scenarios!$D$8="",Scenarios!$F$27&lt;&gt;1),"",IF(Inputs!P52&lt;&gt;"",Scenarios!$D$8*Scenarios!F32,""))</f>
        <v/>
      </c>
      <c r="T30" s="84" t="str">
        <f>IF(OR(Scenarios!$D$8="",Scenarios!$G$27&lt;&gt;1),"",IF(Inputs!P52&lt;&gt;"",Scenarios!$D$8*Scenarios!G32,""))</f>
        <v/>
      </c>
      <c r="U30" s="84" t="str">
        <f>IF(Scenarios!$D$9="","",IF(Inputs!P52&lt;&gt;"",Scenarios!$D$9*Scenarios!C32,""))</f>
        <v/>
      </c>
      <c r="V30" s="84" t="str">
        <f>IF(OR(Scenarios!$D$9="",Scenarios!$D$27&lt;&gt;1),"",IF(Inputs!P52&lt;&gt;"",Scenarios!$D$9*Scenarios!D32,""))</f>
        <v/>
      </c>
      <c r="W30" s="84" t="str">
        <f>IF(OR(Scenarios!$D$9="",Scenarios!$E$27&lt;&gt;1),"",IF(Inputs!P52&lt;&gt;"",Scenarios!$D$9*Scenarios!E32,""))</f>
        <v/>
      </c>
      <c r="X30" s="84" t="str">
        <f>IF(OR(Scenarios!$D$9="",Scenarios!$F$27&lt;&gt;1),"",IF(Inputs!P52&lt;&gt;"",Scenarios!$D$9*Scenarios!F32,""))</f>
        <v/>
      </c>
      <c r="Y30" s="84" t="str">
        <f>IF(OR(Scenarios!$D$9="",Scenarios!$G$27&lt;&gt;1),"",IF(Inputs!P52&lt;&gt;"",Scenarios!$D$9*Scenarios!G32,""))</f>
        <v/>
      </c>
    </row>
    <row r="31" spans="1:25" x14ac:dyDescent="0.35">
      <c r="A31" s="84" t="str">
        <f>IF(Inputs!P53&lt;&gt;"", Scenarios!$D$5*Scenarios!C33,"")</f>
        <v/>
      </c>
      <c r="B31" s="84" t="str">
        <f>IF(Scenarios!$D$27&lt;&gt;1, "", IF(Inputs!P53&lt;&gt;"", Scenarios!$D$5*Scenarios!D33,""))</f>
        <v/>
      </c>
      <c r="C31" s="84" t="str">
        <f>IF(Scenarios!$E$27&lt;&gt;1, "", IF(Inputs!P53&lt;&gt;"", Scenarios!$D$5*Scenarios!E33,""))</f>
        <v/>
      </c>
      <c r="D31" s="84" t="str">
        <f>IF(Scenarios!$F$27&lt;&gt;1, "", IF(Inputs!P53&lt;&gt;"", Scenarios!$D$5*Scenarios!F33,""))</f>
        <v/>
      </c>
      <c r="E31" s="84" t="str">
        <f>IF(Scenarios!$G$27&lt;&gt;1, "", IF(Inputs!P53&lt;&gt;"", Scenarios!$D$5*Scenarios!G33,""))</f>
        <v/>
      </c>
      <c r="F31" s="84" t="str">
        <f>IF(Scenarios!$D$6="", "", IF(Inputs!P53&lt;&gt;"", Scenarios!$D$6*Scenarios!C33,""))</f>
        <v/>
      </c>
      <c r="G31" s="84" t="str">
        <f>IF(OR(Scenarios!$D$6="",Scenarios!$D$27&lt;&gt;1), "", IF(Inputs!P53&lt;&gt;"", Scenarios!$D$6*Scenarios!D33,""))</f>
        <v/>
      </c>
      <c r="H31" s="84" t="str">
        <f>IF(OR(Scenarios!$D$6="",Scenarios!$E$27&lt;&gt;1), "", IF(Inputs!P53&lt;&gt;"", Scenarios!$D$6*Scenarios!E33,""))</f>
        <v/>
      </c>
      <c r="I31" s="84" t="str">
        <f>IF(OR(Scenarios!$D$6="",Scenarios!$F$27&lt;&gt;1),"",IF(Inputs!P53&lt;&gt;"",Scenarios!$D$6*Scenarios!F33,""))</f>
        <v/>
      </c>
      <c r="J31" s="84" t="str">
        <f>IF(OR(Scenarios!$D$6="",Scenarios!$G$27&lt;&gt;1),"",IF(Inputs!P53&lt;&gt;"",Scenarios!$D$6*Scenarios!G33,""))</f>
        <v/>
      </c>
      <c r="K31" s="84" t="str">
        <f>IF(Scenarios!$D$7="","",IF(Inputs!P53&lt;&gt;"",Scenarios!$D$7*Scenarios!C33,""))</f>
        <v/>
      </c>
      <c r="L31" s="84" t="str">
        <f>IF(OR(Scenarios!$D$7="",Scenarios!$D$27&lt;&gt;1),"",IF(Inputs!P53&lt;&gt;"",Scenarios!$D$7*Scenarios!D33,""))</f>
        <v/>
      </c>
      <c r="M31" s="84" t="str">
        <f>IF(OR(Scenarios!$D$7="",Scenarios!$E$27&lt;&gt;1),"",IF(Inputs!P53&lt;&gt;"",Scenarios!$D$7*Scenarios!E33,""))</f>
        <v/>
      </c>
      <c r="N31" s="84" t="str">
        <f>IF(OR(Scenarios!$D$7="",Scenarios!$F$27&lt;&gt;1),"",IF(Inputs!P53&lt;&gt;"",Scenarios!$D$7*Scenarios!F33,""))</f>
        <v/>
      </c>
      <c r="O31" s="84" t="str">
        <f>IF(OR(Scenarios!$D$7="",Scenarios!$G$27&lt;&gt;1),"",IF(Inputs!P53&lt;&gt;"",Scenarios!$D$7*Scenarios!G33,""))</f>
        <v/>
      </c>
      <c r="P31" s="84" t="str">
        <f>IF(Scenarios!$D$8="","",IF(Inputs!P53&lt;&gt;"",Scenarios!$D$8*Scenarios!C33,""))</f>
        <v/>
      </c>
      <c r="Q31" s="84" t="str">
        <f>IF(OR(Scenarios!$D$8="",Scenarios!$D$27&lt;&gt;1),"",IF(Inputs!P53&lt;&gt;"",Scenarios!$D$8*Scenarios!D33,""))</f>
        <v/>
      </c>
      <c r="R31" s="84" t="str">
        <f>IF(OR(Scenarios!$D$8="",Scenarios!$E$27&lt;&gt;1),"",IF(Inputs!P53&lt;&gt;"",Scenarios!$D$8*Scenarios!E33,""))</f>
        <v/>
      </c>
      <c r="S31" s="84" t="str">
        <f>IF(OR(Scenarios!$D$8="",Scenarios!$F$27&lt;&gt;1),"",IF(Inputs!P53&lt;&gt;"",Scenarios!$D$8*Scenarios!F33,""))</f>
        <v/>
      </c>
      <c r="T31" s="84" t="str">
        <f>IF(OR(Scenarios!$D$8="",Scenarios!$G$27&lt;&gt;1),"",IF(Inputs!P53&lt;&gt;"",Scenarios!$D$8*Scenarios!G33,""))</f>
        <v/>
      </c>
      <c r="U31" s="84" t="str">
        <f>IF(Scenarios!$D$9="","",IF(Inputs!P53&lt;&gt;"",Scenarios!$D$9*Scenarios!C33,""))</f>
        <v/>
      </c>
      <c r="V31" s="84" t="str">
        <f>IF(OR(Scenarios!$D$9="",Scenarios!$D$27&lt;&gt;1),"",IF(Inputs!P53&lt;&gt;"",Scenarios!$D$9*Scenarios!D33,""))</f>
        <v/>
      </c>
      <c r="W31" s="84" t="str">
        <f>IF(OR(Scenarios!$D$9="",Scenarios!$E$27&lt;&gt;1),"",IF(Inputs!P53&lt;&gt;"",Scenarios!$D$9*Scenarios!E33,""))</f>
        <v/>
      </c>
      <c r="X31" s="84" t="str">
        <f>IF(OR(Scenarios!$D$9="",Scenarios!$F$27&lt;&gt;1),"",IF(Inputs!P53&lt;&gt;"",Scenarios!$D$9*Scenarios!F33,""))</f>
        <v/>
      </c>
      <c r="Y31" s="84" t="str">
        <f>IF(OR(Scenarios!$D$9="",Scenarios!$G$27&lt;&gt;1),"",IF(Inputs!P53&lt;&gt;"",Scenarios!$D$9*Scenarios!G33,""))</f>
        <v/>
      </c>
    </row>
    <row r="32" spans="1:25" x14ac:dyDescent="0.35">
      <c r="A32" s="84" t="str">
        <f>IF(Inputs!P54&lt;&gt;"", Scenarios!$D$5*Scenarios!C34,"")</f>
        <v/>
      </c>
      <c r="B32" s="84" t="str">
        <f>IF(Scenarios!$D$27&lt;&gt;1, "", IF(Inputs!P54&lt;&gt;"", Scenarios!$D$5*Scenarios!D34,""))</f>
        <v/>
      </c>
      <c r="C32" s="84" t="str">
        <f>IF(Scenarios!$E$27&lt;&gt;1, "", IF(Inputs!P54&lt;&gt;"", Scenarios!$D$5*Scenarios!E34,""))</f>
        <v/>
      </c>
      <c r="D32" s="84" t="str">
        <f>IF(Scenarios!$F$27&lt;&gt;1, "", IF(Inputs!P54&lt;&gt;"", Scenarios!$D$5*Scenarios!F34,""))</f>
        <v/>
      </c>
      <c r="E32" s="84" t="str">
        <f>IF(Scenarios!$G$27&lt;&gt;1, "", IF(Inputs!P54&lt;&gt;"", Scenarios!$D$5*Scenarios!G34,""))</f>
        <v/>
      </c>
      <c r="F32" s="84" t="str">
        <f>IF(Scenarios!$D$6="", "", IF(Inputs!P54&lt;&gt;"", Scenarios!$D$6*Scenarios!C34,""))</f>
        <v/>
      </c>
      <c r="G32" s="84" t="str">
        <f>IF(OR(Scenarios!$D$6="",Scenarios!$D$27&lt;&gt;1), "", IF(Inputs!P54&lt;&gt;"", Scenarios!$D$6*Scenarios!D34,""))</f>
        <v/>
      </c>
      <c r="H32" s="84" t="str">
        <f>IF(OR(Scenarios!$D$6="",Scenarios!$E$27&lt;&gt;1), "", IF(Inputs!P54&lt;&gt;"", Scenarios!$D$6*Scenarios!E34,""))</f>
        <v/>
      </c>
      <c r="I32" s="84" t="str">
        <f>IF(OR(Scenarios!$D$6="",Scenarios!$F$27&lt;&gt;1),"",IF(Inputs!P54&lt;&gt;"",Scenarios!$D$6*Scenarios!F34,""))</f>
        <v/>
      </c>
      <c r="J32" s="84" t="str">
        <f>IF(OR(Scenarios!$D$6="",Scenarios!$G$27&lt;&gt;1),"",IF(Inputs!P54&lt;&gt;"",Scenarios!$D$6*Scenarios!G34,""))</f>
        <v/>
      </c>
      <c r="K32" s="84" t="str">
        <f>IF(Scenarios!$D$7="","",IF(Inputs!P54&lt;&gt;"",Scenarios!$D$7*Scenarios!C34,""))</f>
        <v/>
      </c>
      <c r="L32" s="84" t="str">
        <f>IF(OR(Scenarios!$D$7="",Scenarios!$D$27&lt;&gt;1),"",IF(Inputs!P54&lt;&gt;"",Scenarios!$D$7*Scenarios!D34,""))</f>
        <v/>
      </c>
      <c r="M32" s="84" t="str">
        <f>IF(OR(Scenarios!$D$7="",Scenarios!$E$27&lt;&gt;1),"",IF(Inputs!P54&lt;&gt;"",Scenarios!$D$7*Scenarios!E34,""))</f>
        <v/>
      </c>
      <c r="N32" s="84" t="str">
        <f>IF(OR(Scenarios!$D$7="",Scenarios!$F$27&lt;&gt;1),"",IF(Inputs!P54&lt;&gt;"",Scenarios!$D$7*Scenarios!F34,""))</f>
        <v/>
      </c>
      <c r="O32" s="84" t="str">
        <f>IF(OR(Scenarios!$D$7="",Scenarios!$G$27&lt;&gt;1),"",IF(Inputs!P54&lt;&gt;"",Scenarios!$D$7*Scenarios!G34,""))</f>
        <v/>
      </c>
      <c r="P32" s="84" t="str">
        <f>IF(Scenarios!$D$8="","",IF(Inputs!P54&lt;&gt;"",Scenarios!$D$8*Scenarios!C34,""))</f>
        <v/>
      </c>
      <c r="Q32" s="84" t="str">
        <f>IF(OR(Scenarios!$D$8="",Scenarios!$D$27&lt;&gt;1),"",IF(Inputs!P54&lt;&gt;"",Scenarios!$D$8*Scenarios!D34,""))</f>
        <v/>
      </c>
      <c r="R32" s="84" t="str">
        <f>IF(OR(Scenarios!$D$8="",Scenarios!$E$27&lt;&gt;1),"",IF(Inputs!P54&lt;&gt;"",Scenarios!$D$8*Scenarios!E34,""))</f>
        <v/>
      </c>
      <c r="S32" s="84" t="str">
        <f>IF(OR(Scenarios!$D$8="",Scenarios!$F$27&lt;&gt;1),"",IF(Inputs!P54&lt;&gt;"",Scenarios!$D$8*Scenarios!F34,""))</f>
        <v/>
      </c>
      <c r="T32" s="84" t="str">
        <f>IF(OR(Scenarios!$D$8="",Scenarios!$G$27&lt;&gt;1),"",IF(Inputs!P54&lt;&gt;"",Scenarios!$D$8*Scenarios!G34,""))</f>
        <v/>
      </c>
      <c r="U32" s="84" t="str">
        <f>IF(Scenarios!$D$9="","",IF(Inputs!P54&lt;&gt;"",Scenarios!$D$9*Scenarios!C34,""))</f>
        <v/>
      </c>
      <c r="V32" s="84" t="str">
        <f>IF(OR(Scenarios!$D$9="",Scenarios!$D$27&lt;&gt;1),"",IF(Inputs!P54&lt;&gt;"",Scenarios!$D$9*Scenarios!D34,""))</f>
        <v/>
      </c>
      <c r="W32" s="84" t="str">
        <f>IF(OR(Scenarios!$D$9="",Scenarios!$E$27&lt;&gt;1),"",IF(Inputs!P54&lt;&gt;"",Scenarios!$D$9*Scenarios!E34,""))</f>
        <v/>
      </c>
      <c r="X32" s="84" t="str">
        <f>IF(OR(Scenarios!$D$9="",Scenarios!$F$27&lt;&gt;1),"",IF(Inputs!P54&lt;&gt;"",Scenarios!$D$9*Scenarios!F34,""))</f>
        <v/>
      </c>
      <c r="Y32" s="84" t="str">
        <f>IF(OR(Scenarios!$D$9="",Scenarios!$G$27&lt;&gt;1),"",IF(Inputs!P54&lt;&gt;"",Scenarios!$D$9*Scenarios!G34,""))</f>
        <v/>
      </c>
    </row>
    <row r="33" spans="1:25" x14ac:dyDescent="0.35">
      <c r="A33" s="84" t="str">
        <f>IF(Inputs!P55&lt;&gt;"", Scenarios!$D$5*Scenarios!C35,"")</f>
        <v/>
      </c>
      <c r="B33" s="84" t="str">
        <f>IF(Scenarios!$D$27&lt;&gt;1, "", IF(Inputs!P55&lt;&gt;"", Scenarios!$D$5*Scenarios!D35,""))</f>
        <v/>
      </c>
      <c r="C33" s="84" t="str">
        <f>IF(Scenarios!$E$27&lt;&gt;1, "", IF(Inputs!P55&lt;&gt;"", Scenarios!$D$5*Scenarios!E35,""))</f>
        <v/>
      </c>
      <c r="D33" s="84" t="str">
        <f>IF(Scenarios!$F$27&lt;&gt;1, "", IF(Inputs!P55&lt;&gt;"", Scenarios!$D$5*Scenarios!F35,""))</f>
        <v/>
      </c>
      <c r="E33" s="84" t="str">
        <f>IF(Scenarios!$G$27&lt;&gt;1, "", IF(Inputs!P55&lt;&gt;"", Scenarios!$D$5*Scenarios!G35,""))</f>
        <v/>
      </c>
      <c r="F33" s="84" t="str">
        <f>IF(Scenarios!$D$6="", "", IF(Inputs!P55&lt;&gt;"", Scenarios!$D$6*Scenarios!C35,""))</f>
        <v/>
      </c>
      <c r="G33" s="84" t="str">
        <f>IF(OR(Scenarios!$D$6="",Scenarios!$D$27&lt;&gt;1), "", IF(Inputs!P55&lt;&gt;"", Scenarios!$D$6*Scenarios!D35,""))</f>
        <v/>
      </c>
      <c r="H33" s="84" t="str">
        <f>IF(OR(Scenarios!$D$6="",Scenarios!$E$27&lt;&gt;1), "", IF(Inputs!P55&lt;&gt;"", Scenarios!$D$6*Scenarios!E35,""))</f>
        <v/>
      </c>
      <c r="I33" s="84" t="str">
        <f>IF(OR(Scenarios!$D$6="",Scenarios!$F$27&lt;&gt;1),"",IF(Inputs!P55&lt;&gt;"",Scenarios!$D$6*Scenarios!F35,""))</f>
        <v/>
      </c>
      <c r="J33" s="84" t="str">
        <f>IF(OR(Scenarios!$D$6="",Scenarios!$G$27&lt;&gt;1),"",IF(Inputs!P55&lt;&gt;"",Scenarios!$D$6*Scenarios!G35,""))</f>
        <v/>
      </c>
      <c r="K33" s="84" t="str">
        <f>IF(Scenarios!$D$7="","",IF(Inputs!P55&lt;&gt;"",Scenarios!$D$7*Scenarios!C35,""))</f>
        <v/>
      </c>
      <c r="L33" s="84" t="str">
        <f>IF(OR(Scenarios!$D$7="",Scenarios!$D$27&lt;&gt;1),"",IF(Inputs!P55&lt;&gt;"",Scenarios!$D$7*Scenarios!D35,""))</f>
        <v/>
      </c>
      <c r="M33" s="84" t="str">
        <f>IF(OR(Scenarios!$D$7="",Scenarios!$E$27&lt;&gt;1),"",IF(Inputs!P55&lt;&gt;"",Scenarios!$D$7*Scenarios!E35,""))</f>
        <v/>
      </c>
      <c r="N33" s="84" t="str">
        <f>IF(OR(Scenarios!$D$7="",Scenarios!$F$27&lt;&gt;1),"",IF(Inputs!P55&lt;&gt;"",Scenarios!$D$7*Scenarios!F35,""))</f>
        <v/>
      </c>
      <c r="O33" s="84" t="str">
        <f>IF(OR(Scenarios!$D$7="",Scenarios!$G$27&lt;&gt;1),"",IF(Inputs!P55&lt;&gt;"",Scenarios!$D$7*Scenarios!G35,""))</f>
        <v/>
      </c>
      <c r="P33" s="84" t="str">
        <f>IF(Scenarios!$D$8="","",IF(Inputs!P55&lt;&gt;"",Scenarios!$D$8*Scenarios!C35,""))</f>
        <v/>
      </c>
      <c r="Q33" s="84" t="str">
        <f>IF(OR(Scenarios!$D$8="",Scenarios!$D$27&lt;&gt;1),"",IF(Inputs!P55&lt;&gt;"",Scenarios!$D$8*Scenarios!D35,""))</f>
        <v/>
      </c>
      <c r="R33" s="84" t="str">
        <f>IF(OR(Scenarios!$D$8="",Scenarios!$E$27&lt;&gt;1),"",IF(Inputs!P55&lt;&gt;"",Scenarios!$D$8*Scenarios!E35,""))</f>
        <v/>
      </c>
      <c r="S33" s="84" t="str">
        <f>IF(OR(Scenarios!$D$8="",Scenarios!$F$27&lt;&gt;1),"",IF(Inputs!P55&lt;&gt;"",Scenarios!$D$8*Scenarios!F35,""))</f>
        <v/>
      </c>
      <c r="T33" s="84" t="str">
        <f>IF(OR(Scenarios!$D$8="",Scenarios!$G$27&lt;&gt;1),"",IF(Inputs!P55&lt;&gt;"",Scenarios!$D$8*Scenarios!G35,""))</f>
        <v/>
      </c>
      <c r="U33" s="84" t="str">
        <f>IF(Scenarios!$D$9="","",IF(Inputs!P55&lt;&gt;"",Scenarios!$D$9*Scenarios!C35,""))</f>
        <v/>
      </c>
      <c r="V33" s="84" t="str">
        <f>IF(OR(Scenarios!$D$9="",Scenarios!$D$27&lt;&gt;1),"",IF(Inputs!P55&lt;&gt;"",Scenarios!$D$9*Scenarios!D35,""))</f>
        <v/>
      </c>
      <c r="W33" s="84" t="str">
        <f>IF(OR(Scenarios!$D$9="",Scenarios!$E$27&lt;&gt;1),"",IF(Inputs!P55&lt;&gt;"",Scenarios!$D$9*Scenarios!E35,""))</f>
        <v/>
      </c>
      <c r="X33" s="84" t="str">
        <f>IF(OR(Scenarios!$D$9="",Scenarios!$F$27&lt;&gt;1),"",IF(Inputs!P55&lt;&gt;"",Scenarios!$D$9*Scenarios!F35,""))</f>
        <v/>
      </c>
      <c r="Y33" s="84" t="str">
        <f>IF(OR(Scenarios!$D$9="",Scenarios!$G$27&lt;&gt;1),"",IF(Inputs!P55&lt;&gt;"",Scenarios!$D$9*Scenarios!G35,""))</f>
        <v/>
      </c>
    </row>
    <row r="34" spans="1:25" x14ac:dyDescent="0.35">
      <c r="A34" s="84" t="str">
        <f>IF(Inputs!P56&lt;&gt;"", Scenarios!$D$5*Scenarios!C36,"")</f>
        <v/>
      </c>
      <c r="B34" s="84" t="str">
        <f>IF(Scenarios!$D$27&lt;&gt;1, "", IF(Inputs!P56&lt;&gt;"", Scenarios!$D$5*Scenarios!D36,""))</f>
        <v/>
      </c>
      <c r="C34" s="84" t="str">
        <f>IF(Scenarios!$E$27&lt;&gt;1, "", IF(Inputs!P56&lt;&gt;"", Scenarios!$D$5*Scenarios!E36,""))</f>
        <v/>
      </c>
      <c r="D34" s="84" t="str">
        <f>IF(Scenarios!$F$27&lt;&gt;1, "", IF(Inputs!P56&lt;&gt;"", Scenarios!$D$5*Scenarios!F36,""))</f>
        <v/>
      </c>
      <c r="E34" s="84" t="str">
        <f>IF(Scenarios!$G$27&lt;&gt;1, "", IF(Inputs!P56&lt;&gt;"", Scenarios!$D$5*Scenarios!G36,""))</f>
        <v/>
      </c>
      <c r="F34" s="84" t="str">
        <f>IF(Scenarios!$D$6="", "", IF(Inputs!P56&lt;&gt;"", Scenarios!$D$6*Scenarios!C36,""))</f>
        <v/>
      </c>
      <c r="G34" s="84" t="str">
        <f>IF(OR(Scenarios!$D$6="",Scenarios!$D$27&lt;&gt;1), "", IF(Inputs!P56&lt;&gt;"", Scenarios!$D$6*Scenarios!D36,""))</f>
        <v/>
      </c>
      <c r="H34" s="84" t="str">
        <f>IF(OR(Scenarios!$D$6="",Scenarios!$E$27&lt;&gt;1), "", IF(Inputs!P56&lt;&gt;"", Scenarios!$D$6*Scenarios!E36,""))</f>
        <v/>
      </c>
      <c r="I34" s="84" t="str">
        <f>IF(OR(Scenarios!$D$6="",Scenarios!$F$27&lt;&gt;1),"",IF(Inputs!P56&lt;&gt;"",Scenarios!$D$6*Scenarios!F36,""))</f>
        <v/>
      </c>
      <c r="J34" s="84" t="str">
        <f>IF(OR(Scenarios!$D$6="",Scenarios!$G$27&lt;&gt;1),"",IF(Inputs!P56&lt;&gt;"",Scenarios!$D$6*Scenarios!G36,""))</f>
        <v/>
      </c>
      <c r="K34" s="84" t="str">
        <f>IF(Scenarios!$D$7="","",IF(Inputs!P56&lt;&gt;"",Scenarios!$D$7*Scenarios!C36,""))</f>
        <v/>
      </c>
      <c r="L34" s="84" t="str">
        <f>IF(OR(Scenarios!$D$7="",Scenarios!$D$27&lt;&gt;1),"",IF(Inputs!P56&lt;&gt;"",Scenarios!$D$7*Scenarios!D36,""))</f>
        <v/>
      </c>
      <c r="M34" s="84" t="str">
        <f>IF(OR(Scenarios!$D$7="",Scenarios!$E$27&lt;&gt;1),"",IF(Inputs!P56&lt;&gt;"",Scenarios!$D$7*Scenarios!E36,""))</f>
        <v/>
      </c>
      <c r="N34" s="84" t="str">
        <f>IF(OR(Scenarios!$D$7="",Scenarios!$F$27&lt;&gt;1),"",IF(Inputs!P56&lt;&gt;"",Scenarios!$D$7*Scenarios!F36,""))</f>
        <v/>
      </c>
      <c r="O34" s="84" t="str">
        <f>IF(OR(Scenarios!$D$7="",Scenarios!$G$27&lt;&gt;1),"",IF(Inputs!P56&lt;&gt;"",Scenarios!$D$7*Scenarios!G36,""))</f>
        <v/>
      </c>
      <c r="P34" s="84" t="str">
        <f>IF(Scenarios!$D$8="","",IF(Inputs!P56&lt;&gt;"",Scenarios!$D$8*Scenarios!C36,""))</f>
        <v/>
      </c>
      <c r="Q34" s="84" t="str">
        <f>IF(OR(Scenarios!$D$8="",Scenarios!$D$27&lt;&gt;1),"",IF(Inputs!P56&lt;&gt;"",Scenarios!$D$8*Scenarios!D36,""))</f>
        <v/>
      </c>
      <c r="R34" s="84" t="str">
        <f>IF(OR(Scenarios!$D$8="",Scenarios!$E$27&lt;&gt;1),"",IF(Inputs!P56&lt;&gt;"",Scenarios!$D$8*Scenarios!E36,""))</f>
        <v/>
      </c>
      <c r="S34" s="84" t="str">
        <f>IF(OR(Scenarios!$D$8="",Scenarios!$F$27&lt;&gt;1),"",IF(Inputs!P56&lt;&gt;"",Scenarios!$D$8*Scenarios!F36,""))</f>
        <v/>
      </c>
      <c r="T34" s="84" t="str">
        <f>IF(OR(Scenarios!$D$8="",Scenarios!$G$27&lt;&gt;1),"",IF(Inputs!P56&lt;&gt;"",Scenarios!$D$8*Scenarios!G36,""))</f>
        <v/>
      </c>
      <c r="U34" s="84" t="str">
        <f>IF(Scenarios!$D$9="","",IF(Inputs!P56&lt;&gt;"",Scenarios!$D$9*Scenarios!C36,""))</f>
        <v/>
      </c>
      <c r="V34" s="84" t="str">
        <f>IF(OR(Scenarios!$D$9="",Scenarios!$D$27&lt;&gt;1),"",IF(Inputs!P56&lt;&gt;"",Scenarios!$D$9*Scenarios!D36,""))</f>
        <v/>
      </c>
      <c r="W34" s="84" t="str">
        <f>IF(OR(Scenarios!$D$9="",Scenarios!$E$27&lt;&gt;1),"",IF(Inputs!P56&lt;&gt;"",Scenarios!$D$9*Scenarios!E36,""))</f>
        <v/>
      </c>
      <c r="X34" s="84" t="str">
        <f>IF(OR(Scenarios!$D$9="",Scenarios!$F$27&lt;&gt;1),"",IF(Inputs!P56&lt;&gt;"",Scenarios!$D$9*Scenarios!F36,""))</f>
        <v/>
      </c>
      <c r="Y34" s="84" t="str">
        <f>IF(OR(Scenarios!$D$9="",Scenarios!$G$27&lt;&gt;1),"",IF(Inputs!P56&lt;&gt;"",Scenarios!$D$9*Scenarios!G36,""))</f>
        <v/>
      </c>
    </row>
    <row r="35" spans="1:25" x14ac:dyDescent="0.35">
      <c r="A35" s="84" t="str">
        <f>IF(Inputs!P57&lt;&gt;"", Scenarios!$D$5*Scenarios!C37,"")</f>
        <v/>
      </c>
      <c r="B35" s="84" t="str">
        <f>IF(Scenarios!$D$27&lt;&gt;1, "", IF(Inputs!P57&lt;&gt;"", Scenarios!$D$5*Scenarios!D37,""))</f>
        <v/>
      </c>
      <c r="C35" s="84" t="str">
        <f>IF(Scenarios!$E$27&lt;&gt;1, "", IF(Inputs!P57&lt;&gt;"", Scenarios!$D$5*Scenarios!E37,""))</f>
        <v/>
      </c>
      <c r="D35" s="84" t="str">
        <f>IF(Scenarios!$F$27&lt;&gt;1, "", IF(Inputs!P57&lt;&gt;"", Scenarios!$D$5*Scenarios!F37,""))</f>
        <v/>
      </c>
      <c r="E35" s="84" t="str">
        <f>IF(Scenarios!$G$27&lt;&gt;1, "", IF(Inputs!P57&lt;&gt;"", Scenarios!$D$5*Scenarios!G37,""))</f>
        <v/>
      </c>
      <c r="F35" s="84" t="str">
        <f>IF(Scenarios!$D$6="", "", IF(Inputs!P57&lt;&gt;"", Scenarios!$D$6*Scenarios!C37,""))</f>
        <v/>
      </c>
      <c r="G35" s="84" t="str">
        <f>IF(OR(Scenarios!$D$6="",Scenarios!$D$27&lt;&gt;1), "", IF(Inputs!P57&lt;&gt;"", Scenarios!$D$6*Scenarios!D37,""))</f>
        <v/>
      </c>
      <c r="H35" s="84" t="str">
        <f>IF(OR(Scenarios!$D$6="",Scenarios!$E$27&lt;&gt;1), "", IF(Inputs!P57&lt;&gt;"", Scenarios!$D$6*Scenarios!E37,""))</f>
        <v/>
      </c>
      <c r="I35" s="84" t="str">
        <f>IF(OR(Scenarios!$D$6="",Scenarios!$F$27&lt;&gt;1),"",IF(Inputs!P57&lt;&gt;"",Scenarios!$D$6*Scenarios!F37,""))</f>
        <v/>
      </c>
      <c r="J35" s="84" t="str">
        <f>IF(OR(Scenarios!$D$6="",Scenarios!$G$27&lt;&gt;1),"",IF(Inputs!P57&lt;&gt;"",Scenarios!$D$6*Scenarios!G37,""))</f>
        <v/>
      </c>
      <c r="K35" s="84" t="str">
        <f>IF(Scenarios!$D$7="","",IF(Inputs!P57&lt;&gt;"",Scenarios!$D$7*Scenarios!C37,""))</f>
        <v/>
      </c>
      <c r="L35" s="84" t="str">
        <f>IF(OR(Scenarios!$D$7="",Scenarios!$D$27&lt;&gt;1),"",IF(Inputs!P57&lt;&gt;"",Scenarios!$D$7*Scenarios!D37,""))</f>
        <v/>
      </c>
      <c r="M35" s="84" t="str">
        <f>IF(OR(Scenarios!$D$7="",Scenarios!$E$27&lt;&gt;1),"",IF(Inputs!P57&lt;&gt;"",Scenarios!$D$7*Scenarios!E37,""))</f>
        <v/>
      </c>
      <c r="N35" s="84" t="str">
        <f>IF(OR(Scenarios!$D$7="",Scenarios!$F$27&lt;&gt;1),"",IF(Inputs!P57&lt;&gt;"",Scenarios!$D$7*Scenarios!F37,""))</f>
        <v/>
      </c>
      <c r="O35" s="84" t="str">
        <f>IF(OR(Scenarios!$D$7="",Scenarios!$G$27&lt;&gt;1),"",IF(Inputs!P57&lt;&gt;"",Scenarios!$D$7*Scenarios!G37,""))</f>
        <v/>
      </c>
      <c r="P35" s="84" t="str">
        <f>IF(Scenarios!$D$8="","",IF(Inputs!P57&lt;&gt;"",Scenarios!$D$8*Scenarios!C37,""))</f>
        <v/>
      </c>
      <c r="Q35" s="84" t="str">
        <f>IF(OR(Scenarios!$D$8="",Scenarios!$D$27&lt;&gt;1),"",IF(Inputs!P57&lt;&gt;"",Scenarios!$D$8*Scenarios!D37,""))</f>
        <v/>
      </c>
      <c r="R35" s="84" t="str">
        <f>IF(OR(Scenarios!$D$8="",Scenarios!$E$27&lt;&gt;1),"",IF(Inputs!P57&lt;&gt;"",Scenarios!$D$8*Scenarios!E37,""))</f>
        <v/>
      </c>
      <c r="S35" s="84" t="str">
        <f>IF(OR(Scenarios!$D$8="",Scenarios!$F$27&lt;&gt;1),"",IF(Inputs!P57&lt;&gt;"",Scenarios!$D$8*Scenarios!F37,""))</f>
        <v/>
      </c>
      <c r="T35" s="84" t="str">
        <f>IF(OR(Scenarios!$D$8="",Scenarios!$G$27&lt;&gt;1),"",IF(Inputs!P57&lt;&gt;"",Scenarios!$D$8*Scenarios!G37,""))</f>
        <v/>
      </c>
      <c r="U35" s="84" t="str">
        <f>IF(Scenarios!$D$9="","",IF(Inputs!P57&lt;&gt;"",Scenarios!$D$9*Scenarios!C37,""))</f>
        <v/>
      </c>
      <c r="V35" s="84" t="str">
        <f>IF(OR(Scenarios!$D$9="",Scenarios!$D$27&lt;&gt;1),"",IF(Inputs!P57&lt;&gt;"",Scenarios!$D$9*Scenarios!D37,""))</f>
        <v/>
      </c>
      <c r="W35" s="84" t="str">
        <f>IF(OR(Scenarios!$D$9="",Scenarios!$E$27&lt;&gt;1),"",IF(Inputs!P57&lt;&gt;"",Scenarios!$D$9*Scenarios!E37,""))</f>
        <v/>
      </c>
      <c r="X35" s="84" t="str">
        <f>IF(OR(Scenarios!$D$9="",Scenarios!$F$27&lt;&gt;1),"",IF(Inputs!P57&lt;&gt;"",Scenarios!$D$9*Scenarios!F37,""))</f>
        <v/>
      </c>
      <c r="Y35" s="84" t="str">
        <f>IF(OR(Scenarios!$D$9="",Scenarios!$G$27&lt;&gt;1),"",IF(Inputs!P57&lt;&gt;"",Scenarios!$D$9*Scenarios!G37,""))</f>
        <v/>
      </c>
    </row>
    <row r="36" spans="1:25" x14ac:dyDescent="0.35">
      <c r="A36" s="84" t="str">
        <f>IF(Inputs!P58&lt;&gt;"", Scenarios!$D$5*Scenarios!C38,"")</f>
        <v/>
      </c>
      <c r="B36" s="84" t="str">
        <f>IF(Scenarios!$D$27&lt;&gt;1, "", IF(Inputs!P58&lt;&gt;"", Scenarios!$D$5*Scenarios!D38,""))</f>
        <v/>
      </c>
      <c r="C36" s="84" t="str">
        <f>IF(Scenarios!$E$27&lt;&gt;1, "", IF(Inputs!P58&lt;&gt;"", Scenarios!$D$5*Scenarios!E38,""))</f>
        <v/>
      </c>
      <c r="D36" s="84" t="str">
        <f>IF(Scenarios!$F$27&lt;&gt;1, "", IF(Inputs!P58&lt;&gt;"", Scenarios!$D$5*Scenarios!F38,""))</f>
        <v/>
      </c>
      <c r="E36" s="84" t="str">
        <f>IF(Scenarios!$G$27&lt;&gt;1, "", IF(Inputs!P58&lt;&gt;"", Scenarios!$D$5*Scenarios!G38,""))</f>
        <v/>
      </c>
      <c r="F36" s="84" t="str">
        <f>IF(Scenarios!$D$6="", "", IF(Inputs!P58&lt;&gt;"", Scenarios!$D$6*Scenarios!C38,""))</f>
        <v/>
      </c>
      <c r="G36" s="84" t="str">
        <f>IF(OR(Scenarios!$D$6="",Scenarios!$D$27&lt;&gt;1), "", IF(Inputs!P58&lt;&gt;"", Scenarios!$D$6*Scenarios!D38,""))</f>
        <v/>
      </c>
      <c r="H36" s="84" t="str">
        <f>IF(OR(Scenarios!$D$6="",Scenarios!$E$27&lt;&gt;1), "", IF(Inputs!P58&lt;&gt;"", Scenarios!$D$6*Scenarios!E38,""))</f>
        <v/>
      </c>
      <c r="I36" s="84" t="str">
        <f>IF(OR(Scenarios!$D$6="",Scenarios!$F$27&lt;&gt;1),"",IF(Inputs!P58&lt;&gt;"",Scenarios!$D$6*Scenarios!F38,""))</f>
        <v/>
      </c>
      <c r="J36" s="84" t="str">
        <f>IF(OR(Scenarios!$D$6="",Scenarios!$G$27&lt;&gt;1),"",IF(Inputs!P58&lt;&gt;"",Scenarios!$D$6*Scenarios!G38,""))</f>
        <v/>
      </c>
      <c r="K36" s="84" t="str">
        <f>IF(Scenarios!$D$7="","",IF(Inputs!P58&lt;&gt;"",Scenarios!$D$7*Scenarios!C38,""))</f>
        <v/>
      </c>
      <c r="L36" s="84" t="str">
        <f>IF(OR(Scenarios!$D$7="",Scenarios!$D$27&lt;&gt;1),"",IF(Inputs!P58&lt;&gt;"",Scenarios!$D$7*Scenarios!D38,""))</f>
        <v/>
      </c>
      <c r="M36" s="84" t="str">
        <f>IF(OR(Scenarios!$D$7="",Scenarios!$E$27&lt;&gt;1),"",IF(Inputs!P58&lt;&gt;"",Scenarios!$D$7*Scenarios!E38,""))</f>
        <v/>
      </c>
      <c r="N36" s="84" t="str">
        <f>IF(OR(Scenarios!$D$7="",Scenarios!$F$27&lt;&gt;1),"",IF(Inputs!P58&lt;&gt;"",Scenarios!$D$7*Scenarios!F38,""))</f>
        <v/>
      </c>
      <c r="O36" s="84" t="str">
        <f>IF(OR(Scenarios!$D$7="",Scenarios!$G$27&lt;&gt;1),"",IF(Inputs!P58&lt;&gt;"",Scenarios!$D$7*Scenarios!G38,""))</f>
        <v/>
      </c>
      <c r="P36" s="84" t="str">
        <f>IF(Scenarios!$D$8="","",IF(Inputs!P58&lt;&gt;"",Scenarios!$D$8*Scenarios!C38,""))</f>
        <v/>
      </c>
      <c r="Q36" s="84" t="str">
        <f>IF(OR(Scenarios!$D$8="",Scenarios!$D$27&lt;&gt;1),"",IF(Inputs!P58&lt;&gt;"",Scenarios!$D$8*Scenarios!D38,""))</f>
        <v/>
      </c>
      <c r="R36" s="84" t="str">
        <f>IF(OR(Scenarios!$D$8="",Scenarios!$E$27&lt;&gt;1),"",IF(Inputs!P58&lt;&gt;"",Scenarios!$D$8*Scenarios!E38,""))</f>
        <v/>
      </c>
      <c r="S36" s="84" t="str">
        <f>IF(OR(Scenarios!$D$8="",Scenarios!$F$27&lt;&gt;1),"",IF(Inputs!P58&lt;&gt;"",Scenarios!$D$8*Scenarios!F38,""))</f>
        <v/>
      </c>
      <c r="T36" s="84" t="str">
        <f>IF(OR(Scenarios!$D$8="",Scenarios!$G$27&lt;&gt;1),"",IF(Inputs!P58&lt;&gt;"",Scenarios!$D$8*Scenarios!G38,""))</f>
        <v/>
      </c>
      <c r="U36" s="84" t="str">
        <f>IF(Scenarios!$D$9="","",IF(Inputs!P58&lt;&gt;"",Scenarios!$D$9*Scenarios!C38,""))</f>
        <v/>
      </c>
      <c r="V36" s="84" t="str">
        <f>IF(OR(Scenarios!$D$9="",Scenarios!$D$27&lt;&gt;1),"",IF(Inputs!P58&lt;&gt;"",Scenarios!$D$9*Scenarios!D38,""))</f>
        <v/>
      </c>
      <c r="W36" s="84" t="str">
        <f>IF(OR(Scenarios!$D$9="",Scenarios!$E$27&lt;&gt;1),"",IF(Inputs!P58&lt;&gt;"",Scenarios!$D$9*Scenarios!E38,""))</f>
        <v/>
      </c>
      <c r="X36" s="84" t="str">
        <f>IF(OR(Scenarios!$D$9="",Scenarios!$F$27&lt;&gt;1),"",IF(Inputs!P58&lt;&gt;"",Scenarios!$D$9*Scenarios!F38,""))</f>
        <v/>
      </c>
      <c r="Y36" s="84" t="str">
        <f>IF(OR(Scenarios!$D$9="",Scenarios!$G$27&lt;&gt;1),"",IF(Inputs!P58&lt;&gt;"",Scenarios!$D$9*Scenarios!G38,""))</f>
        <v/>
      </c>
    </row>
    <row r="37" spans="1:25" x14ac:dyDescent="0.35">
      <c r="A37" s="84" t="str">
        <f>IF(Inputs!P59&lt;&gt;"", Scenarios!$D$5*Scenarios!C39,"")</f>
        <v/>
      </c>
      <c r="B37" s="84" t="str">
        <f>IF(Scenarios!$D$27&lt;&gt;1, "", IF(Inputs!P59&lt;&gt;"", Scenarios!$D$5*Scenarios!D39,""))</f>
        <v/>
      </c>
      <c r="C37" s="84" t="str">
        <f>IF(Scenarios!$E$27&lt;&gt;1, "", IF(Inputs!P59&lt;&gt;"", Scenarios!$D$5*Scenarios!E39,""))</f>
        <v/>
      </c>
      <c r="D37" s="84" t="str">
        <f>IF(Scenarios!$F$27&lt;&gt;1, "", IF(Inputs!P59&lt;&gt;"", Scenarios!$D$5*Scenarios!F39,""))</f>
        <v/>
      </c>
      <c r="E37" s="84" t="str">
        <f>IF(Scenarios!$G$27&lt;&gt;1, "", IF(Inputs!P59&lt;&gt;"", Scenarios!$D$5*Scenarios!G39,""))</f>
        <v/>
      </c>
      <c r="F37" s="84" t="str">
        <f>IF(Scenarios!$D$6="", "", IF(Inputs!P59&lt;&gt;"", Scenarios!$D$6*Scenarios!C39,""))</f>
        <v/>
      </c>
      <c r="G37" s="84" t="str">
        <f>IF(OR(Scenarios!$D$6="",Scenarios!$D$27&lt;&gt;1), "", IF(Inputs!P59&lt;&gt;"", Scenarios!$D$6*Scenarios!D39,""))</f>
        <v/>
      </c>
      <c r="H37" s="84" t="str">
        <f>IF(OR(Scenarios!$D$6="",Scenarios!$E$27&lt;&gt;1), "", IF(Inputs!P59&lt;&gt;"", Scenarios!$D$6*Scenarios!E39,""))</f>
        <v/>
      </c>
      <c r="I37" s="84" t="str">
        <f>IF(OR(Scenarios!$D$6="",Scenarios!$F$27&lt;&gt;1),"",IF(Inputs!P59&lt;&gt;"",Scenarios!$D$6*Scenarios!F39,""))</f>
        <v/>
      </c>
      <c r="J37" s="84" t="str">
        <f>IF(OR(Scenarios!$D$6="",Scenarios!$G$27&lt;&gt;1),"",IF(Inputs!P59&lt;&gt;"",Scenarios!$D$6*Scenarios!G39,""))</f>
        <v/>
      </c>
      <c r="K37" s="84" t="str">
        <f>IF(Scenarios!$D$7="","",IF(Inputs!P59&lt;&gt;"",Scenarios!$D$7*Scenarios!C39,""))</f>
        <v/>
      </c>
      <c r="L37" s="84" t="str">
        <f>IF(OR(Scenarios!$D$7="",Scenarios!$D$27&lt;&gt;1),"",IF(Inputs!P59&lt;&gt;"",Scenarios!$D$7*Scenarios!D39,""))</f>
        <v/>
      </c>
      <c r="M37" s="84" t="str">
        <f>IF(OR(Scenarios!$D$7="",Scenarios!$E$27&lt;&gt;1),"",IF(Inputs!P59&lt;&gt;"",Scenarios!$D$7*Scenarios!E39,""))</f>
        <v/>
      </c>
      <c r="N37" s="84" t="str">
        <f>IF(OR(Scenarios!$D$7="",Scenarios!$F$27&lt;&gt;1),"",IF(Inputs!P59&lt;&gt;"",Scenarios!$D$7*Scenarios!F39,""))</f>
        <v/>
      </c>
      <c r="O37" s="84" t="str">
        <f>IF(OR(Scenarios!$D$7="",Scenarios!$G$27&lt;&gt;1),"",IF(Inputs!P59&lt;&gt;"",Scenarios!$D$7*Scenarios!G39,""))</f>
        <v/>
      </c>
      <c r="P37" s="84" t="str">
        <f>IF(Scenarios!$D$8="","",IF(Inputs!P59&lt;&gt;"",Scenarios!$D$8*Scenarios!C39,""))</f>
        <v/>
      </c>
      <c r="Q37" s="84" t="str">
        <f>IF(OR(Scenarios!$D$8="",Scenarios!$D$27&lt;&gt;1),"",IF(Inputs!P59&lt;&gt;"",Scenarios!$D$8*Scenarios!D39,""))</f>
        <v/>
      </c>
      <c r="R37" s="84" t="str">
        <f>IF(OR(Scenarios!$D$8="",Scenarios!$E$27&lt;&gt;1),"",IF(Inputs!P59&lt;&gt;"",Scenarios!$D$8*Scenarios!E39,""))</f>
        <v/>
      </c>
      <c r="S37" s="84" t="str">
        <f>IF(OR(Scenarios!$D$8="",Scenarios!$F$27&lt;&gt;1),"",IF(Inputs!P59&lt;&gt;"",Scenarios!$D$8*Scenarios!F39,""))</f>
        <v/>
      </c>
      <c r="T37" s="84" t="str">
        <f>IF(OR(Scenarios!$D$8="",Scenarios!$G$27&lt;&gt;1),"",IF(Inputs!P59&lt;&gt;"",Scenarios!$D$8*Scenarios!G39,""))</f>
        <v/>
      </c>
      <c r="U37" s="84" t="str">
        <f>IF(Scenarios!$D$9="","",IF(Inputs!P59&lt;&gt;"",Scenarios!$D$9*Scenarios!C39,""))</f>
        <v/>
      </c>
      <c r="V37" s="84" t="str">
        <f>IF(OR(Scenarios!$D$9="",Scenarios!$D$27&lt;&gt;1),"",IF(Inputs!P59&lt;&gt;"",Scenarios!$D$9*Scenarios!D39,""))</f>
        <v/>
      </c>
      <c r="W37" s="84" t="str">
        <f>IF(OR(Scenarios!$D$9="",Scenarios!$E$27&lt;&gt;1),"",IF(Inputs!P59&lt;&gt;"",Scenarios!$D$9*Scenarios!E39,""))</f>
        <v/>
      </c>
      <c r="X37" s="84" t="str">
        <f>IF(OR(Scenarios!$D$9="",Scenarios!$F$27&lt;&gt;1),"",IF(Inputs!P59&lt;&gt;"",Scenarios!$D$9*Scenarios!F39,""))</f>
        <v/>
      </c>
      <c r="Y37" s="84" t="str">
        <f>IF(OR(Scenarios!$D$9="",Scenarios!$G$27&lt;&gt;1),"",IF(Inputs!P59&lt;&gt;"",Scenarios!$D$9*Scenarios!G39,""))</f>
        <v/>
      </c>
    </row>
    <row r="38" spans="1:25" x14ac:dyDescent="0.35">
      <c r="A38" s="84" t="str">
        <f>IF(Inputs!P60&lt;&gt;"", Scenarios!$E$5*Scenarios!C42,"")</f>
        <v/>
      </c>
      <c r="B38" s="84" t="str">
        <f>IF(Scenarios!$D$41&lt;&gt;1, "", IF(Inputs!P60&lt;&gt;"", Scenarios!$E$5*Scenarios!D42,""))</f>
        <v/>
      </c>
      <c r="C38" s="84" t="str">
        <f>IF(Scenarios!$E$41&lt;&gt;1, "", IF(Inputs!P60&lt;&gt;"", Scenarios!$E$5*Scenarios!E42,""))</f>
        <v/>
      </c>
      <c r="D38" s="84" t="str">
        <f>IF(Scenarios!$F$41&lt;&gt;1, "", IF(Inputs!P60&lt;&gt;"", Scenarios!$E$5*Scenarios!F42,""))</f>
        <v/>
      </c>
      <c r="E38" s="84" t="str">
        <f>IF(Scenarios!$G$41&lt;&gt;1, "", IF(Inputs!P60&lt;&gt;"", Scenarios!$E$5*Scenarios!G42,""))</f>
        <v/>
      </c>
      <c r="F38" s="84" t="str">
        <f>IF(Scenarios!$E$6="", "", IF(Inputs!P60&lt;&gt;"", Scenarios!$E$6*Scenarios!C42,""))</f>
        <v/>
      </c>
      <c r="G38" s="84" t="str">
        <f>IF(OR(Scenarios!$E$6="",Scenarios!$D$41&lt;&gt;1), "", IF(Inputs!P60&lt;&gt;"", Scenarios!$E$6*Scenarios!D42,""))</f>
        <v/>
      </c>
      <c r="H38" s="84" t="str">
        <f>IF(OR(Scenarios!$E$6="",Scenarios!$E$41&lt;&gt;1), "", IF(Inputs!P60&lt;&gt;"", Scenarios!$E$6*Scenarios!E42,""))</f>
        <v/>
      </c>
      <c r="I38" s="84" t="str">
        <f>IF(OR(Scenarios!$E$6="",Scenarios!$F$41&lt;&gt;1),"",IF(Inputs!P60&lt;&gt;"",Scenarios!$E$6*Scenarios!F42,""))</f>
        <v/>
      </c>
      <c r="J38" s="84" t="str">
        <f>IF(OR(Scenarios!$E$6="",Scenarios!$G$41&lt;&gt;1),"",IF(Inputs!P60&lt;&gt;"",Scenarios!$E$6*Scenarios!G42,""))</f>
        <v/>
      </c>
      <c r="K38" s="84" t="str">
        <f>IF(Scenarios!$E$7="","",IF(Inputs!P60&lt;&gt;"",Scenarios!$E$7*Scenarios!C42,""))</f>
        <v/>
      </c>
      <c r="L38" s="84" t="str">
        <f>IF(OR(Scenarios!$E$7="",Scenarios!$D$41&lt;&gt;1),"",IF(Inputs!P60&lt;&gt;"",Scenarios!$E$7*Scenarios!D42,""))</f>
        <v/>
      </c>
      <c r="M38" s="84" t="str">
        <f>IF(OR(Scenarios!$E$7="",Scenarios!$E$41&lt;&gt;1),"",IF(Inputs!P60&lt;&gt;"",Scenarios!$E$7*Scenarios!E42,""))</f>
        <v/>
      </c>
      <c r="N38" s="84" t="str">
        <f>IF(OR(Scenarios!$E$7="",Scenarios!$F$41&lt;&gt;1),"",IF(Inputs!P60&lt;&gt;"",Scenarios!$E$7*Scenarios!F42,""))</f>
        <v/>
      </c>
      <c r="O38" s="84" t="str">
        <f>IF(OR(Scenarios!$E$7="",Scenarios!$G$41&lt;&gt;1),"",IF(Inputs!P60&lt;&gt;"",Scenarios!$E$7*Scenarios!G42,""))</f>
        <v/>
      </c>
      <c r="P38" s="84" t="str">
        <f>IF(Scenarios!$E$8="","",IF(Inputs!P60&lt;&gt;"",Scenarios!$E$8*Scenarios!C42,""))</f>
        <v/>
      </c>
      <c r="Q38" s="84" t="str">
        <f>IF(OR(Scenarios!$E$8="",Scenarios!$D$41&lt;&gt;1),"",IF(Inputs!P60&lt;&gt;"",Scenarios!$E$8*Scenarios!D42,""))</f>
        <v/>
      </c>
      <c r="R38" s="84" t="str">
        <f>IF(OR(Scenarios!$E$8="",Scenarios!$E$41&lt;&gt;1),"",IF(Inputs!P60&lt;&gt;"",Scenarios!$E$8*Scenarios!E42,""))</f>
        <v/>
      </c>
      <c r="S38" s="84" t="str">
        <f>IF(OR(Scenarios!$E$8="",Scenarios!$F$41&lt;&gt;1),"",IF(Inputs!P60&lt;&gt;"",Scenarios!$E$8*Scenarios!F42,""))</f>
        <v/>
      </c>
      <c r="T38" s="84" t="str">
        <f>IF(OR(Scenarios!$E$8="",Scenarios!$G$41&lt;&gt;1),"",IF(Inputs!P60&lt;&gt;"",Scenarios!$E$8*Scenarios!G42,""))</f>
        <v/>
      </c>
      <c r="U38" s="84" t="str">
        <f>IF(Scenarios!$E$9="","",IF(Inputs!P60&lt;&gt;"",Scenarios!$E$9*Scenarios!C42,""))</f>
        <v/>
      </c>
      <c r="V38" s="84" t="str">
        <f>IF(OR(Scenarios!$E$9="",Scenarios!$D$41&lt;&gt;1),"",IF(Inputs!P60&lt;&gt;"",Scenarios!$E$9*Scenarios!D42,""))</f>
        <v/>
      </c>
      <c r="W38" s="84" t="str">
        <f>IF(OR(Scenarios!$E$9="",Scenarios!$E$41&lt;&gt;1),"",IF(Inputs!P60&lt;&gt;"",Scenarios!$E$9*Scenarios!E42,""))</f>
        <v/>
      </c>
      <c r="X38" s="84" t="str">
        <f>IF(OR(Scenarios!$E$9="",Scenarios!$F$41&lt;&gt;1),"",IF(Inputs!P60&lt;&gt;"",Scenarios!$E$9*Scenarios!F42,""))</f>
        <v/>
      </c>
      <c r="Y38" s="84" t="str">
        <f>IF(OR(Scenarios!$E$9="",Scenarios!$G$41&lt;&gt;1),"",IF(Inputs!P60&lt;&gt;"",Scenarios!$E$9*Scenarios!G42,""))</f>
        <v/>
      </c>
    </row>
    <row r="39" spans="1:25" x14ac:dyDescent="0.35">
      <c r="A39" s="84" t="str">
        <f>IF(Inputs!P61&lt;&gt;"", Scenarios!$E$5*Scenarios!C43,"")</f>
        <v/>
      </c>
      <c r="B39" s="84" t="str">
        <f>IF(Scenarios!$D$41&lt;&gt;1, "", IF(Inputs!P61&lt;&gt;"", Scenarios!$E$5*Scenarios!D43,""))</f>
        <v/>
      </c>
      <c r="C39" s="84" t="str">
        <f>IF(Scenarios!$E$41&lt;&gt;1, "", IF(Inputs!P61&lt;&gt;"", Scenarios!$E$5*Scenarios!E43,""))</f>
        <v/>
      </c>
      <c r="D39" s="84" t="str">
        <f>IF(Scenarios!$F$41&lt;&gt;1, "", IF(Inputs!P61&lt;&gt;"", Scenarios!$E$5*Scenarios!F43,""))</f>
        <v/>
      </c>
      <c r="E39" s="84" t="str">
        <f>IF(Scenarios!$G$41&lt;&gt;1, "", IF(Inputs!P61&lt;&gt;"", Scenarios!$E$5*Scenarios!G43,""))</f>
        <v/>
      </c>
      <c r="F39" s="84" t="str">
        <f>IF(Scenarios!$E$6="", "", IF(Inputs!P61&lt;&gt;"", Scenarios!$E$6*Scenarios!C43,""))</f>
        <v/>
      </c>
      <c r="G39" s="84" t="str">
        <f>IF(OR(Scenarios!$E$6="",Scenarios!$D$41&lt;&gt;1), "", IF(Inputs!P61&lt;&gt;"", Scenarios!$E$6*Scenarios!D43,""))</f>
        <v/>
      </c>
      <c r="H39" s="84" t="str">
        <f>IF(OR(Scenarios!$E$6="",Scenarios!$E$41&lt;&gt;1), "", IF(Inputs!P61&lt;&gt;"", Scenarios!$E$6*Scenarios!E43,""))</f>
        <v/>
      </c>
      <c r="I39" s="84" t="str">
        <f>IF(OR(Scenarios!$E$6="",Scenarios!$F$41&lt;&gt;1),"",IF(Inputs!P61&lt;&gt;"",Scenarios!$E$6*Scenarios!F43,""))</f>
        <v/>
      </c>
      <c r="J39" s="84" t="str">
        <f>IF(OR(Scenarios!$E$6="",Scenarios!$G$41&lt;&gt;1),"",IF(Inputs!P61&lt;&gt;"",Scenarios!$E$6*Scenarios!G43,""))</f>
        <v/>
      </c>
      <c r="K39" s="84" t="str">
        <f>IF(Scenarios!$E$7="","",IF(Inputs!P61&lt;&gt;"",Scenarios!$E$7*Scenarios!C43,""))</f>
        <v/>
      </c>
      <c r="L39" s="84" t="str">
        <f>IF(OR(Scenarios!$E$7="",Scenarios!$D$41&lt;&gt;1),"",IF(Inputs!P61&lt;&gt;"",Scenarios!$E$7*Scenarios!D43,""))</f>
        <v/>
      </c>
      <c r="M39" s="84" t="str">
        <f>IF(OR(Scenarios!$E$7="",Scenarios!$E$41&lt;&gt;1),"",IF(Inputs!P61&lt;&gt;"",Scenarios!$E$7*Scenarios!E43,""))</f>
        <v/>
      </c>
      <c r="N39" s="84" t="str">
        <f>IF(OR(Scenarios!$E$7="",Scenarios!$F$41&lt;&gt;1),"",IF(Inputs!P61&lt;&gt;"",Scenarios!$E$7*Scenarios!F43,""))</f>
        <v/>
      </c>
      <c r="O39" s="84" t="str">
        <f>IF(OR(Scenarios!$E$7="",Scenarios!$G$41&lt;&gt;1),"",IF(Inputs!P61&lt;&gt;"",Scenarios!$E$7*Scenarios!G43,""))</f>
        <v/>
      </c>
      <c r="P39" s="84" t="str">
        <f>IF(Scenarios!$E$8="","",IF(Inputs!P61&lt;&gt;"",Scenarios!$E$8*Scenarios!C43,""))</f>
        <v/>
      </c>
      <c r="Q39" s="84" t="str">
        <f>IF(OR(Scenarios!$E$8="",Scenarios!$D$41&lt;&gt;1),"",IF(Inputs!P61&lt;&gt;"",Scenarios!$E$8*Scenarios!D43,""))</f>
        <v/>
      </c>
      <c r="R39" s="84" t="str">
        <f>IF(OR(Scenarios!$E$8="",Scenarios!$E$41&lt;&gt;1),"",IF(Inputs!P61&lt;&gt;"",Scenarios!$E$8*Scenarios!E43,""))</f>
        <v/>
      </c>
      <c r="S39" s="84" t="str">
        <f>IF(OR(Scenarios!$E$8="",Scenarios!$F$41&lt;&gt;1),"",IF(Inputs!P61&lt;&gt;"",Scenarios!$E$8*Scenarios!F43,""))</f>
        <v/>
      </c>
      <c r="T39" s="84" t="str">
        <f>IF(OR(Scenarios!$E$8="",Scenarios!$G$41&lt;&gt;1),"",IF(Inputs!P61&lt;&gt;"",Scenarios!$E$8*Scenarios!G43,""))</f>
        <v/>
      </c>
      <c r="U39" s="84" t="str">
        <f>IF(Scenarios!$E$9="","",IF(Inputs!P61&lt;&gt;"",Scenarios!$E$9*Scenarios!C43,""))</f>
        <v/>
      </c>
      <c r="V39" s="84" t="str">
        <f>IF(OR(Scenarios!$E$9="",Scenarios!$D$41&lt;&gt;1),"",IF(Inputs!P61&lt;&gt;"",Scenarios!$E$9*Scenarios!D43,""))</f>
        <v/>
      </c>
      <c r="W39" s="84" t="str">
        <f>IF(OR(Scenarios!$E$9="",Scenarios!$E$41&lt;&gt;1),"",IF(Inputs!P61&lt;&gt;"",Scenarios!$E$9*Scenarios!E43,""))</f>
        <v/>
      </c>
      <c r="X39" s="84" t="str">
        <f>IF(OR(Scenarios!$E$9="",Scenarios!$F$41&lt;&gt;1),"",IF(Inputs!P61&lt;&gt;"",Scenarios!$E$9*Scenarios!F43,""))</f>
        <v/>
      </c>
      <c r="Y39" s="84" t="str">
        <f>IF(OR(Scenarios!$E$9="",Scenarios!$G$41&lt;&gt;1),"",IF(Inputs!P61&lt;&gt;"",Scenarios!$E$9*Scenarios!G43,""))</f>
        <v/>
      </c>
    </row>
    <row r="40" spans="1:25" x14ac:dyDescent="0.35">
      <c r="A40" s="84" t="str">
        <f>IF(Inputs!P62&lt;&gt;"", Scenarios!$E$5*Scenarios!C44,"")</f>
        <v/>
      </c>
      <c r="B40" s="84" t="str">
        <f>IF(Scenarios!$D$41&lt;&gt;1, "", IF(Inputs!P62&lt;&gt;"", Scenarios!$E$5*Scenarios!D44,""))</f>
        <v/>
      </c>
      <c r="C40" s="84" t="str">
        <f>IF(Scenarios!$E$41&lt;&gt;1, "", IF(Inputs!P62&lt;&gt;"", Scenarios!$E$5*Scenarios!E44,""))</f>
        <v/>
      </c>
      <c r="D40" s="84" t="str">
        <f>IF(Scenarios!$F$41&lt;&gt;1, "", IF(Inputs!P62&lt;&gt;"", Scenarios!$E$5*Scenarios!F44,""))</f>
        <v/>
      </c>
      <c r="E40" s="84" t="str">
        <f>IF(Scenarios!$G$41&lt;&gt;1, "", IF(Inputs!P62&lt;&gt;"", Scenarios!$E$5*Scenarios!G44,""))</f>
        <v/>
      </c>
      <c r="F40" s="84" t="str">
        <f>IF(Scenarios!$E$6="", "", IF(Inputs!P62&lt;&gt;"", Scenarios!$E$6*Scenarios!C44,""))</f>
        <v/>
      </c>
      <c r="G40" s="84" t="str">
        <f>IF(OR(Scenarios!$E$6="",Scenarios!$D$41&lt;&gt;1), "", IF(Inputs!P62&lt;&gt;"", Scenarios!$E$6*Scenarios!D44,""))</f>
        <v/>
      </c>
      <c r="H40" s="84" t="str">
        <f>IF(OR(Scenarios!$E$6="",Scenarios!$E$41&lt;&gt;1), "", IF(Inputs!P62&lt;&gt;"", Scenarios!$E$6*Scenarios!E44,""))</f>
        <v/>
      </c>
      <c r="I40" s="84" t="str">
        <f>IF(OR(Scenarios!$E$6="",Scenarios!$F$41&lt;&gt;1),"",IF(Inputs!P62&lt;&gt;"",Scenarios!$E$6*Scenarios!F44,""))</f>
        <v/>
      </c>
      <c r="J40" s="84" t="str">
        <f>IF(OR(Scenarios!$E$6="",Scenarios!$G$41&lt;&gt;1),"",IF(Inputs!P62&lt;&gt;"",Scenarios!$E$6*Scenarios!G44,""))</f>
        <v/>
      </c>
      <c r="K40" s="84" t="str">
        <f>IF(Scenarios!$E$7="","",IF(Inputs!P62&lt;&gt;"",Scenarios!$E$7*Scenarios!C44,""))</f>
        <v/>
      </c>
      <c r="L40" s="84" t="str">
        <f>IF(OR(Scenarios!$E$7="",Scenarios!$D$41&lt;&gt;1),"",IF(Inputs!P62&lt;&gt;"",Scenarios!$E$7*Scenarios!D44,""))</f>
        <v/>
      </c>
      <c r="M40" s="84" t="str">
        <f>IF(OR(Scenarios!$E$7="",Scenarios!$E$41&lt;&gt;1),"",IF(Inputs!P62&lt;&gt;"",Scenarios!$E$7*Scenarios!E44,""))</f>
        <v/>
      </c>
      <c r="N40" s="84" t="str">
        <f>IF(OR(Scenarios!$E$7="",Scenarios!$F$41&lt;&gt;1),"",IF(Inputs!P62&lt;&gt;"",Scenarios!$E$7*Scenarios!F44,""))</f>
        <v/>
      </c>
      <c r="O40" s="84" t="str">
        <f>IF(OR(Scenarios!$E$7="",Scenarios!$G$41&lt;&gt;1),"",IF(Inputs!P62&lt;&gt;"",Scenarios!$E$7*Scenarios!G44,""))</f>
        <v/>
      </c>
      <c r="P40" s="84" t="str">
        <f>IF(Scenarios!$E$8="","",IF(Inputs!P62&lt;&gt;"",Scenarios!$E$8*Scenarios!C44,""))</f>
        <v/>
      </c>
      <c r="Q40" s="84" t="str">
        <f>IF(OR(Scenarios!$E$8="",Scenarios!$D$41&lt;&gt;1),"",IF(Inputs!P62&lt;&gt;"",Scenarios!$E$8*Scenarios!D44,""))</f>
        <v/>
      </c>
      <c r="R40" s="84" t="str">
        <f>IF(OR(Scenarios!$E$8="",Scenarios!$E$41&lt;&gt;1),"",IF(Inputs!P62&lt;&gt;"",Scenarios!$E$8*Scenarios!E44,""))</f>
        <v/>
      </c>
      <c r="S40" s="84" t="str">
        <f>IF(OR(Scenarios!$E$8="",Scenarios!$F$41&lt;&gt;1),"",IF(Inputs!P62&lt;&gt;"",Scenarios!$E$8*Scenarios!F44,""))</f>
        <v/>
      </c>
      <c r="T40" s="84" t="str">
        <f>IF(OR(Scenarios!$E$8="",Scenarios!$G$41&lt;&gt;1),"",IF(Inputs!P62&lt;&gt;"",Scenarios!$E$8*Scenarios!G44,""))</f>
        <v/>
      </c>
      <c r="U40" s="84" t="str">
        <f>IF(Scenarios!$E$9="","",IF(Inputs!P62&lt;&gt;"",Scenarios!$E$9*Scenarios!C44,""))</f>
        <v/>
      </c>
      <c r="V40" s="84" t="str">
        <f>IF(OR(Scenarios!$E$9="",Scenarios!$D$41&lt;&gt;1),"",IF(Inputs!P62&lt;&gt;"",Scenarios!$E$9*Scenarios!D44,""))</f>
        <v/>
      </c>
      <c r="W40" s="84" t="str">
        <f>IF(OR(Scenarios!$E$9="",Scenarios!$E$41&lt;&gt;1),"",IF(Inputs!P62&lt;&gt;"",Scenarios!$E$9*Scenarios!E44,""))</f>
        <v/>
      </c>
      <c r="X40" s="84" t="str">
        <f>IF(OR(Scenarios!$E$9="",Scenarios!$F$41&lt;&gt;1),"",IF(Inputs!P62&lt;&gt;"",Scenarios!$E$9*Scenarios!F44,""))</f>
        <v/>
      </c>
      <c r="Y40" s="84" t="str">
        <f>IF(OR(Scenarios!$E$9="",Scenarios!$G$41&lt;&gt;1),"",IF(Inputs!P62&lt;&gt;"",Scenarios!$E$9*Scenarios!G44,""))</f>
        <v/>
      </c>
    </row>
    <row r="41" spans="1:25" x14ac:dyDescent="0.35">
      <c r="A41" s="84" t="str">
        <f>IF(Inputs!P63&lt;&gt;"", Scenarios!$E$5*Scenarios!C45,"")</f>
        <v/>
      </c>
      <c r="B41" s="84" t="str">
        <f>IF(Scenarios!$D$41&lt;&gt;1, "", IF(Inputs!P63&lt;&gt;"", Scenarios!$E$5*Scenarios!D45,""))</f>
        <v/>
      </c>
      <c r="C41" s="84" t="str">
        <f>IF(Scenarios!$E$41&lt;&gt;1, "", IF(Inputs!P63&lt;&gt;"", Scenarios!$E$5*Scenarios!E45,""))</f>
        <v/>
      </c>
      <c r="D41" s="84" t="str">
        <f>IF(Scenarios!$F$41&lt;&gt;1, "", IF(Inputs!P63&lt;&gt;"", Scenarios!$E$5*Scenarios!F45,""))</f>
        <v/>
      </c>
      <c r="E41" s="84" t="str">
        <f>IF(Scenarios!$G$41&lt;&gt;1, "", IF(Inputs!P63&lt;&gt;"", Scenarios!$E$5*Scenarios!G45,""))</f>
        <v/>
      </c>
      <c r="F41" s="84" t="str">
        <f>IF(Scenarios!$E$6="", "", IF(Inputs!P63&lt;&gt;"", Scenarios!$E$6*Scenarios!C45,""))</f>
        <v/>
      </c>
      <c r="G41" s="84" t="str">
        <f>IF(OR(Scenarios!$E$6="",Scenarios!$D$41&lt;&gt;1), "", IF(Inputs!P63&lt;&gt;"", Scenarios!$E$6*Scenarios!D45,""))</f>
        <v/>
      </c>
      <c r="H41" s="84" t="str">
        <f>IF(OR(Scenarios!$E$6="",Scenarios!$E$41&lt;&gt;1), "", IF(Inputs!P63&lt;&gt;"", Scenarios!$E$6*Scenarios!E45,""))</f>
        <v/>
      </c>
      <c r="I41" s="84" t="str">
        <f>IF(OR(Scenarios!$E$6="",Scenarios!$F$41&lt;&gt;1),"",IF(Inputs!P63&lt;&gt;"",Scenarios!$E$6*Scenarios!F45,""))</f>
        <v/>
      </c>
      <c r="J41" s="84" t="str">
        <f>IF(OR(Scenarios!$E$6="",Scenarios!$G$41&lt;&gt;1),"",IF(Inputs!P63&lt;&gt;"",Scenarios!$E$6*Scenarios!G45,""))</f>
        <v/>
      </c>
      <c r="K41" s="84" t="str">
        <f>IF(Scenarios!$E$7="","",IF(Inputs!P63&lt;&gt;"",Scenarios!$E$7*Scenarios!C45,""))</f>
        <v/>
      </c>
      <c r="L41" s="84" t="str">
        <f>IF(OR(Scenarios!$E$7="",Scenarios!$D$41&lt;&gt;1),"",IF(Inputs!P63&lt;&gt;"",Scenarios!$E$7*Scenarios!D45,""))</f>
        <v/>
      </c>
      <c r="M41" s="84" t="str">
        <f>IF(OR(Scenarios!$E$7="",Scenarios!$E$41&lt;&gt;1),"",IF(Inputs!P63&lt;&gt;"",Scenarios!$E$7*Scenarios!E45,""))</f>
        <v/>
      </c>
      <c r="N41" s="84" t="str">
        <f>IF(OR(Scenarios!$E$7="",Scenarios!$F$41&lt;&gt;1),"",IF(Inputs!P63&lt;&gt;"",Scenarios!$E$7*Scenarios!F45,""))</f>
        <v/>
      </c>
      <c r="O41" s="84" t="str">
        <f>IF(OR(Scenarios!$E$7="",Scenarios!$G$41&lt;&gt;1),"",IF(Inputs!P63&lt;&gt;"",Scenarios!$E$7*Scenarios!G45,""))</f>
        <v/>
      </c>
      <c r="P41" s="84" t="str">
        <f>IF(Scenarios!$E$8="","",IF(Inputs!P63&lt;&gt;"",Scenarios!$E$8*Scenarios!C45,""))</f>
        <v/>
      </c>
      <c r="Q41" s="84" t="str">
        <f>IF(OR(Scenarios!$E$8="",Scenarios!$D$41&lt;&gt;1),"",IF(Inputs!P63&lt;&gt;"",Scenarios!$E$8*Scenarios!D45,""))</f>
        <v/>
      </c>
      <c r="R41" s="84" t="str">
        <f>IF(OR(Scenarios!$E$8="",Scenarios!$E$41&lt;&gt;1),"",IF(Inputs!P63&lt;&gt;"",Scenarios!$E$8*Scenarios!E45,""))</f>
        <v/>
      </c>
      <c r="S41" s="84" t="str">
        <f>IF(OR(Scenarios!$E$8="",Scenarios!$F$41&lt;&gt;1),"",IF(Inputs!P63&lt;&gt;"",Scenarios!$E$8*Scenarios!F45,""))</f>
        <v/>
      </c>
      <c r="T41" s="84" t="str">
        <f>IF(OR(Scenarios!$E$8="",Scenarios!$G$41&lt;&gt;1),"",IF(Inputs!P63&lt;&gt;"",Scenarios!$E$8*Scenarios!G45,""))</f>
        <v/>
      </c>
      <c r="U41" s="84" t="str">
        <f>IF(Scenarios!$E$9="","",IF(Inputs!P63&lt;&gt;"",Scenarios!$E$9*Scenarios!C45,""))</f>
        <v/>
      </c>
      <c r="V41" s="84" t="str">
        <f>IF(OR(Scenarios!$E$9="",Scenarios!$D$41&lt;&gt;1),"",IF(Inputs!P63&lt;&gt;"",Scenarios!$E$9*Scenarios!D45,""))</f>
        <v/>
      </c>
      <c r="W41" s="84" t="str">
        <f>IF(OR(Scenarios!$E$9="",Scenarios!$E$41&lt;&gt;1),"",IF(Inputs!P63&lt;&gt;"",Scenarios!$E$9*Scenarios!E45,""))</f>
        <v/>
      </c>
      <c r="X41" s="84" t="str">
        <f>IF(OR(Scenarios!$E$9="",Scenarios!$F$41&lt;&gt;1),"",IF(Inputs!P63&lt;&gt;"",Scenarios!$E$9*Scenarios!F45,""))</f>
        <v/>
      </c>
      <c r="Y41" s="84" t="str">
        <f>IF(OR(Scenarios!$E$9="",Scenarios!$G$41&lt;&gt;1),"",IF(Inputs!P63&lt;&gt;"",Scenarios!$E$9*Scenarios!G45,""))</f>
        <v/>
      </c>
    </row>
    <row r="42" spans="1:25" x14ac:dyDescent="0.35">
      <c r="A42" s="84" t="str">
        <f>IF(Inputs!P64&lt;&gt;"", Scenarios!$E$5*Scenarios!C46,"")</f>
        <v/>
      </c>
      <c r="B42" s="84" t="str">
        <f>IF(Scenarios!$D$41&lt;&gt;1, "", IF(Inputs!P64&lt;&gt;"", Scenarios!$E$5*Scenarios!D46,""))</f>
        <v/>
      </c>
      <c r="C42" s="84" t="str">
        <f>IF(Scenarios!$E$41&lt;&gt;1, "", IF(Inputs!P64&lt;&gt;"", Scenarios!$E$5*Scenarios!E46,""))</f>
        <v/>
      </c>
      <c r="D42" s="84" t="str">
        <f>IF(Scenarios!$F$41&lt;&gt;1, "", IF(Inputs!P64&lt;&gt;"", Scenarios!$E$5*Scenarios!F46,""))</f>
        <v/>
      </c>
      <c r="E42" s="84" t="str">
        <f>IF(Scenarios!$G$41&lt;&gt;1, "", IF(Inputs!P64&lt;&gt;"", Scenarios!$E$5*Scenarios!G46,""))</f>
        <v/>
      </c>
      <c r="F42" s="84" t="str">
        <f>IF(Scenarios!$E$6="", "", IF(Inputs!P64&lt;&gt;"", Scenarios!$E$6*Scenarios!C46,""))</f>
        <v/>
      </c>
      <c r="G42" s="84" t="str">
        <f>IF(OR(Scenarios!$E$6="",Scenarios!$D$41&lt;&gt;1), "", IF(Inputs!P64&lt;&gt;"", Scenarios!$E$6*Scenarios!D46,""))</f>
        <v/>
      </c>
      <c r="H42" s="84" t="str">
        <f>IF(OR(Scenarios!$E$6="",Scenarios!$E$41&lt;&gt;1), "", IF(Inputs!P64&lt;&gt;"", Scenarios!$E$6*Scenarios!E46,""))</f>
        <v/>
      </c>
      <c r="I42" s="84" t="str">
        <f>IF(OR(Scenarios!$E$6="",Scenarios!$F$41&lt;&gt;1),"",IF(Inputs!P64&lt;&gt;"",Scenarios!$E$6*Scenarios!F46,""))</f>
        <v/>
      </c>
      <c r="J42" s="84" t="str">
        <f>IF(OR(Scenarios!$E$6="",Scenarios!$G$41&lt;&gt;1),"",IF(Inputs!P64&lt;&gt;"",Scenarios!$E$6*Scenarios!G46,""))</f>
        <v/>
      </c>
      <c r="K42" s="84" t="str">
        <f>IF(Scenarios!$E$7="","",IF(Inputs!P64&lt;&gt;"",Scenarios!$E$7*Scenarios!C46,""))</f>
        <v/>
      </c>
      <c r="L42" s="84" t="str">
        <f>IF(OR(Scenarios!$E$7="",Scenarios!$D$41&lt;&gt;1),"",IF(Inputs!P64&lt;&gt;"",Scenarios!$E$7*Scenarios!D46,""))</f>
        <v/>
      </c>
      <c r="M42" s="84" t="str">
        <f>IF(OR(Scenarios!$E$7="",Scenarios!$E$41&lt;&gt;1),"",IF(Inputs!P64&lt;&gt;"",Scenarios!$E$7*Scenarios!E46,""))</f>
        <v/>
      </c>
      <c r="N42" s="84" t="str">
        <f>IF(OR(Scenarios!$E$7="",Scenarios!$F$41&lt;&gt;1),"",IF(Inputs!P64&lt;&gt;"",Scenarios!$E$7*Scenarios!F46,""))</f>
        <v/>
      </c>
      <c r="O42" s="84" t="str">
        <f>IF(OR(Scenarios!$E$7="",Scenarios!$G$41&lt;&gt;1),"",IF(Inputs!P64&lt;&gt;"",Scenarios!$E$7*Scenarios!G46,""))</f>
        <v/>
      </c>
      <c r="P42" s="84" t="str">
        <f>IF(Scenarios!$E$8="","",IF(Inputs!P64&lt;&gt;"",Scenarios!$E$8*Scenarios!C46,""))</f>
        <v/>
      </c>
      <c r="Q42" s="84" t="str">
        <f>IF(OR(Scenarios!$E$8="",Scenarios!$D$41&lt;&gt;1),"",IF(Inputs!P64&lt;&gt;"",Scenarios!$E$8*Scenarios!D46,""))</f>
        <v/>
      </c>
      <c r="R42" s="84" t="str">
        <f>IF(OR(Scenarios!$E$8="",Scenarios!$E$41&lt;&gt;1),"",IF(Inputs!P64&lt;&gt;"",Scenarios!$E$8*Scenarios!E46,""))</f>
        <v/>
      </c>
      <c r="S42" s="84" t="str">
        <f>IF(OR(Scenarios!$E$8="",Scenarios!$F$41&lt;&gt;1),"",IF(Inputs!P64&lt;&gt;"",Scenarios!$E$8*Scenarios!F46,""))</f>
        <v/>
      </c>
      <c r="T42" s="84" t="str">
        <f>IF(OR(Scenarios!$E$8="",Scenarios!$G$41&lt;&gt;1),"",IF(Inputs!P64&lt;&gt;"",Scenarios!$E$8*Scenarios!G46,""))</f>
        <v/>
      </c>
      <c r="U42" s="84" t="str">
        <f>IF(Scenarios!$E$9="","",IF(Inputs!P64&lt;&gt;"",Scenarios!$E$9*Scenarios!C46,""))</f>
        <v/>
      </c>
      <c r="V42" s="84" t="str">
        <f>IF(OR(Scenarios!$E$9="",Scenarios!$D$41&lt;&gt;1),"",IF(Inputs!P64&lt;&gt;"",Scenarios!$E$9*Scenarios!D46,""))</f>
        <v/>
      </c>
      <c r="W42" s="84" t="str">
        <f>IF(OR(Scenarios!$E$9="",Scenarios!$E$41&lt;&gt;1),"",IF(Inputs!P64&lt;&gt;"",Scenarios!$E$9*Scenarios!E46,""))</f>
        <v/>
      </c>
      <c r="X42" s="84" t="str">
        <f>IF(OR(Scenarios!$E$9="",Scenarios!$F$41&lt;&gt;1),"",IF(Inputs!P64&lt;&gt;"",Scenarios!$E$9*Scenarios!F46,""))</f>
        <v/>
      </c>
      <c r="Y42" s="84" t="str">
        <f>IF(OR(Scenarios!$E$9="",Scenarios!$G$41&lt;&gt;1),"",IF(Inputs!P64&lt;&gt;"",Scenarios!$E$9*Scenarios!G46,""))</f>
        <v/>
      </c>
    </row>
    <row r="43" spans="1:25" x14ac:dyDescent="0.35">
      <c r="A43" s="84" t="str">
        <f>IF(Inputs!P65&lt;&gt;"", Scenarios!$E$5*Scenarios!C47,"")</f>
        <v/>
      </c>
      <c r="B43" s="84" t="str">
        <f>IF(Scenarios!$D$41&lt;&gt;1, "", IF(Inputs!P65&lt;&gt;"", Scenarios!$E$5*Scenarios!D47,""))</f>
        <v/>
      </c>
      <c r="C43" s="84" t="str">
        <f>IF(Scenarios!$E$41&lt;&gt;1, "", IF(Inputs!P65&lt;&gt;"", Scenarios!$E$5*Scenarios!E47,""))</f>
        <v/>
      </c>
      <c r="D43" s="84" t="str">
        <f>IF(Scenarios!$F$41&lt;&gt;1, "", IF(Inputs!P65&lt;&gt;"", Scenarios!$E$5*Scenarios!F47,""))</f>
        <v/>
      </c>
      <c r="E43" s="84" t="str">
        <f>IF(Scenarios!$G$41&lt;&gt;1, "", IF(Inputs!P65&lt;&gt;"", Scenarios!$E$5*Scenarios!G47,""))</f>
        <v/>
      </c>
      <c r="F43" s="84" t="str">
        <f>IF(Scenarios!$E$6="", "", IF(Inputs!P65&lt;&gt;"", Scenarios!$E$6*Scenarios!C47,""))</f>
        <v/>
      </c>
      <c r="G43" s="84" t="str">
        <f>IF(OR(Scenarios!$E$6="",Scenarios!$D$41&lt;&gt;1), "", IF(Inputs!P65&lt;&gt;"", Scenarios!$E$6*Scenarios!D47,""))</f>
        <v/>
      </c>
      <c r="H43" s="84" t="str">
        <f>IF(OR(Scenarios!$E$6="",Scenarios!$E$41&lt;&gt;1), "", IF(Inputs!P65&lt;&gt;"", Scenarios!$E$6*Scenarios!E47,""))</f>
        <v/>
      </c>
      <c r="I43" s="84" t="str">
        <f>IF(OR(Scenarios!$E$6="",Scenarios!$F$41&lt;&gt;1),"",IF(Inputs!P65&lt;&gt;"",Scenarios!$E$6*Scenarios!F47,""))</f>
        <v/>
      </c>
      <c r="J43" s="84" t="str">
        <f>IF(OR(Scenarios!$E$6="",Scenarios!$G$41&lt;&gt;1),"",IF(Inputs!P65&lt;&gt;"",Scenarios!$E$6*Scenarios!G47,""))</f>
        <v/>
      </c>
      <c r="K43" s="84" t="str">
        <f>IF(Scenarios!$E$7="","",IF(Inputs!P65&lt;&gt;"",Scenarios!$E$7*Scenarios!C47,""))</f>
        <v/>
      </c>
      <c r="L43" s="84" t="str">
        <f>IF(OR(Scenarios!$E$7="",Scenarios!$D$41&lt;&gt;1),"",IF(Inputs!P65&lt;&gt;"",Scenarios!$E$7*Scenarios!D47,""))</f>
        <v/>
      </c>
      <c r="M43" s="84" t="str">
        <f>IF(OR(Scenarios!$E$7="",Scenarios!$E$41&lt;&gt;1),"",IF(Inputs!P65&lt;&gt;"",Scenarios!$E$7*Scenarios!E47,""))</f>
        <v/>
      </c>
      <c r="N43" s="84" t="str">
        <f>IF(OR(Scenarios!$E$7="",Scenarios!$F$41&lt;&gt;1),"",IF(Inputs!P65&lt;&gt;"",Scenarios!$E$7*Scenarios!F47,""))</f>
        <v/>
      </c>
      <c r="O43" s="84" t="str">
        <f>IF(OR(Scenarios!$E$7="",Scenarios!$G$41&lt;&gt;1),"",IF(Inputs!P65&lt;&gt;"",Scenarios!$E$7*Scenarios!G47,""))</f>
        <v/>
      </c>
      <c r="P43" s="84" t="str">
        <f>IF(Scenarios!$E$8="","",IF(Inputs!P65&lt;&gt;"",Scenarios!$E$8*Scenarios!C47,""))</f>
        <v/>
      </c>
      <c r="Q43" s="84" t="str">
        <f>IF(OR(Scenarios!$E$8="",Scenarios!$D$41&lt;&gt;1),"",IF(Inputs!P65&lt;&gt;"",Scenarios!$E$8*Scenarios!D47,""))</f>
        <v/>
      </c>
      <c r="R43" s="84" t="str">
        <f>IF(OR(Scenarios!$E$8="",Scenarios!$E$41&lt;&gt;1),"",IF(Inputs!P65&lt;&gt;"",Scenarios!$E$8*Scenarios!E47,""))</f>
        <v/>
      </c>
      <c r="S43" s="84" t="str">
        <f>IF(OR(Scenarios!$E$8="",Scenarios!$F$41&lt;&gt;1),"",IF(Inputs!P65&lt;&gt;"",Scenarios!$E$8*Scenarios!F47,""))</f>
        <v/>
      </c>
      <c r="T43" s="84" t="str">
        <f>IF(OR(Scenarios!$E$8="",Scenarios!$G$41&lt;&gt;1),"",IF(Inputs!P65&lt;&gt;"",Scenarios!$E$8*Scenarios!G47,""))</f>
        <v/>
      </c>
      <c r="U43" s="84" t="str">
        <f>IF(Scenarios!$E$9="","",IF(Inputs!P65&lt;&gt;"",Scenarios!$E$9*Scenarios!C47,""))</f>
        <v/>
      </c>
      <c r="V43" s="84" t="str">
        <f>IF(OR(Scenarios!$E$9="",Scenarios!$D$41&lt;&gt;1),"",IF(Inputs!P65&lt;&gt;"",Scenarios!$E$9*Scenarios!D47,""))</f>
        <v/>
      </c>
      <c r="W43" s="84" t="str">
        <f>IF(OR(Scenarios!$E$9="",Scenarios!$E$41&lt;&gt;1),"",IF(Inputs!P65&lt;&gt;"",Scenarios!$E$9*Scenarios!E47,""))</f>
        <v/>
      </c>
      <c r="X43" s="84" t="str">
        <f>IF(OR(Scenarios!$E$9="",Scenarios!$F$41&lt;&gt;1),"",IF(Inputs!P65&lt;&gt;"",Scenarios!$E$9*Scenarios!F47,""))</f>
        <v/>
      </c>
      <c r="Y43" s="84" t="str">
        <f>IF(OR(Scenarios!$E$9="",Scenarios!$G$41&lt;&gt;1),"",IF(Inputs!P65&lt;&gt;"",Scenarios!$E$9*Scenarios!G47,""))</f>
        <v/>
      </c>
    </row>
    <row r="44" spans="1:25" x14ac:dyDescent="0.35">
      <c r="A44" s="84" t="str">
        <f>IF(Inputs!P66&lt;&gt;"", Scenarios!$E$5*Scenarios!C48,"")</f>
        <v/>
      </c>
      <c r="B44" s="84" t="str">
        <f>IF(Scenarios!$D$41&lt;&gt;1, "", IF(Inputs!P66&lt;&gt;"", Scenarios!$E$5*Scenarios!D48,""))</f>
        <v/>
      </c>
      <c r="C44" s="84" t="str">
        <f>IF(Scenarios!$E$41&lt;&gt;1, "", IF(Inputs!P66&lt;&gt;"", Scenarios!$E$5*Scenarios!E48,""))</f>
        <v/>
      </c>
      <c r="D44" s="84" t="str">
        <f>IF(Scenarios!$F$41&lt;&gt;1, "", IF(Inputs!P66&lt;&gt;"", Scenarios!$E$5*Scenarios!F48,""))</f>
        <v/>
      </c>
      <c r="E44" s="84" t="str">
        <f>IF(Scenarios!$G$41&lt;&gt;1, "", IF(Inputs!P66&lt;&gt;"", Scenarios!$E$5*Scenarios!G48,""))</f>
        <v/>
      </c>
      <c r="F44" s="84" t="str">
        <f>IF(Scenarios!$E$6="", "", IF(Inputs!P66&lt;&gt;"", Scenarios!$E$6*Scenarios!C48,""))</f>
        <v/>
      </c>
      <c r="G44" s="84" t="str">
        <f>IF(OR(Scenarios!$E$6="",Scenarios!$D$41&lt;&gt;1), "", IF(Inputs!P66&lt;&gt;"", Scenarios!$E$6*Scenarios!D48,""))</f>
        <v/>
      </c>
      <c r="H44" s="84" t="str">
        <f>IF(OR(Scenarios!$E$6="",Scenarios!$E$41&lt;&gt;1), "", IF(Inputs!P66&lt;&gt;"", Scenarios!$E$6*Scenarios!E48,""))</f>
        <v/>
      </c>
      <c r="I44" s="84" t="str">
        <f>IF(OR(Scenarios!$E$6="",Scenarios!$F$41&lt;&gt;1),"",IF(Inputs!P66&lt;&gt;"",Scenarios!$E$6*Scenarios!F48,""))</f>
        <v/>
      </c>
      <c r="J44" s="84" t="str">
        <f>IF(OR(Scenarios!$E$6="",Scenarios!$G$41&lt;&gt;1),"",IF(Inputs!P66&lt;&gt;"",Scenarios!$E$6*Scenarios!G48,""))</f>
        <v/>
      </c>
      <c r="K44" s="84" t="str">
        <f>IF(Scenarios!$E$7="","",IF(Inputs!P66&lt;&gt;"",Scenarios!$E$7*Scenarios!C48,""))</f>
        <v/>
      </c>
      <c r="L44" s="84" t="str">
        <f>IF(OR(Scenarios!$E$7="",Scenarios!$D$41&lt;&gt;1),"",IF(Inputs!P66&lt;&gt;"",Scenarios!$E$7*Scenarios!D48,""))</f>
        <v/>
      </c>
      <c r="M44" s="84" t="str">
        <f>IF(OR(Scenarios!$E$7="",Scenarios!$E$41&lt;&gt;1),"",IF(Inputs!P66&lt;&gt;"",Scenarios!$E$7*Scenarios!E48,""))</f>
        <v/>
      </c>
      <c r="N44" s="84" t="str">
        <f>IF(OR(Scenarios!$E$7="",Scenarios!$F$41&lt;&gt;1),"",IF(Inputs!P66&lt;&gt;"",Scenarios!$E$7*Scenarios!F48,""))</f>
        <v/>
      </c>
      <c r="O44" s="84" t="str">
        <f>IF(OR(Scenarios!$E$7="",Scenarios!$G$41&lt;&gt;1),"",IF(Inputs!P66&lt;&gt;"",Scenarios!$E$7*Scenarios!G48,""))</f>
        <v/>
      </c>
      <c r="P44" s="84" t="str">
        <f>IF(Scenarios!$E$8="","",IF(Inputs!P66&lt;&gt;"",Scenarios!$E$8*Scenarios!C48,""))</f>
        <v/>
      </c>
      <c r="Q44" s="84" t="str">
        <f>IF(OR(Scenarios!$E$8="",Scenarios!$D$41&lt;&gt;1),"",IF(Inputs!P66&lt;&gt;"",Scenarios!$E$8*Scenarios!D48,""))</f>
        <v/>
      </c>
      <c r="R44" s="84" t="str">
        <f>IF(OR(Scenarios!$E$8="",Scenarios!$E$41&lt;&gt;1),"",IF(Inputs!P66&lt;&gt;"",Scenarios!$E$8*Scenarios!E48,""))</f>
        <v/>
      </c>
      <c r="S44" s="84" t="str">
        <f>IF(OR(Scenarios!$E$8="",Scenarios!$F$41&lt;&gt;1),"",IF(Inputs!P66&lt;&gt;"",Scenarios!$E$8*Scenarios!F48,""))</f>
        <v/>
      </c>
      <c r="T44" s="84" t="str">
        <f>IF(OR(Scenarios!$E$8="",Scenarios!$G$41&lt;&gt;1),"",IF(Inputs!P66&lt;&gt;"",Scenarios!$E$8*Scenarios!G48,""))</f>
        <v/>
      </c>
      <c r="U44" s="84" t="str">
        <f>IF(Scenarios!$E$9="","",IF(Inputs!P66&lt;&gt;"",Scenarios!$E$9*Scenarios!C48,""))</f>
        <v/>
      </c>
      <c r="V44" s="84" t="str">
        <f>IF(OR(Scenarios!$E$9="",Scenarios!$D$41&lt;&gt;1),"",IF(Inputs!P66&lt;&gt;"",Scenarios!$E$9*Scenarios!D48,""))</f>
        <v/>
      </c>
      <c r="W44" s="84" t="str">
        <f>IF(OR(Scenarios!$E$9="",Scenarios!$E$41&lt;&gt;1),"",IF(Inputs!P66&lt;&gt;"",Scenarios!$E$9*Scenarios!E48,""))</f>
        <v/>
      </c>
      <c r="X44" s="84" t="str">
        <f>IF(OR(Scenarios!$E$9="",Scenarios!$F$41&lt;&gt;1),"",IF(Inputs!P66&lt;&gt;"",Scenarios!$E$9*Scenarios!F48,""))</f>
        <v/>
      </c>
      <c r="Y44" s="84" t="str">
        <f>IF(OR(Scenarios!$E$9="",Scenarios!$G$41&lt;&gt;1),"",IF(Inputs!P66&lt;&gt;"",Scenarios!$E$9*Scenarios!G48,""))</f>
        <v/>
      </c>
    </row>
    <row r="45" spans="1:25" x14ac:dyDescent="0.35">
      <c r="A45" s="84" t="str">
        <f>IF(Inputs!P67&lt;&gt;"", Scenarios!$E$5*Scenarios!C49,"")</f>
        <v/>
      </c>
      <c r="B45" s="84" t="str">
        <f>IF(Scenarios!$D$41&lt;&gt;1, "", IF(Inputs!P67&lt;&gt;"", Scenarios!$E$5*Scenarios!D49,""))</f>
        <v/>
      </c>
      <c r="C45" s="84" t="str">
        <f>IF(Scenarios!$E$41&lt;&gt;1, "", IF(Inputs!P67&lt;&gt;"", Scenarios!$E$5*Scenarios!E49,""))</f>
        <v/>
      </c>
      <c r="D45" s="84" t="str">
        <f>IF(Scenarios!$F$41&lt;&gt;1, "", IF(Inputs!P67&lt;&gt;"", Scenarios!$E$5*Scenarios!F49,""))</f>
        <v/>
      </c>
      <c r="E45" s="84" t="str">
        <f>IF(Scenarios!$G$41&lt;&gt;1, "", IF(Inputs!P67&lt;&gt;"", Scenarios!$E$5*Scenarios!G49,""))</f>
        <v/>
      </c>
      <c r="F45" s="84" t="str">
        <f>IF(Scenarios!$E$6="", "", IF(Inputs!P67&lt;&gt;"", Scenarios!$E$6*Scenarios!C49,""))</f>
        <v/>
      </c>
      <c r="G45" s="84" t="str">
        <f>IF(OR(Scenarios!$E$6="",Scenarios!$D$41&lt;&gt;1), "", IF(Inputs!P67&lt;&gt;"", Scenarios!$E$6*Scenarios!D49,""))</f>
        <v/>
      </c>
      <c r="H45" s="84" t="str">
        <f>IF(OR(Scenarios!$E$6="",Scenarios!$E$41&lt;&gt;1), "", IF(Inputs!P67&lt;&gt;"", Scenarios!$E$6*Scenarios!E49,""))</f>
        <v/>
      </c>
      <c r="I45" s="84" t="str">
        <f>IF(OR(Scenarios!$E$6="",Scenarios!$F$41&lt;&gt;1),"",IF(Inputs!P67&lt;&gt;"",Scenarios!$E$6*Scenarios!F49,""))</f>
        <v/>
      </c>
      <c r="J45" s="84" t="str">
        <f>IF(OR(Scenarios!$E$6="",Scenarios!$G$41&lt;&gt;1),"",IF(Inputs!P67&lt;&gt;"",Scenarios!$E$6*Scenarios!G49,""))</f>
        <v/>
      </c>
      <c r="K45" s="84" t="str">
        <f>IF(Scenarios!$E$7="","",IF(Inputs!P67&lt;&gt;"",Scenarios!$E$7*Scenarios!C49,""))</f>
        <v/>
      </c>
      <c r="L45" s="84" t="str">
        <f>IF(OR(Scenarios!$E$7="",Scenarios!$D$41&lt;&gt;1),"",IF(Inputs!P67&lt;&gt;"",Scenarios!$E$7*Scenarios!D49,""))</f>
        <v/>
      </c>
      <c r="M45" s="84" t="str">
        <f>IF(OR(Scenarios!$E$7="",Scenarios!$E$41&lt;&gt;1),"",IF(Inputs!P67&lt;&gt;"",Scenarios!$E$7*Scenarios!E49,""))</f>
        <v/>
      </c>
      <c r="N45" s="84" t="str">
        <f>IF(OR(Scenarios!$E$7="",Scenarios!$F$41&lt;&gt;1),"",IF(Inputs!P67&lt;&gt;"",Scenarios!$E$7*Scenarios!F49,""))</f>
        <v/>
      </c>
      <c r="O45" s="84" t="str">
        <f>IF(OR(Scenarios!$E$7="",Scenarios!$G$41&lt;&gt;1),"",IF(Inputs!P67&lt;&gt;"",Scenarios!$E$7*Scenarios!G49,""))</f>
        <v/>
      </c>
      <c r="P45" s="84" t="str">
        <f>IF(Scenarios!$E$8="","",IF(Inputs!P67&lt;&gt;"",Scenarios!$E$8*Scenarios!C49,""))</f>
        <v/>
      </c>
      <c r="Q45" s="84" t="str">
        <f>IF(OR(Scenarios!$E$8="",Scenarios!$D$41&lt;&gt;1),"",IF(Inputs!P67&lt;&gt;"",Scenarios!$E$8*Scenarios!D49,""))</f>
        <v/>
      </c>
      <c r="R45" s="84" t="str">
        <f>IF(OR(Scenarios!$E$8="",Scenarios!$E$41&lt;&gt;1),"",IF(Inputs!P67&lt;&gt;"",Scenarios!$E$8*Scenarios!E49,""))</f>
        <v/>
      </c>
      <c r="S45" s="84" t="str">
        <f>IF(OR(Scenarios!$E$8="",Scenarios!$F$41&lt;&gt;1),"",IF(Inputs!P67&lt;&gt;"",Scenarios!$E$8*Scenarios!F49,""))</f>
        <v/>
      </c>
      <c r="T45" s="84" t="str">
        <f>IF(OR(Scenarios!$E$8="",Scenarios!$G$41&lt;&gt;1),"",IF(Inputs!P67&lt;&gt;"",Scenarios!$E$8*Scenarios!G49,""))</f>
        <v/>
      </c>
      <c r="U45" s="84" t="str">
        <f>IF(Scenarios!$E$9="","",IF(Inputs!P67&lt;&gt;"",Scenarios!$E$9*Scenarios!C49,""))</f>
        <v/>
      </c>
      <c r="V45" s="84" t="str">
        <f>IF(OR(Scenarios!$E$9="",Scenarios!$D$41&lt;&gt;1),"",IF(Inputs!P67&lt;&gt;"",Scenarios!$E$9*Scenarios!D49,""))</f>
        <v/>
      </c>
      <c r="W45" s="84" t="str">
        <f>IF(OR(Scenarios!$E$9="",Scenarios!$E$41&lt;&gt;1),"",IF(Inputs!P67&lt;&gt;"",Scenarios!$E$9*Scenarios!E49,""))</f>
        <v/>
      </c>
      <c r="X45" s="84" t="str">
        <f>IF(OR(Scenarios!$E$9="",Scenarios!$F$41&lt;&gt;1),"",IF(Inputs!P67&lt;&gt;"",Scenarios!$E$9*Scenarios!F49,""))</f>
        <v/>
      </c>
      <c r="Y45" s="84" t="str">
        <f>IF(OR(Scenarios!$E$9="",Scenarios!$G$41&lt;&gt;1),"",IF(Inputs!P67&lt;&gt;"",Scenarios!$E$9*Scenarios!G49,""))</f>
        <v/>
      </c>
    </row>
    <row r="46" spans="1:25" x14ac:dyDescent="0.35">
      <c r="A46" s="84" t="str">
        <f>IF(Inputs!P68&lt;&gt;"", Scenarios!$E$5*Scenarios!C50,"")</f>
        <v/>
      </c>
      <c r="B46" s="84" t="str">
        <f>IF(Scenarios!$D$41&lt;&gt;1, "", IF(Inputs!P68&lt;&gt;"", Scenarios!$E$5*Scenarios!D50,""))</f>
        <v/>
      </c>
      <c r="C46" s="84" t="str">
        <f>IF(Scenarios!$E$41&lt;&gt;1, "", IF(Inputs!P68&lt;&gt;"", Scenarios!$E$5*Scenarios!E50,""))</f>
        <v/>
      </c>
      <c r="D46" s="84" t="str">
        <f>IF(Scenarios!$F$41&lt;&gt;1, "", IF(Inputs!P68&lt;&gt;"", Scenarios!$E$5*Scenarios!F50,""))</f>
        <v/>
      </c>
      <c r="E46" s="84" t="str">
        <f>IF(Scenarios!$G$41&lt;&gt;1, "", IF(Inputs!P68&lt;&gt;"", Scenarios!$E$5*Scenarios!G50,""))</f>
        <v/>
      </c>
      <c r="F46" s="84" t="str">
        <f>IF(Scenarios!$E$6="", "", IF(Inputs!P68&lt;&gt;"", Scenarios!$E$6*Scenarios!C50,""))</f>
        <v/>
      </c>
      <c r="G46" s="84" t="str">
        <f>IF(OR(Scenarios!$E$6="",Scenarios!$D$41&lt;&gt;1), "", IF(Inputs!P68&lt;&gt;"", Scenarios!$E$6*Scenarios!D50,""))</f>
        <v/>
      </c>
      <c r="H46" s="84" t="str">
        <f>IF(OR(Scenarios!$E$6="",Scenarios!$E$41&lt;&gt;1), "", IF(Inputs!P68&lt;&gt;"", Scenarios!$E$6*Scenarios!E50,""))</f>
        <v/>
      </c>
      <c r="I46" s="84" t="str">
        <f>IF(OR(Scenarios!$E$6="",Scenarios!$F$41&lt;&gt;1),"",IF(Inputs!P68&lt;&gt;"",Scenarios!$E$6*Scenarios!F50,""))</f>
        <v/>
      </c>
      <c r="J46" s="84" t="str">
        <f>IF(OR(Scenarios!$E$6="",Scenarios!$G$41&lt;&gt;1),"",IF(Inputs!P68&lt;&gt;"",Scenarios!$E$6*Scenarios!G50,""))</f>
        <v/>
      </c>
      <c r="K46" s="84" t="str">
        <f>IF(Scenarios!$E$7="","",IF(Inputs!P68&lt;&gt;"",Scenarios!$E$7*Scenarios!C50,""))</f>
        <v/>
      </c>
      <c r="L46" s="84" t="str">
        <f>IF(OR(Scenarios!$E$7="",Scenarios!$D$41&lt;&gt;1),"",IF(Inputs!P68&lt;&gt;"",Scenarios!$E$7*Scenarios!D50,""))</f>
        <v/>
      </c>
      <c r="M46" s="84" t="str">
        <f>IF(OR(Scenarios!$E$7="",Scenarios!$E$41&lt;&gt;1),"",IF(Inputs!P68&lt;&gt;"",Scenarios!$E$7*Scenarios!E50,""))</f>
        <v/>
      </c>
      <c r="N46" s="84" t="str">
        <f>IF(OR(Scenarios!$E$7="",Scenarios!$F$41&lt;&gt;1),"",IF(Inputs!P68&lt;&gt;"",Scenarios!$E$7*Scenarios!F50,""))</f>
        <v/>
      </c>
      <c r="O46" s="84" t="str">
        <f>IF(OR(Scenarios!$E$7="",Scenarios!$G$41&lt;&gt;1),"",IF(Inputs!P68&lt;&gt;"",Scenarios!$E$7*Scenarios!G50,""))</f>
        <v/>
      </c>
      <c r="P46" s="84" t="str">
        <f>IF(Scenarios!$E$8="","",IF(Inputs!P68&lt;&gt;"",Scenarios!$E$8*Scenarios!C50,""))</f>
        <v/>
      </c>
      <c r="Q46" s="84" t="str">
        <f>IF(OR(Scenarios!$E$8="",Scenarios!$D$41&lt;&gt;1),"",IF(Inputs!P68&lt;&gt;"",Scenarios!$E$8*Scenarios!D50,""))</f>
        <v/>
      </c>
      <c r="R46" s="84" t="str">
        <f>IF(OR(Scenarios!$E$8="",Scenarios!$E$41&lt;&gt;1),"",IF(Inputs!P68&lt;&gt;"",Scenarios!$E$8*Scenarios!E50,""))</f>
        <v/>
      </c>
      <c r="S46" s="84" t="str">
        <f>IF(OR(Scenarios!$E$8="",Scenarios!$F$41&lt;&gt;1),"",IF(Inputs!P68&lt;&gt;"",Scenarios!$E$8*Scenarios!F50,""))</f>
        <v/>
      </c>
      <c r="T46" s="84" t="str">
        <f>IF(OR(Scenarios!$E$8="",Scenarios!$G$41&lt;&gt;1),"",IF(Inputs!P68&lt;&gt;"",Scenarios!$E$8*Scenarios!G50,""))</f>
        <v/>
      </c>
      <c r="U46" s="84" t="str">
        <f>IF(Scenarios!$E$9="","",IF(Inputs!P68&lt;&gt;"",Scenarios!$E$9*Scenarios!C50,""))</f>
        <v/>
      </c>
      <c r="V46" s="84" t="str">
        <f>IF(OR(Scenarios!$E$9="",Scenarios!$D$41&lt;&gt;1),"",IF(Inputs!P68&lt;&gt;"",Scenarios!$E$9*Scenarios!D50,""))</f>
        <v/>
      </c>
      <c r="W46" s="84" t="str">
        <f>IF(OR(Scenarios!$E$9="",Scenarios!$E$41&lt;&gt;1),"",IF(Inputs!P68&lt;&gt;"",Scenarios!$E$9*Scenarios!E50,""))</f>
        <v/>
      </c>
      <c r="X46" s="84" t="str">
        <f>IF(OR(Scenarios!$E$9="",Scenarios!$F$41&lt;&gt;1),"",IF(Inputs!P68&lt;&gt;"",Scenarios!$E$9*Scenarios!F50,""))</f>
        <v/>
      </c>
      <c r="Y46" s="84" t="str">
        <f>IF(OR(Scenarios!$E$9="",Scenarios!$G$41&lt;&gt;1),"",IF(Inputs!P68&lt;&gt;"",Scenarios!$E$9*Scenarios!G50,""))</f>
        <v/>
      </c>
    </row>
    <row r="47" spans="1:25" x14ac:dyDescent="0.35">
      <c r="A47" s="84" t="str">
        <f>IF(Inputs!P69&lt;&gt;"", Scenarios!$E$5*Scenarios!C51,"")</f>
        <v/>
      </c>
      <c r="B47" s="84" t="str">
        <f>IF(Scenarios!$D$41&lt;&gt;1, "", IF(Inputs!P69&lt;&gt;"", Scenarios!$E$5*Scenarios!D51,""))</f>
        <v/>
      </c>
      <c r="C47" s="84" t="str">
        <f>IF(Scenarios!$E$41&lt;&gt;1, "", IF(Inputs!P69&lt;&gt;"", Scenarios!$E$5*Scenarios!E51,""))</f>
        <v/>
      </c>
      <c r="D47" s="84" t="str">
        <f>IF(Scenarios!$F$41&lt;&gt;1, "", IF(Inputs!P69&lt;&gt;"", Scenarios!$E$5*Scenarios!F51,""))</f>
        <v/>
      </c>
      <c r="E47" s="84" t="str">
        <f>IF(Scenarios!$G$41&lt;&gt;1, "", IF(Inputs!P69&lt;&gt;"", Scenarios!$E$5*Scenarios!G51,""))</f>
        <v/>
      </c>
      <c r="F47" s="84" t="str">
        <f>IF(Scenarios!$E$6="", "", IF(Inputs!P69&lt;&gt;"", Scenarios!$E$6*Scenarios!C51,""))</f>
        <v/>
      </c>
      <c r="G47" s="84" t="str">
        <f>IF(OR(Scenarios!$E$6="",Scenarios!$D$41&lt;&gt;1), "", IF(Inputs!P69&lt;&gt;"", Scenarios!$E$6*Scenarios!D51,""))</f>
        <v/>
      </c>
      <c r="H47" s="84" t="str">
        <f>IF(OR(Scenarios!$E$6="",Scenarios!$E$41&lt;&gt;1), "", IF(Inputs!P69&lt;&gt;"", Scenarios!$E$6*Scenarios!E51,""))</f>
        <v/>
      </c>
      <c r="I47" s="84" t="str">
        <f>IF(OR(Scenarios!$E$6="",Scenarios!$F$41&lt;&gt;1),"",IF(Inputs!P69&lt;&gt;"",Scenarios!$E$6*Scenarios!F51,""))</f>
        <v/>
      </c>
      <c r="J47" s="84" t="str">
        <f>IF(OR(Scenarios!$E$6="",Scenarios!$G$41&lt;&gt;1),"",IF(Inputs!P69&lt;&gt;"",Scenarios!$E$6*Scenarios!G51,""))</f>
        <v/>
      </c>
      <c r="K47" s="84" t="str">
        <f>IF(Scenarios!$E$7="","",IF(Inputs!P69&lt;&gt;"",Scenarios!$E$7*Scenarios!C51,""))</f>
        <v/>
      </c>
      <c r="L47" s="84" t="str">
        <f>IF(OR(Scenarios!$E$7="",Scenarios!$D$41&lt;&gt;1),"",IF(Inputs!P69&lt;&gt;"",Scenarios!$E$7*Scenarios!D51,""))</f>
        <v/>
      </c>
      <c r="M47" s="84" t="str">
        <f>IF(OR(Scenarios!$E$7="",Scenarios!$E$41&lt;&gt;1),"",IF(Inputs!P69&lt;&gt;"",Scenarios!$E$7*Scenarios!E51,""))</f>
        <v/>
      </c>
      <c r="N47" s="84" t="str">
        <f>IF(OR(Scenarios!$E$7="",Scenarios!$F$41&lt;&gt;1),"",IF(Inputs!P69&lt;&gt;"",Scenarios!$E$7*Scenarios!F51,""))</f>
        <v/>
      </c>
      <c r="O47" s="84" t="str">
        <f>IF(OR(Scenarios!$E$7="",Scenarios!$G$41&lt;&gt;1),"",IF(Inputs!P69&lt;&gt;"",Scenarios!$E$7*Scenarios!G51,""))</f>
        <v/>
      </c>
      <c r="P47" s="84" t="str">
        <f>IF(Scenarios!$E$8="","",IF(Inputs!P69&lt;&gt;"",Scenarios!$E$8*Scenarios!C51,""))</f>
        <v/>
      </c>
      <c r="Q47" s="84" t="str">
        <f>IF(OR(Scenarios!$E$8="",Scenarios!$D$41&lt;&gt;1),"",IF(Inputs!P69&lt;&gt;"",Scenarios!$E$8*Scenarios!D51,""))</f>
        <v/>
      </c>
      <c r="R47" s="84" t="str">
        <f>IF(OR(Scenarios!$E$8="",Scenarios!$E$41&lt;&gt;1),"",IF(Inputs!P69&lt;&gt;"",Scenarios!$E$8*Scenarios!E51,""))</f>
        <v/>
      </c>
      <c r="S47" s="84" t="str">
        <f>IF(OR(Scenarios!$E$8="",Scenarios!$F$41&lt;&gt;1),"",IF(Inputs!P69&lt;&gt;"",Scenarios!$E$8*Scenarios!F51,""))</f>
        <v/>
      </c>
      <c r="T47" s="84" t="str">
        <f>IF(OR(Scenarios!$E$8="",Scenarios!$G$41&lt;&gt;1),"",IF(Inputs!P69&lt;&gt;"",Scenarios!$E$8*Scenarios!G51,""))</f>
        <v/>
      </c>
      <c r="U47" s="84" t="str">
        <f>IF(Scenarios!$E$9="","",IF(Inputs!P69&lt;&gt;"",Scenarios!$E$9*Scenarios!C51,""))</f>
        <v/>
      </c>
      <c r="V47" s="84" t="str">
        <f>IF(OR(Scenarios!$E$9="",Scenarios!$D$41&lt;&gt;1),"",IF(Inputs!P69&lt;&gt;"",Scenarios!$E$9*Scenarios!D51,""))</f>
        <v/>
      </c>
      <c r="W47" s="84" t="str">
        <f>IF(OR(Scenarios!$E$9="",Scenarios!$E$41&lt;&gt;1),"",IF(Inputs!P69&lt;&gt;"",Scenarios!$E$9*Scenarios!E51,""))</f>
        <v/>
      </c>
      <c r="X47" s="84" t="str">
        <f>IF(OR(Scenarios!$E$9="",Scenarios!$F$41&lt;&gt;1),"",IF(Inputs!P69&lt;&gt;"",Scenarios!$E$9*Scenarios!F51,""))</f>
        <v/>
      </c>
      <c r="Y47" s="84" t="str">
        <f>IF(OR(Scenarios!$E$9="",Scenarios!$G$41&lt;&gt;1),"",IF(Inputs!P69&lt;&gt;"",Scenarios!$E$9*Scenarios!G51,""))</f>
        <v/>
      </c>
    </row>
    <row r="48" spans="1:25" x14ac:dyDescent="0.35">
      <c r="A48" s="84" t="str">
        <f>IF(Inputs!P70&lt;&gt;"", Scenarios!$E$5*Scenarios!C52,"")</f>
        <v/>
      </c>
      <c r="B48" s="84" t="str">
        <f>IF(Scenarios!$D$41&lt;&gt;1, "", IF(Inputs!P70&lt;&gt;"", Scenarios!$E$5*Scenarios!D52,""))</f>
        <v/>
      </c>
      <c r="C48" s="84" t="str">
        <f>IF(Scenarios!$E$41&lt;&gt;1, "", IF(Inputs!P70&lt;&gt;"", Scenarios!$E$5*Scenarios!E52,""))</f>
        <v/>
      </c>
      <c r="D48" s="84" t="str">
        <f>IF(Scenarios!$F$41&lt;&gt;1, "", IF(Inputs!P70&lt;&gt;"", Scenarios!$E$5*Scenarios!F52,""))</f>
        <v/>
      </c>
      <c r="E48" s="84" t="str">
        <f>IF(Scenarios!$G$41&lt;&gt;1, "", IF(Inputs!P70&lt;&gt;"", Scenarios!$E$5*Scenarios!G52,""))</f>
        <v/>
      </c>
      <c r="F48" s="84" t="str">
        <f>IF(Scenarios!$E$6="", "", IF(Inputs!P70&lt;&gt;"", Scenarios!$E$6*Scenarios!C52,""))</f>
        <v/>
      </c>
      <c r="G48" s="84" t="str">
        <f>IF(OR(Scenarios!$E$6="",Scenarios!$D$41&lt;&gt;1), "", IF(Inputs!P70&lt;&gt;"", Scenarios!$E$6*Scenarios!D52,""))</f>
        <v/>
      </c>
      <c r="H48" s="84" t="str">
        <f>IF(OR(Scenarios!$E$6="",Scenarios!$E$41&lt;&gt;1), "", IF(Inputs!P70&lt;&gt;"", Scenarios!$E$6*Scenarios!E52,""))</f>
        <v/>
      </c>
      <c r="I48" s="84" t="str">
        <f>IF(OR(Scenarios!$E$6="",Scenarios!$F$41&lt;&gt;1),"",IF(Inputs!P70&lt;&gt;"",Scenarios!$E$6*Scenarios!F52,""))</f>
        <v/>
      </c>
      <c r="J48" s="84" t="str">
        <f>IF(OR(Scenarios!$E$6="",Scenarios!$G$41&lt;&gt;1),"",IF(Inputs!P70&lt;&gt;"",Scenarios!$E$6*Scenarios!G52,""))</f>
        <v/>
      </c>
      <c r="K48" s="84" t="str">
        <f>IF(Scenarios!$E$7="","",IF(Inputs!P70&lt;&gt;"",Scenarios!$E$7*Scenarios!C52,""))</f>
        <v/>
      </c>
      <c r="L48" s="84" t="str">
        <f>IF(OR(Scenarios!$E$7="",Scenarios!$D$41&lt;&gt;1),"",IF(Inputs!P70&lt;&gt;"",Scenarios!$E$7*Scenarios!D52,""))</f>
        <v/>
      </c>
      <c r="M48" s="84" t="str">
        <f>IF(OR(Scenarios!$E$7="",Scenarios!$E$41&lt;&gt;1),"",IF(Inputs!P70&lt;&gt;"",Scenarios!$E$7*Scenarios!E52,""))</f>
        <v/>
      </c>
      <c r="N48" s="84" t="str">
        <f>IF(OR(Scenarios!$E$7="",Scenarios!$F$41&lt;&gt;1),"",IF(Inputs!P70&lt;&gt;"",Scenarios!$E$7*Scenarios!F52,""))</f>
        <v/>
      </c>
      <c r="O48" s="84" t="str">
        <f>IF(OR(Scenarios!$E$7="",Scenarios!$G$41&lt;&gt;1),"",IF(Inputs!P70&lt;&gt;"",Scenarios!$E$7*Scenarios!G52,""))</f>
        <v/>
      </c>
      <c r="P48" s="84" t="str">
        <f>IF(Scenarios!$E$8="","",IF(Inputs!P70&lt;&gt;"",Scenarios!$E$8*Scenarios!C52,""))</f>
        <v/>
      </c>
      <c r="Q48" s="84" t="str">
        <f>IF(OR(Scenarios!$E$8="",Scenarios!$D$41&lt;&gt;1),"",IF(Inputs!P70&lt;&gt;"",Scenarios!$E$8*Scenarios!D52,""))</f>
        <v/>
      </c>
      <c r="R48" s="84" t="str">
        <f>IF(OR(Scenarios!$E$8="",Scenarios!$E$41&lt;&gt;1),"",IF(Inputs!P70&lt;&gt;"",Scenarios!$E$8*Scenarios!E52,""))</f>
        <v/>
      </c>
      <c r="S48" s="84" t="str">
        <f>IF(OR(Scenarios!$E$8="",Scenarios!$F$41&lt;&gt;1),"",IF(Inputs!P70&lt;&gt;"",Scenarios!$E$8*Scenarios!F52,""))</f>
        <v/>
      </c>
      <c r="T48" s="84" t="str">
        <f>IF(OR(Scenarios!$E$8="",Scenarios!$G$41&lt;&gt;1),"",IF(Inputs!P70&lt;&gt;"",Scenarios!$E$8*Scenarios!G52,""))</f>
        <v/>
      </c>
      <c r="U48" s="84" t="str">
        <f>IF(Scenarios!$E$9="","",IF(Inputs!P70&lt;&gt;"",Scenarios!$E$9*Scenarios!C52,""))</f>
        <v/>
      </c>
      <c r="V48" s="84" t="str">
        <f>IF(OR(Scenarios!$E$9="",Scenarios!$D$41&lt;&gt;1),"",IF(Inputs!P70&lt;&gt;"",Scenarios!$E$9*Scenarios!D52,""))</f>
        <v/>
      </c>
      <c r="W48" s="84" t="str">
        <f>IF(OR(Scenarios!$E$9="",Scenarios!$E$41&lt;&gt;1),"",IF(Inputs!P70&lt;&gt;"",Scenarios!$E$9*Scenarios!E52,""))</f>
        <v/>
      </c>
      <c r="X48" s="84" t="str">
        <f>IF(OR(Scenarios!$E$9="",Scenarios!$F$41&lt;&gt;1),"",IF(Inputs!P70&lt;&gt;"",Scenarios!$E$9*Scenarios!F52,""))</f>
        <v/>
      </c>
      <c r="Y48" s="84" t="str">
        <f>IF(OR(Scenarios!$E$9="",Scenarios!$G$41&lt;&gt;1),"",IF(Inputs!P70&lt;&gt;"",Scenarios!$E$9*Scenarios!G52,""))</f>
        <v/>
      </c>
    </row>
    <row r="49" spans="1:25" x14ac:dyDescent="0.35">
      <c r="A49" s="84" t="str">
        <f>IF(Inputs!P71&lt;&gt;"", Scenarios!$E$5*Scenarios!C53,"")</f>
        <v/>
      </c>
      <c r="B49" s="84" t="str">
        <f>IF(Scenarios!$D$41&lt;&gt;1, "", IF(Inputs!P71&lt;&gt;"", Scenarios!$E$5*Scenarios!D53,""))</f>
        <v/>
      </c>
      <c r="C49" s="84" t="str">
        <f>IF(Scenarios!$E$41&lt;&gt;1, "", IF(Inputs!P71&lt;&gt;"", Scenarios!$E$5*Scenarios!E53,""))</f>
        <v/>
      </c>
      <c r="D49" s="84" t="str">
        <f>IF(Scenarios!$F$41&lt;&gt;1, "", IF(Inputs!P71&lt;&gt;"", Scenarios!$E$5*Scenarios!F53,""))</f>
        <v/>
      </c>
      <c r="E49" s="84" t="str">
        <f>IF(Scenarios!$G$41&lt;&gt;1, "", IF(Inputs!P71&lt;&gt;"", Scenarios!$E$5*Scenarios!G53,""))</f>
        <v/>
      </c>
      <c r="F49" s="84" t="str">
        <f>IF(Scenarios!$E$6="", "", IF(Inputs!P71&lt;&gt;"", Scenarios!$E$6*Scenarios!C53,""))</f>
        <v/>
      </c>
      <c r="G49" s="84" t="str">
        <f>IF(OR(Scenarios!$E$6="",Scenarios!$D$41&lt;&gt;1), "", IF(Inputs!P71&lt;&gt;"", Scenarios!$E$6*Scenarios!D53,""))</f>
        <v/>
      </c>
      <c r="H49" s="84" t="str">
        <f>IF(OR(Scenarios!$E$6="",Scenarios!$E$41&lt;&gt;1), "", IF(Inputs!P71&lt;&gt;"", Scenarios!$E$6*Scenarios!E53,""))</f>
        <v/>
      </c>
      <c r="I49" s="84" t="str">
        <f>IF(OR(Scenarios!$E$6="",Scenarios!$F$41&lt;&gt;1),"",IF(Inputs!P71&lt;&gt;"",Scenarios!$E$6*Scenarios!F53,""))</f>
        <v/>
      </c>
      <c r="J49" s="84" t="str">
        <f>IF(OR(Scenarios!$E$6="",Scenarios!$G$41&lt;&gt;1),"",IF(Inputs!P71&lt;&gt;"",Scenarios!$E$6*Scenarios!G53,""))</f>
        <v/>
      </c>
      <c r="K49" s="84" t="str">
        <f>IF(Scenarios!$E$7="","",IF(Inputs!P71&lt;&gt;"",Scenarios!$E$7*Scenarios!C53,""))</f>
        <v/>
      </c>
      <c r="L49" s="84" t="str">
        <f>IF(OR(Scenarios!$E$7="",Scenarios!$D$41&lt;&gt;1),"",IF(Inputs!P71&lt;&gt;"",Scenarios!$E$7*Scenarios!D53,""))</f>
        <v/>
      </c>
      <c r="M49" s="84" t="str">
        <f>IF(OR(Scenarios!$E$7="",Scenarios!$E$41&lt;&gt;1),"",IF(Inputs!P71&lt;&gt;"",Scenarios!$E$7*Scenarios!E53,""))</f>
        <v/>
      </c>
      <c r="N49" s="84" t="str">
        <f>IF(OR(Scenarios!$E$7="",Scenarios!$F$41&lt;&gt;1),"",IF(Inputs!P71&lt;&gt;"",Scenarios!$E$7*Scenarios!F53,""))</f>
        <v/>
      </c>
      <c r="O49" s="84" t="str">
        <f>IF(OR(Scenarios!$E$7="",Scenarios!$G$41&lt;&gt;1),"",IF(Inputs!P71&lt;&gt;"",Scenarios!$E$7*Scenarios!G53,""))</f>
        <v/>
      </c>
      <c r="P49" s="84" t="str">
        <f>IF(Scenarios!$E$8="","",IF(Inputs!P71&lt;&gt;"",Scenarios!$E$8*Scenarios!C53,""))</f>
        <v/>
      </c>
      <c r="Q49" s="84" t="str">
        <f>IF(OR(Scenarios!$E$8="",Scenarios!$D$41&lt;&gt;1),"",IF(Inputs!P71&lt;&gt;"",Scenarios!$E$8*Scenarios!D53,""))</f>
        <v/>
      </c>
      <c r="R49" s="84" t="str">
        <f>IF(OR(Scenarios!$E$8="",Scenarios!$E$41&lt;&gt;1),"",IF(Inputs!P71&lt;&gt;"",Scenarios!$E$8*Scenarios!E53,""))</f>
        <v/>
      </c>
      <c r="S49" s="84" t="str">
        <f>IF(OR(Scenarios!$E$8="",Scenarios!$F$41&lt;&gt;1),"",IF(Inputs!P71&lt;&gt;"",Scenarios!$E$8*Scenarios!F53,""))</f>
        <v/>
      </c>
      <c r="T49" s="84" t="str">
        <f>IF(OR(Scenarios!$E$8="",Scenarios!$G$41&lt;&gt;1),"",IF(Inputs!P71&lt;&gt;"",Scenarios!$E$8*Scenarios!G53,""))</f>
        <v/>
      </c>
      <c r="U49" s="84" t="str">
        <f>IF(Scenarios!$E$9="","",IF(Inputs!P71&lt;&gt;"",Scenarios!$E$9*Scenarios!C53,""))</f>
        <v/>
      </c>
      <c r="V49" s="84" t="str">
        <f>IF(OR(Scenarios!$E$9="",Scenarios!$D$41&lt;&gt;1),"",IF(Inputs!P71&lt;&gt;"",Scenarios!$E$9*Scenarios!D53,""))</f>
        <v/>
      </c>
      <c r="W49" s="84" t="str">
        <f>IF(OR(Scenarios!$E$9="",Scenarios!$E$41&lt;&gt;1),"",IF(Inputs!P71&lt;&gt;"",Scenarios!$E$9*Scenarios!E53,""))</f>
        <v/>
      </c>
      <c r="X49" s="84" t="str">
        <f>IF(OR(Scenarios!$E$9="",Scenarios!$F$41&lt;&gt;1),"",IF(Inputs!P71&lt;&gt;"",Scenarios!$E$9*Scenarios!F53,""))</f>
        <v/>
      </c>
      <c r="Y49" s="84" t="str">
        <f>IF(OR(Scenarios!$E$9="",Scenarios!$G$41&lt;&gt;1),"",IF(Inputs!P71&lt;&gt;"",Scenarios!$E$9*Scenarios!G53,""))</f>
        <v/>
      </c>
    </row>
    <row r="50" spans="1:25" x14ac:dyDescent="0.35">
      <c r="A50" s="84" t="str">
        <f>IF(Inputs!P72&lt;&gt;"", Scenarios!$F$5*Scenarios!C56,"")</f>
        <v/>
      </c>
      <c r="B50" s="84" t="str">
        <f>IF(Scenarios!$D$55&lt;&gt;1, "", IF(Inputs!P72&lt;&gt;"", Scenarios!$F$5*Scenarios!D56,""))</f>
        <v/>
      </c>
      <c r="C50" s="84" t="str">
        <f>IF(Scenarios!$E$55&lt;&gt;1, "", IF(Inputs!P72&lt;&gt;"", Scenarios!$F$5*Scenarios!E56,""))</f>
        <v/>
      </c>
      <c r="D50" s="84" t="str">
        <f>IF(Scenarios!$F$55&lt;&gt;1, "", IF(Inputs!P72&lt;&gt;"", Scenarios!$F$5*Scenarios!F56,""))</f>
        <v/>
      </c>
      <c r="E50" s="84" t="str">
        <f>IF(Scenarios!$G$55&lt;&gt;1, "", IF(Inputs!P72&lt;&gt;"", Scenarios!$F$5*Scenarios!G56,""))</f>
        <v/>
      </c>
      <c r="F50" s="84" t="str">
        <f>IF(Scenarios!$F$6="", "", IF(Inputs!P72&lt;&gt;"", Scenarios!$F$6*Scenarios!C56,""))</f>
        <v/>
      </c>
      <c r="G50" s="84" t="str">
        <f>IF(OR(Scenarios!$F$6="",Scenarios!$D$55&lt;&gt;1),"",IF(Inputs!P72&lt;&gt;"",Scenarios!$F$6*Scenarios!D56,""))</f>
        <v/>
      </c>
      <c r="H50" s="84" t="str">
        <f>IF(OR(Scenarios!$F$6="",Scenarios!$E$55&lt;&gt;1),"",IF(Inputs!P72&lt;&gt;"",Scenarios!$F$6*Scenarios!E56,""))</f>
        <v/>
      </c>
      <c r="I50" s="84" t="str">
        <f>IF(OR(Scenarios!$F$6="",Scenarios!$F$55&lt;&gt;1),"",IF(Inputs!P72&lt;&gt;"",Scenarios!$F$6*Scenarios!F56,""))</f>
        <v/>
      </c>
      <c r="J50" s="84" t="str">
        <f>IF(OR(Scenarios!$F$6="",Scenarios!$G$55&lt;&gt;1),"",IF(Inputs!P72&lt;&gt;"",Scenarios!$F$6*Scenarios!G56,""))</f>
        <v/>
      </c>
      <c r="K50" s="84" t="str">
        <f>IF(Scenarios!$F$7="","",IF(Inputs!P72&lt;&gt;"",Scenarios!$F$7*Scenarios!C56,""))</f>
        <v/>
      </c>
      <c r="L50" s="84" t="str">
        <f>IF(OR(Scenarios!$F$7="",Scenarios!$D$55&lt;&gt;1),"",IF(Inputs!P72&lt;&gt;"",Scenarios!$F$7*Scenarios!D56,""))</f>
        <v/>
      </c>
      <c r="M50" s="84" t="str">
        <f>IF(OR(Scenarios!$F$7="",Scenarios!$E$55&lt;&gt;1),"",IF(Inputs!P72&lt;&gt;"",Scenarios!$F$7*Scenarios!E56,""))</f>
        <v/>
      </c>
      <c r="N50" s="84" t="str">
        <f>IF(OR(Scenarios!$F$7="",Scenarios!$F$55&lt;&gt;1),"",IF(Inputs!P72&lt;&gt;"",Scenarios!$F$7*Scenarios!F56,""))</f>
        <v/>
      </c>
      <c r="O50" s="84" t="str">
        <f>IF(OR(Scenarios!$F$7="",Scenarios!$G$55&lt;&gt;1),"",IF(Inputs!P72&lt;&gt;"",Scenarios!$F$7*Scenarios!G56,""))</f>
        <v/>
      </c>
      <c r="P50" s="84" t="str">
        <f>IF(Scenarios!$F$8="","",IF(Inputs!P72&lt;&gt;"",Scenarios!$F$8*Scenarios!C56,""))</f>
        <v/>
      </c>
      <c r="Q50" s="84" t="str">
        <f>IF(OR(Scenarios!$F$8="",Scenarios!$D$55&lt;&gt;1),"",IF(Inputs!P72&lt;&gt;"",Scenarios!$F$8*Scenarios!D56,""))</f>
        <v/>
      </c>
      <c r="R50" s="84" t="str">
        <f>IF(OR(Scenarios!$F$8="",Scenarios!$E$55&lt;&gt;1),"",IF(Inputs!P72&lt;&gt;"",Scenarios!$F$8*Scenarios!E56,""))</f>
        <v/>
      </c>
      <c r="S50" s="84" t="str">
        <f>IF(OR(Scenarios!$F$8="",Scenarios!$F$55&lt;&gt;1),"",IF(Inputs!P72&lt;&gt;"",Scenarios!$F$8*Scenarios!F56,""))</f>
        <v/>
      </c>
      <c r="T50" s="84" t="str">
        <f>IF(OR(Scenarios!$F$8="",Scenarios!$G$55&lt;&gt;1),"",IF(Inputs!P72&lt;&gt;"",Scenarios!$F$8*Scenarios!G56,""))</f>
        <v/>
      </c>
      <c r="U50" s="84" t="str">
        <f>IF(Scenarios!$F$9="","",IF(Inputs!P72&lt;&gt;"",Scenarios!$F$9*Scenarios!C56,""))</f>
        <v/>
      </c>
      <c r="V50" s="84" t="str">
        <f>IF(OR(Scenarios!$F$9="",Scenarios!$D$55&lt;&gt;1),"",IF(Inputs!P72&lt;&gt;"",Scenarios!$F$9*Scenarios!D56,""))</f>
        <v/>
      </c>
      <c r="W50" s="84" t="str">
        <f>IF(OR(Scenarios!$F$9="",Scenarios!$E$55&lt;&gt;1),"",IF(Inputs!P72&lt;&gt;"",Scenarios!$F$9*Scenarios!E56,""))</f>
        <v/>
      </c>
      <c r="X50" s="84" t="str">
        <f>IF(OR(Scenarios!$F$9="",Scenarios!$F$55&lt;&gt;1),"",IF(Inputs!P72&lt;&gt;"",Scenarios!$F$9*Scenarios!F56,""))</f>
        <v/>
      </c>
      <c r="Y50" s="84" t="str">
        <f>IF(OR(Scenarios!$F$9="",Scenarios!$G$55&lt;&gt;1),"",IF(Inputs!P72&lt;&gt;"",Scenarios!$F$9*Scenarios!G56,""))</f>
        <v/>
      </c>
    </row>
    <row r="51" spans="1:25" x14ac:dyDescent="0.35">
      <c r="A51" s="84" t="str">
        <f>IF(Inputs!P73&lt;&gt;"", Scenarios!$F$5*Scenarios!C57,"")</f>
        <v/>
      </c>
      <c r="B51" s="84" t="str">
        <f>IF(Scenarios!$D$55&lt;&gt;1, "", IF(Inputs!P73&lt;&gt;"", Scenarios!$F$5*Scenarios!D57,""))</f>
        <v/>
      </c>
      <c r="C51" s="84" t="str">
        <f>IF(Scenarios!$E$55&lt;&gt;1, "", IF(Inputs!P73&lt;&gt;"", Scenarios!$F$5*Scenarios!E57,""))</f>
        <v/>
      </c>
      <c r="D51" s="84" t="str">
        <f>IF(Scenarios!$F$55&lt;&gt;1, "", IF(Inputs!P73&lt;&gt;"", Scenarios!$F$5*Scenarios!F57,""))</f>
        <v/>
      </c>
      <c r="E51" s="84" t="str">
        <f>IF(Scenarios!$G$55&lt;&gt;1, "", IF(Inputs!P73&lt;&gt;"", Scenarios!$F$5*Scenarios!G57,""))</f>
        <v/>
      </c>
      <c r="F51" s="84" t="str">
        <f>IF(Scenarios!$F$6="", "", IF(Inputs!P73&lt;&gt;"", Scenarios!$F$6*Scenarios!C57,""))</f>
        <v/>
      </c>
      <c r="G51" s="84" t="str">
        <f>IF(OR(Scenarios!$F$6="",Scenarios!$D$55&lt;&gt;1),"",IF(Inputs!P73&lt;&gt;"",Scenarios!$F$6*Scenarios!D57,""))</f>
        <v/>
      </c>
      <c r="H51" s="84" t="str">
        <f>IF(OR(Scenarios!$F$6="",Scenarios!$E$55&lt;&gt;1),"",IF(Inputs!P73&lt;&gt;"",Scenarios!$F$6*Scenarios!E57,""))</f>
        <v/>
      </c>
      <c r="I51" s="84" t="str">
        <f>IF(OR(Scenarios!$F$6="",Scenarios!$F$55&lt;&gt;1),"",IF(Inputs!P73&lt;&gt;"",Scenarios!$F$6*Scenarios!F57,""))</f>
        <v/>
      </c>
      <c r="J51" s="84" t="str">
        <f>IF(OR(Scenarios!$F$6="",Scenarios!$G$55&lt;&gt;1),"",IF(Inputs!P73&lt;&gt;"",Scenarios!$F$6*Scenarios!G57,""))</f>
        <v/>
      </c>
      <c r="K51" s="84" t="str">
        <f>IF(Scenarios!$F$7="","",IF(Inputs!P73&lt;&gt;"",Scenarios!$F$7*Scenarios!C57,""))</f>
        <v/>
      </c>
      <c r="L51" s="84" t="str">
        <f>IF(OR(Scenarios!$F$7="",Scenarios!$D$55&lt;&gt;1),"",IF(Inputs!P73&lt;&gt;"",Scenarios!$F$7*Scenarios!D57,""))</f>
        <v/>
      </c>
      <c r="M51" s="84" t="str">
        <f>IF(OR(Scenarios!$F$7="",Scenarios!$E$55&lt;&gt;1),"",IF(Inputs!P73&lt;&gt;"",Scenarios!$F$7*Scenarios!E57,""))</f>
        <v/>
      </c>
      <c r="N51" s="84" t="str">
        <f>IF(OR(Scenarios!$F$7="",Scenarios!$F$55&lt;&gt;1),"",IF(Inputs!P73&lt;&gt;"",Scenarios!$F$7*Scenarios!F57,""))</f>
        <v/>
      </c>
      <c r="O51" s="84" t="str">
        <f>IF(OR(Scenarios!$F$7="",Scenarios!$G$55&lt;&gt;1),"",IF(Inputs!P73&lt;&gt;"",Scenarios!$F$7*Scenarios!G57,""))</f>
        <v/>
      </c>
      <c r="P51" s="84" t="str">
        <f>IF(Scenarios!$F$8="","",IF(Inputs!P73&lt;&gt;"",Scenarios!$F$8*Scenarios!C57,""))</f>
        <v/>
      </c>
      <c r="Q51" s="84" t="str">
        <f>IF(OR(Scenarios!$F$8="",Scenarios!$D$55&lt;&gt;1),"",IF(Inputs!P73&lt;&gt;"",Scenarios!$F$8*Scenarios!D57,""))</f>
        <v/>
      </c>
      <c r="R51" s="84" t="str">
        <f>IF(OR(Scenarios!$F$8="",Scenarios!$E$55&lt;&gt;1),"",IF(Inputs!P73&lt;&gt;"",Scenarios!$F$8*Scenarios!E57,""))</f>
        <v/>
      </c>
      <c r="S51" s="84" t="str">
        <f>IF(OR(Scenarios!$F$8="",Scenarios!$F$55&lt;&gt;1),"",IF(Inputs!P73&lt;&gt;"",Scenarios!$F$8*Scenarios!F57,""))</f>
        <v/>
      </c>
      <c r="T51" s="84" t="str">
        <f>IF(OR(Scenarios!$F$8="",Scenarios!$G$55&lt;&gt;1),"",IF(Inputs!P73&lt;&gt;"",Scenarios!$F$8*Scenarios!G57,""))</f>
        <v/>
      </c>
      <c r="U51" s="84" t="str">
        <f>IF(Scenarios!$F$9="","",IF(Inputs!P73&lt;&gt;"",Scenarios!$F$9*Scenarios!C57,""))</f>
        <v/>
      </c>
      <c r="V51" s="84" t="str">
        <f>IF(OR(Scenarios!$F$9="",Scenarios!$D$55&lt;&gt;1),"",IF(Inputs!P73&lt;&gt;"",Scenarios!$F$9*Scenarios!D57,""))</f>
        <v/>
      </c>
      <c r="W51" s="84" t="str">
        <f>IF(OR(Scenarios!$F$9="",Scenarios!$E$55&lt;&gt;1),"",IF(Inputs!P73&lt;&gt;"",Scenarios!$F$9*Scenarios!E57,""))</f>
        <v/>
      </c>
      <c r="X51" s="84" t="str">
        <f>IF(OR(Scenarios!$F$9="",Scenarios!$F$55&lt;&gt;1),"",IF(Inputs!P73&lt;&gt;"",Scenarios!$F$9*Scenarios!F57,""))</f>
        <v/>
      </c>
      <c r="Y51" s="84" t="str">
        <f>IF(OR(Scenarios!$F$9="",Scenarios!$G$55&lt;&gt;1),"",IF(Inputs!P73&lt;&gt;"",Scenarios!$F$9*Scenarios!G57,""))</f>
        <v/>
      </c>
    </row>
    <row r="52" spans="1:25" x14ac:dyDescent="0.35">
      <c r="A52" s="84" t="str">
        <f>IF(Inputs!P74&lt;&gt;"", Scenarios!$F$5*Scenarios!C58,"")</f>
        <v/>
      </c>
      <c r="B52" s="84" t="str">
        <f>IF(Scenarios!$D$55&lt;&gt;1, "", IF(Inputs!P74&lt;&gt;"", Scenarios!$F$5*Scenarios!D58,""))</f>
        <v/>
      </c>
      <c r="C52" s="84" t="str">
        <f>IF(Scenarios!$E$55&lt;&gt;1, "", IF(Inputs!P74&lt;&gt;"", Scenarios!$F$5*Scenarios!E58,""))</f>
        <v/>
      </c>
      <c r="D52" s="84" t="str">
        <f>IF(Scenarios!$F$55&lt;&gt;1, "", IF(Inputs!P74&lt;&gt;"", Scenarios!$F$5*Scenarios!F58,""))</f>
        <v/>
      </c>
      <c r="E52" s="84" t="str">
        <f>IF(Scenarios!$G$55&lt;&gt;1, "", IF(Inputs!P74&lt;&gt;"", Scenarios!$F$5*Scenarios!G58,""))</f>
        <v/>
      </c>
      <c r="F52" s="84" t="str">
        <f>IF(Scenarios!$F$6="", "", IF(Inputs!P74&lt;&gt;"", Scenarios!$F$6*Scenarios!C58,""))</f>
        <v/>
      </c>
      <c r="G52" s="84" t="str">
        <f>IF(OR(Scenarios!$F$6="",Scenarios!$D$55&lt;&gt;1),"",IF(Inputs!P74&lt;&gt;"",Scenarios!$F$6*Scenarios!D58,""))</f>
        <v/>
      </c>
      <c r="H52" s="84" t="str">
        <f>IF(OR(Scenarios!$F$6="",Scenarios!$E$55&lt;&gt;1),"",IF(Inputs!P74&lt;&gt;"",Scenarios!$F$6*Scenarios!E58,""))</f>
        <v/>
      </c>
      <c r="I52" s="84" t="str">
        <f>IF(OR(Scenarios!$F$6="",Scenarios!$F$55&lt;&gt;1),"",IF(Inputs!P74&lt;&gt;"",Scenarios!$F$6*Scenarios!F58,""))</f>
        <v/>
      </c>
      <c r="J52" s="84" t="str">
        <f>IF(OR(Scenarios!$F$6="",Scenarios!$G$55&lt;&gt;1),"",IF(Inputs!P74&lt;&gt;"",Scenarios!$F$6*Scenarios!G58,""))</f>
        <v/>
      </c>
      <c r="K52" s="84" t="str">
        <f>IF(Scenarios!$F$7="","",IF(Inputs!P74&lt;&gt;"",Scenarios!$F$7*Scenarios!C58,""))</f>
        <v/>
      </c>
      <c r="L52" s="84" t="str">
        <f>IF(OR(Scenarios!$F$7="",Scenarios!$D$55&lt;&gt;1),"",IF(Inputs!P74&lt;&gt;"",Scenarios!$F$7*Scenarios!D58,""))</f>
        <v/>
      </c>
      <c r="M52" s="84" t="str">
        <f>IF(OR(Scenarios!$F$7="",Scenarios!$E$55&lt;&gt;1),"",IF(Inputs!P74&lt;&gt;"",Scenarios!$F$7*Scenarios!E58,""))</f>
        <v/>
      </c>
      <c r="N52" s="84" t="str">
        <f>IF(OR(Scenarios!$F$7="",Scenarios!$F$55&lt;&gt;1),"",IF(Inputs!P74&lt;&gt;"",Scenarios!$F$7*Scenarios!F58,""))</f>
        <v/>
      </c>
      <c r="O52" s="84" t="str">
        <f>IF(OR(Scenarios!$F$7="",Scenarios!$G$55&lt;&gt;1),"",IF(Inputs!P74&lt;&gt;"",Scenarios!$F$7*Scenarios!G58,""))</f>
        <v/>
      </c>
      <c r="P52" s="84" t="str">
        <f>IF(Scenarios!$F$8="","",IF(Inputs!P74&lt;&gt;"",Scenarios!$F$8*Scenarios!C58,""))</f>
        <v/>
      </c>
      <c r="Q52" s="84" t="str">
        <f>IF(OR(Scenarios!$F$8="",Scenarios!$D$55&lt;&gt;1),"",IF(Inputs!P74&lt;&gt;"",Scenarios!$F$8*Scenarios!D58,""))</f>
        <v/>
      </c>
      <c r="R52" s="84" t="str">
        <f>IF(OR(Scenarios!$F$8="",Scenarios!$E$55&lt;&gt;1),"",IF(Inputs!P74&lt;&gt;"",Scenarios!$F$8*Scenarios!E58,""))</f>
        <v/>
      </c>
      <c r="S52" s="84" t="str">
        <f>IF(OR(Scenarios!$F$8="",Scenarios!$F$55&lt;&gt;1),"",IF(Inputs!P74&lt;&gt;"",Scenarios!$F$8*Scenarios!F58,""))</f>
        <v/>
      </c>
      <c r="T52" s="84" t="str">
        <f>IF(OR(Scenarios!$F$8="",Scenarios!$G$55&lt;&gt;1),"",IF(Inputs!P74&lt;&gt;"",Scenarios!$F$8*Scenarios!G58,""))</f>
        <v/>
      </c>
      <c r="U52" s="84" t="str">
        <f>IF(Scenarios!$F$9="","",IF(Inputs!P74&lt;&gt;"",Scenarios!$F$9*Scenarios!C58,""))</f>
        <v/>
      </c>
      <c r="V52" s="84" t="str">
        <f>IF(OR(Scenarios!$F$9="",Scenarios!$D$55&lt;&gt;1),"",IF(Inputs!P74&lt;&gt;"",Scenarios!$F$9*Scenarios!D58,""))</f>
        <v/>
      </c>
      <c r="W52" s="84" t="str">
        <f>IF(OR(Scenarios!$F$9="",Scenarios!$E$55&lt;&gt;1),"",IF(Inputs!P74&lt;&gt;"",Scenarios!$F$9*Scenarios!E58,""))</f>
        <v/>
      </c>
      <c r="X52" s="84" t="str">
        <f>IF(OR(Scenarios!$F$9="",Scenarios!$F$55&lt;&gt;1),"",IF(Inputs!P74&lt;&gt;"",Scenarios!$F$9*Scenarios!F58,""))</f>
        <v/>
      </c>
      <c r="Y52" s="84" t="str">
        <f>IF(OR(Scenarios!$F$9="",Scenarios!$G$55&lt;&gt;1),"",IF(Inputs!P74&lt;&gt;"",Scenarios!$F$9*Scenarios!G58,""))</f>
        <v/>
      </c>
    </row>
    <row r="53" spans="1:25" x14ac:dyDescent="0.35">
      <c r="A53" s="84" t="str">
        <f>IF(Inputs!P75&lt;&gt;"", Scenarios!$F$5*Scenarios!C59,"")</f>
        <v/>
      </c>
      <c r="B53" s="84" t="str">
        <f>IF(Scenarios!$D$55&lt;&gt;1, "", IF(Inputs!P75&lt;&gt;"", Scenarios!$F$5*Scenarios!D59,""))</f>
        <v/>
      </c>
      <c r="C53" s="84" t="str">
        <f>IF(Scenarios!$E$55&lt;&gt;1, "", IF(Inputs!P75&lt;&gt;"", Scenarios!$F$5*Scenarios!E59,""))</f>
        <v/>
      </c>
      <c r="D53" s="84" t="str">
        <f>IF(Scenarios!$F$55&lt;&gt;1, "", IF(Inputs!P75&lt;&gt;"", Scenarios!$F$5*Scenarios!F59,""))</f>
        <v/>
      </c>
      <c r="E53" s="84" t="str">
        <f>IF(Scenarios!$G$55&lt;&gt;1, "", IF(Inputs!P75&lt;&gt;"", Scenarios!$F$5*Scenarios!G59,""))</f>
        <v/>
      </c>
      <c r="F53" s="84" t="str">
        <f>IF(Scenarios!$F$6="", "", IF(Inputs!P75&lt;&gt;"", Scenarios!$F$6*Scenarios!C59,""))</f>
        <v/>
      </c>
      <c r="G53" s="84" t="str">
        <f>IF(OR(Scenarios!$F$6="",Scenarios!$D$55&lt;&gt;1),"",IF(Inputs!P75&lt;&gt;"",Scenarios!$F$6*Scenarios!D59,""))</f>
        <v/>
      </c>
      <c r="H53" s="84" t="str">
        <f>IF(OR(Scenarios!$F$6="",Scenarios!$E$55&lt;&gt;1),"",IF(Inputs!P75&lt;&gt;"",Scenarios!$F$6*Scenarios!E59,""))</f>
        <v/>
      </c>
      <c r="I53" s="84" t="str">
        <f>IF(OR(Scenarios!$F$6="",Scenarios!$F$55&lt;&gt;1),"",IF(Inputs!P75&lt;&gt;"",Scenarios!$F$6*Scenarios!F59,""))</f>
        <v/>
      </c>
      <c r="J53" s="84" t="str">
        <f>IF(OR(Scenarios!$F$6="",Scenarios!$G$55&lt;&gt;1),"",IF(Inputs!P75&lt;&gt;"",Scenarios!$F$6*Scenarios!G59,""))</f>
        <v/>
      </c>
      <c r="K53" s="84" t="str">
        <f>IF(Scenarios!$F$7="","",IF(Inputs!P75&lt;&gt;"",Scenarios!$F$7*Scenarios!C59,""))</f>
        <v/>
      </c>
      <c r="L53" s="84" t="str">
        <f>IF(OR(Scenarios!$F$7="",Scenarios!$D$55&lt;&gt;1),"",IF(Inputs!P75&lt;&gt;"",Scenarios!$F$7*Scenarios!D59,""))</f>
        <v/>
      </c>
      <c r="M53" s="84" t="str">
        <f>IF(OR(Scenarios!$F$7="",Scenarios!$E$55&lt;&gt;1),"",IF(Inputs!P75&lt;&gt;"",Scenarios!$F$7*Scenarios!E59,""))</f>
        <v/>
      </c>
      <c r="N53" s="84" t="str">
        <f>IF(OR(Scenarios!$F$7="",Scenarios!$F$55&lt;&gt;1),"",IF(Inputs!P75&lt;&gt;"",Scenarios!$F$7*Scenarios!F59,""))</f>
        <v/>
      </c>
      <c r="O53" s="84" t="str">
        <f>IF(OR(Scenarios!$F$7="",Scenarios!$G$55&lt;&gt;1),"",IF(Inputs!P75&lt;&gt;"",Scenarios!$F$7*Scenarios!G59,""))</f>
        <v/>
      </c>
      <c r="P53" s="84" t="str">
        <f>IF(Scenarios!$F$8="","",IF(Inputs!P75&lt;&gt;"",Scenarios!$F$8*Scenarios!C59,""))</f>
        <v/>
      </c>
      <c r="Q53" s="84" t="str">
        <f>IF(OR(Scenarios!$F$8="",Scenarios!$D$55&lt;&gt;1),"",IF(Inputs!P75&lt;&gt;"",Scenarios!$F$8*Scenarios!D59,""))</f>
        <v/>
      </c>
      <c r="R53" s="84" t="str">
        <f>IF(OR(Scenarios!$F$8="",Scenarios!$E$55&lt;&gt;1),"",IF(Inputs!P75&lt;&gt;"",Scenarios!$F$8*Scenarios!E59,""))</f>
        <v/>
      </c>
      <c r="S53" s="84" t="str">
        <f>IF(OR(Scenarios!$F$8="",Scenarios!$F$55&lt;&gt;1),"",IF(Inputs!P75&lt;&gt;"",Scenarios!$F$8*Scenarios!F59,""))</f>
        <v/>
      </c>
      <c r="T53" s="84" t="str">
        <f>IF(OR(Scenarios!$F$8="",Scenarios!$G$55&lt;&gt;1),"",IF(Inputs!P75&lt;&gt;"",Scenarios!$F$8*Scenarios!G59,""))</f>
        <v/>
      </c>
      <c r="U53" s="84" t="str">
        <f>IF(Scenarios!$F$9="","",IF(Inputs!P75&lt;&gt;"",Scenarios!$F$9*Scenarios!C59,""))</f>
        <v/>
      </c>
      <c r="V53" s="84" t="str">
        <f>IF(OR(Scenarios!$F$9="",Scenarios!$D$55&lt;&gt;1),"",IF(Inputs!P75&lt;&gt;"",Scenarios!$F$9*Scenarios!D59,""))</f>
        <v/>
      </c>
      <c r="W53" s="84" t="str">
        <f>IF(OR(Scenarios!$F$9="",Scenarios!$E$55&lt;&gt;1),"",IF(Inputs!P75&lt;&gt;"",Scenarios!$F$9*Scenarios!E59,""))</f>
        <v/>
      </c>
      <c r="X53" s="84" t="str">
        <f>IF(OR(Scenarios!$F$9="",Scenarios!$F$55&lt;&gt;1),"",IF(Inputs!P75&lt;&gt;"",Scenarios!$F$9*Scenarios!F59,""))</f>
        <v/>
      </c>
      <c r="Y53" s="84" t="str">
        <f>IF(OR(Scenarios!$F$9="",Scenarios!$G$55&lt;&gt;1),"",IF(Inputs!P75&lt;&gt;"",Scenarios!$F$9*Scenarios!G59,""))</f>
        <v/>
      </c>
    </row>
    <row r="54" spans="1:25" x14ac:dyDescent="0.35">
      <c r="A54" s="84" t="str">
        <f>IF(Inputs!P76&lt;&gt;"", Scenarios!$F$5*Scenarios!C60,"")</f>
        <v/>
      </c>
      <c r="B54" s="84" t="str">
        <f>IF(Scenarios!$D$55&lt;&gt;1, "", IF(Inputs!P76&lt;&gt;"", Scenarios!$F$5*Scenarios!D60,""))</f>
        <v/>
      </c>
      <c r="C54" s="84" t="str">
        <f>IF(Scenarios!$E$55&lt;&gt;1, "", IF(Inputs!P76&lt;&gt;"", Scenarios!$F$5*Scenarios!E60,""))</f>
        <v/>
      </c>
      <c r="D54" s="84" t="str">
        <f>IF(Scenarios!$F$55&lt;&gt;1, "", IF(Inputs!P76&lt;&gt;"", Scenarios!$F$5*Scenarios!F60,""))</f>
        <v/>
      </c>
      <c r="E54" s="84" t="str">
        <f>IF(Scenarios!$G$55&lt;&gt;1, "", IF(Inputs!P76&lt;&gt;"", Scenarios!$F$5*Scenarios!G60,""))</f>
        <v/>
      </c>
      <c r="F54" s="84" t="str">
        <f>IF(Scenarios!$F$6="", "", IF(Inputs!P76&lt;&gt;"", Scenarios!$F$6*Scenarios!C60,""))</f>
        <v/>
      </c>
      <c r="G54" s="84" t="str">
        <f>IF(OR(Scenarios!$F$6="",Scenarios!$D$55&lt;&gt;1),"",IF(Inputs!P76&lt;&gt;"",Scenarios!$F$6*Scenarios!D60,""))</f>
        <v/>
      </c>
      <c r="H54" s="84" t="str">
        <f>IF(OR(Scenarios!$F$6="",Scenarios!$E$55&lt;&gt;1),"",IF(Inputs!P76&lt;&gt;"",Scenarios!$F$6*Scenarios!E60,""))</f>
        <v/>
      </c>
      <c r="I54" s="84" t="str">
        <f>IF(OR(Scenarios!$F$6="",Scenarios!$F$55&lt;&gt;1),"",IF(Inputs!P76&lt;&gt;"",Scenarios!$F$6*Scenarios!F60,""))</f>
        <v/>
      </c>
      <c r="J54" s="84" t="str">
        <f>IF(OR(Scenarios!$F$6="",Scenarios!$G$55&lt;&gt;1),"",IF(Inputs!P76&lt;&gt;"",Scenarios!$F$6*Scenarios!G60,""))</f>
        <v/>
      </c>
      <c r="K54" s="84" t="str">
        <f>IF(Scenarios!$F$7="","",IF(Inputs!P76&lt;&gt;"",Scenarios!$F$7*Scenarios!C60,""))</f>
        <v/>
      </c>
      <c r="L54" s="84" t="str">
        <f>IF(OR(Scenarios!$F$7="",Scenarios!$D$55&lt;&gt;1),"",IF(Inputs!P76&lt;&gt;"",Scenarios!$F$7*Scenarios!D60,""))</f>
        <v/>
      </c>
      <c r="M54" s="84" t="str">
        <f>IF(OR(Scenarios!$F$7="",Scenarios!$E$55&lt;&gt;1),"",IF(Inputs!P76&lt;&gt;"",Scenarios!$F$7*Scenarios!E60,""))</f>
        <v/>
      </c>
      <c r="N54" s="84" t="str">
        <f>IF(OR(Scenarios!$F$7="",Scenarios!$F$55&lt;&gt;1),"",IF(Inputs!P76&lt;&gt;"",Scenarios!$F$7*Scenarios!F60,""))</f>
        <v/>
      </c>
      <c r="O54" s="84" t="str">
        <f>IF(OR(Scenarios!$F$7="",Scenarios!$G$55&lt;&gt;1),"",IF(Inputs!P76&lt;&gt;"",Scenarios!$F$7*Scenarios!G60,""))</f>
        <v/>
      </c>
      <c r="P54" s="84" t="str">
        <f>IF(Scenarios!$F$8="","",IF(Inputs!P76&lt;&gt;"",Scenarios!$F$8*Scenarios!C60,""))</f>
        <v/>
      </c>
      <c r="Q54" s="84" t="str">
        <f>IF(OR(Scenarios!$F$8="",Scenarios!$D$55&lt;&gt;1),"",IF(Inputs!P76&lt;&gt;"",Scenarios!$F$8*Scenarios!D60,""))</f>
        <v/>
      </c>
      <c r="R54" s="84" t="str">
        <f>IF(OR(Scenarios!$F$8="",Scenarios!$E$55&lt;&gt;1),"",IF(Inputs!P76&lt;&gt;"",Scenarios!$F$8*Scenarios!E60,""))</f>
        <v/>
      </c>
      <c r="S54" s="84" t="str">
        <f>IF(OR(Scenarios!$F$8="",Scenarios!$F$55&lt;&gt;1),"",IF(Inputs!P76&lt;&gt;"",Scenarios!$F$8*Scenarios!F60,""))</f>
        <v/>
      </c>
      <c r="T54" s="84" t="str">
        <f>IF(OR(Scenarios!$F$8="",Scenarios!$G$55&lt;&gt;1),"",IF(Inputs!P76&lt;&gt;"",Scenarios!$F$8*Scenarios!G60,""))</f>
        <v/>
      </c>
      <c r="U54" s="84" t="str">
        <f>IF(Scenarios!$F$9="","",IF(Inputs!P76&lt;&gt;"",Scenarios!$F$9*Scenarios!C60,""))</f>
        <v/>
      </c>
      <c r="V54" s="84" t="str">
        <f>IF(OR(Scenarios!$F$9="",Scenarios!$D$55&lt;&gt;1),"",IF(Inputs!P76&lt;&gt;"",Scenarios!$F$9*Scenarios!D60,""))</f>
        <v/>
      </c>
      <c r="W54" s="84" t="str">
        <f>IF(OR(Scenarios!$F$9="",Scenarios!$E$55&lt;&gt;1),"",IF(Inputs!P76&lt;&gt;"",Scenarios!$F$9*Scenarios!E60,""))</f>
        <v/>
      </c>
      <c r="X54" s="84" t="str">
        <f>IF(OR(Scenarios!$F$9="",Scenarios!$F$55&lt;&gt;1),"",IF(Inputs!P76&lt;&gt;"",Scenarios!$F$9*Scenarios!F60,""))</f>
        <v/>
      </c>
      <c r="Y54" s="84" t="str">
        <f>IF(OR(Scenarios!$F$9="",Scenarios!$G$55&lt;&gt;1),"",IF(Inputs!P76&lt;&gt;"",Scenarios!$F$9*Scenarios!G60,""))</f>
        <v/>
      </c>
    </row>
    <row r="55" spans="1:25" x14ac:dyDescent="0.35">
      <c r="A55" s="84" t="str">
        <f>IF(Inputs!P77&lt;&gt;"", Scenarios!$F$5*Scenarios!C61,"")</f>
        <v/>
      </c>
      <c r="B55" s="84" t="str">
        <f>IF(Scenarios!$D$55&lt;&gt;1, "", IF(Inputs!P77&lt;&gt;"", Scenarios!$F$5*Scenarios!D61,""))</f>
        <v/>
      </c>
      <c r="C55" s="84" t="str">
        <f>IF(Scenarios!$E$55&lt;&gt;1, "", IF(Inputs!P77&lt;&gt;"", Scenarios!$F$5*Scenarios!E61,""))</f>
        <v/>
      </c>
      <c r="D55" s="84" t="str">
        <f>IF(Scenarios!$F$55&lt;&gt;1, "", IF(Inputs!P77&lt;&gt;"", Scenarios!$F$5*Scenarios!F61,""))</f>
        <v/>
      </c>
      <c r="E55" s="84" t="str">
        <f>IF(Scenarios!$G$55&lt;&gt;1, "", IF(Inputs!P77&lt;&gt;"", Scenarios!$F$5*Scenarios!G61,""))</f>
        <v/>
      </c>
      <c r="F55" s="84" t="str">
        <f>IF(Scenarios!$F$6="", "", IF(Inputs!P77&lt;&gt;"", Scenarios!$F$6*Scenarios!C61,""))</f>
        <v/>
      </c>
      <c r="G55" s="84" t="str">
        <f>IF(OR(Scenarios!$F$6="",Scenarios!$D$55&lt;&gt;1),"",IF(Inputs!P77&lt;&gt;"",Scenarios!$F$6*Scenarios!D61,""))</f>
        <v/>
      </c>
      <c r="H55" s="84" t="str">
        <f>IF(OR(Scenarios!$F$6="",Scenarios!$E$55&lt;&gt;1),"",IF(Inputs!P77&lt;&gt;"",Scenarios!$F$6*Scenarios!E61,""))</f>
        <v/>
      </c>
      <c r="I55" s="84" t="str">
        <f>IF(OR(Scenarios!$F$6="",Scenarios!$F$55&lt;&gt;1),"",IF(Inputs!P77&lt;&gt;"",Scenarios!$F$6*Scenarios!F61,""))</f>
        <v/>
      </c>
      <c r="J55" s="84" t="str">
        <f>IF(OR(Scenarios!$F$6="",Scenarios!$G$55&lt;&gt;1),"",IF(Inputs!P77&lt;&gt;"",Scenarios!$F$6*Scenarios!G61,""))</f>
        <v/>
      </c>
      <c r="K55" s="84" t="str">
        <f>IF(Scenarios!$F$7="","",IF(Inputs!P77&lt;&gt;"",Scenarios!$F$7*Scenarios!C61,""))</f>
        <v/>
      </c>
      <c r="L55" s="84" t="str">
        <f>IF(OR(Scenarios!$F$7="",Scenarios!$D$55&lt;&gt;1),"",IF(Inputs!P77&lt;&gt;"",Scenarios!$F$7*Scenarios!D61,""))</f>
        <v/>
      </c>
      <c r="M55" s="84" t="str">
        <f>IF(OR(Scenarios!$F$7="",Scenarios!$E$55&lt;&gt;1),"",IF(Inputs!P77&lt;&gt;"",Scenarios!$F$7*Scenarios!E61,""))</f>
        <v/>
      </c>
      <c r="N55" s="84" t="str">
        <f>IF(OR(Scenarios!$F$7="",Scenarios!$F$55&lt;&gt;1),"",IF(Inputs!P77&lt;&gt;"",Scenarios!$F$7*Scenarios!F61,""))</f>
        <v/>
      </c>
      <c r="O55" s="84" t="str">
        <f>IF(OR(Scenarios!$F$7="",Scenarios!$G$55&lt;&gt;1),"",IF(Inputs!P77&lt;&gt;"",Scenarios!$F$7*Scenarios!G61,""))</f>
        <v/>
      </c>
      <c r="P55" s="84" t="str">
        <f>IF(Scenarios!$F$8="","",IF(Inputs!P77&lt;&gt;"",Scenarios!$F$8*Scenarios!C61,""))</f>
        <v/>
      </c>
      <c r="Q55" s="84" t="str">
        <f>IF(OR(Scenarios!$F$8="",Scenarios!$D$55&lt;&gt;1),"",IF(Inputs!P77&lt;&gt;"",Scenarios!$F$8*Scenarios!D61,""))</f>
        <v/>
      </c>
      <c r="R55" s="84" t="str">
        <f>IF(OR(Scenarios!$F$8="",Scenarios!$E$55&lt;&gt;1),"",IF(Inputs!P77&lt;&gt;"",Scenarios!$F$8*Scenarios!E61,""))</f>
        <v/>
      </c>
      <c r="S55" s="84" t="str">
        <f>IF(OR(Scenarios!$F$8="",Scenarios!$F$55&lt;&gt;1),"",IF(Inputs!P77&lt;&gt;"",Scenarios!$F$8*Scenarios!F61,""))</f>
        <v/>
      </c>
      <c r="T55" s="84" t="str">
        <f>IF(OR(Scenarios!$F$8="",Scenarios!$G$55&lt;&gt;1),"",IF(Inputs!P77&lt;&gt;"",Scenarios!$F$8*Scenarios!G61,""))</f>
        <v/>
      </c>
      <c r="U55" s="84" t="str">
        <f>IF(Scenarios!$F$9="","",IF(Inputs!P77&lt;&gt;"",Scenarios!$F$9*Scenarios!C61,""))</f>
        <v/>
      </c>
      <c r="V55" s="84" t="str">
        <f>IF(OR(Scenarios!$F$9="",Scenarios!$D$55&lt;&gt;1),"",IF(Inputs!P77&lt;&gt;"",Scenarios!$F$9*Scenarios!D61,""))</f>
        <v/>
      </c>
      <c r="W55" s="84" t="str">
        <f>IF(OR(Scenarios!$F$9="",Scenarios!$E$55&lt;&gt;1),"",IF(Inputs!P77&lt;&gt;"",Scenarios!$F$9*Scenarios!E61,""))</f>
        <v/>
      </c>
      <c r="X55" s="84" t="str">
        <f>IF(OR(Scenarios!$F$9="",Scenarios!$F$55&lt;&gt;1),"",IF(Inputs!P77&lt;&gt;"",Scenarios!$F$9*Scenarios!F61,""))</f>
        <v/>
      </c>
      <c r="Y55" s="84" t="str">
        <f>IF(OR(Scenarios!$F$9="",Scenarios!$G$55&lt;&gt;1),"",IF(Inputs!P77&lt;&gt;"",Scenarios!$F$9*Scenarios!G61,""))</f>
        <v/>
      </c>
    </row>
    <row r="56" spans="1:25" x14ac:dyDescent="0.35">
      <c r="A56" s="84" t="str">
        <f>IF(Inputs!P78&lt;&gt;"", Scenarios!$F$5*Scenarios!C62,"")</f>
        <v/>
      </c>
      <c r="B56" s="84" t="str">
        <f>IF(Scenarios!$D$55&lt;&gt;1, "", IF(Inputs!P78&lt;&gt;"", Scenarios!$F$5*Scenarios!D62,""))</f>
        <v/>
      </c>
      <c r="C56" s="84" t="str">
        <f>IF(Scenarios!$E$55&lt;&gt;1, "", IF(Inputs!P78&lt;&gt;"", Scenarios!$F$5*Scenarios!E62,""))</f>
        <v/>
      </c>
      <c r="D56" s="84" t="str">
        <f>IF(Scenarios!$F$55&lt;&gt;1, "", IF(Inputs!P78&lt;&gt;"", Scenarios!$F$5*Scenarios!F62,""))</f>
        <v/>
      </c>
      <c r="E56" s="84" t="str">
        <f>IF(Scenarios!$G$55&lt;&gt;1, "", IF(Inputs!P78&lt;&gt;"", Scenarios!$F$5*Scenarios!G62,""))</f>
        <v/>
      </c>
      <c r="F56" s="84" t="str">
        <f>IF(Scenarios!$F$6="", "", IF(Inputs!P78&lt;&gt;"", Scenarios!$F$6*Scenarios!C62,""))</f>
        <v/>
      </c>
      <c r="G56" s="84" t="str">
        <f>IF(OR(Scenarios!$F$6="",Scenarios!$D$55&lt;&gt;1),"",IF(Inputs!P78&lt;&gt;"",Scenarios!$F$6*Scenarios!D62,""))</f>
        <v/>
      </c>
      <c r="H56" s="84" t="str">
        <f>IF(OR(Scenarios!$F$6="",Scenarios!$E$55&lt;&gt;1),"",IF(Inputs!P78&lt;&gt;"",Scenarios!$F$6*Scenarios!E62,""))</f>
        <v/>
      </c>
      <c r="I56" s="84" t="str">
        <f>IF(OR(Scenarios!$F$6="",Scenarios!$F$55&lt;&gt;1),"",IF(Inputs!P78&lt;&gt;"",Scenarios!$F$6*Scenarios!F62,""))</f>
        <v/>
      </c>
      <c r="J56" s="84" t="str">
        <f>IF(OR(Scenarios!$F$6="",Scenarios!$G$55&lt;&gt;1),"",IF(Inputs!P78&lt;&gt;"",Scenarios!$F$6*Scenarios!G62,""))</f>
        <v/>
      </c>
      <c r="K56" s="84" t="str">
        <f>IF(Scenarios!$F$7="","",IF(Inputs!P78&lt;&gt;"",Scenarios!$F$7*Scenarios!C62,""))</f>
        <v/>
      </c>
      <c r="L56" s="84" t="str">
        <f>IF(OR(Scenarios!$F$7="",Scenarios!$D$55&lt;&gt;1),"",IF(Inputs!P78&lt;&gt;"",Scenarios!$F$7*Scenarios!D62,""))</f>
        <v/>
      </c>
      <c r="M56" s="84" t="str">
        <f>IF(OR(Scenarios!$F$7="",Scenarios!$E$55&lt;&gt;1),"",IF(Inputs!P78&lt;&gt;"",Scenarios!$F$7*Scenarios!E62,""))</f>
        <v/>
      </c>
      <c r="N56" s="84" t="str">
        <f>IF(OR(Scenarios!$F$7="",Scenarios!$F$55&lt;&gt;1),"",IF(Inputs!P78&lt;&gt;"",Scenarios!$F$7*Scenarios!F62,""))</f>
        <v/>
      </c>
      <c r="O56" s="84" t="str">
        <f>IF(OR(Scenarios!$F$7="",Scenarios!$G$55&lt;&gt;1),"",IF(Inputs!P78&lt;&gt;"",Scenarios!$F$7*Scenarios!G62,""))</f>
        <v/>
      </c>
      <c r="P56" s="84" t="str">
        <f>IF(Scenarios!$F$8="","",IF(Inputs!P78&lt;&gt;"",Scenarios!$F$8*Scenarios!C62,""))</f>
        <v/>
      </c>
      <c r="Q56" s="84" t="str">
        <f>IF(OR(Scenarios!$F$8="",Scenarios!$D$55&lt;&gt;1),"",IF(Inputs!P78&lt;&gt;"",Scenarios!$F$8*Scenarios!D62,""))</f>
        <v/>
      </c>
      <c r="R56" s="84" t="str">
        <f>IF(OR(Scenarios!$F$8="",Scenarios!$E$55&lt;&gt;1),"",IF(Inputs!P78&lt;&gt;"",Scenarios!$F$8*Scenarios!E62,""))</f>
        <v/>
      </c>
      <c r="S56" s="84" t="str">
        <f>IF(OR(Scenarios!$F$8="",Scenarios!$F$55&lt;&gt;1),"",IF(Inputs!P78&lt;&gt;"",Scenarios!$F$8*Scenarios!F62,""))</f>
        <v/>
      </c>
      <c r="T56" s="84" t="str">
        <f>IF(OR(Scenarios!$F$8="",Scenarios!$G$55&lt;&gt;1),"",IF(Inputs!P78&lt;&gt;"",Scenarios!$F$8*Scenarios!G62,""))</f>
        <v/>
      </c>
      <c r="U56" s="84" t="str">
        <f>IF(Scenarios!$F$9="","",IF(Inputs!P78&lt;&gt;"",Scenarios!$F$9*Scenarios!C62,""))</f>
        <v/>
      </c>
      <c r="V56" s="84" t="str">
        <f>IF(OR(Scenarios!$F$9="",Scenarios!$D$55&lt;&gt;1),"",IF(Inputs!P78&lt;&gt;"",Scenarios!$F$9*Scenarios!D62,""))</f>
        <v/>
      </c>
      <c r="W56" s="84" t="str">
        <f>IF(OR(Scenarios!$F$9="",Scenarios!$E$55&lt;&gt;1),"",IF(Inputs!P78&lt;&gt;"",Scenarios!$F$9*Scenarios!E62,""))</f>
        <v/>
      </c>
      <c r="X56" s="84" t="str">
        <f>IF(OR(Scenarios!$F$9="",Scenarios!$F$55&lt;&gt;1),"",IF(Inputs!P78&lt;&gt;"",Scenarios!$F$9*Scenarios!F62,""))</f>
        <v/>
      </c>
      <c r="Y56" s="84" t="str">
        <f>IF(OR(Scenarios!$F$9="",Scenarios!$G$55&lt;&gt;1),"",IF(Inputs!P78&lt;&gt;"",Scenarios!$F$9*Scenarios!G62,""))</f>
        <v/>
      </c>
    </row>
    <row r="57" spans="1:25" x14ac:dyDescent="0.35">
      <c r="A57" s="84" t="str">
        <f>IF(Inputs!P79&lt;&gt;"", Scenarios!$F$5*Scenarios!C63,"")</f>
        <v/>
      </c>
      <c r="B57" s="84" t="str">
        <f>IF(Scenarios!$D$55&lt;&gt;1, "", IF(Inputs!P79&lt;&gt;"", Scenarios!$F$5*Scenarios!D63,""))</f>
        <v/>
      </c>
      <c r="C57" s="84" t="str">
        <f>IF(Scenarios!$E$55&lt;&gt;1, "", IF(Inputs!P79&lt;&gt;"", Scenarios!$F$5*Scenarios!E63,""))</f>
        <v/>
      </c>
      <c r="D57" s="84" t="str">
        <f>IF(Scenarios!$F$55&lt;&gt;1, "", IF(Inputs!P79&lt;&gt;"", Scenarios!$F$5*Scenarios!F63,""))</f>
        <v/>
      </c>
      <c r="E57" s="84" t="str">
        <f>IF(Scenarios!$G$55&lt;&gt;1, "", IF(Inputs!P79&lt;&gt;"", Scenarios!$F$5*Scenarios!G63,""))</f>
        <v/>
      </c>
      <c r="F57" s="84" t="str">
        <f>IF(Scenarios!$F$6="", "", IF(Inputs!P79&lt;&gt;"", Scenarios!$F$6*Scenarios!C63,""))</f>
        <v/>
      </c>
      <c r="G57" s="84" t="str">
        <f>IF(OR(Scenarios!$F$6="",Scenarios!$D$55&lt;&gt;1),"",IF(Inputs!P79&lt;&gt;"",Scenarios!$F$6*Scenarios!D63,""))</f>
        <v/>
      </c>
      <c r="H57" s="84" t="str">
        <f>IF(OR(Scenarios!$F$6="",Scenarios!$E$55&lt;&gt;1),"",IF(Inputs!P79&lt;&gt;"",Scenarios!$F$6*Scenarios!E63,""))</f>
        <v/>
      </c>
      <c r="I57" s="84" t="str">
        <f>IF(OR(Scenarios!$F$6="",Scenarios!$F$55&lt;&gt;1),"",IF(Inputs!P79&lt;&gt;"",Scenarios!$F$6*Scenarios!F63,""))</f>
        <v/>
      </c>
      <c r="J57" s="84" t="str">
        <f>IF(OR(Scenarios!$F$6="",Scenarios!$G$55&lt;&gt;1),"",IF(Inputs!P79&lt;&gt;"",Scenarios!$F$6*Scenarios!G63,""))</f>
        <v/>
      </c>
      <c r="K57" s="84" t="str">
        <f>IF(Scenarios!$F$7="","",IF(Inputs!P79&lt;&gt;"",Scenarios!$F$7*Scenarios!C63,""))</f>
        <v/>
      </c>
      <c r="L57" s="84" t="str">
        <f>IF(OR(Scenarios!$F$7="",Scenarios!$D$55&lt;&gt;1),"",IF(Inputs!P79&lt;&gt;"",Scenarios!$F$7*Scenarios!D63,""))</f>
        <v/>
      </c>
      <c r="M57" s="84" t="str">
        <f>IF(OR(Scenarios!$F$7="",Scenarios!$E$55&lt;&gt;1),"",IF(Inputs!P79&lt;&gt;"",Scenarios!$F$7*Scenarios!E63,""))</f>
        <v/>
      </c>
      <c r="N57" s="84" t="str">
        <f>IF(OR(Scenarios!$F$7="",Scenarios!$F$55&lt;&gt;1),"",IF(Inputs!P79&lt;&gt;"",Scenarios!$F$7*Scenarios!F63,""))</f>
        <v/>
      </c>
      <c r="O57" s="84" t="str">
        <f>IF(OR(Scenarios!$F$7="",Scenarios!$G$55&lt;&gt;1),"",IF(Inputs!P79&lt;&gt;"",Scenarios!$F$7*Scenarios!G63,""))</f>
        <v/>
      </c>
      <c r="P57" s="84" t="str">
        <f>IF(Scenarios!$F$8="","",IF(Inputs!P79&lt;&gt;"",Scenarios!$F$8*Scenarios!C63,""))</f>
        <v/>
      </c>
      <c r="Q57" s="84" t="str">
        <f>IF(OR(Scenarios!$F$8="",Scenarios!$D$55&lt;&gt;1),"",IF(Inputs!P79&lt;&gt;"",Scenarios!$F$8*Scenarios!D63,""))</f>
        <v/>
      </c>
      <c r="R57" s="84" t="str">
        <f>IF(OR(Scenarios!$F$8="",Scenarios!$E$55&lt;&gt;1),"",IF(Inputs!P79&lt;&gt;"",Scenarios!$F$8*Scenarios!E63,""))</f>
        <v/>
      </c>
      <c r="S57" s="84" t="str">
        <f>IF(OR(Scenarios!$F$8="",Scenarios!$F$55&lt;&gt;1),"",IF(Inputs!P79&lt;&gt;"",Scenarios!$F$8*Scenarios!F63,""))</f>
        <v/>
      </c>
      <c r="T57" s="84" t="str">
        <f>IF(OR(Scenarios!$F$8="",Scenarios!$G$55&lt;&gt;1),"",IF(Inputs!P79&lt;&gt;"",Scenarios!$F$8*Scenarios!G63,""))</f>
        <v/>
      </c>
      <c r="U57" s="84" t="str">
        <f>IF(Scenarios!$F$9="","",IF(Inputs!P79&lt;&gt;"",Scenarios!$F$9*Scenarios!C63,""))</f>
        <v/>
      </c>
      <c r="V57" s="84" t="str">
        <f>IF(OR(Scenarios!$F$9="",Scenarios!$D$55&lt;&gt;1),"",IF(Inputs!P79&lt;&gt;"",Scenarios!$F$9*Scenarios!D63,""))</f>
        <v/>
      </c>
      <c r="W57" s="84" t="str">
        <f>IF(OR(Scenarios!$F$9="",Scenarios!$E$55&lt;&gt;1),"",IF(Inputs!P79&lt;&gt;"",Scenarios!$F$9*Scenarios!E63,""))</f>
        <v/>
      </c>
      <c r="X57" s="84" t="str">
        <f>IF(OR(Scenarios!$F$9="",Scenarios!$F$55&lt;&gt;1),"",IF(Inputs!P79&lt;&gt;"",Scenarios!$F$9*Scenarios!F63,""))</f>
        <v/>
      </c>
      <c r="Y57" s="84" t="str">
        <f>IF(OR(Scenarios!$F$9="",Scenarios!$G$55&lt;&gt;1),"",IF(Inputs!P79&lt;&gt;"",Scenarios!$F$9*Scenarios!G63,""))</f>
        <v/>
      </c>
    </row>
    <row r="58" spans="1:25" x14ac:dyDescent="0.35">
      <c r="A58" s="84" t="str">
        <f>IF(Inputs!P80&lt;&gt;"", Scenarios!$F$5*Scenarios!C64,"")</f>
        <v/>
      </c>
      <c r="B58" s="84" t="str">
        <f>IF(Scenarios!$D$55&lt;&gt;1, "", IF(Inputs!P80&lt;&gt;"", Scenarios!$F$5*Scenarios!D64,""))</f>
        <v/>
      </c>
      <c r="C58" s="84" t="str">
        <f>IF(Scenarios!$E$55&lt;&gt;1, "", IF(Inputs!P80&lt;&gt;"", Scenarios!$F$5*Scenarios!E64,""))</f>
        <v/>
      </c>
      <c r="D58" s="84" t="str">
        <f>IF(Scenarios!$F$55&lt;&gt;1, "", IF(Inputs!P80&lt;&gt;"", Scenarios!$F$5*Scenarios!F64,""))</f>
        <v/>
      </c>
      <c r="E58" s="84" t="str">
        <f>IF(Scenarios!$G$55&lt;&gt;1, "", IF(Inputs!P80&lt;&gt;"", Scenarios!$F$5*Scenarios!G64,""))</f>
        <v/>
      </c>
      <c r="F58" s="84" t="str">
        <f>IF(Scenarios!$F$6="", "", IF(Inputs!P80&lt;&gt;"", Scenarios!$F$6*Scenarios!C64,""))</f>
        <v/>
      </c>
      <c r="G58" s="84" t="str">
        <f>IF(OR(Scenarios!$F$6="",Scenarios!$D$55&lt;&gt;1),"",IF(Inputs!P80&lt;&gt;"",Scenarios!$F$6*Scenarios!D64,""))</f>
        <v/>
      </c>
      <c r="H58" s="84" t="str">
        <f>IF(OR(Scenarios!$F$6="",Scenarios!$E$55&lt;&gt;1),"",IF(Inputs!P80&lt;&gt;"",Scenarios!$F$6*Scenarios!E64,""))</f>
        <v/>
      </c>
      <c r="I58" s="84" t="str">
        <f>IF(OR(Scenarios!$F$6="",Scenarios!$F$55&lt;&gt;1),"",IF(Inputs!P80&lt;&gt;"",Scenarios!$F$6*Scenarios!F64,""))</f>
        <v/>
      </c>
      <c r="J58" s="84" t="str">
        <f>IF(OR(Scenarios!$F$6="",Scenarios!$G$55&lt;&gt;1),"",IF(Inputs!P80&lt;&gt;"",Scenarios!$F$6*Scenarios!G64,""))</f>
        <v/>
      </c>
      <c r="K58" s="84" t="str">
        <f>IF(Scenarios!$F$7="","",IF(Inputs!P80&lt;&gt;"",Scenarios!$F$7*Scenarios!C64,""))</f>
        <v/>
      </c>
      <c r="L58" s="84" t="str">
        <f>IF(OR(Scenarios!$F$7="",Scenarios!$D$55&lt;&gt;1),"",IF(Inputs!P80&lt;&gt;"",Scenarios!$F$7*Scenarios!D64,""))</f>
        <v/>
      </c>
      <c r="M58" s="84" t="str">
        <f>IF(OR(Scenarios!$F$7="",Scenarios!$E$55&lt;&gt;1),"",IF(Inputs!P80&lt;&gt;"",Scenarios!$F$7*Scenarios!E64,""))</f>
        <v/>
      </c>
      <c r="N58" s="84" t="str">
        <f>IF(OR(Scenarios!$F$7="",Scenarios!$F$55&lt;&gt;1),"",IF(Inputs!P80&lt;&gt;"",Scenarios!$F$7*Scenarios!F64,""))</f>
        <v/>
      </c>
      <c r="O58" s="84" t="str">
        <f>IF(OR(Scenarios!$F$7="",Scenarios!$G$55&lt;&gt;1),"",IF(Inputs!P80&lt;&gt;"",Scenarios!$F$7*Scenarios!G64,""))</f>
        <v/>
      </c>
      <c r="P58" s="84" t="str">
        <f>IF(Scenarios!$F$8="","",IF(Inputs!P80&lt;&gt;"",Scenarios!$F$8*Scenarios!C64,""))</f>
        <v/>
      </c>
      <c r="Q58" s="84" t="str">
        <f>IF(OR(Scenarios!$F$8="",Scenarios!$D$55&lt;&gt;1),"",IF(Inputs!P80&lt;&gt;"",Scenarios!$F$8*Scenarios!D64,""))</f>
        <v/>
      </c>
      <c r="R58" s="84" t="str">
        <f>IF(OR(Scenarios!$F$8="",Scenarios!$E$55&lt;&gt;1),"",IF(Inputs!P80&lt;&gt;"",Scenarios!$F$8*Scenarios!E64,""))</f>
        <v/>
      </c>
      <c r="S58" s="84" t="str">
        <f>IF(OR(Scenarios!$F$8="",Scenarios!$F$55&lt;&gt;1),"",IF(Inputs!P80&lt;&gt;"",Scenarios!$F$8*Scenarios!F64,""))</f>
        <v/>
      </c>
      <c r="T58" s="84" t="str">
        <f>IF(OR(Scenarios!$F$8="",Scenarios!$G$55&lt;&gt;1),"",IF(Inputs!P80&lt;&gt;"",Scenarios!$F$8*Scenarios!G64,""))</f>
        <v/>
      </c>
      <c r="U58" s="84" t="str">
        <f>IF(Scenarios!$F$9="","",IF(Inputs!P80&lt;&gt;"",Scenarios!$F$9*Scenarios!C64,""))</f>
        <v/>
      </c>
      <c r="V58" s="84" t="str">
        <f>IF(OR(Scenarios!$F$9="",Scenarios!$D$55&lt;&gt;1),"",IF(Inputs!P80&lt;&gt;"",Scenarios!$F$9*Scenarios!D64,""))</f>
        <v/>
      </c>
      <c r="W58" s="84" t="str">
        <f>IF(OR(Scenarios!$F$9="",Scenarios!$E$55&lt;&gt;1),"",IF(Inputs!P80&lt;&gt;"",Scenarios!$F$9*Scenarios!E64,""))</f>
        <v/>
      </c>
      <c r="X58" s="84" t="str">
        <f>IF(OR(Scenarios!$F$9="",Scenarios!$F$55&lt;&gt;1),"",IF(Inputs!P80&lt;&gt;"",Scenarios!$F$9*Scenarios!F64,""))</f>
        <v/>
      </c>
      <c r="Y58" s="84" t="str">
        <f>IF(OR(Scenarios!$F$9="",Scenarios!$G$55&lt;&gt;1),"",IF(Inputs!P80&lt;&gt;"",Scenarios!$F$9*Scenarios!G64,""))</f>
        <v/>
      </c>
    </row>
    <row r="59" spans="1:25" x14ac:dyDescent="0.35">
      <c r="A59" s="84" t="str">
        <f>IF(Inputs!P81&lt;&gt;"", Scenarios!$F$5*Scenarios!C65,"")</f>
        <v/>
      </c>
      <c r="B59" s="84" t="str">
        <f>IF(Scenarios!$D$55&lt;&gt;1, "", IF(Inputs!P81&lt;&gt;"", Scenarios!$F$5*Scenarios!D65,""))</f>
        <v/>
      </c>
      <c r="C59" s="84" t="str">
        <f>IF(Scenarios!$E$55&lt;&gt;1, "", IF(Inputs!P81&lt;&gt;"", Scenarios!$F$5*Scenarios!E65,""))</f>
        <v/>
      </c>
      <c r="D59" s="84" t="str">
        <f>IF(Scenarios!$F$55&lt;&gt;1, "", IF(Inputs!P81&lt;&gt;"", Scenarios!$F$5*Scenarios!F65,""))</f>
        <v/>
      </c>
      <c r="E59" s="84" t="str">
        <f>IF(Scenarios!$G$55&lt;&gt;1, "", IF(Inputs!P81&lt;&gt;"", Scenarios!$F$5*Scenarios!G65,""))</f>
        <v/>
      </c>
      <c r="F59" s="84" t="str">
        <f>IF(Scenarios!$F$6="", "", IF(Inputs!P81&lt;&gt;"", Scenarios!$F$6*Scenarios!C65,""))</f>
        <v/>
      </c>
      <c r="G59" s="84" t="str">
        <f>IF(OR(Scenarios!$F$6="",Scenarios!$D$55&lt;&gt;1),"",IF(Inputs!P81&lt;&gt;"",Scenarios!$F$6*Scenarios!D65,""))</f>
        <v/>
      </c>
      <c r="H59" s="84" t="str">
        <f>IF(OR(Scenarios!$F$6="",Scenarios!$E$55&lt;&gt;1),"",IF(Inputs!P81&lt;&gt;"",Scenarios!$F$6*Scenarios!E65,""))</f>
        <v/>
      </c>
      <c r="I59" s="84" t="str">
        <f>IF(OR(Scenarios!$F$6="",Scenarios!$F$55&lt;&gt;1),"",IF(Inputs!P81&lt;&gt;"",Scenarios!$F$6*Scenarios!F65,""))</f>
        <v/>
      </c>
      <c r="J59" s="84" t="str">
        <f>IF(OR(Scenarios!$F$6="",Scenarios!$G$55&lt;&gt;1),"",IF(Inputs!P81&lt;&gt;"",Scenarios!$F$6*Scenarios!G65,""))</f>
        <v/>
      </c>
      <c r="K59" s="84" t="str">
        <f>IF(Scenarios!$F$7="","",IF(Inputs!P81&lt;&gt;"",Scenarios!$F$7*Scenarios!C65,""))</f>
        <v/>
      </c>
      <c r="L59" s="84" t="str">
        <f>IF(OR(Scenarios!$F$7="",Scenarios!$D$55&lt;&gt;1),"",IF(Inputs!P81&lt;&gt;"",Scenarios!$F$7*Scenarios!D65,""))</f>
        <v/>
      </c>
      <c r="M59" s="84" t="str">
        <f>IF(OR(Scenarios!$F$7="",Scenarios!$E$55&lt;&gt;1),"",IF(Inputs!P81&lt;&gt;"",Scenarios!$F$7*Scenarios!E65,""))</f>
        <v/>
      </c>
      <c r="N59" s="84" t="str">
        <f>IF(OR(Scenarios!$F$7="",Scenarios!$F$55&lt;&gt;1),"",IF(Inputs!P81&lt;&gt;"",Scenarios!$F$7*Scenarios!F65,""))</f>
        <v/>
      </c>
      <c r="O59" s="84" t="str">
        <f>IF(OR(Scenarios!$F$7="",Scenarios!$G$55&lt;&gt;1),"",IF(Inputs!P81&lt;&gt;"",Scenarios!$F$7*Scenarios!G65,""))</f>
        <v/>
      </c>
      <c r="P59" s="84" t="str">
        <f>IF(Scenarios!$F$8="","",IF(Inputs!P81&lt;&gt;"",Scenarios!$F$8*Scenarios!C65,""))</f>
        <v/>
      </c>
      <c r="Q59" s="84" t="str">
        <f>IF(OR(Scenarios!$F$8="",Scenarios!$D$55&lt;&gt;1),"",IF(Inputs!P81&lt;&gt;"",Scenarios!$F$8*Scenarios!D65,""))</f>
        <v/>
      </c>
      <c r="R59" s="84" t="str">
        <f>IF(OR(Scenarios!$F$8="",Scenarios!$E$55&lt;&gt;1),"",IF(Inputs!P81&lt;&gt;"",Scenarios!$F$8*Scenarios!E65,""))</f>
        <v/>
      </c>
      <c r="S59" s="84" t="str">
        <f>IF(OR(Scenarios!$F$8="",Scenarios!$F$55&lt;&gt;1),"",IF(Inputs!P81&lt;&gt;"",Scenarios!$F$8*Scenarios!F65,""))</f>
        <v/>
      </c>
      <c r="T59" s="84" t="str">
        <f>IF(OR(Scenarios!$F$8="",Scenarios!$G$55&lt;&gt;1),"",IF(Inputs!P81&lt;&gt;"",Scenarios!$F$8*Scenarios!G65,""))</f>
        <v/>
      </c>
      <c r="U59" s="84" t="str">
        <f>IF(Scenarios!$F$9="","",IF(Inputs!P81&lt;&gt;"",Scenarios!$F$9*Scenarios!C65,""))</f>
        <v/>
      </c>
      <c r="V59" s="84" t="str">
        <f>IF(OR(Scenarios!$F$9="",Scenarios!$D$55&lt;&gt;1),"",IF(Inputs!P81&lt;&gt;"",Scenarios!$F$9*Scenarios!D65,""))</f>
        <v/>
      </c>
      <c r="W59" s="84" t="str">
        <f>IF(OR(Scenarios!$F$9="",Scenarios!$E$55&lt;&gt;1),"",IF(Inputs!P81&lt;&gt;"",Scenarios!$F$9*Scenarios!E65,""))</f>
        <v/>
      </c>
      <c r="X59" s="84" t="str">
        <f>IF(OR(Scenarios!$F$9="",Scenarios!$F$55&lt;&gt;1),"",IF(Inputs!P81&lt;&gt;"",Scenarios!$F$9*Scenarios!F65,""))</f>
        <v/>
      </c>
      <c r="Y59" s="84" t="str">
        <f>IF(OR(Scenarios!$F$9="",Scenarios!$G$55&lt;&gt;1),"",IF(Inputs!P81&lt;&gt;"",Scenarios!$F$9*Scenarios!G65,""))</f>
        <v/>
      </c>
    </row>
    <row r="60" spans="1:25" x14ac:dyDescent="0.35">
      <c r="A60" s="84" t="str">
        <f>IF(Inputs!P82&lt;&gt;"", Scenarios!$F$5*Scenarios!C66,"")</f>
        <v/>
      </c>
      <c r="B60" s="84" t="str">
        <f>IF(Scenarios!$D$55&lt;&gt;1, "", IF(Inputs!P82&lt;&gt;"", Scenarios!$F$5*Scenarios!D66,""))</f>
        <v/>
      </c>
      <c r="C60" s="84" t="str">
        <f>IF(Scenarios!$E$55&lt;&gt;1, "", IF(Inputs!P82&lt;&gt;"", Scenarios!$F$5*Scenarios!E66,""))</f>
        <v/>
      </c>
      <c r="D60" s="84" t="str">
        <f>IF(Scenarios!$F$55&lt;&gt;1, "", IF(Inputs!P82&lt;&gt;"", Scenarios!$F$5*Scenarios!F66,""))</f>
        <v/>
      </c>
      <c r="E60" s="84" t="str">
        <f>IF(Scenarios!$G$55&lt;&gt;1, "", IF(Inputs!P82&lt;&gt;"", Scenarios!$F$5*Scenarios!G66,""))</f>
        <v/>
      </c>
      <c r="F60" s="84" t="str">
        <f>IF(Scenarios!$F$6="", "", IF(Inputs!P82&lt;&gt;"", Scenarios!$F$6*Scenarios!C66,""))</f>
        <v/>
      </c>
      <c r="G60" s="84" t="str">
        <f>IF(OR(Scenarios!$F$6="",Scenarios!$D$55&lt;&gt;1),"",IF(Inputs!P82&lt;&gt;"",Scenarios!$F$6*Scenarios!D66,""))</f>
        <v/>
      </c>
      <c r="H60" s="84" t="str">
        <f>IF(OR(Scenarios!$F$6="",Scenarios!$E$55&lt;&gt;1),"",IF(Inputs!P82&lt;&gt;"",Scenarios!$F$6*Scenarios!E66,""))</f>
        <v/>
      </c>
      <c r="I60" s="84" t="str">
        <f>IF(OR(Scenarios!$F$6="",Scenarios!$F$55&lt;&gt;1),"",IF(Inputs!P82&lt;&gt;"",Scenarios!$F$6*Scenarios!F66,""))</f>
        <v/>
      </c>
      <c r="J60" s="84" t="str">
        <f>IF(OR(Scenarios!$F$6="",Scenarios!$G$55&lt;&gt;1),"",IF(Inputs!P82&lt;&gt;"",Scenarios!$F$6*Scenarios!G66,""))</f>
        <v/>
      </c>
      <c r="K60" s="84" t="str">
        <f>IF(Scenarios!$F$7="","",IF(Inputs!P82&lt;&gt;"",Scenarios!$F$7*Scenarios!C66,""))</f>
        <v/>
      </c>
      <c r="L60" s="84" t="str">
        <f>IF(OR(Scenarios!$F$7="",Scenarios!$D$55&lt;&gt;1),"",IF(Inputs!P82&lt;&gt;"",Scenarios!$F$7*Scenarios!D66,""))</f>
        <v/>
      </c>
      <c r="M60" s="84" t="str">
        <f>IF(OR(Scenarios!$F$7="",Scenarios!$E$55&lt;&gt;1),"",IF(Inputs!P82&lt;&gt;"",Scenarios!$F$7*Scenarios!E66,""))</f>
        <v/>
      </c>
      <c r="N60" s="84" t="str">
        <f>IF(OR(Scenarios!$F$7="",Scenarios!$F$55&lt;&gt;1),"",IF(Inputs!P82&lt;&gt;"",Scenarios!$F$7*Scenarios!F66,""))</f>
        <v/>
      </c>
      <c r="O60" s="84" t="str">
        <f>IF(OR(Scenarios!$F$7="",Scenarios!$G$55&lt;&gt;1),"",IF(Inputs!P82&lt;&gt;"",Scenarios!$F$7*Scenarios!G66,""))</f>
        <v/>
      </c>
      <c r="P60" s="84" t="str">
        <f>IF(Scenarios!$F$8="","",IF(Inputs!P82&lt;&gt;"",Scenarios!$F$8*Scenarios!C66,""))</f>
        <v/>
      </c>
      <c r="Q60" s="84" t="str">
        <f>IF(OR(Scenarios!$F$8="",Scenarios!$D$55&lt;&gt;1),"",IF(Inputs!P82&lt;&gt;"",Scenarios!$F$8*Scenarios!D66,""))</f>
        <v/>
      </c>
      <c r="R60" s="84" t="str">
        <f>IF(OR(Scenarios!$F$8="",Scenarios!$E$55&lt;&gt;1),"",IF(Inputs!P82&lt;&gt;"",Scenarios!$F$8*Scenarios!E66,""))</f>
        <v/>
      </c>
      <c r="S60" s="84" t="str">
        <f>IF(OR(Scenarios!$F$8="",Scenarios!$F$55&lt;&gt;1),"",IF(Inputs!P82&lt;&gt;"",Scenarios!$F$8*Scenarios!F66,""))</f>
        <v/>
      </c>
      <c r="T60" s="84" t="str">
        <f>IF(OR(Scenarios!$F$8="",Scenarios!$G$55&lt;&gt;1),"",IF(Inputs!P82&lt;&gt;"",Scenarios!$F$8*Scenarios!G66,""))</f>
        <v/>
      </c>
      <c r="U60" s="84" t="str">
        <f>IF(Scenarios!$F$9="","",IF(Inputs!P82&lt;&gt;"",Scenarios!$F$9*Scenarios!C66,""))</f>
        <v/>
      </c>
      <c r="V60" s="84" t="str">
        <f>IF(OR(Scenarios!$F$9="",Scenarios!$D$55&lt;&gt;1),"",IF(Inputs!P82&lt;&gt;"",Scenarios!$F$9*Scenarios!D66,""))</f>
        <v/>
      </c>
      <c r="W60" s="84" t="str">
        <f>IF(OR(Scenarios!$F$9="",Scenarios!$E$55&lt;&gt;1),"",IF(Inputs!P82&lt;&gt;"",Scenarios!$F$9*Scenarios!E66,""))</f>
        <v/>
      </c>
      <c r="X60" s="84" t="str">
        <f>IF(OR(Scenarios!$F$9="",Scenarios!$F$55&lt;&gt;1),"",IF(Inputs!P82&lt;&gt;"",Scenarios!$F$9*Scenarios!F66,""))</f>
        <v/>
      </c>
      <c r="Y60" s="84" t="str">
        <f>IF(OR(Scenarios!$F$9="",Scenarios!$G$55&lt;&gt;1),"",IF(Inputs!P82&lt;&gt;"",Scenarios!$F$9*Scenarios!G66,""))</f>
        <v/>
      </c>
    </row>
    <row r="61" spans="1:25" x14ac:dyDescent="0.35">
      <c r="A61" s="84" t="str">
        <f>IF(Inputs!P83&lt;&gt;"", Scenarios!$F$5*Scenarios!C67,"")</f>
        <v/>
      </c>
      <c r="B61" s="84" t="str">
        <f>IF(Scenarios!$D$55&lt;&gt;1, "", IF(Inputs!P83&lt;&gt;"", Scenarios!$F$5*Scenarios!D67,""))</f>
        <v/>
      </c>
      <c r="C61" s="84" t="str">
        <f>IF(Scenarios!$E$55&lt;&gt;1, "", IF(Inputs!P83&lt;&gt;"", Scenarios!$F$5*Scenarios!E67,""))</f>
        <v/>
      </c>
      <c r="D61" s="84" t="str">
        <f>IF(Scenarios!$F$55&lt;&gt;1, "", IF(Inputs!P83&lt;&gt;"", Scenarios!$F$5*Scenarios!F67,""))</f>
        <v/>
      </c>
      <c r="E61" s="84" t="str">
        <f>IF(Scenarios!$G$55&lt;&gt;1, "", IF(Inputs!P83&lt;&gt;"", Scenarios!$F$5*Scenarios!G67,""))</f>
        <v/>
      </c>
      <c r="F61" s="84" t="str">
        <f>IF(Scenarios!$F$6="", "", IF(Inputs!P83&lt;&gt;"", Scenarios!$F$6*Scenarios!C67,""))</f>
        <v/>
      </c>
      <c r="G61" s="84" t="str">
        <f>IF(OR(Scenarios!$F$6="",Scenarios!$D$55&lt;&gt;1),"",IF(Inputs!P83&lt;&gt;"",Scenarios!$F$6*Scenarios!D67,""))</f>
        <v/>
      </c>
      <c r="H61" s="84" t="str">
        <f>IF(OR(Scenarios!$F$6="",Scenarios!$E$55&lt;&gt;1),"",IF(Inputs!P83&lt;&gt;"",Scenarios!$F$6*Scenarios!E67,""))</f>
        <v/>
      </c>
      <c r="I61" s="84" t="str">
        <f>IF(OR(Scenarios!$F$6="",Scenarios!$F$55&lt;&gt;1),"",IF(Inputs!P83&lt;&gt;"",Scenarios!$F$6*Scenarios!F67,""))</f>
        <v/>
      </c>
      <c r="J61" s="84" t="str">
        <f>IF(OR(Scenarios!$F$6="",Scenarios!$G$55&lt;&gt;1),"",IF(Inputs!P83&lt;&gt;"",Scenarios!$F$6*Scenarios!G67,""))</f>
        <v/>
      </c>
      <c r="K61" s="84" t="str">
        <f>IF(Scenarios!$F$7="","",IF(Inputs!P83&lt;&gt;"",Scenarios!$F$7*Scenarios!C67,""))</f>
        <v/>
      </c>
      <c r="L61" s="84" t="str">
        <f>IF(OR(Scenarios!$F$7="",Scenarios!$D$55&lt;&gt;1),"",IF(Inputs!P83&lt;&gt;"",Scenarios!$F$7*Scenarios!D67,""))</f>
        <v/>
      </c>
      <c r="M61" s="84" t="str">
        <f>IF(OR(Scenarios!$F$7="",Scenarios!$E$55&lt;&gt;1),"",IF(Inputs!P83&lt;&gt;"",Scenarios!$F$7*Scenarios!E67,""))</f>
        <v/>
      </c>
      <c r="N61" s="84" t="str">
        <f>IF(OR(Scenarios!$F$7="",Scenarios!$F$55&lt;&gt;1),"",IF(Inputs!P83&lt;&gt;"",Scenarios!$F$7*Scenarios!F67,""))</f>
        <v/>
      </c>
      <c r="O61" s="84" t="str">
        <f>IF(OR(Scenarios!$F$7="",Scenarios!$G$55&lt;&gt;1),"",IF(Inputs!P83&lt;&gt;"",Scenarios!$F$7*Scenarios!G67,""))</f>
        <v/>
      </c>
      <c r="P61" s="84" t="str">
        <f>IF(Scenarios!$F$8="","",IF(Inputs!P83&lt;&gt;"",Scenarios!$F$8*Scenarios!C67,""))</f>
        <v/>
      </c>
      <c r="Q61" s="84" t="str">
        <f>IF(OR(Scenarios!$F$8="",Scenarios!$D$55&lt;&gt;1),"",IF(Inputs!P83&lt;&gt;"",Scenarios!$F$8*Scenarios!D67,""))</f>
        <v/>
      </c>
      <c r="R61" s="84" t="str">
        <f>IF(OR(Scenarios!$F$8="",Scenarios!$E$55&lt;&gt;1),"",IF(Inputs!P83&lt;&gt;"",Scenarios!$F$8*Scenarios!E67,""))</f>
        <v/>
      </c>
      <c r="S61" s="84" t="str">
        <f>IF(OR(Scenarios!$F$8="",Scenarios!$F$55&lt;&gt;1),"",IF(Inputs!P83&lt;&gt;"",Scenarios!$F$8*Scenarios!F67,""))</f>
        <v/>
      </c>
      <c r="T61" s="84" t="str">
        <f>IF(OR(Scenarios!$F$8="",Scenarios!$G$55&lt;&gt;1),"",IF(Inputs!P83&lt;&gt;"",Scenarios!$F$8*Scenarios!G67,""))</f>
        <v/>
      </c>
      <c r="U61" s="84" t="str">
        <f>IF(Scenarios!$F$9="","",IF(Inputs!P83&lt;&gt;"",Scenarios!$F$9*Scenarios!C67,""))</f>
        <v/>
      </c>
      <c r="V61" s="84" t="str">
        <f>IF(OR(Scenarios!$F$9="",Scenarios!$D$55&lt;&gt;1),"",IF(Inputs!P83&lt;&gt;"",Scenarios!$F$9*Scenarios!D67,""))</f>
        <v/>
      </c>
      <c r="W61" s="84" t="str">
        <f>IF(OR(Scenarios!$F$9="",Scenarios!$E$55&lt;&gt;1),"",IF(Inputs!P83&lt;&gt;"",Scenarios!$F$9*Scenarios!E67,""))</f>
        <v/>
      </c>
      <c r="X61" s="84" t="str">
        <f>IF(OR(Scenarios!$F$9="",Scenarios!$F$55&lt;&gt;1),"",IF(Inputs!P83&lt;&gt;"",Scenarios!$F$9*Scenarios!F67,""))</f>
        <v/>
      </c>
      <c r="Y61" s="84" t="str">
        <f>IF(OR(Scenarios!$F$9="",Scenarios!$G$55&lt;&gt;1),"",IF(Inputs!P83&lt;&gt;"",Scenarios!$F$9*Scenarios!G67,""))</f>
        <v/>
      </c>
    </row>
    <row r="62" spans="1:25" x14ac:dyDescent="0.35">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x14ac:dyDescent="0.35">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x14ac:dyDescent="0.35">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x14ac:dyDescent="0.35">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x14ac:dyDescent="0.35">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x14ac:dyDescent="0.35">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x14ac:dyDescent="0.35">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x14ac:dyDescent="0.35">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x14ac:dyDescent="0.35">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x14ac:dyDescent="0.35">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x14ac:dyDescent="0.35">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x14ac:dyDescent="0.35">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x14ac:dyDescent="0.35">
      <c r="A74" s="84"/>
    </row>
  </sheetData>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BK62"/>
  <sheetViews>
    <sheetView workbookViewId="0">
      <selection activeCell="A3" sqref="A3:A62"/>
    </sheetView>
  </sheetViews>
  <sheetFormatPr defaultColWidth="10.90625" defaultRowHeight="14.5" x14ac:dyDescent="0.35"/>
  <cols>
    <col min="4" max="63" width="18.7265625" customWidth="1"/>
  </cols>
  <sheetData>
    <row r="1" spans="1:63" ht="15.75" customHeight="1" x14ac:dyDescent="0.35"/>
    <row r="2" spans="1:63" ht="45" customHeight="1" x14ac:dyDescent="0.35">
      <c r="B2" s="85" t="s">
        <v>153</v>
      </c>
      <c r="C2" s="86" t="s">
        <v>64</v>
      </c>
      <c r="D2" s="91" t="s">
        <v>154</v>
      </c>
      <c r="E2" s="91" t="s">
        <v>155</v>
      </c>
      <c r="F2" s="91" t="s">
        <v>156</v>
      </c>
      <c r="G2" s="91" t="s">
        <v>157</v>
      </c>
      <c r="H2" s="91" t="s">
        <v>158</v>
      </c>
      <c r="I2" s="91" t="s">
        <v>159</v>
      </c>
      <c r="J2" s="91" t="s">
        <v>160</v>
      </c>
      <c r="K2" s="91" t="s">
        <v>161</v>
      </c>
      <c r="L2" s="91" t="s">
        <v>162</v>
      </c>
      <c r="M2" s="91" t="s">
        <v>163</v>
      </c>
      <c r="N2" s="91" t="s">
        <v>164</v>
      </c>
      <c r="O2" s="92" t="s">
        <v>165</v>
      </c>
      <c r="P2" s="91" t="s">
        <v>166</v>
      </c>
      <c r="Q2" s="91" t="s">
        <v>167</v>
      </c>
      <c r="R2" s="91" t="s">
        <v>168</v>
      </c>
      <c r="S2" s="91" t="s">
        <v>169</v>
      </c>
      <c r="T2" s="91" t="s">
        <v>170</v>
      </c>
      <c r="U2" s="91" t="s">
        <v>171</v>
      </c>
      <c r="V2" s="91" t="s">
        <v>172</v>
      </c>
      <c r="W2" s="91" t="s">
        <v>173</v>
      </c>
      <c r="X2" s="91" t="s">
        <v>174</v>
      </c>
      <c r="Y2" s="91" t="s">
        <v>175</v>
      </c>
      <c r="Z2" s="91" t="s">
        <v>176</v>
      </c>
      <c r="AA2" s="92" t="s">
        <v>177</v>
      </c>
      <c r="AB2" s="91" t="s">
        <v>178</v>
      </c>
      <c r="AC2" s="91" t="s">
        <v>179</v>
      </c>
      <c r="AD2" s="91" t="s">
        <v>180</v>
      </c>
      <c r="AE2" s="91" t="s">
        <v>181</v>
      </c>
      <c r="AF2" s="91" t="s">
        <v>182</v>
      </c>
      <c r="AG2" s="91" t="s">
        <v>183</v>
      </c>
      <c r="AH2" s="91" t="s">
        <v>184</v>
      </c>
      <c r="AI2" s="91" t="s">
        <v>185</v>
      </c>
      <c r="AJ2" s="91" t="s">
        <v>186</v>
      </c>
      <c r="AK2" s="91" t="s">
        <v>187</v>
      </c>
      <c r="AL2" s="91" t="s">
        <v>188</v>
      </c>
      <c r="AM2" s="92" t="s">
        <v>189</v>
      </c>
      <c r="AN2" s="91" t="s">
        <v>190</v>
      </c>
      <c r="AO2" s="91" t="s">
        <v>191</v>
      </c>
      <c r="AP2" s="91" t="s">
        <v>192</v>
      </c>
      <c r="AQ2" s="91" t="s">
        <v>193</v>
      </c>
      <c r="AR2" s="91" t="s">
        <v>194</v>
      </c>
      <c r="AS2" s="91" t="s">
        <v>195</v>
      </c>
      <c r="AT2" s="91" t="s">
        <v>196</v>
      </c>
      <c r="AU2" s="91" t="s">
        <v>197</v>
      </c>
      <c r="AV2" s="91" t="s">
        <v>198</v>
      </c>
      <c r="AW2" s="91" t="s">
        <v>199</v>
      </c>
      <c r="AX2" s="91" t="s">
        <v>200</v>
      </c>
      <c r="AY2" s="92" t="s">
        <v>201</v>
      </c>
      <c r="AZ2" s="91" t="s">
        <v>202</v>
      </c>
      <c r="BA2" s="91" t="s">
        <v>203</v>
      </c>
      <c r="BB2" s="91" t="s">
        <v>204</v>
      </c>
      <c r="BC2" s="91" t="s">
        <v>205</v>
      </c>
      <c r="BD2" s="91" t="s">
        <v>206</v>
      </c>
      <c r="BE2" s="91" t="s">
        <v>207</v>
      </c>
      <c r="BF2" s="91" t="s">
        <v>208</v>
      </c>
      <c r="BG2" s="91" t="s">
        <v>209</v>
      </c>
      <c r="BH2" s="91" t="s">
        <v>210</v>
      </c>
      <c r="BI2" s="91" t="s">
        <v>211</v>
      </c>
      <c r="BJ2" s="91" t="s">
        <v>212</v>
      </c>
      <c r="BK2" s="92" t="s">
        <v>213</v>
      </c>
    </row>
    <row r="3" spans="1:63" x14ac:dyDescent="0.35">
      <c r="A3" s="84"/>
      <c r="B3" s="87">
        <v>0</v>
      </c>
      <c r="C3" s="79">
        <f>Inputs!I22</f>
        <v>0</v>
      </c>
      <c r="D3" s="79">
        <f>Inputs!$F$8*$A$3*HelperFunctions!H3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1:63" x14ac:dyDescent="0.35">
      <c r="A4" s="84"/>
      <c r="B4" s="87">
        <v>0</v>
      </c>
      <c r="C4" s="79">
        <f>Inputs!I23</f>
        <v>0</v>
      </c>
      <c r="D4" s="79">
        <f>Inputs!$F$8*$A$3*HelperFunctions!H4</f>
        <v>0</v>
      </c>
      <c r="E4" s="79">
        <f>Inputs!$F$8*$A$4*HelperFunctions!$H3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1:63" x14ac:dyDescent="0.35">
      <c r="A5" s="84"/>
      <c r="B5" s="87">
        <v>0</v>
      </c>
      <c r="C5" s="79">
        <f>Inputs!I24</f>
        <v>0</v>
      </c>
      <c r="D5" s="79">
        <f>Inputs!$F$8*$A$3*HelperFunctions!H5</f>
        <v>0</v>
      </c>
      <c r="E5" s="79">
        <f>Inputs!$F$8*$A$4*HelperFunctions!$H4</f>
        <v>0</v>
      </c>
      <c r="F5" s="79">
        <f>Inputs!$F$8*$A$5*HelperFunctions!$H3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1:63" x14ac:dyDescent="0.35">
      <c r="A6" s="84"/>
      <c r="B6" s="87">
        <v>0</v>
      </c>
      <c r="C6" s="79">
        <f>Inputs!I25</f>
        <v>0</v>
      </c>
      <c r="D6" s="79">
        <f>Inputs!$F$8*$A$3*HelperFunctions!H6</f>
        <v>0</v>
      </c>
      <c r="E6" s="79">
        <f>Inputs!$F$8*$A$4*HelperFunctions!$H5</f>
        <v>0</v>
      </c>
      <c r="F6" s="79">
        <f>Inputs!$F$8*$A$5*HelperFunctions!$H4</f>
        <v>0</v>
      </c>
      <c r="G6" s="79">
        <f>Inputs!$F$8*$A$6*HelperFunctions!$H3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1:63" x14ac:dyDescent="0.35">
      <c r="A7" s="84"/>
      <c r="B7" s="87">
        <v>0</v>
      </c>
      <c r="C7" s="79">
        <f>Inputs!I26</f>
        <v>0</v>
      </c>
      <c r="D7" s="79">
        <f>Inputs!$F$8*$A$3*HelperFunctions!H7</f>
        <v>0</v>
      </c>
      <c r="E7" s="79">
        <f>Inputs!$F$8*$A$4*HelperFunctions!$H6</f>
        <v>0</v>
      </c>
      <c r="F7" s="79">
        <f>Inputs!$F$8*$A$5*HelperFunctions!$H5</f>
        <v>0</v>
      </c>
      <c r="G7" s="79">
        <f>Inputs!$F$8*$A$6*HelperFunctions!$H4</f>
        <v>0</v>
      </c>
      <c r="H7" s="79">
        <f>Inputs!$F$8*$A$7*HelperFunctions!$H3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1:63" x14ac:dyDescent="0.35">
      <c r="A8" s="84"/>
      <c r="B8" s="87">
        <v>0</v>
      </c>
      <c r="C8" s="79">
        <f>Inputs!I27</f>
        <v>0</v>
      </c>
      <c r="D8" s="79">
        <f>Inputs!$F$8*$A$3*HelperFunctions!H8</f>
        <v>0</v>
      </c>
      <c r="E8" s="79">
        <f>Inputs!$F$8*$A$4*HelperFunctions!$H7</f>
        <v>0</v>
      </c>
      <c r="F8" s="79">
        <f>Inputs!$F$8*$A$5*HelperFunctions!$H6</f>
        <v>0</v>
      </c>
      <c r="G8" s="79">
        <f>Inputs!$F$8*$A$6*HelperFunctions!$H5</f>
        <v>0</v>
      </c>
      <c r="H8" s="79">
        <f>Inputs!$F$8*$A$7*HelperFunctions!$H4</f>
        <v>0</v>
      </c>
      <c r="I8" s="79">
        <f>Inputs!$F$8*$A$8*HelperFunctions!$H3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1:63" x14ac:dyDescent="0.35">
      <c r="A9" s="84"/>
      <c r="B9" s="87">
        <v>0</v>
      </c>
      <c r="C9" s="79">
        <f>Inputs!I28</f>
        <v>0</v>
      </c>
      <c r="D9" s="79">
        <f>Inputs!$F$8*$A$3*HelperFunctions!H9</f>
        <v>0</v>
      </c>
      <c r="E9" s="79">
        <f>Inputs!$F$8*$A$4*HelperFunctions!$H8</f>
        <v>0</v>
      </c>
      <c r="F9" s="79">
        <f>Inputs!$F$8*$A$5*HelperFunctions!$H7</f>
        <v>0</v>
      </c>
      <c r="G9" s="79">
        <f>Inputs!$F$8*$A$6*HelperFunctions!$H6</f>
        <v>0</v>
      </c>
      <c r="H9" s="79">
        <f>Inputs!$F$8*$A$7*HelperFunctions!$H5</f>
        <v>0</v>
      </c>
      <c r="I9" s="79">
        <f>Inputs!$F$8*$A$8*HelperFunctions!$H4</f>
        <v>0</v>
      </c>
      <c r="J9" s="79">
        <f>Inputs!$F$8*$A$9*HelperFunctions!$H3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1:63" x14ac:dyDescent="0.35">
      <c r="A10" s="84"/>
      <c r="B10" s="87">
        <v>0</v>
      </c>
      <c r="C10" s="79">
        <f>Inputs!I29</f>
        <v>0</v>
      </c>
      <c r="D10" s="79">
        <f>Inputs!$F$8*$A$3*HelperFunctions!H10</f>
        <v>0</v>
      </c>
      <c r="E10" s="79">
        <f>Inputs!$F$8*$A$4*HelperFunctions!$H9</f>
        <v>0</v>
      </c>
      <c r="F10" s="79">
        <f>Inputs!$F$8*$A$5*HelperFunctions!$H8</f>
        <v>0</v>
      </c>
      <c r="G10" s="79">
        <f>Inputs!$F$8*$A$6*HelperFunctions!$H7</f>
        <v>0</v>
      </c>
      <c r="H10" s="79">
        <f>Inputs!$F$8*$A$7*HelperFunctions!$H6</f>
        <v>0</v>
      </c>
      <c r="I10" s="79">
        <f>Inputs!$F$8*$A$8*HelperFunctions!$H5</f>
        <v>0</v>
      </c>
      <c r="J10" s="79">
        <f>Inputs!$F$8*$A$9*HelperFunctions!$H4</f>
        <v>0</v>
      </c>
      <c r="K10" s="79">
        <f>Inputs!$F$8*$A$10*HelperFunctions!$H3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1:63" x14ac:dyDescent="0.35">
      <c r="A11" s="84"/>
      <c r="B11" s="87">
        <v>0</v>
      </c>
      <c r="C11" s="79">
        <f>Inputs!I30</f>
        <v>0</v>
      </c>
      <c r="D11" s="79">
        <f>Inputs!$F$8*$A$3*HelperFunctions!H11</f>
        <v>0</v>
      </c>
      <c r="E11" s="79">
        <f>Inputs!$F$8*$A$4*HelperFunctions!$H10</f>
        <v>0</v>
      </c>
      <c r="F11" s="79">
        <f>Inputs!$F$8*$A$5*HelperFunctions!$H9</f>
        <v>0</v>
      </c>
      <c r="G11" s="79">
        <f>Inputs!$F$8*$A$6*HelperFunctions!$H8</f>
        <v>0</v>
      </c>
      <c r="H11" s="79">
        <f>Inputs!$F$8*$A$7*HelperFunctions!$H7</f>
        <v>0</v>
      </c>
      <c r="I11" s="79">
        <f>Inputs!$F$8*$A$8*HelperFunctions!$H6</f>
        <v>0</v>
      </c>
      <c r="J11" s="79">
        <f>Inputs!$F$8*$A$9*HelperFunctions!$H5</f>
        <v>0</v>
      </c>
      <c r="K11" s="79">
        <f>Inputs!$F$8*$A$10*HelperFunctions!$H4</f>
        <v>0</v>
      </c>
      <c r="L11" s="79">
        <f>Inputs!$F$8*$A$11*HelperFunctions!$H3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1:63" x14ac:dyDescent="0.35">
      <c r="A12" s="84"/>
      <c r="B12" s="87">
        <v>0</v>
      </c>
      <c r="C12" s="79">
        <f>Inputs!I31</f>
        <v>0</v>
      </c>
      <c r="D12" s="79">
        <f>Inputs!$F$8*$A$3*HelperFunctions!H12</f>
        <v>0</v>
      </c>
      <c r="E12" s="79">
        <f>Inputs!$F$8*$A$4*HelperFunctions!$H11</f>
        <v>0</v>
      </c>
      <c r="F12" s="79">
        <f>Inputs!$F$8*$A$5*HelperFunctions!$H10</f>
        <v>0</v>
      </c>
      <c r="G12" s="79">
        <f>Inputs!$F$8*$A$6*HelperFunctions!$H9</f>
        <v>0</v>
      </c>
      <c r="H12" s="79">
        <f>Inputs!$F$8*$A$7*HelperFunctions!$H8</f>
        <v>0</v>
      </c>
      <c r="I12" s="79">
        <f>Inputs!$F$8*$A$8*HelperFunctions!$H7</f>
        <v>0</v>
      </c>
      <c r="J12" s="79">
        <f>Inputs!$F$8*$A$9*HelperFunctions!$H6</f>
        <v>0</v>
      </c>
      <c r="K12" s="79">
        <f>Inputs!$F$8*$A$10*HelperFunctions!$H5</f>
        <v>0</v>
      </c>
      <c r="L12" s="79">
        <f>Inputs!$F$8*$A$11*HelperFunctions!$H4</f>
        <v>0</v>
      </c>
      <c r="M12" s="79">
        <f>Inputs!$F$8*$A$12*HelperFunctions!$H3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1:63" x14ac:dyDescent="0.35">
      <c r="A13" s="84"/>
      <c r="B13" s="87">
        <v>0</v>
      </c>
      <c r="C13" s="79">
        <f>Inputs!I32</f>
        <v>0</v>
      </c>
      <c r="D13" s="79">
        <f>Inputs!$F$8*$A$3*HelperFunctions!H13</f>
        <v>0</v>
      </c>
      <c r="E13" s="79">
        <f>Inputs!$F$8*$A$4*HelperFunctions!$H12</f>
        <v>0</v>
      </c>
      <c r="F13" s="79">
        <f>Inputs!$F$8*$A$5*HelperFunctions!$H11</f>
        <v>0</v>
      </c>
      <c r="G13" s="79">
        <f>Inputs!$F$8*$A$6*HelperFunctions!$H10</f>
        <v>0</v>
      </c>
      <c r="H13" s="79">
        <f>Inputs!$F$8*$A$7*HelperFunctions!$H9</f>
        <v>0</v>
      </c>
      <c r="I13" s="79">
        <f>Inputs!$F$8*$A$8*HelperFunctions!$H8</f>
        <v>0</v>
      </c>
      <c r="J13" s="79">
        <f>Inputs!$F$8*$A$9*HelperFunctions!$H7</f>
        <v>0</v>
      </c>
      <c r="K13" s="79">
        <f>Inputs!$F$8*$A$10*HelperFunctions!$H6</f>
        <v>0</v>
      </c>
      <c r="L13" s="79">
        <f>Inputs!$F$8*$A$11*HelperFunctions!$H5</f>
        <v>0</v>
      </c>
      <c r="M13" s="79">
        <f>Inputs!$F$8*$A$12*HelperFunctions!$H4</f>
        <v>0</v>
      </c>
      <c r="N13" s="79">
        <f>Inputs!$F$8*$A$13*HelperFunctions!$H3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1:63" ht="15.75" customHeight="1" x14ac:dyDescent="0.35">
      <c r="A14" s="84"/>
      <c r="B14" s="88">
        <v>0</v>
      </c>
      <c r="C14" s="89">
        <f>Inputs!I33</f>
        <v>0</v>
      </c>
      <c r="D14" s="89">
        <f>Inputs!$F$8*$A$3*HelperFunctions!H$14</f>
        <v>0</v>
      </c>
      <c r="E14" s="89">
        <f>Inputs!$F$8*$A$4*HelperFunctions!$H13</f>
        <v>0</v>
      </c>
      <c r="F14" s="89">
        <f>Inputs!$F$8*$A$5*HelperFunctions!$H12</f>
        <v>0</v>
      </c>
      <c r="G14" s="89">
        <f>Inputs!$F$8*$A$6*HelperFunctions!$H11</f>
        <v>0</v>
      </c>
      <c r="H14" s="89">
        <f>Inputs!$F$8*$A$7*HelperFunctions!$H10</f>
        <v>0</v>
      </c>
      <c r="I14" s="89">
        <f>Inputs!$F$8*$A$8*HelperFunctions!$H9</f>
        <v>0</v>
      </c>
      <c r="J14" s="89">
        <f>Inputs!$F$8*$A$9*HelperFunctions!$H8</f>
        <v>0</v>
      </c>
      <c r="K14" s="89">
        <f>Inputs!$F$8*$A$10*HelperFunctions!$H7</f>
        <v>0</v>
      </c>
      <c r="L14" s="89">
        <f>Inputs!$F$8*$A$11*HelperFunctions!$H6</f>
        <v>0</v>
      </c>
      <c r="M14" s="89">
        <f>Inputs!$F$8*$A$12*HelperFunctions!$H5</f>
        <v>0</v>
      </c>
      <c r="N14" s="89">
        <f>Inputs!$F$8*$A$13*HelperFunctions!$H4</f>
        <v>0</v>
      </c>
      <c r="O14" s="90">
        <f>Inputs!$F$8*$A$14*HelperFunctions!$H3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1:63" x14ac:dyDescent="0.35">
      <c r="A15" s="84"/>
      <c r="B15" s="87">
        <v>1</v>
      </c>
      <c r="C15" s="79">
        <f>Inputs!I36</f>
        <v>0</v>
      </c>
      <c r="D15" s="79">
        <f>Inputs!$F$8*$A$3*HelperFunctions!H$14</f>
        <v>0</v>
      </c>
      <c r="E15" s="79">
        <f>Inputs!$F$8*$A$4*HelperFunctions!$H$14</f>
        <v>0</v>
      </c>
      <c r="F15" s="79">
        <f>Inputs!$F$8*$A$5*HelperFunctions!$H13</f>
        <v>0</v>
      </c>
      <c r="G15" s="79">
        <f>Inputs!$F$8*$A$6*HelperFunctions!$H12</f>
        <v>0</v>
      </c>
      <c r="H15" s="79">
        <f>Inputs!$F$8*$A$7*HelperFunctions!$H11</f>
        <v>0</v>
      </c>
      <c r="I15" s="79">
        <f>Inputs!$F$8*$A$8*HelperFunctions!$H10</f>
        <v>0</v>
      </c>
      <c r="J15" s="79">
        <f>Inputs!$F$8*$A$9*HelperFunctions!$H9</f>
        <v>0</v>
      </c>
      <c r="K15" s="79">
        <f>Inputs!$F$8*$A$10*HelperFunctions!$H8</f>
        <v>0</v>
      </c>
      <c r="L15" s="79">
        <f>Inputs!$F$8*$A$11*HelperFunctions!$H7</f>
        <v>0</v>
      </c>
      <c r="M15" s="79">
        <f>Inputs!$F$8*$A$12*HelperFunctions!$H6</f>
        <v>0</v>
      </c>
      <c r="N15" s="79">
        <f>Inputs!$F$8*$A$13*HelperFunctions!$H5</f>
        <v>0</v>
      </c>
      <c r="O15" s="79">
        <f>Inputs!$F$8*$A$14*HelperFunctions!$H4</f>
        <v>0</v>
      </c>
      <c r="P15" s="79">
        <f>Inputs!$F$8*$A$15*HelperFunctions!$H17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1:63" x14ac:dyDescent="0.35">
      <c r="A16" s="84"/>
      <c r="B16" s="87">
        <v>1</v>
      </c>
      <c r="C16" s="79">
        <f>Inputs!I37</f>
        <v>0</v>
      </c>
      <c r="D16" s="79">
        <f>Inputs!$F$8*$A$3*HelperFunctions!H$14</f>
        <v>0</v>
      </c>
      <c r="E16" s="79">
        <f>Inputs!$F$8*$A$4*HelperFunctions!$H$14</f>
        <v>0</v>
      </c>
      <c r="F16" s="79">
        <f>Inputs!$F$8*$A$5*HelperFunctions!$H$14</f>
        <v>0</v>
      </c>
      <c r="G16" s="79">
        <f>Inputs!$F$8*$A$6*HelperFunctions!$H13</f>
        <v>0</v>
      </c>
      <c r="H16" s="79">
        <f>Inputs!$F$8*$A$7*HelperFunctions!$H12</f>
        <v>0</v>
      </c>
      <c r="I16" s="79">
        <f>Inputs!$F$8*$A$8*HelperFunctions!$H11</f>
        <v>0</v>
      </c>
      <c r="J16" s="79">
        <f>Inputs!$F$8*$A$9*HelperFunctions!$H10</f>
        <v>0</v>
      </c>
      <c r="K16" s="79">
        <f>Inputs!$F$8*$A$10*HelperFunctions!$H9</f>
        <v>0</v>
      </c>
      <c r="L16" s="79">
        <f>Inputs!$F$8*$A$11*HelperFunctions!$H8</f>
        <v>0</v>
      </c>
      <c r="M16" s="79">
        <f>Inputs!$F$8*$A$12*HelperFunctions!$H7</f>
        <v>0</v>
      </c>
      <c r="N16" s="79">
        <f>Inputs!$F$8*$A$13*HelperFunctions!$H6</f>
        <v>0</v>
      </c>
      <c r="O16" s="79">
        <f>Inputs!$F$8*$A$14*HelperFunctions!$H5</f>
        <v>0</v>
      </c>
      <c r="P16" s="79">
        <f>Inputs!$F$8*$A$15*HelperFunctions!$H18</f>
        <v>0</v>
      </c>
      <c r="Q16" s="79">
        <f>Inputs!$F$8*$A$16*HelperFunctions!$H17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1:63" x14ac:dyDescent="0.35">
      <c r="A17" s="84"/>
      <c r="B17" s="87">
        <v>1</v>
      </c>
      <c r="C17" s="79">
        <f>Inputs!I38</f>
        <v>0</v>
      </c>
      <c r="D17" s="79">
        <f>Inputs!$F$8*$A$3*HelperFunctions!H$14</f>
        <v>0</v>
      </c>
      <c r="E17" s="79">
        <f>Inputs!$F$8*$A$4*HelperFunctions!$H$14</f>
        <v>0</v>
      </c>
      <c r="F17" s="79">
        <f>Inputs!$F$8*$A$5*HelperFunctions!$H$14</f>
        <v>0</v>
      </c>
      <c r="G17" s="79">
        <f>Inputs!$F$8*$A$6*HelperFunctions!$H$14</f>
        <v>0</v>
      </c>
      <c r="H17" s="79">
        <f>Inputs!$F$8*$A$7*HelperFunctions!$H13</f>
        <v>0</v>
      </c>
      <c r="I17" s="79">
        <f>Inputs!$F$8*$A$8*HelperFunctions!$H12</f>
        <v>0</v>
      </c>
      <c r="J17" s="79">
        <f>Inputs!$F$8*$A$9*HelperFunctions!$H11</f>
        <v>0</v>
      </c>
      <c r="K17" s="79">
        <f>Inputs!$F$8*$A$10*HelperFunctions!$H10</f>
        <v>0</v>
      </c>
      <c r="L17" s="79">
        <f>Inputs!$F$8*$A$11*HelperFunctions!$H9</f>
        <v>0</v>
      </c>
      <c r="M17" s="79">
        <f>Inputs!$F$8*$A$12*HelperFunctions!$H8</f>
        <v>0</v>
      </c>
      <c r="N17" s="79">
        <f>Inputs!$F$8*$A$13*HelperFunctions!$H7</f>
        <v>0</v>
      </c>
      <c r="O17" s="79">
        <f>Inputs!$F$8*$A$14*HelperFunctions!$H6</f>
        <v>0</v>
      </c>
      <c r="P17" s="79">
        <f>Inputs!$F$8*$A$15*HelperFunctions!$H19</f>
        <v>0</v>
      </c>
      <c r="Q17" s="79">
        <f>Inputs!$F$8*$A$16*HelperFunctions!$H18</f>
        <v>0</v>
      </c>
      <c r="R17" s="79">
        <f>Inputs!$F$8*$A$17*HelperFunctions!$H17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1:63" x14ac:dyDescent="0.35">
      <c r="A18" s="84"/>
      <c r="B18" s="87">
        <v>1</v>
      </c>
      <c r="C18" s="79">
        <f>Inputs!I39</f>
        <v>0</v>
      </c>
      <c r="D18" s="79">
        <f>Inputs!$F$8*$A$3*HelperFunctions!H$14</f>
        <v>0</v>
      </c>
      <c r="E18" s="79">
        <f>Inputs!$F$8*$A$4*HelperFunctions!$H$14</f>
        <v>0</v>
      </c>
      <c r="F18" s="79">
        <f>Inputs!$F$8*$A$5*HelperFunctions!$H$14</f>
        <v>0</v>
      </c>
      <c r="G18" s="79">
        <f>Inputs!$F$8*$A$6*HelperFunctions!$H$14</f>
        <v>0</v>
      </c>
      <c r="H18" s="79">
        <f>Inputs!$F$8*$A$7*HelperFunctions!$H$14</f>
        <v>0</v>
      </c>
      <c r="I18" s="79">
        <f>Inputs!$F$8*$A$8*HelperFunctions!$H13</f>
        <v>0</v>
      </c>
      <c r="J18" s="79">
        <f>Inputs!$F$8*$A$9*HelperFunctions!$H12</f>
        <v>0</v>
      </c>
      <c r="K18" s="79">
        <f>Inputs!$F$8*$A$10*HelperFunctions!$H11</f>
        <v>0</v>
      </c>
      <c r="L18" s="79">
        <f>Inputs!$F$8*$A$11*HelperFunctions!$H10</f>
        <v>0</v>
      </c>
      <c r="M18" s="79">
        <f>Inputs!$F$8*$A$12*HelperFunctions!$H9</f>
        <v>0</v>
      </c>
      <c r="N18" s="79">
        <f>Inputs!$F$8*$A$13*HelperFunctions!$H8</f>
        <v>0</v>
      </c>
      <c r="O18" s="79">
        <f>Inputs!$F$8*$A$14*HelperFunctions!$H7</f>
        <v>0</v>
      </c>
      <c r="P18" s="79">
        <f>Inputs!$F$8*$A$15*HelperFunctions!$H20</f>
        <v>0</v>
      </c>
      <c r="Q18" s="79">
        <f>Inputs!$F$8*$A$16*HelperFunctions!$H19</f>
        <v>0</v>
      </c>
      <c r="R18" s="79">
        <f>Inputs!$F$8*$A$17*HelperFunctions!$H18</f>
        <v>0</v>
      </c>
      <c r="S18" s="79">
        <f>Inputs!$F$8*$A$18*HelperFunctions!$H17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1:63" x14ac:dyDescent="0.35">
      <c r="A19" s="84"/>
      <c r="B19" s="87">
        <v>1</v>
      </c>
      <c r="C19" s="79">
        <f>Inputs!I40</f>
        <v>0</v>
      </c>
      <c r="D19" s="79">
        <f>Inputs!$F$8*$A$3*HelperFunctions!H$14</f>
        <v>0</v>
      </c>
      <c r="E19" s="79">
        <f>Inputs!$F$8*$A$4*HelperFunctions!$H$14</f>
        <v>0</v>
      </c>
      <c r="F19" s="79">
        <f>Inputs!$F$8*$A$5*HelperFunctions!$H$14</f>
        <v>0</v>
      </c>
      <c r="G19" s="79">
        <f>Inputs!$F$8*$A$6*HelperFunctions!$H$14</f>
        <v>0</v>
      </c>
      <c r="H19" s="79">
        <f>Inputs!$F$8*$A$7*HelperFunctions!$H$14</f>
        <v>0</v>
      </c>
      <c r="I19" s="79">
        <f>Inputs!$F$8*$A$8*HelperFunctions!$H$14</f>
        <v>0</v>
      </c>
      <c r="J19" s="79">
        <f>Inputs!$F$8*$A$9*HelperFunctions!$H13</f>
        <v>0</v>
      </c>
      <c r="K19" s="79">
        <f>Inputs!$F$8*$A$10*HelperFunctions!$H12</f>
        <v>0</v>
      </c>
      <c r="L19" s="79">
        <f>Inputs!$F$8*$A$11*HelperFunctions!$H11</f>
        <v>0</v>
      </c>
      <c r="M19" s="79">
        <f>Inputs!$F$8*$A$12*HelperFunctions!$H10</f>
        <v>0</v>
      </c>
      <c r="N19" s="79">
        <f>Inputs!$F$8*$A$13*HelperFunctions!$H9</f>
        <v>0</v>
      </c>
      <c r="O19" s="79">
        <f>Inputs!$F$8*$A$14*HelperFunctions!$H8</f>
        <v>0</v>
      </c>
      <c r="P19" s="79">
        <f>Inputs!$F$8*$A$15*HelperFunctions!$H21</f>
        <v>0</v>
      </c>
      <c r="Q19" s="79">
        <f>Inputs!$F$8*$A$16*HelperFunctions!$H20</f>
        <v>0</v>
      </c>
      <c r="R19" s="79">
        <f>Inputs!$F$8*$A$17*HelperFunctions!$H19</f>
        <v>0</v>
      </c>
      <c r="S19" s="79">
        <f>Inputs!$F$8*$A$18*HelperFunctions!$H18</f>
        <v>0</v>
      </c>
      <c r="T19" s="79">
        <f>Inputs!$F$8*$A$19*HelperFunctions!$H17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1:63" x14ac:dyDescent="0.35">
      <c r="A20" s="84"/>
      <c r="B20" s="87">
        <v>1</v>
      </c>
      <c r="C20" s="79">
        <f>Inputs!I41</f>
        <v>0</v>
      </c>
      <c r="D20" s="79">
        <f>Inputs!$F$8*$A$3*HelperFunctions!H$14</f>
        <v>0</v>
      </c>
      <c r="E20" s="79">
        <f>Inputs!$F$8*$A$4*HelperFunctions!$H$14</f>
        <v>0</v>
      </c>
      <c r="F20" s="79">
        <f>Inputs!$F$8*$A$5*HelperFunctions!$H$14</f>
        <v>0</v>
      </c>
      <c r="G20" s="79">
        <f>Inputs!$F$8*$A$6*HelperFunctions!$H$14</f>
        <v>0</v>
      </c>
      <c r="H20" s="79">
        <f>Inputs!$F$8*$A$7*HelperFunctions!$H$14</f>
        <v>0</v>
      </c>
      <c r="I20" s="79">
        <f>Inputs!$F$8*$A$8*HelperFunctions!$H$14</f>
        <v>0</v>
      </c>
      <c r="J20" s="79">
        <f>Inputs!$F$8*$A$9*HelperFunctions!$H$14</f>
        <v>0</v>
      </c>
      <c r="K20" s="79">
        <f>Inputs!$F$8*$A$10*HelperFunctions!$H13</f>
        <v>0</v>
      </c>
      <c r="L20" s="79">
        <f>Inputs!$F$8*$A$11*HelperFunctions!$H12</f>
        <v>0</v>
      </c>
      <c r="M20" s="79">
        <f>Inputs!$F$8*$A$12*HelperFunctions!$H11</f>
        <v>0</v>
      </c>
      <c r="N20" s="79">
        <f>Inputs!$F$8*$A$13*HelperFunctions!$H10</f>
        <v>0</v>
      </c>
      <c r="O20" s="79">
        <f>Inputs!$F$8*$A$14*HelperFunctions!$H9</f>
        <v>0</v>
      </c>
      <c r="P20" s="79">
        <f>Inputs!$F$8*$A$15*HelperFunctions!$H22</f>
        <v>0</v>
      </c>
      <c r="Q20" s="79">
        <f>Inputs!$F$8*$A$16*HelperFunctions!$H21</f>
        <v>0</v>
      </c>
      <c r="R20" s="79">
        <f>Inputs!$F$8*$A$17*HelperFunctions!$H20</f>
        <v>0</v>
      </c>
      <c r="S20" s="79">
        <f>Inputs!$F$8*$A$18*HelperFunctions!$H19</f>
        <v>0</v>
      </c>
      <c r="T20" s="79">
        <f>Inputs!$F$8*$A$19*HelperFunctions!$H18</f>
        <v>0</v>
      </c>
      <c r="U20" s="79">
        <f>Inputs!$F$8*$A$20*HelperFunctions!$H17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1:63" x14ac:dyDescent="0.35">
      <c r="A21" s="84"/>
      <c r="B21" s="87">
        <v>1</v>
      </c>
      <c r="C21" s="79">
        <f>Inputs!I42</f>
        <v>0</v>
      </c>
      <c r="D21" s="79">
        <f>Inputs!$F$8*$A$3*HelperFunctions!H$14</f>
        <v>0</v>
      </c>
      <c r="E21" s="79">
        <f>Inputs!$F$8*$A$4*HelperFunctions!$H$14</f>
        <v>0</v>
      </c>
      <c r="F21" s="79">
        <f>Inputs!$F$8*$A$5*HelperFunctions!$H$14</f>
        <v>0</v>
      </c>
      <c r="G21" s="79">
        <f>Inputs!$F$8*$A$6*HelperFunctions!$H$14</f>
        <v>0</v>
      </c>
      <c r="H21" s="79">
        <f>Inputs!$F$8*$A$7*HelperFunctions!$H$14</f>
        <v>0</v>
      </c>
      <c r="I21" s="79">
        <f>Inputs!$F$8*$A$8*HelperFunctions!$H$14</f>
        <v>0</v>
      </c>
      <c r="J21" s="79">
        <f>Inputs!$F$8*$A$9*HelperFunctions!$H$14</f>
        <v>0</v>
      </c>
      <c r="K21" s="79">
        <f>Inputs!$F$8*$A$10*HelperFunctions!$H$14</f>
        <v>0</v>
      </c>
      <c r="L21" s="79">
        <f>Inputs!$F$8*$A$11*HelperFunctions!$H13</f>
        <v>0</v>
      </c>
      <c r="M21" s="79">
        <f>Inputs!$F$8*$A$12*HelperFunctions!$H12</f>
        <v>0</v>
      </c>
      <c r="N21" s="79">
        <f>Inputs!$F$8*$A$13*HelperFunctions!$H11</f>
        <v>0</v>
      </c>
      <c r="O21" s="79">
        <f>Inputs!$F$8*$A$14*HelperFunctions!$H10</f>
        <v>0</v>
      </c>
      <c r="P21" s="79">
        <f>Inputs!$F$8*$A$15*HelperFunctions!$H23</f>
        <v>0</v>
      </c>
      <c r="Q21" s="79">
        <f>Inputs!$F$8*$A$16*HelperFunctions!$H22</f>
        <v>0</v>
      </c>
      <c r="R21" s="79">
        <f>Inputs!$F$8*$A$17*HelperFunctions!$H21</f>
        <v>0</v>
      </c>
      <c r="S21" s="79">
        <f>Inputs!$F$8*$A$18*HelperFunctions!$H20</f>
        <v>0</v>
      </c>
      <c r="T21" s="79">
        <f>Inputs!$F$8*$A$19*HelperFunctions!$H19</f>
        <v>0</v>
      </c>
      <c r="U21" s="79">
        <f>Inputs!$F$8*$A$20*HelperFunctions!$H18</f>
        <v>0</v>
      </c>
      <c r="V21" s="79">
        <f>Inputs!$F$8*$A$21*HelperFunctions!$H17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1:63" x14ac:dyDescent="0.35">
      <c r="A22" s="84"/>
      <c r="B22" s="87">
        <v>1</v>
      </c>
      <c r="C22" s="79">
        <f>Inputs!I43</f>
        <v>0</v>
      </c>
      <c r="D22" s="79">
        <f>Inputs!$F$8*$A$3*HelperFunctions!H$14</f>
        <v>0</v>
      </c>
      <c r="E22" s="79">
        <f>Inputs!$F$8*$A$4*HelperFunctions!$H$14</f>
        <v>0</v>
      </c>
      <c r="F22" s="79">
        <f>Inputs!$F$8*$A$5*HelperFunctions!$H$14</f>
        <v>0</v>
      </c>
      <c r="G22" s="79">
        <f>Inputs!$F$8*$A$6*HelperFunctions!$H$14</f>
        <v>0</v>
      </c>
      <c r="H22" s="79">
        <f>Inputs!$F$8*$A$7*HelperFunctions!$H$14</f>
        <v>0</v>
      </c>
      <c r="I22" s="79">
        <f>Inputs!$F$8*$A$8*HelperFunctions!$H$14</f>
        <v>0</v>
      </c>
      <c r="J22" s="79">
        <f>Inputs!$F$8*$A$9*HelperFunctions!$H$14</f>
        <v>0</v>
      </c>
      <c r="K22" s="79">
        <f>Inputs!$F$8*$A$10*HelperFunctions!$H$14</f>
        <v>0</v>
      </c>
      <c r="L22" s="79">
        <f>Inputs!$F$8*$A$11*HelperFunctions!$H$14</f>
        <v>0</v>
      </c>
      <c r="M22" s="79">
        <f>Inputs!$F$8*$A$12*HelperFunctions!$H13</f>
        <v>0</v>
      </c>
      <c r="N22" s="79">
        <f>Inputs!$F$8*$A$13*HelperFunctions!$H12</f>
        <v>0</v>
      </c>
      <c r="O22" s="79">
        <f>Inputs!$F$8*$A$14*HelperFunctions!$H11</f>
        <v>0</v>
      </c>
      <c r="P22" s="79">
        <f>Inputs!$F$8*$A$15*HelperFunctions!$H24</f>
        <v>0</v>
      </c>
      <c r="Q22" s="79">
        <f>Inputs!$F$8*$A$16*HelperFunctions!$H23</f>
        <v>0</v>
      </c>
      <c r="R22" s="79">
        <f>Inputs!$F$8*$A$17*HelperFunctions!$H22</f>
        <v>0</v>
      </c>
      <c r="S22" s="79">
        <f>Inputs!$F$8*$A$18*HelperFunctions!$H21</f>
        <v>0</v>
      </c>
      <c r="T22" s="79">
        <f>Inputs!$F$8*$A$19*HelperFunctions!$H20</f>
        <v>0</v>
      </c>
      <c r="U22" s="79">
        <f>Inputs!$F$8*$A$20*HelperFunctions!$H19</f>
        <v>0</v>
      </c>
      <c r="V22" s="79">
        <f>Inputs!$F$8*$A$21*HelperFunctions!$H18</f>
        <v>0</v>
      </c>
      <c r="W22" s="79">
        <f>Inputs!$F$8*$A$22*HelperFunctions!$H17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1:63" x14ac:dyDescent="0.35">
      <c r="A23" s="84"/>
      <c r="B23" s="87">
        <v>1</v>
      </c>
      <c r="C23" s="79">
        <f>Inputs!I44</f>
        <v>0</v>
      </c>
      <c r="D23" s="79">
        <f>Inputs!$F$8*$A$3*HelperFunctions!H$14</f>
        <v>0</v>
      </c>
      <c r="E23" s="79">
        <f>Inputs!$F$8*$A$4*HelperFunctions!$H$14</f>
        <v>0</v>
      </c>
      <c r="F23" s="79">
        <f>Inputs!$F$8*$A$5*HelperFunctions!$H$14</f>
        <v>0</v>
      </c>
      <c r="G23" s="79">
        <f>Inputs!$F$8*$A$6*HelperFunctions!$H$14</f>
        <v>0</v>
      </c>
      <c r="H23" s="79">
        <f>Inputs!$F$8*$A$7*HelperFunctions!$H$14</f>
        <v>0</v>
      </c>
      <c r="I23" s="79">
        <f>Inputs!$F$8*$A$8*HelperFunctions!$H$14</f>
        <v>0</v>
      </c>
      <c r="J23" s="79">
        <f>Inputs!$F$8*$A$9*HelperFunctions!$H$14</f>
        <v>0</v>
      </c>
      <c r="K23" s="79">
        <f>Inputs!$F$8*$A$10*HelperFunctions!$H$14</f>
        <v>0</v>
      </c>
      <c r="L23" s="79">
        <f>Inputs!$F$8*$A$11*HelperFunctions!$H$14</f>
        <v>0</v>
      </c>
      <c r="M23" s="79">
        <f>Inputs!$F$8*$A$12*HelperFunctions!$H$14</f>
        <v>0</v>
      </c>
      <c r="N23" s="79">
        <f>Inputs!$F$8*$A$13*HelperFunctions!$H13</f>
        <v>0</v>
      </c>
      <c r="O23" s="79">
        <f>Inputs!$F$8*$A$14*HelperFunctions!$H12</f>
        <v>0</v>
      </c>
      <c r="P23" s="79">
        <f>Inputs!$F$8*$A$15*HelperFunctions!$H25</f>
        <v>0</v>
      </c>
      <c r="Q23" s="79">
        <f>Inputs!$F$8*$A$16*HelperFunctions!$H24</f>
        <v>0</v>
      </c>
      <c r="R23" s="79">
        <f>Inputs!$F$8*$A$17*HelperFunctions!$H23</f>
        <v>0</v>
      </c>
      <c r="S23" s="79">
        <f>Inputs!$F$8*$A$18*HelperFunctions!$H22</f>
        <v>0</v>
      </c>
      <c r="T23" s="79">
        <f>Inputs!$F$8*$A$19*HelperFunctions!$H21</f>
        <v>0</v>
      </c>
      <c r="U23" s="79">
        <f>Inputs!$F$8*$A$20*HelperFunctions!$H20</f>
        <v>0</v>
      </c>
      <c r="V23" s="79">
        <f>Inputs!$F$8*$A$21*HelperFunctions!$H19</f>
        <v>0</v>
      </c>
      <c r="W23" s="79">
        <f>Inputs!$F$8*$A$22*HelperFunctions!$H18</f>
        <v>0</v>
      </c>
      <c r="X23" s="79">
        <f>Inputs!$F$8*$A$23*HelperFunctions!$H17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1:63" x14ac:dyDescent="0.35">
      <c r="A24" s="84"/>
      <c r="B24" s="87">
        <v>1</v>
      </c>
      <c r="C24" s="79">
        <f>Inputs!I45</f>
        <v>0</v>
      </c>
      <c r="D24" s="79">
        <f>Inputs!$F$8*$A$3*HelperFunctions!H$14</f>
        <v>0</v>
      </c>
      <c r="E24" s="79">
        <f>Inputs!$F$8*$A$4*HelperFunctions!$H$14</f>
        <v>0</v>
      </c>
      <c r="F24" s="79">
        <f>Inputs!$F$8*$A$5*HelperFunctions!$H$14</f>
        <v>0</v>
      </c>
      <c r="G24" s="79">
        <f>Inputs!$F$8*$A$6*HelperFunctions!$H$14</f>
        <v>0</v>
      </c>
      <c r="H24" s="79">
        <f>Inputs!$F$8*$A$7*HelperFunctions!$H$14</f>
        <v>0</v>
      </c>
      <c r="I24" s="79">
        <f>Inputs!$F$8*$A$8*HelperFunctions!$H$14</f>
        <v>0</v>
      </c>
      <c r="J24" s="79">
        <f>Inputs!$F$8*$A$9*HelperFunctions!$H$14</f>
        <v>0</v>
      </c>
      <c r="K24" s="79">
        <f>Inputs!$F$8*$A$10*HelperFunctions!$H$14</f>
        <v>0</v>
      </c>
      <c r="L24" s="79">
        <f>Inputs!$F$8*$A$11*HelperFunctions!$H$14</f>
        <v>0</v>
      </c>
      <c r="M24" s="79">
        <f>Inputs!$F$8*$A$12*HelperFunctions!$H$14</f>
        <v>0</v>
      </c>
      <c r="N24" s="79">
        <f>Inputs!$F$8*$A$13*HelperFunctions!$H$14</f>
        <v>0</v>
      </c>
      <c r="O24" s="79">
        <f>Inputs!$F$8*$A$14*HelperFunctions!$H13</f>
        <v>0</v>
      </c>
      <c r="P24" s="79">
        <f>Inputs!$F$8*$A$15*HelperFunctions!$H26</f>
        <v>0</v>
      </c>
      <c r="Q24" s="79">
        <f>Inputs!$F$8*$A$16*HelperFunctions!$H25</f>
        <v>0</v>
      </c>
      <c r="R24" s="79">
        <f>Inputs!$F$8*$A$17*HelperFunctions!$H24</f>
        <v>0</v>
      </c>
      <c r="S24" s="79">
        <f>Inputs!$F$8*$A$18*HelperFunctions!$H23</f>
        <v>0</v>
      </c>
      <c r="T24" s="79">
        <f>Inputs!$F$8*$A$19*HelperFunctions!$H22</f>
        <v>0</v>
      </c>
      <c r="U24" s="79">
        <f>Inputs!$F$8*$A$20*HelperFunctions!$H21</f>
        <v>0</v>
      </c>
      <c r="V24" s="79">
        <f>Inputs!$F$8*$A$21*HelperFunctions!$H20</f>
        <v>0</v>
      </c>
      <c r="W24" s="79">
        <f>Inputs!$F$8*$A$22*HelperFunctions!$H19</f>
        <v>0</v>
      </c>
      <c r="X24" s="79">
        <f>Inputs!$F$8*$A$23*HelperFunctions!$H18</f>
        <v>0</v>
      </c>
      <c r="Y24" s="79">
        <f>Inputs!$F$8*$A$24*HelperFunctions!$H17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1:63" x14ac:dyDescent="0.35">
      <c r="A25" s="84"/>
      <c r="B25" s="87">
        <v>1</v>
      </c>
      <c r="C25" s="79">
        <f>Inputs!I46</f>
        <v>0</v>
      </c>
      <c r="D25" s="79">
        <f>Inputs!$F$8*$A$3*HelperFunctions!H$14</f>
        <v>0</v>
      </c>
      <c r="E25" s="79">
        <f>Inputs!$F$8*$A$4*HelperFunctions!$H$14</f>
        <v>0</v>
      </c>
      <c r="F25" s="79">
        <f>Inputs!$F$8*$A$5*HelperFunctions!$H$14</f>
        <v>0</v>
      </c>
      <c r="G25" s="79">
        <f>Inputs!$F$8*$A$6*HelperFunctions!$H$14</f>
        <v>0</v>
      </c>
      <c r="H25" s="79">
        <f>Inputs!$F$8*$A$7*HelperFunctions!$H$14</f>
        <v>0</v>
      </c>
      <c r="I25" s="79">
        <f>Inputs!$F$8*$A$8*HelperFunctions!$H$14</f>
        <v>0</v>
      </c>
      <c r="J25" s="79">
        <f>Inputs!$F$8*$A$9*HelperFunctions!$H$14</f>
        <v>0</v>
      </c>
      <c r="K25" s="79">
        <f>Inputs!$F$8*$A$10*HelperFunctions!$H$14</f>
        <v>0</v>
      </c>
      <c r="L25" s="79">
        <f>Inputs!$F$8*$A$11*HelperFunctions!$H$14</f>
        <v>0</v>
      </c>
      <c r="M25" s="79">
        <f>Inputs!$F$8*$A$12*HelperFunctions!$H$14</f>
        <v>0</v>
      </c>
      <c r="N25" s="79">
        <f>Inputs!$F$8*$A$13*HelperFunctions!$H$14</f>
        <v>0</v>
      </c>
      <c r="O25" s="79">
        <f>Inputs!$F$8*$A$14*HelperFunctions!$H$14</f>
        <v>0</v>
      </c>
      <c r="P25" s="79">
        <f>Inputs!$F$8*$A$15*HelperFunctions!$H27</f>
        <v>0</v>
      </c>
      <c r="Q25" s="79">
        <f>Inputs!$F$8*$A$16*HelperFunctions!$H26</f>
        <v>0</v>
      </c>
      <c r="R25" s="79">
        <f>Inputs!$F$8*$A$17*HelperFunctions!$H25</f>
        <v>0</v>
      </c>
      <c r="S25" s="79">
        <f>Inputs!$F$8*$A$18*HelperFunctions!$H24</f>
        <v>0</v>
      </c>
      <c r="T25" s="79">
        <f>Inputs!$F$8*$A$19*HelperFunctions!$H23</f>
        <v>0</v>
      </c>
      <c r="U25" s="79">
        <f>Inputs!$F$8*$A$20*HelperFunctions!$H22</f>
        <v>0</v>
      </c>
      <c r="V25" s="79">
        <f>Inputs!$F$8*$A$21*HelperFunctions!$H21</f>
        <v>0</v>
      </c>
      <c r="W25" s="79">
        <f>Inputs!$F$8*$A$22*HelperFunctions!$H20</f>
        <v>0</v>
      </c>
      <c r="X25" s="79">
        <f>Inputs!$F$8*$A$23*HelperFunctions!$H19</f>
        <v>0</v>
      </c>
      <c r="Y25" s="79">
        <f>Inputs!$F$8*$A$24*HelperFunctions!$H18</f>
        <v>0</v>
      </c>
      <c r="Z25" s="79">
        <f>Inputs!$F$8*$A$25*HelperFunctions!$H17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1:63" ht="15.75" customHeight="1" x14ac:dyDescent="0.35">
      <c r="A26" s="84"/>
      <c r="B26" s="88">
        <v>1</v>
      </c>
      <c r="C26" s="89">
        <f>Inputs!I47</f>
        <v>0</v>
      </c>
      <c r="D26" s="89">
        <f>Inputs!$F$8*$A$3*HelperFunctions!H$14</f>
        <v>0</v>
      </c>
      <c r="E26" s="89">
        <f>Inputs!$F$8*$A$4*HelperFunctions!$H$14</f>
        <v>0</v>
      </c>
      <c r="F26" s="89">
        <f>Inputs!$F$8*$A$5*HelperFunctions!$H$14</f>
        <v>0</v>
      </c>
      <c r="G26" s="89">
        <f>Inputs!$F$8*$A$6*HelperFunctions!$H$14</f>
        <v>0</v>
      </c>
      <c r="H26" s="89">
        <f>Inputs!$F$8*$A$7*HelperFunctions!$H$14</f>
        <v>0</v>
      </c>
      <c r="I26" s="89">
        <f>Inputs!$F$8*$A$8*HelperFunctions!$H$14</f>
        <v>0</v>
      </c>
      <c r="J26" s="89">
        <f>Inputs!$F$8*$A$9*HelperFunctions!$H$14</f>
        <v>0</v>
      </c>
      <c r="K26" s="89">
        <f>Inputs!$F$8*$A$10*HelperFunctions!$H$14</f>
        <v>0</v>
      </c>
      <c r="L26" s="89">
        <f>Inputs!$F$8*$A$11*HelperFunctions!$H$14</f>
        <v>0</v>
      </c>
      <c r="M26" s="89">
        <f>Inputs!$F$8*$A$12*HelperFunctions!$H$14</f>
        <v>0</v>
      </c>
      <c r="N26" s="89">
        <f>Inputs!$F$8*$A$13*HelperFunctions!$H$14</f>
        <v>0</v>
      </c>
      <c r="O26" s="89">
        <f>Inputs!$F$8*$A$14*HelperFunctions!$H$14</f>
        <v>0</v>
      </c>
      <c r="P26" s="89">
        <f>Inputs!$F$8*$A$15*HelperFunctions!$H$28</f>
        <v>0</v>
      </c>
      <c r="Q26" s="89">
        <f>Inputs!$F$8*$A$16*HelperFunctions!$H27</f>
        <v>0</v>
      </c>
      <c r="R26" s="89">
        <f>Inputs!$F$8*$A$17*HelperFunctions!$H26</f>
        <v>0</v>
      </c>
      <c r="S26" s="89">
        <f>Inputs!$F$8*$A$18*HelperFunctions!$H25</f>
        <v>0</v>
      </c>
      <c r="T26" s="89">
        <f>Inputs!$F$8*$A$19*HelperFunctions!$H24</f>
        <v>0</v>
      </c>
      <c r="U26" s="89">
        <f>Inputs!$F$8*$A$20*HelperFunctions!$H23</f>
        <v>0</v>
      </c>
      <c r="V26" s="89">
        <f>Inputs!$F$8*$A$21*HelperFunctions!$H22</f>
        <v>0</v>
      </c>
      <c r="W26" s="89">
        <f>Inputs!$F$8*$A$22*HelperFunctions!$H21</f>
        <v>0</v>
      </c>
      <c r="X26" s="89">
        <f>Inputs!$F$8*$A$23*HelperFunctions!$H20</f>
        <v>0</v>
      </c>
      <c r="Y26" s="89">
        <f>Inputs!$F$8*$A$24*HelperFunctions!$H19</f>
        <v>0</v>
      </c>
      <c r="Z26" s="89">
        <f>Inputs!$F$8*$A$25*HelperFunctions!$H18</f>
        <v>0</v>
      </c>
      <c r="AA26" s="90">
        <f>Inputs!$F$8*$A$26*HelperFunctions!$H17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1:63" x14ac:dyDescent="0.35">
      <c r="A27" s="84"/>
      <c r="B27" s="87">
        <v>2</v>
      </c>
      <c r="C27" s="79" t="str">
        <f>Inputs!I48</f>
        <v/>
      </c>
      <c r="D27" s="79">
        <f>Inputs!$F$8*$A$3*HelperFunctions!H$14</f>
        <v>0</v>
      </c>
      <c r="E27" s="79">
        <f>Inputs!$F$8*$A$4*HelperFunctions!$H$14</f>
        <v>0</v>
      </c>
      <c r="F27" s="79">
        <f>Inputs!$F$8*$A$5*HelperFunctions!$H$14</f>
        <v>0</v>
      </c>
      <c r="G27" s="79">
        <f>Inputs!$F$8*$A$6*HelperFunctions!$H$14</f>
        <v>0</v>
      </c>
      <c r="H27" s="79">
        <f>Inputs!$F$8*$A$7*HelperFunctions!$H$14</f>
        <v>0</v>
      </c>
      <c r="I27" s="79">
        <f>Inputs!$F$8*$A$8*HelperFunctions!$H$14</f>
        <v>0</v>
      </c>
      <c r="J27" s="79">
        <f>Inputs!$F$8*$A$9*HelperFunctions!$H$14</f>
        <v>0</v>
      </c>
      <c r="K27" s="79">
        <f>Inputs!$F$8*$A$10*HelperFunctions!$H$14</f>
        <v>0</v>
      </c>
      <c r="L27" s="79">
        <f>Inputs!$F$8*$A$11*HelperFunctions!$H$14</f>
        <v>0</v>
      </c>
      <c r="M27" s="79">
        <f>Inputs!$F$8*$A$12*HelperFunctions!$H$14</f>
        <v>0</v>
      </c>
      <c r="N27" s="79">
        <f>Inputs!$F$8*$A$13*HelperFunctions!$H$14</f>
        <v>0</v>
      </c>
      <c r="O27" s="79">
        <f>Inputs!$F$8*$A$14*HelperFunctions!$H$14</f>
        <v>0</v>
      </c>
      <c r="P27" s="79">
        <f>Inputs!$F$8*$A$15*HelperFunctions!$H$28</f>
        <v>0</v>
      </c>
      <c r="Q27" s="79">
        <f>Inputs!$F$8*$A$16*HelperFunctions!$H$28</f>
        <v>0</v>
      </c>
      <c r="R27" s="79">
        <f>Inputs!$F$8*$A$17*HelperFunctions!$H27</f>
        <v>0</v>
      </c>
      <c r="S27" s="79">
        <f>Inputs!$F$8*$A$18*HelperFunctions!$H26</f>
        <v>0</v>
      </c>
      <c r="T27" s="79">
        <f>Inputs!$F$8*$A$19*HelperFunctions!$H25</f>
        <v>0</v>
      </c>
      <c r="U27" s="79">
        <f>Inputs!$F$8*$A$20*HelperFunctions!$H24</f>
        <v>0</v>
      </c>
      <c r="V27" s="79">
        <f>Inputs!$F$8*$A$21*HelperFunctions!$H23</f>
        <v>0</v>
      </c>
      <c r="W27" s="79">
        <f>Inputs!$F$8*$A$22*HelperFunctions!$H22</f>
        <v>0</v>
      </c>
      <c r="X27" s="79">
        <f>Inputs!$F$8*$A$23*HelperFunctions!$H21</f>
        <v>0</v>
      </c>
      <c r="Y27" s="79">
        <f>Inputs!$F$8*$A$24*HelperFunctions!$H20</f>
        <v>0</v>
      </c>
      <c r="Z27" s="79">
        <f>Inputs!$F$8*$A$25*HelperFunctions!$H19</f>
        <v>0</v>
      </c>
      <c r="AA27" s="79">
        <f>Inputs!$F$8*$A$26*HelperFunctions!$H18</f>
        <v>0</v>
      </c>
      <c r="AB27" s="79">
        <f>Inputs!$F$8*$A$27*HelperFunctions!$H31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1:63" x14ac:dyDescent="0.35">
      <c r="A28" s="84"/>
      <c r="B28" s="87">
        <v>2</v>
      </c>
      <c r="C28" s="79" t="str">
        <f>Inputs!I49</f>
        <v/>
      </c>
      <c r="D28" s="79">
        <f>Inputs!$F$8*$A$3*HelperFunctions!H$14</f>
        <v>0</v>
      </c>
      <c r="E28" s="79">
        <f>Inputs!$F$8*$A$4*HelperFunctions!$H$14</f>
        <v>0</v>
      </c>
      <c r="F28" s="79">
        <f>Inputs!$F$8*$A$5*HelperFunctions!$H$14</f>
        <v>0</v>
      </c>
      <c r="G28" s="79">
        <f>Inputs!$F$8*$A$6*HelperFunctions!$H$14</f>
        <v>0</v>
      </c>
      <c r="H28" s="79">
        <f>Inputs!$F$8*$A$7*HelperFunctions!$H$14</f>
        <v>0</v>
      </c>
      <c r="I28" s="79">
        <f>Inputs!$F$8*$A$8*HelperFunctions!$H$14</f>
        <v>0</v>
      </c>
      <c r="J28" s="79">
        <f>Inputs!$F$8*$A$9*HelperFunctions!$H$14</f>
        <v>0</v>
      </c>
      <c r="K28" s="79">
        <f>Inputs!$F$8*$A$10*HelperFunctions!$H$14</f>
        <v>0</v>
      </c>
      <c r="L28" s="79">
        <f>Inputs!$F$8*$A$11*HelperFunctions!$H$14</f>
        <v>0</v>
      </c>
      <c r="M28" s="79">
        <f>Inputs!$F$8*$A$12*HelperFunctions!$H$14</f>
        <v>0</v>
      </c>
      <c r="N28" s="79">
        <f>Inputs!$F$8*$A$13*HelperFunctions!$H$14</f>
        <v>0</v>
      </c>
      <c r="O28" s="79">
        <f>Inputs!$F$8*$A$14*HelperFunctions!$H$14</f>
        <v>0</v>
      </c>
      <c r="P28" s="79">
        <f>Inputs!$F$8*$A$15*HelperFunctions!$H$28</f>
        <v>0</v>
      </c>
      <c r="Q28" s="79">
        <f>Inputs!$F$8*$A$16*HelperFunctions!$H$28</f>
        <v>0</v>
      </c>
      <c r="R28" s="79">
        <f>Inputs!$F$8*$A$17*HelperFunctions!$H$28</f>
        <v>0</v>
      </c>
      <c r="S28" s="79">
        <f>Inputs!$F$8*$A$18*HelperFunctions!$H27</f>
        <v>0</v>
      </c>
      <c r="T28" s="79">
        <f>Inputs!$F$8*$A$19*HelperFunctions!$H26</f>
        <v>0</v>
      </c>
      <c r="U28" s="79">
        <f>Inputs!$F$8*$A$20*HelperFunctions!$H25</f>
        <v>0</v>
      </c>
      <c r="V28" s="79">
        <f>Inputs!$F$8*$A$21*HelperFunctions!$H24</f>
        <v>0</v>
      </c>
      <c r="W28" s="79">
        <f>Inputs!$F$8*$A$22*HelperFunctions!$H23</f>
        <v>0</v>
      </c>
      <c r="X28" s="79">
        <f>Inputs!$F$8*$A$23*HelperFunctions!$H22</f>
        <v>0</v>
      </c>
      <c r="Y28" s="79">
        <f>Inputs!$F$8*$A$24*HelperFunctions!$H21</f>
        <v>0</v>
      </c>
      <c r="Z28" s="79">
        <f>Inputs!$F$8*$A$25*HelperFunctions!$H20</f>
        <v>0</v>
      </c>
      <c r="AA28" s="79">
        <f>Inputs!$F$8*$A$26*HelperFunctions!$H19</f>
        <v>0</v>
      </c>
      <c r="AB28" s="79">
        <f>Inputs!$F$8*$A$27*HelperFunctions!$H32</f>
        <v>0</v>
      </c>
      <c r="AC28" s="79">
        <f>Inputs!$F$8*$A$28*HelperFunctions!$H31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1:63" x14ac:dyDescent="0.35">
      <c r="A29" s="84"/>
      <c r="B29" s="87">
        <v>2</v>
      </c>
      <c r="C29" s="79" t="str">
        <f>Inputs!I50</f>
        <v/>
      </c>
      <c r="D29" s="79">
        <f>Inputs!$F$8*$A$3*HelperFunctions!H$14</f>
        <v>0</v>
      </c>
      <c r="E29" s="79">
        <f>Inputs!$F$8*$A$4*HelperFunctions!$H$14</f>
        <v>0</v>
      </c>
      <c r="F29" s="79">
        <f>Inputs!$F$8*$A$5*HelperFunctions!$H$14</f>
        <v>0</v>
      </c>
      <c r="G29" s="79">
        <f>Inputs!$F$8*$A$6*HelperFunctions!$H$14</f>
        <v>0</v>
      </c>
      <c r="H29" s="79">
        <f>Inputs!$F$8*$A$7*HelperFunctions!$H$14</f>
        <v>0</v>
      </c>
      <c r="I29" s="79">
        <f>Inputs!$F$8*$A$8*HelperFunctions!$H$14</f>
        <v>0</v>
      </c>
      <c r="J29" s="79">
        <f>Inputs!$F$8*$A$9*HelperFunctions!$H$14</f>
        <v>0</v>
      </c>
      <c r="K29" s="79">
        <f>Inputs!$F$8*$A$10*HelperFunctions!$H$14</f>
        <v>0</v>
      </c>
      <c r="L29" s="79">
        <f>Inputs!$F$8*$A$11*HelperFunctions!$H$14</f>
        <v>0</v>
      </c>
      <c r="M29" s="79">
        <f>Inputs!$F$8*$A$12*HelperFunctions!$H$14</f>
        <v>0</v>
      </c>
      <c r="N29" s="79">
        <f>Inputs!$F$8*$A$13*HelperFunctions!$H$14</f>
        <v>0</v>
      </c>
      <c r="O29" s="79">
        <f>Inputs!$F$8*$A$14*HelperFunctions!$H$14</f>
        <v>0</v>
      </c>
      <c r="P29" s="79">
        <f>Inputs!$F$8*$A$15*HelperFunctions!$H$28</f>
        <v>0</v>
      </c>
      <c r="Q29" s="79">
        <f>Inputs!$F$8*$A$16*HelperFunctions!$H$28</f>
        <v>0</v>
      </c>
      <c r="R29" s="79">
        <f>Inputs!$F$8*$A$17*HelperFunctions!$H$28</f>
        <v>0</v>
      </c>
      <c r="S29" s="79">
        <f>Inputs!$F$8*$A$18*HelperFunctions!$H$28</f>
        <v>0</v>
      </c>
      <c r="T29" s="79">
        <f>Inputs!$F$8*$A$19*HelperFunctions!$H27</f>
        <v>0</v>
      </c>
      <c r="U29" s="79">
        <f>Inputs!$F$8*$A$20*HelperFunctions!$H26</f>
        <v>0</v>
      </c>
      <c r="V29" s="79">
        <f>Inputs!$F$8*$A$21*HelperFunctions!$H25</f>
        <v>0</v>
      </c>
      <c r="W29" s="79">
        <f>Inputs!$F$8*$A$22*HelperFunctions!$H24</f>
        <v>0</v>
      </c>
      <c r="X29" s="79">
        <f>Inputs!$F$8*$A$23*HelperFunctions!$H23</f>
        <v>0</v>
      </c>
      <c r="Y29" s="79">
        <f>Inputs!$F$8*$A$24*HelperFunctions!$H22</f>
        <v>0</v>
      </c>
      <c r="Z29" s="79">
        <f>Inputs!$F$8*$A$25*HelperFunctions!$H21</f>
        <v>0</v>
      </c>
      <c r="AA29" s="79">
        <f>Inputs!$F$8*$A$26*HelperFunctions!$H20</f>
        <v>0</v>
      </c>
      <c r="AB29" s="79">
        <f>Inputs!$F$8*$A$27*HelperFunctions!$H33</f>
        <v>0</v>
      </c>
      <c r="AC29" s="79">
        <f>Inputs!$F$8*$A$28*HelperFunctions!$H32</f>
        <v>0</v>
      </c>
      <c r="AD29" s="79">
        <f>Inputs!$F$8*$A$29*HelperFunctions!$H31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1:63" x14ac:dyDescent="0.35">
      <c r="A30" s="84"/>
      <c r="B30" s="87">
        <v>2</v>
      </c>
      <c r="C30" s="79" t="str">
        <f>Inputs!I51</f>
        <v/>
      </c>
      <c r="D30" s="79">
        <f>Inputs!$F$8*$A$3*HelperFunctions!H$14</f>
        <v>0</v>
      </c>
      <c r="E30" s="79">
        <f>Inputs!$F$8*$A$4*HelperFunctions!$H$14</f>
        <v>0</v>
      </c>
      <c r="F30" s="79">
        <f>Inputs!$F$8*$A$5*HelperFunctions!$H$14</f>
        <v>0</v>
      </c>
      <c r="G30" s="79">
        <f>Inputs!$F$8*$A$6*HelperFunctions!$H$14</f>
        <v>0</v>
      </c>
      <c r="H30" s="79">
        <f>Inputs!$F$8*$A$7*HelperFunctions!$H$14</f>
        <v>0</v>
      </c>
      <c r="I30" s="79">
        <f>Inputs!$F$8*$A$8*HelperFunctions!$H$14</f>
        <v>0</v>
      </c>
      <c r="J30" s="79">
        <f>Inputs!$F$8*$A$9*HelperFunctions!$H$14</f>
        <v>0</v>
      </c>
      <c r="K30" s="79">
        <f>Inputs!$F$8*$A$10*HelperFunctions!$H$14</f>
        <v>0</v>
      </c>
      <c r="L30" s="79">
        <f>Inputs!$F$8*$A$11*HelperFunctions!$H$14</f>
        <v>0</v>
      </c>
      <c r="M30" s="79">
        <f>Inputs!$F$8*$A$12*HelperFunctions!$H$14</f>
        <v>0</v>
      </c>
      <c r="N30" s="79">
        <f>Inputs!$F$8*$A$13*HelperFunctions!$H$14</f>
        <v>0</v>
      </c>
      <c r="O30" s="79">
        <f>Inputs!$F$8*$A$14*HelperFunctions!$H$14</f>
        <v>0</v>
      </c>
      <c r="P30" s="79">
        <f>Inputs!$F$8*$A$15*HelperFunctions!$H$28</f>
        <v>0</v>
      </c>
      <c r="Q30" s="79">
        <f>Inputs!$F$8*$A$16*HelperFunctions!$H$28</f>
        <v>0</v>
      </c>
      <c r="R30" s="79">
        <f>Inputs!$F$8*$A$17*HelperFunctions!$H$28</f>
        <v>0</v>
      </c>
      <c r="S30" s="79">
        <f>Inputs!$F$8*$A$18*HelperFunctions!$H$28</f>
        <v>0</v>
      </c>
      <c r="T30" s="79">
        <f>Inputs!$F$8*$A$19*HelperFunctions!$H$28</f>
        <v>0</v>
      </c>
      <c r="U30" s="79">
        <f>Inputs!$F$8*$A$20*HelperFunctions!$H27</f>
        <v>0</v>
      </c>
      <c r="V30" s="79">
        <f>Inputs!$F$8*$A$21*HelperFunctions!$H26</f>
        <v>0</v>
      </c>
      <c r="W30" s="79">
        <f>Inputs!$F$8*$A$22*HelperFunctions!$H25</f>
        <v>0</v>
      </c>
      <c r="X30" s="79">
        <f>Inputs!$F$8*$A$23*HelperFunctions!$H24</f>
        <v>0</v>
      </c>
      <c r="Y30" s="79">
        <f>Inputs!$F$8*$A$24*HelperFunctions!$H23</f>
        <v>0</v>
      </c>
      <c r="Z30" s="79">
        <f>Inputs!$F$8*$A$25*HelperFunctions!$H22</f>
        <v>0</v>
      </c>
      <c r="AA30" s="79">
        <f>Inputs!$F$8*$A$26*HelperFunctions!$H21</f>
        <v>0</v>
      </c>
      <c r="AB30" s="79">
        <f>Inputs!$F$8*$A$27*HelperFunctions!$H34</f>
        <v>0</v>
      </c>
      <c r="AC30" s="79">
        <f>Inputs!$F$8*$A$28*HelperFunctions!$H33</f>
        <v>0</v>
      </c>
      <c r="AD30" s="79">
        <f>Inputs!$F$8*$A$29*HelperFunctions!$H32</f>
        <v>0</v>
      </c>
      <c r="AE30" s="79">
        <f>Inputs!$F$8*$A$30*HelperFunctions!$H31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1:63" x14ac:dyDescent="0.35">
      <c r="A31" s="84"/>
      <c r="B31" s="87">
        <v>2</v>
      </c>
      <c r="C31" s="79" t="str">
        <f>Inputs!I52</f>
        <v/>
      </c>
      <c r="D31" s="79">
        <f>Inputs!$F$8*$A$3*HelperFunctions!H$14</f>
        <v>0</v>
      </c>
      <c r="E31" s="79">
        <f>Inputs!$F$8*$A$4*HelperFunctions!$H$14</f>
        <v>0</v>
      </c>
      <c r="F31" s="79">
        <f>Inputs!$F$8*$A$5*HelperFunctions!$H$14</f>
        <v>0</v>
      </c>
      <c r="G31" s="79">
        <f>Inputs!$F$8*$A$6*HelperFunctions!$H$14</f>
        <v>0</v>
      </c>
      <c r="H31" s="79">
        <f>Inputs!$F$8*$A$7*HelperFunctions!$H$14</f>
        <v>0</v>
      </c>
      <c r="I31" s="79">
        <f>Inputs!$F$8*$A$8*HelperFunctions!$H$14</f>
        <v>0</v>
      </c>
      <c r="J31" s="79">
        <f>Inputs!$F$8*$A$9*HelperFunctions!$H$14</f>
        <v>0</v>
      </c>
      <c r="K31" s="79">
        <f>Inputs!$F$8*$A$10*HelperFunctions!$H$14</f>
        <v>0</v>
      </c>
      <c r="L31" s="79">
        <f>Inputs!$F$8*$A$11*HelperFunctions!$H$14</f>
        <v>0</v>
      </c>
      <c r="M31" s="79">
        <f>Inputs!$F$8*$A$12*HelperFunctions!$H$14</f>
        <v>0</v>
      </c>
      <c r="N31" s="79">
        <f>Inputs!$F$8*$A$13*HelperFunctions!$H$14</f>
        <v>0</v>
      </c>
      <c r="O31" s="79">
        <f>Inputs!$F$8*$A$14*HelperFunctions!$H$14</f>
        <v>0</v>
      </c>
      <c r="P31" s="79">
        <f>Inputs!$F$8*$A$15*HelperFunctions!$H$28</f>
        <v>0</v>
      </c>
      <c r="Q31" s="79">
        <f>Inputs!$F$8*$A$16*HelperFunctions!$H$28</f>
        <v>0</v>
      </c>
      <c r="R31" s="79">
        <f>Inputs!$F$8*$A$17*HelperFunctions!$H$28</f>
        <v>0</v>
      </c>
      <c r="S31" s="79">
        <f>Inputs!$F$8*$A$18*HelperFunctions!$H$28</f>
        <v>0</v>
      </c>
      <c r="T31" s="79">
        <f>Inputs!$F$8*$A$19*HelperFunctions!$H$28</f>
        <v>0</v>
      </c>
      <c r="U31" s="79">
        <f>Inputs!$F$8*$A$20*HelperFunctions!$H$28</f>
        <v>0</v>
      </c>
      <c r="V31" s="79">
        <f>Inputs!$F$8*$A$21*HelperFunctions!$H27</f>
        <v>0</v>
      </c>
      <c r="W31" s="79">
        <f>Inputs!$F$8*$A$22*HelperFunctions!$H26</f>
        <v>0</v>
      </c>
      <c r="X31" s="79">
        <f>Inputs!$F$8*$A$23*HelperFunctions!$H25</f>
        <v>0</v>
      </c>
      <c r="Y31" s="79">
        <f>Inputs!$F$8*$A$24*HelperFunctions!$H24</f>
        <v>0</v>
      </c>
      <c r="Z31" s="79">
        <f>Inputs!$F$8*$A$25*HelperFunctions!$H23</f>
        <v>0</v>
      </c>
      <c r="AA31" s="79">
        <f>Inputs!$F$8*$A$26*HelperFunctions!$H22</f>
        <v>0</v>
      </c>
      <c r="AB31" s="79">
        <f>Inputs!$F$8*$A$27*HelperFunctions!$H35</f>
        <v>0</v>
      </c>
      <c r="AC31" s="79">
        <f>Inputs!$F$8*$A$28*HelperFunctions!$H34</f>
        <v>0</v>
      </c>
      <c r="AD31" s="79">
        <f>Inputs!$F$8*$A$29*HelperFunctions!$H33</f>
        <v>0</v>
      </c>
      <c r="AE31" s="79">
        <f>Inputs!$F$8*$A$30*HelperFunctions!$H32</f>
        <v>0</v>
      </c>
      <c r="AF31" s="79">
        <f>Inputs!$F$8*$A$31*HelperFunctions!$H31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1:63" x14ac:dyDescent="0.35">
      <c r="A32" s="84"/>
      <c r="B32" s="87">
        <v>2</v>
      </c>
      <c r="C32" s="79" t="str">
        <f>Inputs!I53</f>
        <v/>
      </c>
      <c r="D32" s="79">
        <f>Inputs!$F$8*$A$3*HelperFunctions!H$14</f>
        <v>0</v>
      </c>
      <c r="E32" s="79">
        <f>Inputs!$F$8*$A$4*HelperFunctions!$H$14</f>
        <v>0</v>
      </c>
      <c r="F32" s="79">
        <f>Inputs!$F$8*$A$5*HelperFunctions!$H$14</f>
        <v>0</v>
      </c>
      <c r="G32" s="79">
        <f>Inputs!$F$8*$A$6*HelperFunctions!$H$14</f>
        <v>0</v>
      </c>
      <c r="H32" s="79">
        <f>Inputs!$F$8*$A$7*HelperFunctions!$H$14</f>
        <v>0</v>
      </c>
      <c r="I32" s="79">
        <f>Inputs!$F$8*$A$8*HelperFunctions!$H$14</f>
        <v>0</v>
      </c>
      <c r="J32" s="79">
        <f>Inputs!$F$8*$A$9*HelperFunctions!$H$14</f>
        <v>0</v>
      </c>
      <c r="K32" s="79">
        <f>Inputs!$F$8*$A$10*HelperFunctions!$H$14</f>
        <v>0</v>
      </c>
      <c r="L32" s="79">
        <f>Inputs!$F$8*$A$11*HelperFunctions!$H$14</f>
        <v>0</v>
      </c>
      <c r="M32" s="79">
        <f>Inputs!$F$8*$A$12*HelperFunctions!$H$14</f>
        <v>0</v>
      </c>
      <c r="N32" s="79">
        <f>Inputs!$F$8*$A$13*HelperFunctions!$H$14</f>
        <v>0</v>
      </c>
      <c r="O32" s="79">
        <f>Inputs!$F$8*$A$14*HelperFunctions!$H$14</f>
        <v>0</v>
      </c>
      <c r="P32" s="79">
        <f>Inputs!$F$8*$A$15*HelperFunctions!$H$28</f>
        <v>0</v>
      </c>
      <c r="Q32" s="79">
        <f>Inputs!$F$8*$A$16*HelperFunctions!$H$28</f>
        <v>0</v>
      </c>
      <c r="R32" s="79">
        <f>Inputs!$F$8*$A$17*HelperFunctions!$H$28</f>
        <v>0</v>
      </c>
      <c r="S32" s="79">
        <f>Inputs!$F$8*$A$18*HelperFunctions!$H$28</f>
        <v>0</v>
      </c>
      <c r="T32" s="79">
        <f>Inputs!$F$8*$A$19*HelperFunctions!$H$28</f>
        <v>0</v>
      </c>
      <c r="U32" s="79">
        <f>Inputs!$F$8*$A$20*HelperFunctions!$H$28</f>
        <v>0</v>
      </c>
      <c r="V32" s="79">
        <f>Inputs!$F$8*$A$21*HelperFunctions!$H$28</f>
        <v>0</v>
      </c>
      <c r="W32" s="79">
        <f>Inputs!$F$8*$A$22*HelperFunctions!$H27</f>
        <v>0</v>
      </c>
      <c r="X32" s="79">
        <f>Inputs!$F$8*$A$23*HelperFunctions!$H26</f>
        <v>0</v>
      </c>
      <c r="Y32" s="79">
        <f>Inputs!$F$8*$A$24*HelperFunctions!$H25</f>
        <v>0</v>
      </c>
      <c r="Z32" s="79">
        <f>Inputs!$F$8*$A$25*HelperFunctions!$H24</f>
        <v>0</v>
      </c>
      <c r="AA32" s="79">
        <f>Inputs!$F$8*$A$26*HelperFunctions!$H23</f>
        <v>0</v>
      </c>
      <c r="AB32" s="79">
        <f>Inputs!$F$8*$A$27*HelperFunctions!$H36</f>
        <v>0</v>
      </c>
      <c r="AC32" s="79">
        <f>Inputs!$F$8*$A$28*HelperFunctions!$H35</f>
        <v>0</v>
      </c>
      <c r="AD32" s="79">
        <f>Inputs!$F$8*$A$29*HelperFunctions!$H34</f>
        <v>0</v>
      </c>
      <c r="AE32" s="79">
        <f>Inputs!$F$8*$A$30*HelperFunctions!$H33</f>
        <v>0</v>
      </c>
      <c r="AF32" s="79">
        <f>Inputs!$F$8*$A$31*HelperFunctions!$H32</f>
        <v>0</v>
      </c>
      <c r="AG32" s="79">
        <f>Inputs!$F$8*$A$32*HelperFunctions!$H31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1:63" x14ac:dyDescent="0.35">
      <c r="A33" s="84"/>
      <c r="B33" s="87">
        <v>2</v>
      </c>
      <c r="C33" s="79" t="str">
        <f>Inputs!I54</f>
        <v/>
      </c>
      <c r="D33" s="79">
        <f>Inputs!$F$8*$A$3*HelperFunctions!H$14</f>
        <v>0</v>
      </c>
      <c r="E33" s="79">
        <f>Inputs!$F$8*$A$4*HelperFunctions!$H$14</f>
        <v>0</v>
      </c>
      <c r="F33" s="79">
        <f>Inputs!$F$8*$A$5*HelperFunctions!$H$14</f>
        <v>0</v>
      </c>
      <c r="G33" s="79">
        <f>Inputs!$F$8*$A$6*HelperFunctions!$H$14</f>
        <v>0</v>
      </c>
      <c r="H33" s="79">
        <f>Inputs!$F$8*$A$7*HelperFunctions!$H$14</f>
        <v>0</v>
      </c>
      <c r="I33" s="79">
        <f>Inputs!$F$8*$A$8*HelperFunctions!$H$14</f>
        <v>0</v>
      </c>
      <c r="J33" s="79">
        <f>Inputs!$F$8*$A$9*HelperFunctions!$H$14</f>
        <v>0</v>
      </c>
      <c r="K33" s="79">
        <f>Inputs!$F$8*$A$10*HelperFunctions!$H$14</f>
        <v>0</v>
      </c>
      <c r="L33" s="79">
        <f>Inputs!$F$8*$A$11*HelperFunctions!$H$14</f>
        <v>0</v>
      </c>
      <c r="M33" s="79">
        <f>Inputs!$F$8*$A$12*HelperFunctions!$H$14</f>
        <v>0</v>
      </c>
      <c r="N33" s="79">
        <f>Inputs!$F$8*$A$13*HelperFunctions!$H$14</f>
        <v>0</v>
      </c>
      <c r="O33" s="79">
        <f>Inputs!$F$8*$A$14*HelperFunctions!$H$14</f>
        <v>0</v>
      </c>
      <c r="P33" s="79">
        <f>Inputs!$F$8*$A$15*HelperFunctions!$H$28</f>
        <v>0</v>
      </c>
      <c r="Q33" s="79">
        <f>Inputs!$F$8*$A$16*HelperFunctions!$H$28</f>
        <v>0</v>
      </c>
      <c r="R33" s="79">
        <f>Inputs!$F$8*$A$17*HelperFunctions!$H$28</f>
        <v>0</v>
      </c>
      <c r="S33" s="79">
        <f>Inputs!$F$8*$A$18*HelperFunctions!$H$28</f>
        <v>0</v>
      </c>
      <c r="T33" s="79">
        <f>Inputs!$F$8*$A$19*HelperFunctions!$H$28</f>
        <v>0</v>
      </c>
      <c r="U33" s="79">
        <f>Inputs!$F$8*$A$20*HelperFunctions!$H$28</f>
        <v>0</v>
      </c>
      <c r="V33" s="79">
        <f>Inputs!$F$8*$A$21*HelperFunctions!$H$28</f>
        <v>0</v>
      </c>
      <c r="W33" s="79">
        <f>Inputs!$F$8*$A$22*HelperFunctions!$H$28</f>
        <v>0</v>
      </c>
      <c r="X33" s="79">
        <f>Inputs!$F$8*$A$23*HelperFunctions!$H27</f>
        <v>0</v>
      </c>
      <c r="Y33" s="79">
        <f>Inputs!$F$8*$A$24*HelperFunctions!$H26</f>
        <v>0</v>
      </c>
      <c r="Z33" s="79">
        <f>Inputs!$F$8*$A$25*HelperFunctions!$H25</f>
        <v>0</v>
      </c>
      <c r="AA33" s="79">
        <f>Inputs!$F$8*$A$26*HelperFunctions!$H24</f>
        <v>0</v>
      </c>
      <c r="AB33" s="79">
        <f>Inputs!$F$8*$A$27*HelperFunctions!$H37</f>
        <v>0</v>
      </c>
      <c r="AC33" s="79">
        <f>Inputs!$F$8*$A$28*HelperFunctions!$H36</f>
        <v>0</v>
      </c>
      <c r="AD33" s="79">
        <f>Inputs!$F$8*$A$29*HelperFunctions!$H35</f>
        <v>0</v>
      </c>
      <c r="AE33" s="79">
        <f>Inputs!$F$8*$A$30*HelperFunctions!$H34</f>
        <v>0</v>
      </c>
      <c r="AF33" s="79">
        <f>Inputs!$F$8*$A$31*HelperFunctions!$H33</f>
        <v>0</v>
      </c>
      <c r="AG33" s="79">
        <f>Inputs!$F$8*$A$32*HelperFunctions!$H32</f>
        <v>0</v>
      </c>
      <c r="AH33" s="79">
        <f>Inputs!$F$8*$A$33*HelperFunctions!$H31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1:63" x14ac:dyDescent="0.35">
      <c r="A34" s="84"/>
      <c r="B34" s="87">
        <v>2</v>
      </c>
      <c r="C34" s="79" t="str">
        <f>Inputs!I55</f>
        <v/>
      </c>
      <c r="D34" s="79">
        <f>Inputs!$F$8*$A$3*HelperFunctions!H$14</f>
        <v>0</v>
      </c>
      <c r="E34" s="79">
        <f>Inputs!$F$8*$A$4*HelperFunctions!$H$14</f>
        <v>0</v>
      </c>
      <c r="F34" s="79">
        <f>Inputs!$F$8*$A$5*HelperFunctions!$H$14</f>
        <v>0</v>
      </c>
      <c r="G34" s="79">
        <f>Inputs!$F$8*$A$6*HelperFunctions!$H$14</f>
        <v>0</v>
      </c>
      <c r="H34" s="79">
        <f>Inputs!$F$8*$A$7*HelperFunctions!$H$14</f>
        <v>0</v>
      </c>
      <c r="I34" s="79">
        <f>Inputs!$F$8*$A$8*HelperFunctions!$H$14</f>
        <v>0</v>
      </c>
      <c r="J34" s="79">
        <f>Inputs!$F$8*$A$9*HelperFunctions!$H$14</f>
        <v>0</v>
      </c>
      <c r="K34" s="79">
        <f>Inputs!$F$8*$A$10*HelperFunctions!$H$14</f>
        <v>0</v>
      </c>
      <c r="L34" s="79">
        <f>Inputs!$F$8*$A$11*HelperFunctions!$H$14</f>
        <v>0</v>
      </c>
      <c r="M34" s="79">
        <f>Inputs!$F$8*$A$12*HelperFunctions!$H$14</f>
        <v>0</v>
      </c>
      <c r="N34" s="79">
        <f>Inputs!$F$8*$A$13*HelperFunctions!$H$14</f>
        <v>0</v>
      </c>
      <c r="O34" s="79">
        <f>Inputs!$F$8*$A$14*HelperFunctions!$H$14</f>
        <v>0</v>
      </c>
      <c r="P34" s="79">
        <f>Inputs!$F$8*$A$15*HelperFunctions!$H$28</f>
        <v>0</v>
      </c>
      <c r="Q34" s="79">
        <f>Inputs!$F$8*$A$16*HelperFunctions!$H$28</f>
        <v>0</v>
      </c>
      <c r="R34" s="79">
        <f>Inputs!$F$8*$A$17*HelperFunctions!$H$28</f>
        <v>0</v>
      </c>
      <c r="S34" s="79">
        <f>Inputs!$F$8*$A$18*HelperFunctions!$H$28</f>
        <v>0</v>
      </c>
      <c r="T34" s="79">
        <f>Inputs!$F$8*$A$19*HelperFunctions!$H$28</f>
        <v>0</v>
      </c>
      <c r="U34" s="79">
        <f>Inputs!$F$8*$A$20*HelperFunctions!$H$28</f>
        <v>0</v>
      </c>
      <c r="V34" s="79">
        <f>Inputs!$F$8*$A$21*HelperFunctions!$H$28</f>
        <v>0</v>
      </c>
      <c r="W34" s="79">
        <f>Inputs!$F$8*$A$22*HelperFunctions!$H$28</f>
        <v>0</v>
      </c>
      <c r="X34" s="79">
        <f>Inputs!$F$8*$A$23*HelperFunctions!$H$28</f>
        <v>0</v>
      </c>
      <c r="Y34" s="79">
        <f>Inputs!$F$8*$A$24*HelperFunctions!$H27</f>
        <v>0</v>
      </c>
      <c r="Z34" s="79">
        <f>Inputs!$F$8*$A$25*HelperFunctions!$H26</f>
        <v>0</v>
      </c>
      <c r="AA34" s="79">
        <f>Inputs!$F$8*$A$26*HelperFunctions!$H25</f>
        <v>0</v>
      </c>
      <c r="AB34" s="79">
        <f>Inputs!$F$8*$A$27*HelperFunctions!$H38</f>
        <v>0</v>
      </c>
      <c r="AC34" s="79">
        <f>Inputs!$F$8*$A$28*HelperFunctions!$H37</f>
        <v>0</v>
      </c>
      <c r="AD34" s="79">
        <f>Inputs!$F$8*$A$29*HelperFunctions!$H36</f>
        <v>0</v>
      </c>
      <c r="AE34" s="79">
        <f>Inputs!$F$8*$A$30*HelperFunctions!$H35</f>
        <v>0</v>
      </c>
      <c r="AF34" s="79">
        <f>Inputs!$F$8*$A$31*HelperFunctions!$H34</f>
        <v>0</v>
      </c>
      <c r="AG34" s="79">
        <f>Inputs!$F$8*$A$32*HelperFunctions!$H33</f>
        <v>0</v>
      </c>
      <c r="AH34" s="79">
        <f>Inputs!$F$8*$A$33*HelperFunctions!$H32</f>
        <v>0</v>
      </c>
      <c r="AI34" s="79">
        <f>Inputs!$F$8*$A$34*HelperFunctions!$H31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1:63" x14ac:dyDescent="0.35">
      <c r="A35" s="84"/>
      <c r="B35" s="87">
        <v>2</v>
      </c>
      <c r="C35" s="79" t="str">
        <f>Inputs!I56</f>
        <v/>
      </c>
      <c r="D35" s="79">
        <f>Inputs!$F$8*$A$3*HelperFunctions!H$14</f>
        <v>0</v>
      </c>
      <c r="E35" s="79">
        <f>Inputs!$F$8*$A$4*HelperFunctions!$H$14</f>
        <v>0</v>
      </c>
      <c r="F35" s="79">
        <f>Inputs!$F$8*$A$5*HelperFunctions!$H$14</f>
        <v>0</v>
      </c>
      <c r="G35" s="79">
        <f>Inputs!$F$8*$A$6*HelperFunctions!$H$14</f>
        <v>0</v>
      </c>
      <c r="H35" s="79">
        <f>Inputs!$F$8*$A$7*HelperFunctions!$H$14</f>
        <v>0</v>
      </c>
      <c r="I35" s="79">
        <f>Inputs!$F$8*$A$8*HelperFunctions!$H$14</f>
        <v>0</v>
      </c>
      <c r="J35" s="79">
        <f>Inputs!$F$8*$A$9*HelperFunctions!$H$14</f>
        <v>0</v>
      </c>
      <c r="K35" s="79">
        <f>Inputs!$F$8*$A$10*HelperFunctions!$H$14</f>
        <v>0</v>
      </c>
      <c r="L35" s="79">
        <f>Inputs!$F$8*$A$11*HelperFunctions!$H$14</f>
        <v>0</v>
      </c>
      <c r="M35" s="79">
        <f>Inputs!$F$8*$A$12*HelperFunctions!$H$14</f>
        <v>0</v>
      </c>
      <c r="N35" s="79">
        <f>Inputs!$F$8*$A$13*HelperFunctions!$H$14</f>
        <v>0</v>
      </c>
      <c r="O35" s="79">
        <f>Inputs!$F$8*$A$14*HelperFunctions!$H$14</f>
        <v>0</v>
      </c>
      <c r="P35" s="79">
        <f>Inputs!$F$8*$A$15*HelperFunctions!$H$28</f>
        <v>0</v>
      </c>
      <c r="Q35" s="79">
        <f>Inputs!$F$8*$A$16*HelperFunctions!$H$28</f>
        <v>0</v>
      </c>
      <c r="R35" s="79">
        <f>Inputs!$F$8*$A$17*HelperFunctions!$H$28</f>
        <v>0</v>
      </c>
      <c r="S35" s="79">
        <f>Inputs!$F$8*$A$18*HelperFunctions!$H$28</f>
        <v>0</v>
      </c>
      <c r="T35" s="79">
        <f>Inputs!$F$8*$A$19*HelperFunctions!$H$28</f>
        <v>0</v>
      </c>
      <c r="U35" s="79">
        <f>Inputs!$F$8*$A$20*HelperFunctions!$H$28</f>
        <v>0</v>
      </c>
      <c r="V35" s="79">
        <f>Inputs!$F$8*$A$21*HelperFunctions!$H$28</f>
        <v>0</v>
      </c>
      <c r="W35" s="79">
        <f>Inputs!$F$8*$A$22*HelperFunctions!$H$28</f>
        <v>0</v>
      </c>
      <c r="X35" s="79">
        <f>Inputs!$F$8*$A$23*HelperFunctions!$H$28</f>
        <v>0</v>
      </c>
      <c r="Y35" s="79">
        <f>Inputs!$F$8*$A$24*HelperFunctions!$H$28</f>
        <v>0</v>
      </c>
      <c r="Z35" s="79">
        <f>Inputs!$F$8*$A$25*HelperFunctions!$H27</f>
        <v>0</v>
      </c>
      <c r="AA35" s="79">
        <f>Inputs!$F$8*$A$26*HelperFunctions!$H26</f>
        <v>0</v>
      </c>
      <c r="AB35" s="79">
        <f>Inputs!$F$8*$A$27*HelperFunctions!$H39</f>
        <v>0</v>
      </c>
      <c r="AC35" s="79">
        <f>Inputs!$F$8*$A$28*HelperFunctions!$H38</f>
        <v>0</v>
      </c>
      <c r="AD35" s="79">
        <f>Inputs!$F$8*$A$29*HelperFunctions!$H37</f>
        <v>0</v>
      </c>
      <c r="AE35" s="79">
        <f>Inputs!$F$8*$A$30*HelperFunctions!$H36</f>
        <v>0</v>
      </c>
      <c r="AF35" s="79">
        <f>Inputs!$F$8*$A$31*HelperFunctions!$H35</f>
        <v>0</v>
      </c>
      <c r="AG35" s="79">
        <f>Inputs!$F$8*$A$32*HelperFunctions!$H34</f>
        <v>0</v>
      </c>
      <c r="AH35" s="79">
        <f>Inputs!$F$8*$A$33*HelperFunctions!$H33</f>
        <v>0</v>
      </c>
      <c r="AI35" s="79">
        <f>Inputs!$F$8*$A$34*HelperFunctions!$H32</f>
        <v>0</v>
      </c>
      <c r="AJ35" s="79">
        <f>Inputs!$F$8*$A$35*HelperFunctions!$H31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1:63" x14ac:dyDescent="0.35">
      <c r="A36" s="84"/>
      <c r="B36" s="87">
        <v>2</v>
      </c>
      <c r="C36" s="79" t="str">
        <f>Inputs!I57</f>
        <v/>
      </c>
      <c r="D36" s="79">
        <f>Inputs!$F$8*$A$3*HelperFunctions!H$14</f>
        <v>0</v>
      </c>
      <c r="E36" s="79">
        <f>Inputs!$F$8*$A$4*HelperFunctions!$H$14</f>
        <v>0</v>
      </c>
      <c r="F36" s="79">
        <f>Inputs!$F$8*$A$5*HelperFunctions!$H$14</f>
        <v>0</v>
      </c>
      <c r="G36" s="79">
        <f>Inputs!$F$8*$A$6*HelperFunctions!$H$14</f>
        <v>0</v>
      </c>
      <c r="H36" s="79">
        <f>Inputs!$F$8*$A$7*HelperFunctions!$H$14</f>
        <v>0</v>
      </c>
      <c r="I36" s="79">
        <f>Inputs!$F$8*$A$8*HelperFunctions!$H$14</f>
        <v>0</v>
      </c>
      <c r="J36" s="79">
        <f>Inputs!$F$8*$A$9*HelperFunctions!$H$14</f>
        <v>0</v>
      </c>
      <c r="K36" s="79">
        <f>Inputs!$F$8*$A$10*HelperFunctions!$H$14</f>
        <v>0</v>
      </c>
      <c r="L36" s="79">
        <f>Inputs!$F$8*$A$11*HelperFunctions!$H$14</f>
        <v>0</v>
      </c>
      <c r="M36" s="79">
        <f>Inputs!$F$8*$A$12*HelperFunctions!$H$14</f>
        <v>0</v>
      </c>
      <c r="N36" s="79">
        <f>Inputs!$F$8*$A$13*HelperFunctions!$H$14</f>
        <v>0</v>
      </c>
      <c r="O36" s="79">
        <f>Inputs!$F$8*$A$14*HelperFunctions!$H$14</f>
        <v>0</v>
      </c>
      <c r="P36" s="79">
        <f>Inputs!$F$8*$A$15*HelperFunctions!$H$28</f>
        <v>0</v>
      </c>
      <c r="Q36" s="79">
        <f>Inputs!$F$8*$A$16*HelperFunctions!$H$28</f>
        <v>0</v>
      </c>
      <c r="R36" s="79">
        <f>Inputs!$F$8*$A$17*HelperFunctions!$H$28</f>
        <v>0</v>
      </c>
      <c r="S36" s="79">
        <f>Inputs!$F$8*$A$18*HelperFunctions!$H$28</f>
        <v>0</v>
      </c>
      <c r="T36" s="79">
        <f>Inputs!$F$8*$A$19*HelperFunctions!$H$28</f>
        <v>0</v>
      </c>
      <c r="U36" s="79">
        <f>Inputs!$F$8*$A$20*HelperFunctions!$H$28</f>
        <v>0</v>
      </c>
      <c r="V36" s="79">
        <f>Inputs!$F$8*$A$21*HelperFunctions!$H$28</f>
        <v>0</v>
      </c>
      <c r="W36" s="79">
        <f>Inputs!$F$8*$A$22*HelperFunctions!$H$28</f>
        <v>0</v>
      </c>
      <c r="X36" s="79">
        <f>Inputs!$F$8*$A$23*HelperFunctions!$H$28</f>
        <v>0</v>
      </c>
      <c r="Y36" s="79">
        <f>Inputs!$F$8*$A$24*HelperFunctions!$H$28</f>
        <v>0</v>
      </c>
      <c r="Z36" s="79">
        <f>Inputs!$F$8*$A$25*HelperFunctions!$H$28</f>
        <v>0</v>
      </c>
      <c r="AA36" s="79">
        <f>Inputs!$F$8*$A$26*HelperFunctions!$H27</f>
        <v>0</v>
      </c>
      <c r="AB36" s="79">
        <f>Inputs!$F$8*$A$27*HelperFunctions!$H40</f>
        <v>0</v>
      </c>
      <c r="AC36" s="79">
        <f>Inputs!$F$8*$A$28*HelperFunctions!$H39</f>
        <v>0</v>
      </c>
      <c r="AD36" s="79">
        <f>Inputs!$F$8*$A$29*HelperFunctions!$H38</f>
        <v>0</v>
      </c>
      <c r="AE36" s="79">
        <f>Inputs!$F$8*$A$30*HelperFunctions!$H37</f>
        <v>0</v>
      </c>
      <c r="AF36" s="79">
        <f>Inputs!$F$8*$A$31*HelperFunctions!$H36</f>
        <v>0</v>
      </c>
      <c r="AG36" s="79">
        <f>Inputs!$F$8*$A$32*HelperFunctions!$H35</f>
        <v>0</v>
      </c>
      <c r="AH36" s="79">
        <f>Inputs!$F$8*$A$33*HelperFunctions!$H34</f>
        <v>0</v>
      </c>
      <c r="AI36" s="79">
        <f>Inputs!$F$8*$A$34*HelperFunctions!$H33</f>
        <v>0</v>
      </c>
      <c r="AJ36" s="79">
        <f>Inputs!$F$8*$A$35*HelperFunctions!$H32</f>
        <v>0</v>
      </c>
      <c r="AK36" s="79">
        <f>Inputs!$F$8*$A$36*HelperFunctions!$H31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1:63" x14ac:dyDescent="0.35">
      <c r="A37" s="84"/>
      <c r="B37" s="87">
        <v>2</v>
      </c>
      <c r="C37" s="79" t="str">
        <f>Inputs!I58</f>
        <v/>
      </c>
      <c r="D37" s="79">
        <f>Inputs!$F$8*$A$3*HelperFunctions!H$14</f>
        <v>0</v>
      </c>
      <c r="E37" s="79">
        <f>Inputs!$F$8*$A$4*HelperFunctions!$H$14</f>
        <v>0</v>
      </c>
      <c r="F37" s="79">
        <f>Inputs!$F$8*$A$5*HelperFunctions!$H$14</f>
        <v>0</v>
      </c>
      <c r="G37" s="79">
        <f>Inputs!$F$8*$A$6*HelperFunctions!$H$14</f>
        <v>0</v>
      </c>
      <c r="H37" s="79">
        <f>Inputs!$F$8*$A$7*HelperFunctions!$H$14</f>
        <v>0</v>
      </c>
      <c r="I37" s="79">
        <f>Inputs!$F$8*$A$8*HelperFunctions!$H$14</f>
        <v>0</v>
      </c>
      <c r="J37" s="79">
        <f>Inputs!$F$8*$A$9*HelperFunctions!$H$14</f>
        <v>0</v>
      </c>
      <c r="K37" s="79">
        <f>Inputs!$F$8*$A$10*HelperFunctions!$H$14</f>
        <v>0</v>
      </c>
      <c r="L37" s="79">
        <f>Inputs!$F$8*$A$11*HelperFunctions!$H$14</f>
        <v>0</v>
      </c>
      <c r="M37" s="79">
        <f>Inputs!$F$8*$A$12*HelperFunctions!$H$14</f>
        <v>0</v>
      </c>
      <c r="N37" s="79">
        <f>Inputs!$F$8*$A$13*HelperFunctions!$H$14</f>
        <v>0</v>
      </c>
      <c r="O37" s="79">
        <f>Inputs!$F$8*$A$14*HelperFunctions!$H$14</f>
        <v>0</v>
      </c>
      <c r="P37" s="79">
        <f>Inputs!$F$8*$A$15*HelperFunctions!$H$28</f>
        <v>0</v>
      </c>
      <c r="Q37" s="79">
        <f>Inputs!$F$8*$A$16*HelperFunctions!$H$28</f>
        <v>0</v>
      </c>
      <c r="R37" s="79">
        <f>Inputs!$F$8*$A$17*HelperFunctions!$H$28</f>
        <v>0</v>
      </c>
      <c r="S37" s="79">
        <f>Inputs!$F$8*$A$18*HelperFunctions!$H$28</f>
        <v>0</v>
      </c>
      <c r="T37" s="79">
        <f>Inputs!$F$8*$A$19*HelperFunctions!$H$28</f>
        <v>0</v>
      </c>
      <c r="U37" s="79">
        <f>Inputs!$F$8*$A$20*HelperFunctions!$H$28</f>
        <v>0</v>
      </c>
      <c r="V37" s="79">
        <f>Inputs!$F$8*$A$21*HelperFunctions!$H$28</f>
        <v>0</v>
      </c>
      <c r="W37" s="79">
        <f>Inputs!$F$8*$A$22*HelperFunctions!$H$28</f>
        <v>0</v>
      </c>
      <c r="X37" s="79">
        <f>Inputs!$F$8*$A$23*HelperFunctions!$H$28</f>
        <v>0</v>
      </c>
      <c r="Y37" s="79">
        <f>Inputs!$F$8*$A$24*HelperFunctions!$H$28</f>
        <v>0</v>
      </c>
      <c r="Z37" s="79">
        <f>Inputs!$F$8*$A$25*HelperFunctions!$H$28</f>
        <v>0</v>
      </c>
      <c r="AA37" s="79">
        <f>Inputs!$F$8*$A$26*HelperFunctions!$H$28</f>
        <v>0</v>
      </c>
      <c r="AB37" s="79">
        <f>Inputs!$F$8*$A$27*HelperFunctions!$H41</f>
        <v>0</v>
      </c>
      <c r="AC37" s="79">
        <f>Inputs!$F$8*$A$28*HelperFunctions!$H40</f>
        <v>0</v>
      </c>
      <c r="AD37" s="79">
        <f>Inputs!$F$8*$A$29*HelperFunctions!$H39</f>
        <v>0</v>
      </c>
      <c r="AE37" s="79">
        <f>Inputs!$F$8*$A$30*HelperFunctions!$H38</f>
        <v>0</v>
      </c>
      <c r="AF37" s="79">
        <f>Inputs!$F$8*$A$31*HelperFunctions!$H37</f>
        <v>0</v>
      </c>
      <c r="AG37" s="79">
        <f>Inputs!$F$8*$A$32*HelperFunctions!$H36</f>
        <v>0</v>
      </c>
      <c r="AH37" s="79">
        <f>Inputs!$F$8*$A$33*HelperFunctions!$H35</f>
        <v>0</v>
      </c>
      <c r="AI37" s="79">
        <f>Inputs!$F$8*$A$34*HelperFunctions!$H34</f>
        <v>0</v>
      </c>
      <c r="AJ37" s="79">
        <f>Inputs!$F$8*$A$35*HelperFunctions!$H33</f>
        <v>0</v>
      </c>
      <c r="AK37" s="79">
        <f>Inputs!$F$8*$A$36*HelperFunctions!$H32</f>
        <v>0</v>
      </c>
      <c r="AL37" s="79">
        <f>Inputs!$F$8*$A$37*HelperFunctions!$H31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1:63" ht="15.75" customHeight="1" x14ac:dyDescent="0.35">
      <c r="A38" s="84"/>
      <c r="B38" s="88">
        <v>2</v>
      </c>
      <c r="C38" s="89" t="str">
        <f>Inputs!I59</f>
        <v/>
      </c>
      <c r="D38" s="89">
        <f>Inputs!$F$8*$A$3*HelperFunctions!H$14</f>
        <v>0</v>
      </c>
      <c r="E38" s="89">
        <f>Inputs!$F$8*$A$4*HelperFunctions!$H$14</f>
        <v>0</v>
      </c>
      <c r="F38" s="89">
        <f>Inputs!$F$8*$A$5*HelperFunctions!$H$14</f>
        <v>0</v>
      </c>
      <c r="G38" s="89">
        <f>Inputs!$F$8*$A$6*HelperFunctions!$H$14</f>
        <v>0</v>
      </c>
      <c r="H38" s="89">
        <f>Inputs!$F$8*$A$7*HelperFunctions!$H$14</f>
        <v>0</v>
      </c>
      <c r="I38" s="89">
        <f>Inputs!$F$8*$A$8*HelperFunctions!$H$14</f>
        <v>0</v>
      </c>
      <c r="J38" s="89">
        <f>Inputs!$F$8*$A$9*HelperFunctions!$H$14</f>
        <v>0</v>
      </c>
      <c r="K38" s="89">
        <f>Inputs!$F$8*$A$10*HelperFunctions!$H$14</f>
        <v>0</v>
      </c>
      <c r="L38" s="89">
        <f>Inputs!$F$8*$A$11*HelperFunctions!$H$14</f>
        <v>0</v>
      </c>
      <c r="M38" s="89">
        <f>Inputs!$F$8*$A$12*HelperFunctions!$H$14</f>
        <v>0</v>
      </c>
      <c r="N38" s="89">
        <f>Inputs!$F$8*$A$13*HelperFunctions!$H$14</f>
        <v>0</v>
      </c>
      <c r="O38" s="89">
        <f>Inputs!$F$8*$A$14*HelperFunctions!$H$14</f>
        <v>0</v>
      </c>
      <c r="P38" s="89">
        <f>Inputs!$F$8*$A$15*HelperFunctions!$H$28</f>
        <v>0</v>
      </c>
      <c r="Q38" s="89">
        <f>Inputs!$F$8*$A$16*HelperFunctions!$H$28</f>
        <v>0</v>
      </c>
      <c r="R38" s="89">
        <f>Inputs!$F$8*$A$17*HelperFunctions!$H$28</f>
        <v>0</v>
      </c>
      <c r="S38" s="89">
        <f>Inputs!$F$8*$A$18*HelperFunctions!$H$28</f>
        <v>0</v>
      </c>
      <c r="T38" s="89">
        <f>Inputs!$F$8*$A$19*HelperFunctions!$H$28</f>
        <v>0</v>
      </c>
      <c r="U38" s="89">
        <f>Inputs!$F$8*$A$20*HelperFunctions!$H$28</f>
        <v>0</v>
      </c>
      <c r="V38" s="89">
        <f>Inputs!$F$8*$A$21*HelperFunctions!$H$28</f>
        <v>0</v>
      </c>
      <c r="W38" s="89">
        <f>Inputs!$F$8*$A$22*HelperFunctions!$H$28</f>
        <v>0</v>
      </c>
      <c r="X38" s="89">
        <f>Inputs!$F$8*$A$23*HelperFunctions!$H$28</f>
        <v>0</v>
      </c>
      <c r="Y38" s="89">
        <f>Inputs!$F$8*$A$24*HelperFunctions!$H$28</f>
        <v>0</v>
      </c>
      <c r="Z38" s="89">
        <f>Inputs!$F$8*$A$25*HelperFunctions!$H$28</f>
        <v>0</v>
      </c>
      <c r="AA38" s="89">
        <f>Inputs!$F$8*$A$26*HelperFunctions!$H$28</f>
        <v>0</v>
      </c>
      <c r="AB38" s="89">
        <f>Inputs!$F$8*$A$27*HelperFunctions!$H$42</f>
        <v>0</v>
      </c>
      <c r="AC38" s="89">
        <f>Inputs!$F$8*$A$28*HelperFunctions!$H41</f>
        <v>0</v>
      </c>
      <c r="AD38" s="89">
        <f>Inputs!$F$8*$A$29*HelperFunctions!$H40</f>
        <v>0</v>
      </c>
      <c r="AE38" s="89">
        <f>Inputs!$F$8*$A$30*HelperFunctions!$H39</f>
        <v>0</v>
      </c>
      <c r="AF38" s="89">
        <f>Inputs!$F$8*$A$31*HelperFunctions!$H38</f>
        <v>0</v>
      </c>
      <c r="AG38" s="89">
        <f>Inputs!$F$8*$A$32*HelperFunctions!$H37</f>
        <v>0</v>
      </c>
      <c r="AH38" s="89">
        <f>Inputs!$F$8*$A$33*HelperFunctions!$H36</f>
        <v>0</v>
      </c>
      <c r="AI38" s="89">
        <f>Inputs!$F$8*$A$34*HelperFunctions!$H35</f>
        <v>0</v>
      </c>
      <c r="AJ38" s="89">
        <f>Inputs!$F$8*$A$35*HelperFunctions!$H34</f>
        <v>0</v>
      </c>
      <c r="AK38" s="89">
        <f>Inputs!$F$8*$A$36*HelperFunctions!$H33</f>
        <v>0</v>
      </c>
      <c r="AL38" s="89">
        <f>Inputs!$F$8*$A$37*HelperFunctions!$H32</f>
        <v>0</v>
      </c>
      <c r="AM38" s="90">
        <f>Inputs!$F$8*$A$38*HelperFunctions!$H31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1:63" x14ac:dyDescent="0.35">
      <c r="A39" s="84"/>
      <c r="B39" s="87">
        <v>3</v>
      </c>
      <c r="C39" s="79" t="str">
        <f>Inputs!I60</f>
        <v/>
      </c>
      <c r="D39" s="79">
        <f>Inputs!$F$8*$A$3*HelperFunctions!H$14</f>
        <v>0</v>
      </c>
      <c r="E39" s="79">
        <f>Inputs!$F$8*$A$4*HelperFunctions!$H$14</f>
        <v>0</v>
      </c>
      <c r="F39" s="79">
        <f>Inputs!$F$8*$A$5*HelperFunctions!$H$14</f>
        <v>0</v>
      </c>
      <c r="G39" s="79">
        <f>Inputs!$F$8*$A$6*HelperFunctions!$H$14</f>
        <v>0</v>
      </c>
      <c r="H39" s="79">
        <f>Inputs!$F$8*$A$7*HelperFunctions!$H$14</f>
        <v>0</v>
      </c>
      <c r="I39" s="79">
        <f>Inputs!$F$8*$A$8*HelperFunctions!$H$14</f>
        <v>0</v>
      </c>
      <c r="J39" s="79">
        <f>Inputs!$F$8*$A$9*HelperFunctions!$H$14</f>
        <v>0</v>
      </c>
      <c r="K39" s="79">
        <f>Inputs!$F$8*$A$10*HelperFunctions!$H$14</f>
        <v>0</v>
      </c>
      <c r="L39" s="79">
        <f>Inputs!$F$8*$A$11*HelperFunctions!$H$14</f>
        <v>0</v>
      </c>
      <c r="M39" s="79">
        <f>Inputs!$F$8*$A$12*HelperFunctions!$H$14</f>
        <v>0</v>
      </c>
      <c r="N39" s="79">
        <f>Inputs!$F$8*$A$13*HelperFunctions!$H$14</f>
        <v>0</v>
      </c>
      <c r="O39" s="79">
        <f>Inputs!$F$8*$A$14*HelperFunctions!$H$14</f>
        <v>0</v>
      </c>
      <c r="P39" s="79">
        <f>Inputs!$F$8*$A$15*HelperFunctions!$H$28</f>
        <v>0</v>
      </c>
      <c r="Q39" s="79">
        <f>Inputs!$F$8*$A$16*HelperFunctions!$H$28</f>
        <v>0</v>
      </c>
      <c r="R39" s="79">
        <f>Inputs!$F$8*$A$17*HelperFunctions!$H$28</f>
        <v>0</v>
      </c>
      <c r="S39" s="79">
        <f>Inputs!$F$8*$A$18*HelperFunctions!$H$28</f>
        <v>0</v>
      </c>
      <c r="T39" s="79">
        <f>Inputs!$F$8*$A$19*HelperFunctions!$H$28</f>
        <v>0</v>
      </c>
      <c r="U39" s="79">
        <f>Inputs!$F$8*$A$20*HelperFunctions!$H$28</f>
        <v>0</v>
      </c>
      <c r="V39" s="79">
        <f>Inputs!$F$8*$A$21*HelperFunctions!$H$28</f>
        <v>0</v>
      </c>
      <c r="W39" s="79">
        <f>Inputs!$F$8*$A$22*HelperFunctions!$H$28</f>
        <v>0</v>
      </c>
      <c r="X39" s="79">
        <f>Inputs!$F$8*$A$23*HelperFunctions!$H$28</f>
        <v>0</v>
      </c>
      <c r="Y39" s="79">
        <f>Inputs!$F$8*$A$24*HelperFunctions!$H$28</f>
        <v>0</v>
      </c>
      <c r="Z39" s="79">
        <f>Inputs!$F$8*$A$25*HelperFunctions!$H$28</f>
        <v>0</v>
      </c>
      <c r="AA39" s="79">
        <f>Inputs!$F$8*$A$26*HelperFunctions!$H$28</f>
        <v>0</v>
      </c>
      <c r="AB39" s="79">
        <f>Inputs!$F$8*$A$27*HelperFunctions!$H$42</f>
        <v>0</v>
      </c>
      <c r="AC39" s="79">
        <f>Inputs!$F$8*$A$28*HelperFunctions!$H$42</f>
        <v>0</v>
      </c>
      <c r="AD39" s="79">
        <f>Inputs!$F$8*$A$29*HelperFunctions!$H41</f>
        <v>0</v>
      </c>
      <c r="AE39" s="79">
        <f>Inputs!$F$8*$A$30*HelperFunctions!$H40</f>
        <v>0</v>
      </c>
      <c r="AF39" s="79">
        <f>Inputs!$F$8*$A$31*HelperFunctions!$H39</f>
        <v>0</v>
      </c>
      <c r="AG39" s="79">
        <f>Inputs!$F$8*$A$32*HelperFunctions!$H38</f>
        <v>0</v>
      </c>
      <c r="AH39" s="79">
        <f>Inputs!$F$8*$A$33*HelperFunctions!$H37</f>
        <v>0</v>
      </c>
      <c r="AI39" s="79">
        <f>Inputs!$F$8*$A$34*HelperFunctions!$H36</f>
        <v>0</v>
      </c>
      <c r="AJ39" s="79">
        <f>Inputs!$F$8*$A$35*HelperFunctions!$H35</f>
        <v>0</v>
      </c>
      <c r="AK39" s="79">
        <f>Inputs!$F$8*$A$36*HelperFunctions!$H34</f>
        <v>0</v>
      </c>
      <c r="AL39" s="79">
        <f>Inputs!$F$8*$A$37*HelperFunctions!$H33</f>
        <v>0</v>
      </c>
      <c r="AM39" s="79">
        <f>Inputs!$F$8*$A$38*HelperFunctions!$H32</f>
        <v>0</v>
      </c>
      <c r="AN39" s="79">
        <f>Inputs!$F$8*$A$39*HelperFunctions!$H45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1:63" x14ac:dyDescent="0.35">
      <c r="A40" s="84"/>
      <c r="B40" s="87">
        <v>3</v>
      </c>
      <c r="C40" s="79" t="str">
        <f>Inputs!I61</f>
        <v/>
      </c>
      <c r="D40" s="79">
        <f>Inputs!$F$8*$A$3*HelperFunctions!H$14</f>
        <v>0</v>
      </c>
      <c r="E40" s="79">
        <f>Inputs!$F$8*$A$4*HelperFunctions!$H$14</f>
        <v>0</v>
      </c>
      <c r="F40" s="79">
        <f>Inputs!$F$8*$A$5*HelperFunctions!$H$14</f>
        <v>0</v>
      </c>
      <c r="G40" s="79">
        <f>Inputs!$F$8*$A$6*HelperFunctions!$H$14</f>
        <v>0</v>
      </c>
      <c r="H40" s="79">
        <f>Inputs!$F$8*$A$7*HelperFunctions!$H$14</f>
        <v>0</v>
      </c>
      <c r="I40" s="79">
        <f>Inputs!$F$8*$A$8*HelperFunctions!$H$14</f>
        <v>0</v>
      </c>
      <c r="J40" s="79">
        <f>Inputs!$F$8*$A$9*HelperFunctions!$H$14</f>
        <v>0</v>
      </c>
      <c r="K40" s="79">
        <f>Inputs!$F$8*$A$10*HelperFunctions!$H$14</f>
        <v>0</v>
      </c>
      <c r="L40" s="79">
        <f>Inputs!$F$8*$A$11*HelperFunctions!$H$14</f>
        <v>0</v>
      </c>
      <c r="M40" s="79">
        <f>Inputs!$F$8*$A$12*HelperFunctions!$H$14</f>
        <v>0</v>
      </c>
      <c r="N40" s="79">
        <f>Inputs!$F$8*$A$13*HelperFunctions!$H$14</f>
        <v>0</v>
      </c>
      <c r="O40" s="79">
        <f>Inputs!$F$8*$A$14*HelperFunctions!$H$14</f>
        <v>0</v>
      </c>
      <c r="P40" s="79">
        <f>Inputs!$F$8*$A$15*HelperFunctions!$H$28</f>
        <v>0</v>
      </c>
      <c r="Q40" s="79">
        <f>Inputs!$F$8*$A$16*HelperFunctions!$H$28</f>
        <v>0</v>
      </c>
      <c r="R40" s="79">
        <f>Inputs!$F$8*$A$17*HelperFunctions!$H$28</f>
        <v>0</v>
      </c>
      <c r="S40" s="79">
        <f>Inputs!$F$8*$A$18*HelperFunctions!$H$28</f>
        <v>0</v>
      </c>
      <c r="T40" s="79">
        <f>Inputs!$F$8*$A$19*HelperFunctions!$H$28</f>
        <v>0</v>
      </c>
      <c r="U40" s="79">
        <f>Inputs!$F$8*$A$20*HelperFunctions!$H$28</f>
        <v>0</v>
      </c>
      <c r="V40" s="79">
        <f>Inputs!$F$8*$A$21*HelperFunctions!$H$28</f>
        <v>0</v>
      </c>
      <c r="W40" s="79">
        <f>Inputs!$F$8*$A$22*HelperFunctions!$H$28</f>
        <v>0</v>
      </c>
      <c r="X40" s="79">
        <f>Inputs!$F$8*$A$23*HelperFunctions!$H$28</f>
        <v>0</v>
      </c>
      <c r="Y40" s="79">
        <f>Inputs!$F$8*$A$24*HelperFunctions!$H$28</f>
        <v>0</v>
      </c>
      <c r="Z40" s="79">
        <f>Inputs!$F$8*$A$25*HelperFunctions!$H$28</f>
        <v>0</v>
      </c>
      <c r="AA40" s="79">
        <f>Inputs!$F$8*$A$26*HelperFunctions!$H$28</f>
        <v>0</v>
      </c>
      <c r="AB40" s="79">
        <f>Inputs!$F$8*$A$27*HelperFunctions!$H$42</f>
        <v>0</v>
      </c>
      <c r="AC40" s="79">
        <f>Inputs!$F$8*$A$28*HelperFunctions!$H$42</f>
        <v>0</v>
      </c>
      <c r="AD40" s="79">
        <f>Inputs!$F$8*$A$29*HelperFunctions!$H$42</f>
        <v>0</v>
      </c>
      <c r="AE40" s="79">
        <f>Inputs!$F$8*$A$30*HelperFunctions!$H41</f>
        <v>0</v>
      </c>
      <c r="AF40" s="79">
        <f>Inputs!$F$8*$A$31*HelperFunctions!$H40</f>
        <v>0</v>
      </c>
      <c r="AG40" s="79">
        <f>Inputs!$F$8*$A$32*HelperFunctions!$H39</f>
        <v>0</v>
      </c>
      <c r="AH40" s="79">
        <f>Inputs!$F$8*$A$33*HelperFunctions!$H38</f>
        <v>0</v>
      </c>
      <c r="AI40" s="79">
        <f>Inputs!$F$8*$A$34*HelperFunctions!$H37</f>
        <v>0</v>
      </c>
      <c r="AJ40" s="79">
        <f>Inputs!$F$8*$A$35*HelperFunctions!$H36</f>
        <v>0</v>
      </c>
      <c r="AK40" s="79">
        <f>Inputs!$F$8*$A$36*HelperFunctions!$H35</f>
        <v>0</v>
      </c>
      <c r="AL40" s="79">
        <f>Inputs!$F$8*$A$37*HelperFunctions!$H34</f>
        <v>0</v>
      </c>
      <c r="AM40" s="79">
        <f>Inputs!$F$8*$A$38*HelperFunctions!$H33</f>
        <v>0</v>
      </c>
      <c r="AN40" s="79">
        <f>Inputs!$F$8*$A$39*HelperFunctions!$H46</f>
        <v>0</v>
      </c>
      <c r="AO40" s="79">
        <f>Inputs!$F$8*$A$40*HelperFunctions!$H45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1:63" x14ac:dyDescent="0.35">
      <c r="A41" s="84"/>
      <c r="B41" s="87">
        <v>3</v>
      </c>
      <c r="C41" s="79" t="str">
        <f>Inputs!I62</f>
        <v/>
      </c>
      <c r="D41" s="79">
        <f>Inputs!$F$8*$A$3*HelperFunctions!H$14</f>
        <v>0</v>
      </c>
      <c r="E41" s="79">
        <f>Inputs!$F$8*$A$4*HelperFunctions!$H$14</f>
        <v>0</v>
      </c>
      <c r="F41" s="79">
        <f>Inputs!$F$8*$A$5*HelperFunctions!$H$14</f>
        <v>0</v>
      </c>
      <c r="G41" s="79">
        <f>Inputs!$F$8*$A$6*HelperFunctions!$H$14</f>
        <v>0</v>
      </c>
      <c r="H41" s="79">
        <f>Inputs!$F$8*$A$7*HelperFunctions!$H$14</f>
        <v>0</v>
      </c>
      <c r="I41" s="79">
        <f>Inputs!$F$8*$A$8*HelperFunctions!$H$14</f>
        <v>0</v>
      </c>
      <c r="J41" s="79">
        <f>Inputs!$F$8*$A$9*HelperFunctions!$H$14</f>
        <v>0</v>
      </c>
      <c r="K41" s="79">
        <f>Inputs!$F$8*$A$10*HelperFunctions!$H$14</f>
        <v>0</v>
      </c>
      <c r="L41" s="79">
        <f>Inputs!$F$8*$A$11*HelperFunctions!$H$14</f>
        <v>0</v>
      </c>
      <c r="M41" s="79">
        <f>Inputs!$F$8*$A$12*HelperFunctions!$H$14</f>
        <v>0</v>
      </c>
      <c r="N41" s="79">
        <f>Inputs!$F$8*$A$13*HelperFunctions!$H$14</f>
        <v>0</v>
      </c>
      <c r="O41" s="79">
        <f>Inputs!$F$8*$A$14*HelperFunctions!$H$14</f>
        <v>0</v>
      </c>
      <c r="P41" s="79">
        <f>Inputs!$F$8*$A$15*HelperFunctions!$H$28</f>
        <v>0</v>
      </c>
      <c r="Q41" s="79">
        <f>Inputs!$F$8*$A$16*HelperFunctions!$H$28</f>
        <v>0</v>
      </c>
      <c r="R41" s="79">
        <f>Inputs!$F$8*$A$17*HelperFunctions!$H$28</f>
        <v>0</v>
      </c>
      <c r="S41" s="79">
        <f>Inputs!$F$8*$A$18*HelperFunctions!$H$28</f>
        <v>0</v>
      </c>
      <c r="T41" s="79">
        <f>Inputs!$F$8*$A$19*HelperFunctions!$H$28</f>
        <v>0</v>
      </c>
      <c r="U41" s="79">
        <f>Inputs!$F$8*$A$20*HelperFunctions!$H$28</f>
        <v>0</v>
      </c>
      <c r="V41" s="79">
        <f>Inputs!$F$8*$A$21*HelperFunctions!$H$28</f>
        <v>0</v>
      </c>
      <c r="W41" s="79">
        <f>Inputs!$F$8*$A$22*HelperFunctions!$H$28</f>
        <v>0</v>
      </c>
      <c r="X41" s="79">
        <f>Inputs!$F$8*$A$23*HelperFunctions!$H$28</f>
        <v>0</v>
      </c>
      <c r="Y41" s="79">
        <f>Inputs!$F$8*$A$24*HelperFunctions!$H$28</f>
        <v>0</v>
      </c>
      <c r="Z41" s="79">
        <f>Inputs!$F$8*$A$25*HelperFunctions!$H$28</f>
        <v>0</v>
      </c>
      <c r="AA41" s="79">
        <f>Inputs!$F$8*$A$26*HelperFunctions!$H$28</f>
        <v>0</v>
      </c>
      <c r="AB41" s="79">
        <f>Inputs!$F$8*$A$27*HelperFunctions!$H$42</f>
        <v>0</v>
      </c>
      <c r="AC41" s="79">
        <f>Inputs!$F$8*$A$28*HelperFunctions!$H$42</f>
        <v>0</v>
      </c>
      <c r="AD41" s="79">
        <f>Inputs!$F$8*$A$29*HelperFunctions!$H$42</f>
        <v>0</v>
      </c>
      <c r="AE41" s="79">
        <f>Inputs!$F$8*$A$30*HelperFunctions!$H$42</f>
        <v>0</v>
      </c>
      <c r="AF41" s="79">
        <f>Inputs!$F$8*$A$31*HelperFunctions!$H41</f>
        <v>0</v>
      </c>
      <c r="AG41" s="79">
        <f>Inputs!$F$8*$A$32*HelperFunctions!$H40</f>
        <v>0</v>
      </c>
      <c r="AH41" s="79">
        <f>Inputs!$F$8*$A$33*HelperFunctions!$H39</f>
        <v>0</v>
      </c>
      <c r="AI41" s="79">
        <f>Inputs!$F$8*$A$34*HelperFunctions!$H38</f>
        <v>0</v>
      </c>
      <c r="AJ41" s="79">
        <f>Inputs!$F$8*$A$35*HelperFunctions!$H37</f>
        <v>0</v>
      </c>
      <c r="AK41" s="79">
        <f>Inputs!$F$8*$A$36*HelperFunctions!$H36</f>
        <v>0</v>
      </c>
      <c r="AL41" s="79">
        <f>Inputs!$F$8*$A$37*HelperFunctions!$H35</f>
        <v>0</v>
      </c>
      <c r="AM41" s="79">
        <f>Inputs!$F$8*$A$38*HelperFunctions!$H34</f>
        <v>0</v>
      </c>
      <c r="AN41" s="79">
        <f>Inputs!$F$8*$A$39*HelperFunctions!$H47</f>
        <v>0</v>
      </c>
      <c r="AO41" s="79">
        <f>Inputs!$F$8*$A$40*HelperFunctions!$H46</f>
        <v>0</v>
      </c>
      <c r="AP41" s="79">
        <f>Inputs!$F$8*$A$41*HelperFunctions!$H45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1:63" x14ac:dyDescent="0.35">
      <c r="A42" s="84"/>
      <c r="B42" s="87">
        <v>3</v>
      </c>
      <c r="C42" s="79" t="str">
        <f>Inputs!I63</f>
        <v/>
      </c>
      <c r="D42" s="79">
        <f>Inputs!$F$8*$A$3*HelperFunctions!H$14</f>
        <v>0</v>
      </c>
      <c r="E42" s="79">
        <f>Inputs!$F$8*$A$4*HelperFunctions!$H$14</f>
        <v>0</v>
      </c>
      <c r="F42" s="79">
        <f>Inputs!$F$8*$A$5*HelperFunctions!$H$14</f>
        <v>0</v>
      </c>
      <c r="G42" s="79">
        <f>Inputs!$F$8*$A$6*HelperFunctions!$H$14</f>
        <v>0</v>
      </c>
      <c r="H42" s="79">
        <f>Inputs!$F$8*$A$7*HelperFunctions!$H$14</f>
        <v>0</v>
      </c>
      <c r="I42" s="79">
        <f>Inputs!$F$8*$A$8*HelperFunctions!$H$14</f>
        <v>0</v>
      </c>
      <c r="J42" s="79">
        <f>Inputs!$F$8*$A$9*HelperFunctions!$H$14</f>
        <v>0</v>
      </c>
      <c r="K42" s="79">
        <f>Inputs!$F$8*$A$10*HelperFunctions!$H$14</f>
        <v>0</v>
      </c>
      <c r="L42" s="79">
        <f>Inputs!$F$8*$A$11*HelperFunctions!$H$14</f>
        <v>0</v>
      </c>
      <c r="M42" s="79">
        <f>Inputs!$F$8*$A$12*HelperFunctions!$H$14</f>
        <v>0</v>
      </c>
      <c r="N42" s="79">
        <f>Inputs!$F$8*$A$13*HelperFunctions!$H$14</f>
        <v>0</v>
      </c>
      <c r="O42" s="79">
        <f>Inputs!$F$8*$A$14*HelperFunctions!$H$14</f>
        <v>0</v>
      </c>
      <c r="P42" s="79">
        <f>Inputs!$F$8*$A$15*HelperFunctions!$H$28</f>
        <v>0</v>
      </c>
      <c r="Q42" s="79">
        <f>Inputs!$F$8*$A$16*HelperFunctions!$H$28</f>
        <v>0</v>
      </c>
      <c r="R42" s="79">
        <f>Inputs!$F$8*$A$17*HelperFunctions!$H$28</f>
        <v>0</v>
      </c>
      <c r="S42" s="79">
        <f>Inputs!$F$8*$A$18*HelperFunctions!$H$28</f>
        <v>0</v>
      </c>
      <c r="T42" s="79">
        <f>Inputs!$F$8*$A$19*HelperFunctions!$H$28</f>
        <v>0</v>
      </c>
      <c r="U42" s="79">
        <f>Inputs!$F$8*$A$20*HelperFunctions!$H$28</f>
        <v>0</v>
      </c>
      <c r="V42" s="79">
        <f>Inputs!$F$8*$A$21*HelperFunctions!$H$28</f>
        <v>0</v>
      </c>
      <c r="W42" s="79">
        <f>Inputs!$F$8*$A$22*HelperFunctions!$H$28</f>
        <v>0</v>
      </c>
      <c r="X42" s="79">
        <f>Inputs!$F$8*$A$23*HelperFunctions!$H$28</f>
        <v>0</v>
      </c>
      <c r="Y42" s="79">
        <f>Inputs!$F$8*$A$24*HelperFunctions!$H$28</f>
        <v>0</v>
      </c>
      <c r="Z42" s="79">
        <f>Inputs!$F$8*$A$25*HelperFunctions!$H$28</f>
        <v>0</v>
      </c>
      <c r="AA42" s="79">
        <f>Inputs!$F$8*$A$26*HelperFunctions!$H$28</f>
        <v>0</v>
      </c>
      <c r="AB42" s="79">
        <f>Inputs!$F$8*$A$27*HelperFunctions!$H$42</f>
        <v>0</v>
      </c>
      <c r="AC42" s="79">
        <f>Inputs!$F$8*$A$28*HelperFunctions!$H$42</f>
        <v>0</v>
      </c>
      <c r="AD42" s="79">
        <f>Inputs!$F$8*$A$29*HelperFunctions!$H$42</f>
        <v>0</v>
      </c>
      <c r="AE42" s="79">
        <f>Inputs!$F$8*$A$30*HelperFunctions!$H$42</f>
        <v>0</v>
      </c>
      <c r="AF42" s="79">
        <f>Inputs!$F$8*$A$31*HelperFunctions!$H$42</f>
        <v>0</v>
      </c>
      <c r="AG42" s="79">
        <f>Inputs!$F$8*$A$32*HelperFunctions!$H41</f>
        <v>0</v>
      </c>
      <c r="AH42" s="79">
        <f>Inputs!$F$8*$A$33*HelperFunctions!$H40</f>
        <v>0</v>
      </c>
      <c r="AI42" s="79">
        <f>Inputs!$F$8*$A$34*HelperFunctions!$H39</f>
        <v>0</v>
      </c>
      <c r="AJ42" s="79">
        <f>Inputs!$F$8*$A$35*HelperFunctions!$H38</f>
        <v>0</v>
      </c>
      <c r="AK42" s="79">
        <f>Inputs!$F$8*$A$36*HelperFunctions!$H37</f>
        <v>0</v>
      </c>
      <c r="AL42" s="79">
        <f>Inputs!$F$8*$A$37*HelperFunctions!$H36</f>
        <v>0</v>
      </c>
      <c r="AM42" s="79">
        <f>Inputs!$F$8*$A$38*HelperFunctions!$H35</f>
        <v>0</v>
      </c>
      <c r="AN42" s="79">
        <f>Inputs!$F$8*$A$39*HelperFunctions!$H48</f>
        <v>0</v>
      </c>
      <c r="AO42" s="79">
        <f>Inputs!$F$8*$A$40*HelperFunctions!$H47</f>
        <v>0</v>
      </c>
      <c r="AP42" s="79">
        <f>Inputs!$F$8*$A$41*HelperFunctions!$H46</f>
        <v>0</v>
      </c>
      <c r="AQ42" s="79">
        <f>Inputs!$F$8*$A$42*HelperFunctions!$H45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1:63" x14ac:dyDescent="0.35">
      <c r="A43" s="84"/>
      <c r="B43" s="87">
        <v>3</v>
      </c>
      <c r="C43" s="79" t="str">
        <f>Inputs!I64</f>
        <v/>
      </c>
      <c r="D43" s="79">
        <f>Inputs!$F$8*$A$3*HelperFunctions!H$14</f>
        <v>0</v>
      </c>
      <c r="E43" s="79">
        <f>Inputs!$F$8*$A$4*HelperFunctions!$H$14</f>
        <v>0</v>
      </c>
      <c r="F43" s="79">
        <f>Inputs!$F$8*$A$5*HelperFunctions!$H$14</f>
        <v>0</v>
      </c>
      <c r="G43" s="79">
        <f>Inputs!$F$8*$A$6*HelperFunctions!$H$14</f>
        <v>0</v>
      </c>
      <c r="H43" s="79">
        <f>Inputs!$F$8*$A$7*HelperFunctions!$H$14</f>
        <v>0</v>
      </c>
      <c r="I43" s="79">
        <f>Inputs!$F$8*$A$8*HelperFunctions!$H$14</f>
        <v>0</v>
      </c>
      <c r="J43" s="79">
        <f>Inputs!$F$8*$A$9*HelperFunctions!$H$14</f>
        <v>0</v>
      </c>
      <c r="K43" s="79">
        <f>Inputs!$F$8*$A$10*HelperFunctions!$H$14</f>
        <v>0</v>
      </c>
      <c r="L43" s="79">
        <f>Inputs!$F$8*$A$11*HelperFunctions!$H$14</f>
        <v>0</v>
      </c>
      <c r="M43" s="79">
        <f>Inputs!$F$8*$A$12*HelperFunctions!$H$14</f>
        <v>0</v>
      </c>
      <c r="N43" s="79">
        <f>Inputs!$F$8*$A$13*HelperFunctions!$H$14</f>
        <v>0</v>
      </c>
      <c r="O43" s="79">
        <f>Inputs!$F$8*$A$14*HelperFunctions!$H$14</f>
        <v>0</v>
      </c>
      <c r="P43" s="79">
        <f>Inputs!$F$8*$A$15*HelperFunctions!$H$28</f>
        <v>0</v>
      </c>
      <c r="Q43" s="79">
        <f>Inputs!$F$8*$A$16*HelperFunctions!$H$28</f>
        <v>0</v>
      </c>
      <c r="R43" s="79">
        <f>Inputs!$F$8*$A$17*HelperFunctions!$H$28</f>
        <v>0</v>
      </c>
      <c r="S43" s="79">
        <f>Inputs!$F$8*$A$18*HelperFunctions!$H$28</f>
        <v>0</v>
      </c>
      <c r="T43" s="79">
        <f>Inputs!$F$8*$A$19*HelperFunctions!$H$28</f>
        <v>0</v>
      </c>
      <c r="U43" s="79">
        <f>Inputs!$F$8*$A$20*HelperFunctions!$H$28</f>
        <v>0</v>
      </c>
      <c r="V43" s="79">
        <f>Inputs!$F$8*$A$21*HelperFunctions!$H$28</f>
        <v>0</v>
      </c>
      <c r="W43" s="79">
        <f>Inputs!$F$8*$A$22*HelperFunctions!$H$28</f>
        <v>0</v>
      </c>
      <c r="X43" s="79">
        <f>Inputs!$F$8*$A$23*HelperFunctions!$H$28</f>
        <v>0</v>
      </c>
      <c r="Y43" s="79">
        <f>Inputs!$F$8*$A$24*HelperFunctions!$H$28</f>
        <v>0</v>
      </c>
      <c r="Z43" s="79">
        <f>Inputs!$F$8*$A$25*HelperFunctions!$H$28</f>
        <v>0</v>
      </c>
      <c r="AA43" s="79">
        <f>Inputs!$F$8*$A$26*HelperFunctions!$H$28</f>
        <v>0</v>
      </c>
      <c r="AB43" s="79">
        <f>Inputs!$F$8*$A$27*HelperFunctions!$H$42</f>
        <v>0</v>
      </c>
      <c r="AC43" s="79">
        <f>Inputs!$F$8*$A$28*HelperFunctions!$H$42</f>
        <v>0</v>
      </c>
      <c r="AD43" s="79">
        <f>Inputs!$F$8*$A$29*HelperFunctions!$H$42</f>
        <v>0</v>
      </c>
      <c r="AE43" s="79">
        <f>Inputs!$F$8*$A$30*HelperFunctions!$H$42</f>
        <v>0</v>
      </c>
      <c r="AF43" s="79">
        <f>Inputs!$F$8*$A$31*HelperFunctions!$H$42</f>
        <v>0</v>
      </c>
      <c r="AG43" s="79">
        <f>Inputs!$F$8*$A$32*HelperFunctions!$H$42</f>
        <v>0</v>
      </c>
      <c r="AH43" s="79">
        <f>Inputs!$F$8*$A$33*HelperFunctions!$H41</f>
        <v>0</v>
      </c>
      <c r="AI43" s="79">
        <f>Inputs!$F$8*$A$34*HelperFunctions!$H40</f>
        <v>0</v>
      </c>
      <c r="AJ43" s="79">
        <f>Inputs!$F$8*$A$35*HelperFunctions!$H39</f>
        <v>0</v>
      </c>
      <c r="AK43" s="79">
        <f>Inputs!$F$8*$A$36*HelperFunctions!$H38</f>
        <v>0</v>
      </c>
      <c r="AL43" s="79">
        <f>Inputs!$F$8*$A$37*HelperFunctions!$H37</f>
        <v>0</v>
      </c>
      <c r="AM43" s="79">
        <f>Inputs!$F$8*$A$38*HelperFunctions!$H36</f>
        <v>0</v>
      </c>
      <c r="AN43" s="79">
        <f>Inputs!$F$8*$A$39*HelperFunctions!$H49</f>
        <v>0</v>
      </c>
      <c r="AO43" s="79">
        <f>Inputs!$F$8*$A$40*HelperFunctions!$H48</f>
        <v>0</v>
      </c>
      <c r="AP43" s="79">
        <f>Inputs!$F$8*$A$41*HelperFunctions!$H47</f>
        <v>0</v>
      </c>
      <c r="AQ43" s="79">
        <f>Inputs!$F$8*$A$42*HelperFunctions!$H46</f>
        <v>0</v>
      </c>
      <c r="AR43" s="79">
        <f>Inputs!$F$8*$A$43*HelperFunctions!$H45</f>
        <v>0</v>
      </c>
      <c r="AS43" s="93"/>
      <c r="AT43" s="93"/>
      <c r="AU43" s="93"/>
      <c r="AV43" s="93"/>
      <c r="AW43" s="93"/>
      <c r="AX43" s="93"/>
      <c r="AY43" s="94"/>
      <c r="AZ43" s="93"/>
      <c r="BA43" s="93"/>
      <c r="BB43" s="93"/>
      <c r="BC43" s="93"/>
      <c r="BD43" s="93"/>
      <c r="BE43" s="93"/>
      <c r="BF43" s="93"/>
      <c r="BG43" s="93"/>
      <c r="BH43" s="93"/>
      <c r="BI43" s="93"/>
      <c r="BJ43" s="93"/>
      <c r="BK43" s="94"/>
    </row>
    <row r="44" spans="1:63" x14ac:dyDescent="0.35">
      <c r="A44" s="84"/>
      <c r="B44" s="87">
        <v>3</v>
      </c>
      <c r="C44" s="79" t="str">
        <f>Inputs!I65</f>
        <v/>
      </c>
      <c r="D44" s="79">
        <f>Inputs!$F$8*$A$3*HelperFunctions!H$14</f>
        <v>0</v>
      </c>
      <c r="E44" s="79">
        <f>Inputs!$F$8*$A$4*HelperFunctions!$H$14</f>
        <v>0</v>
      </c>
      <c r="F44" s="79">
        <f>Inputs!$F$8*$A$5*HelperFunctions!$H$14</f>
        <v>0</v>
      </c>
      <c r="G44" s="79">
        <f>Inputs!$F$8*$A$6*HelperFunctions!$H$14</f>
        <v>0</v>
      </c>
      <c r="H44" s="79">
        <f>Inputs!$F$8*$A$7*HelperFunctions!$H$14</f>
        <v>0</v>
      </c>
      <c r="I44" s="79">
        <f>Inputs!$F$8*$A$8*HelperFunctions!$H$14</f>
        <v>0</v>
      </c>
      <c r="J44" s="79">
        <f>Inputs!$F$8*$A$9*HelperFunctions!$H$14</f>
        <v>0</v>
      </c>
      <c r="K44" s="79">
        <f>Inputs!$F$8*$A$10*HelperFunctions!$H$14</f>
        <v>0</v>
      </c>
      <c r="L44" s="79">
        <f>Inputs!$F$8*$A$11*HelperFunctions!$H$14</f>
        <v>0</v>
      </c>
      <c r="M44" s="79">
        <f>Inputs!$F$8*$A$12*HelperFunctions!$H$14</f>
        <v>0</v>
      </c>
      <c r="N44" s="79">
        <f>Inputs!$F$8*$A$13*HelperFunctions!$H$14</f>
        <v>0</v>
      </c>
      <c r="O44" s="79">
        <f>Inputs!$F$8*$A$14*HelperFunctions!$H$14</f>
        <v>0</v>
      </c>
      <c r="P44" s="79">
        <f>Inputs!$F$8*$A$15*HelperFunctions!$H$28</f>
        <v>0</v>
      </c>
      <c r="Q44" s="79">
        <f>Inputs!$F$8*$A$16*HelperFunctions!$H$28</f>
        <v>0</v>
      </c>
      <c r="R44" s="79">
        <f>Inputs!$F$8*$A$17*HelperFunctions!$H$28</f>
        <v>0</v>
      </c>
      <c r="S44" s="79">
        <f>Inputs!$F$8*$A$18*HelperFunctions!$H$28</f>
        <v>0</v>
      </c>
      <c r="T44" s="79">
        <f>Inputs!$F$8*$A$19*HelperFunctions!$H$28</f>
        <v>0</v>
      </c>
      <c r="U44" s="79">
        <f>Inputs!$F$8*$A$20*HelperFunctions!$H$28</f>
        <v>0</v>
      </c>
      <c r="V44" s="79">
        <f>Inputs!$F$8*$A$21*HelperFunctions!$H$28</f>
        <v>0</v>
      </c>
      <c r="W44" s="79">
        <f>Inputs!$F$8*$A$22*HelperFunctions!$H$28</f>
        <v>0</v>
      </c>
      <c r="X44" s="79">
        <f>Inputs!$F$8*$A$23*HelperFunctions!$H$28</f>
        <v>0</v>
      </c>
      <c r="Y44" s="79">
        <f>Inputs!$F$8*$A$24*HelperFunctions!$H$28</f>
        <v>0</v>
      </c>
      <c r="Z44" s="79">
        <f>Inputs!$F$8*$A$25*HelperFunctions!$H$28</f>
        <v>0</v>
      </c>
      <c r="AA44" s="79">
        <f>Inputs!$F$8*$A$26*HelperFunctions!$H$28</f>
        <v>0</v>
      </c>
      <c r="AB44" s="79">
        <f>Inputs!$F$8*$A$27*HelperFunctions!$H$42</f>
        <v>0</v>
      </c>
      <c r="AC44" s="79">
        <f>Inputs!$F$8*$A$28*HelperFunctions!$H$42</f>
        <v>0</v>
      </c>
      <c r="AD44" s="79">
        <f>Inputs!$F$8*$A$29*HelperFunctions!$H$42</f>
        <v>0</v>
      </c>
      <c r="AE44" s="79">
        <f>Inputs!$F$8*$A$30*HelperFunctions!$H$42</f>
        <v>0</v>
      </c>
      <c r="AF44" s="79">
        <f>Inputs!$F$8*$A$31*HelperFunctions!$H$42</f>
        <v>0</v>
      </c>
      <c r="AG44" s="79">
        <f>Inputs!$F$8*$A$32*HelperFunctions!$H$42</f>
        <v>0</v>
      </c>
      <c r="AH44" s="79">
        <f>Inputs!$F$8*$A$33*HelperFunctions!$H$42</f>
        <v>0</v>
      </c>
      <c r="AI44" s="79">
        <f>Inputs!$F$8*$A$34*HelperFunctions!$H41</f>
        <v>0</v>
      </c>
      <c r="AJ44" s="79">
        <f>Inputs!$F$8*$A$35*HelperFunctions!$H40</f>
        <v>0</v>
      </c>
      <c r="AK44" s="79">
        <f>Inputs!$F$8*$A$36*HelperFunctions!$H39</f>
        <v>0</v>
      </c>
      <c r="AL44" s="79">
        <f>Inputs!$F$8*$A$37*HelperFunctions!$H38</f>
        <v>0</v>
      </c>
      <c r="AM44" s="79">
        <f>Inputs!$F$8*$A$38*HelperFunctions!$H37</f>
        <v>0</v>
      </c>
      <c r="AN44" s="79">
        <f>Inputs!$F$8*$A$39*HelperFunctions!$H50</f>
        <v>0</v>
      </c>
      <c r="AO44" s="79">
        <f>Inputs!$F$8*$A$40*HelperFunctions!$H49</f>
        <v>0</v>
      </c>
      <c r="AP44" s="79">
        <f>Inputs!$F$8*$A$41*HelperFunctions!$H48</f>
        <v>0</v>
      </c>
      <c r="AQ44" s="79">
        <f>Inputs!$F$8*$A$42*HelperFunctions!$H47</f>
        <v>0</v>
      </c>
      <c r="AR44" s="79">
        <f>Inputs!$F$8*$A$43*HelperFunctions!$H46</f>
        <v>0</v>
      </c>
      <c r="AS44" s="79">
        <f>Inputs!$F$8*$A$44*HelperFunctions!$H45</f>
        <v>0</v>
      </c>
      <c r="AT44" s="93"/>
      <c r="AU44" s="93"/>
      <c r="AV44" s="93"/>
      <c r="AW44" s="93"/>
      <c r="AX44" s="93"/>
      <c r="AY44" s="94"/>
      <c r="AZ44" s="93"/>
      <c r="BA44" s="93"/>
      <c r="BB44" s="93"/>
      <c r="BC44" s="93"/>
      <c r="BD44" s="93"/>
      <c r="BE44" s="93"/>
      <c r="BF44" s="93"/>
      <c r="BG44" s="93"/>
      <c r="BH44" s="93"/>
      <c r="BI44" s="93"/>
      <c r="BJ44" s="93"/>
      <c r="BK44" s="94"/>
    </row>
    <row r="45" spans="1:63" x14ac:dyDescent="0.35">
      <c r="A45" s="84"/>
      <c r="B45" s="87">
        <v>3</v>
      </c>
      <c r="C45" s="79" t="str">
        <f>Inputs!I66</f>
        <v/>
      </c>
      <c r="D45" s="79">
        <f>Inputs!$F$8*$A$3*HelperFunctions!H$14</f>
        <v>0</v>
      </c>
      <c r="E45" s="79">
        <f>Inputs!$F$8*$A$4*HelperFunctions!$H$14</f>
        <v>0</v>
      </c>
      <c r="F45" s="79">
        <f>Inputs!$F$8*$A$5*HelperFunctions!$H$14</f>
        <v>0</v>
      </c>
      <c r="G45" s="79">
        <f>Inputs!$F$8*$A$6*HelperFunctions!$H$14</f>
        <v>0</v>
      </c>
      <c r="H45" s="79">
        <f>Inputs!$F$8*$A$7*HelperFunctions!$H$14</f>
        <v>0</v>
      </c>
      <c r="I45" s="79">
        <f>Inputs!$F$8*$A$8*HelperFunctions!$H$14</f>
        <v>0</v>
      </c>
      <c r="J45" s="79">
        <f>Inputs!$F$8*$A$9*HelperFunctions!$H$14</f>
        <v>0</v>
      </c>
      <c r="K45" s="79">
        <f>Inputs!$F$8*$A$10*HelperFunctions!$H$14</f>
        <v>0</v>
      </c>
      <c r="L45" s="79">
        <f>Inputs!$F$8*$A$11*HelperFunctions!$H$14</f>
        <v>0</v>
      </c>
      <c r="M45" s="79">
        <f>Inputs!$F$8*$A$12*HelperFunctions!$H$14</f>
        <v>0</v>
      </c>
      <c r="N45" s="79">
        <f>Inputs!$F$8*$A$13*HelperFunctions!$H$14</f>
        <v>0</v>
      </c>
      <c r="O45" s="79">
        <f>Inputs!$F$8*$A$14*HelperFunctions!$H$14</f>
        <v>0</v>
      </c>
      <c r="P45" s="79">
        <f>Inputs!$F$8*$A$15*HelperFunctions!$H$28</f>
        <v>0</v>
      </c>
      <c r="Q45" s="79">
        <f>Inputs!$F$8*$A$16*HelperFunctions!$H$28</f>
        <v>0</v>
      </c>
      <c r="R45" s="79">
        <f>Inputs!$F$8*$A$17*HelperFunctions!$H$28</f>
        <v>0</v>
      </c>
      <c r="S45" s="79">
        <f>Inputs!$F$8*$A$18*HelperFunctions!$H$28</f>
        <v>0</v>
      </c>
      <c r="T45" s="79">
        <f>Inputs!$F$8*$A$19*HelperFunctions!$H$28</f>
        <v>0</v>
      </c>
      <c r="U45" s="79">
        <f>Inputs!$F$8*$A$20*HelperFunctions!$H$28</f>
        <v>0</v>
      </c>
      <c r="V45" s="79">
        <f>Inputs!$F$8*$A$21*HelperFunctions!$H$28</f>
        <v>0</v>
      </c>
      <c r="W45" s="79">
        <f>Inputs!$F$8*$A$22*HelperFunctions!$H$28</f>
        <v>0</v>
      </c>
      <c r="X45" s="79">
        <f>Inputs!$F$8*$A$23*HelperFunctions!$H$28</f>
        <v>0</v>
      </c>
      <c r="Y45" s="79">
        <f>Inputs!$F$8*$A$24*HelperFunctions!$H$28</f>
        <v>0</v>
      </c>
      <c r="Z45" s="79">
        <f>Inputs!$F$8*$A$25*HelperFunctions!$H$28</f>
        <v>0</v>
      </c>
      <c r="AA45" s="79">
        <f>Inputs!$F$8*$A$26*HelperFunctions!$H$28</f>
        <v>0</v>
      </c>
      <c r="AB45" s="79">
        <f>Inputs!$F$8*$A$27*HelperFunctions!$H$42</f>
        <v>0</v>
      </c>
      <c r="AC45" s="79">
        <f>Inputs!$F$8*$A$28*HelperFunctions!$H$42</f>
        <v>0</v>
      </c>
      <c r="AD45" s="79">
        <f>Inputs!$F$8*$A$29*HelperFunctions!$H$42</f>
        <v>0</v>
      </c>
      <c r="AE45" s="79">
        <f>Inputs!$F$8*$A$30*HelperFunctions!$H$42</f>
        <v>0</v>
      </c>
      <c r="AF45" s="79">
        <f>Inputs!$F$8*$A$31*HelperFunctions!$H$42</f>
        <v>0</v>
      </c>
      <c r="AG45" s="79">
        <f>Inputs!$F$8*$A$32*HelperFunctions!$H$42</f>
        <v>0</v>
      </c>
      <c r="AH45" s="79">
        <f>Inputs!$F$8*$A$33*HelperFunctions!$H$42</f>
        <v>0</v>
      </c>
      <c r="AI45" s="79">
        <f>Inputs!$F$8*$A$34*HelperFunctions!$H$42</f>
        <v>0</v>
      </c>
      <c r="AJ45" s="79">
        <f>Inputs!$F$8*$A$35*HelperFunctions!$H41</f>
        <v>0</v>
      </c>
      <c r="AK45" s="79">
        <f>Inputs!$F$8*$A$36*HelperFunctions!$H40</f>
        <v>0</v>
      </c>
      <c r="AL45" s="79">
        <f>Inputs!$F$8*$A$37*HelperFunctions!$H39</f>
        <v>0</v>
      </c>
      <c r="AM45" s="79">
        <f>Inputs!$F$8*$A$38*HelperFunctions!$H38</f>
        <v>0</v>
      </c>
      <c r="AN45" s="79">
        <f>Inputs!$F$8*$A$39*HelperFunctions!$H51</f>
        <v>0</v>
      </c>
      <c r="AO45" s="79">
        <f>Inputs!$F$8*$A$40*HelperFunctions!$H50</f>
        <v>0</v>
      </c>
      <c r="AP45" s="79">
        <f>Inputs!$F$8*$A$41*HelperFunctions!$H49</f>
        <v>0</v>
      </c>
      <c r="AQ45" s="79">
        <f>Inputs!$F$8*$A$42*HelperFunctions!$H48</f>
        <v>0</v>
      </c>
      <c r="AR45" s="79">
        <f>Inputs!$F$8*$A$43*HelperFunctions!$H47</f>
        <v>0</v>
      </c>
      <c r="AS45" s="79">
        <f>Inputs!$F$8*$A$44*HelperFunctions!$H46</f>
        <v>0</v>
      </c>
      <c r="AT45" s="79">
        <f>Inputs!$F$8*$A$45*HelperFunctions!$H45</f>
        <v>0</v>
      </c>
      <c r="AU45" s="93"/>
      <c r="AV45" s="93"/>
      <c r="AW45" s="93"/>
      <c r="AX45" s="93"/>
      <c r="AY45" s="94"/>
      <c r="AZ45" s="93"/>
      <c r="BA45" s="93"/>
      <c r="BB45" s="93"/>
      <c r="BC45" s="93"/>
      <c r="BD45" s="93"/>
      <c r="BE45" s="93"/>
      <c r="BF45" s="93"/>
      <c r="BG45" s="93"/>
      <c r="BH45" s="93"/>
      <c r="BI45" s="93"/>
      <c r="BJ45" s="93"/>
      <c r="BK45" s="94"/>
    </row>
    <row r="46" spans="1:63" x14ac:dyDescent="0.35">
      <c r="A46" s="84"/>
      <c r="B46" s="87">
        <v>3</v>
      </c>
      <c r="C46" s="79" t="str">
        <f>Inputs!I67</f>
        <v/>
      </c>
      <c r="D46" s="79">
        <f>Inputs!$F$8*$A$3*HelperFunctions!H$14</f>
        <v>0</v>
      </c>
      <c r="E46" s="79">
        <f>Inputs!$F$8*$A$4*HelperFunctions!$H$14</f>
        <v>0</v>
      </c>
      <c r="F46" s="79">
        <f>Inputs!$F$8*$A$5*HelperFunctions!$H$14</f>
        <v>0</v>
      </c>
      <c r="G46" s="79">
        <f>Inputs!$F$8*$A$6*HelperFunctions!$H$14</f>
        <v>0</v>
      </c>
      <c r="H46" s="79">
        <f>Inputs!$F$8*$A$7*HelperFunctions!$H$14</f>
        <v>0</v>
      </c>
      <c r="I46" s="79">
        <f>Inputs!$F$8*$A$8*HelperFunctions!$H$14</f>
        <v>0</v>
      </c>
      <c r="J46" s="79">
        <f>Inputs!$F$8*$A$9*HelperFunctions!$H$14</f>
        <v>0</v>
      </c>
      <c r="K46" s="79">
        <f>Inputs!$F$8*$A$10*HelperFunctions!$H$14</f>
        <v>0</v>
      </c>
      <c r="L46" s="79">
        <f>Inputs!$F$8*$A$11*HelperFunctions!$H$14</f>
        <v>0</v>
      </c>
      <c r="M46" s="79">
        <f>Inputs!$F$8*$A$12*HelperFunctions!$H$14</f>
        <v>0</v>
      </c>
      <c r="N46" s="79">
        <f>Inputs!$F$8*$A$13*HelperFunctions!$H$14</f>
        <v>0</v>
      </c>
      <c r="O46" s="79">
        <f>Inputs!$F$8*$A$14*HelperFunctions!$H$14</f>
        <v>0</v>
      </c>
      <c r="P46" s="79">
        <f>Inputs!$F$8*$A$15*HelperFunctions!$H$28</f>
        <v>0</v>
      </c>
      <c r="Q46" s="79">
        <f>Inputs!$F$8*$A$16*HelperFunctions!$H$28</f>
        <v>0</v>
      </c>
      <c r="R46" s="79">
        <f>Inputs!$F$8*$A$17*HelperFunctions!$H$28</f>
        <v>0</v>
      </c>
      <c r="S46" s="79">
        <f>Inputs!$F$8*$A$18*HelperFunctions!$H$28</f>
        <v>0</v>
      </c>
      <c r="T46" s="79">
        <f>Inputs!$F$8*$A$19*HelperFunctions!$H$28</f>
        <v>0</v>
      </c>
      <c r="U46" s="79">
        <f>Inputs!$F$8*$A$20*HelperFunctions!$H$28</f>
        <v>0</v>
      </c>
      <c r="V46" s="79">
        <f>Inputs!$F$8*$A$21*HelperFunctions!$H$28</f>
        <v>0</v>
      </c>
      <c r="W46" s="79">
        <f>Inputs!$F$8*$A$22*HelperFunctions!$H$28</f>
        <v>0</v>
      </c>
      <c r="X46" s="79">
        <f>Inputs!$F$8*$A$23*HelperFunctions!$H$28</f>
        <v>0</v>
      </c>
      <c r="Y46" s="79">
        <f>Inputs!$F$8*$A$24*HelperFunctions!$H$28</f>
        <v>0</v>
      </c>
      <c r="Z46" s="79">
        <f>Inputs!$F$8*$A$25*HelperFunctions!$H$28</f>
        <v>0</v>
      </c>
      <c r="AA46" s="79">
        <f>Inputs!$F$8*$A$26*HelperFunctions!$H$28</f>
        <v>0</v>
      </c>
      <c r="AB46" s="79">
        <f>Inputs!$F$8*$A$27*HelperFunctions!$H$42</f>
        <v>0</v>
      </c>
      <c r="AC46" s="79">
        <f>Inputs!$F$8*$A$28*HelperFunctions!$H$42</f>
        <v>0</v>
      </c>
      <c r="AD46" s="79">
        <f>Inputs!$F$8*$A$29*HelperFunctions!$H$42</f>
        <v>0</v>
      </c>
      <c r="AE46" s="79">
        <f>Inputs!$F$8*$A$30*HelperFunctions!$H$42</f>
        <v>0</v>
      </c>
      <c r="AF46" s="79">
        <f>Inputs!$F$8*$A$31*HelperFunctions!$H$42</f>
        <v>0</v>
      </c>
      <c r="AG46" s="79">
        <f>Inputs!$F$8*$A$32*HelperFunctions!$H$42</f>
        <v>0</v>
      </c>
      <c r="AH46" s="79">
        <f>Inputs!$F$8*$A$33*HelperFunctions!$H$42</f>
        <v>0</v>
      </c>
      <c r="AI46" s="79">
        <f>Inputs!$F$8*$A$34*HelperFunctions!$H$42</f>
        <v>0</v>
      </c>
      <c r="AJ46" s="79">
        <f>Inputs!$F$8*$A$35*HelperFunctions!$H$42</f>
        <v>0</v>
      </c>
      <c r="AK46" s="79">
        <f>Inputs!$F$8*$A$36*HelperFunctions!$H41</f>
        <v>0</v>
      </c>
      <c r="AL46" s="79">
        <f>Inputs!$F$8*$A$37*HelperFunctions!$H40</f>
        <v>0</v>
      </c>
      <c r="AM46" s="79">
        <f>Inputs!$F$8*$A$38*HelperFunctions!$H39</f>
        <v>0</v>
      </c>
      <c r="AN46" s="79">
        <f>Inputs!$F$8*$A$39*HelperFunctions!$H52</f>
        <v>0</v>
      </c>
      <c r="AO46" s="79">
        <f>Inputs!$F$8*$A$40*HelperFunctions!$H51</f>
        <v>0</v>
      </c>
      <c r="AP46" s="79">
        <f>Inputs!$F$8*$A$41*HelperFunctions!$H50</f>
        <v>0</v>
      </c>
      <c r="AQ46" s="79">
        <f>Inputs!$F$8*$A$42*HelperFunctions!$H49</f>
        <v>0</v>
      </c>
      <c r="AR46" s="79">
        <f>Inputs!$F$8*$A$43*HelperFunctions!$H48</f>
        <v>0</v>
      </c>
      <c r="AS46" s="79">
        <f>Inputs!$F$8*$A$44*HelperFunctions!$H47</f>
        <v>0</v>
      </c>
      <c r="AT46" s="79">
        <f>Inputs!$F$8*$A$45*HelperFunctions!$H46</f>
        <v>0</v>
      </c>
      <c r="AU46" s="79">
        <f>Inputs!$F$8*$A$46*HelperFunctions!$H45</f>
        <v>0</v>
      </c>
      <c r="AV46" s="93"/>
      <c r="AW46" s="93"/>
      <c r="AX46" s="93"/>
      <c r="AY46" s="94"/>
      <c r="AZ46" s="93"/>
      <c r="BA46" s="93"/>
      <c r="BB46" s="93"/>
      <c r="BC46" s="93"/>
      <c r="BD46" s="93"/>
      <c r="BE46" s="93"/>
      <c r="BF46" s="93"/>
      <c r="BG46" s="93"/>
      <c r="BH46" s="93"/>
      <c r="BI46" s="93"/>
      <c r="BJ46" s="93"/>
      <c r="BK46" s="94"/>
    </row>
    <row r="47" spans="1:63" x14ac:dyDescent="0.35">
      <c r="A47" s="84"/>
      <c r="B47" s="87">
        <v>3</v>
      </c>
      <c r="C47" s="79" t="str">
        <f>Inputs!I68</f>
        <v/>
      </c>
      <c r="D47" s="79">
        <f>Inputs!$F$8*$A$3*HelperFunctions!H$14</f>
        <v>0</v>
      </c>
      <c r="E47" s="79">
        <f>Inputs!$F$8*$A$4*HelperFunctions!$H$14</f>
        <v>0</v>
      </c>
      <c r="F47" s="79">
        <f>Inputs!$F$8*$A$5*HelperFunctions!$H$14</f>
        <v>0</v>
      </c>
      <c r="G47" s="79">
        <f>Inputs!$F$8*$A$6*HelperFunctions!$H$14</f>
        <v>0</v>
      </c>
      <c r="H47" s="79">
        <f>Inputs!$F$8*$A$7*HelperFunctions!$H$14</f>
        <v>0</v>
      </c>
      <c r="I47" s="79">
        <f>Inputs!$F$8*$A$8*HelperFunctions!$H$14</f>
        <v>0</v>
      </c>
      <c r="J47" s="79">
        <f>Inputs!$F$8*$A$9*HelperFunctions!$H$14</f>
        <v>0</v>
      </c>
      <c r="K47" s="79">
        <f>Inputs!$F$8*$A$10*HelperFunctions!$H$14</f>
        <v>0</v>
      </c>
      <c r="L47" s="79">
        <f>Inputs!$F$8*$A$11*HelperFunctions!$H$14</f>
        <v>0</v>
      </c>
      <c r="M47" s="79">
        <f>Inputs!$F$8*$A$12*HelperFunctions!$H$14</f>
        <v>0</v>
      </c>
      <c r="N47" s="79">
        <f>Inputs!$F$8*$A$13*HelperFunctions!$H$14</f>
        <v>0</v>
      </c>
      <c r="O47" s="79">
        <f>Inputs!$F$8*$A$14*HelperFunctions!$H$14</f>
        <v>0</v>
      </c>
      <c r="P47" s="79">
        <f>Inputs!$F$8*$A$15*HelperFunctions!$H$28</f>
        <v>0</v>
      </c>
      <c r="Q47" s="79">
        <f>Inputs!$F$8*$A$16*HelperFunctions!$H$28</f>
        <v>0</v>
      </c>
      <c r="R47" s="79">
        <f>Inputs!$F$8*$A$17*HelperFunctions!$H$28</f>
        <v>0</v>
      </c>
      <c r="S47" s="79">
        <f>Inputs!$F$8*$A$18*HelperFunctions!$H$28</f>
        <v>0</v>
      </c>
      <c r="T47" s="79">
        <f>Inputs!$F$8*$A$19*HelperFunctions!$H$28</f>
        <v>0</v>
      </c>
      <c r="U47" s="79">
        <f>Inputs!$F$8*$A$20*HelperFunctions!$H$28</f>
        <v>0</v>
      </c>
      <c r="V47" s="79">
        <f>Inputs!$F$8*$A$21*HelperFunctions!$H$28</f>
        <v>0</v>
      </c>
      <c r="W47" s="79">
        <f>Inputs!$F$8*$A$22*HelperFunctions!$H$28</f>
        <v>0</v>
      </c>
      <c r="X47" s="79">
        <f>Inputs!$F$8*$A$23*HelperFunctions!$H$28</f>
        <v>0</v>
      </c>
      <c r="Y47" s="79">
        <f>Inputs!$F$8*$A$24*HelperFunctions!$H$28</f>
        <v>0</v>
      </c>
      <c r="Z47" s="79">
        <f>Inputs!$F$8*$A$25*HelperFunctions!$H$28</f>
        <v>0</v>
      </c>
      <c r="AA47" s="79">
        <f>Inputs!$F$8*$A$26*HelperFunctions!$H$28</f>
        <v>0</v>
      </c>
      <c r="AB47" s="79">
        <f>Inputs!$F$8*$A$27*HelperFunctions!$H$42</f>
        <v>0</v>
      </c>
      <c r="AC47" s="79">
        <f>Inputs!$F$8*$A$28*HelperFunctions!$H$42</f>
        <v>0</v>
      </c>
      <c r="AD47" s="79">
        <f>Inputs!$F$8*$A$29*HelperFunctions!$H$42</f>
        <v>0</v>
      </c>
      <c r="AE47" s="79">
        <f>Inputs!$F$8*$A$30*HelperFunctions!$H$42</f>
        <v>0</v>
      </c>
      <c r="AF47" s="79">
        <f>Inputs!$F$8*$A$31*HelperFunctions!$H$42</f>
        <v>0</v>
      </c>
      <c r="AG47" s="79">
        <f>Inputs!$F$8*$A$32*HelperFunctions!$H$42</f>
        <v>0</v>
      </c>
      <c r="AH47" s="79">
        <f>Inputs!$F$8*$A$33*HelperFunctions!$H$42</f>
        <v>0</v>
      </c>
      <c r="AI47" s="79">
        <f>Inputs!$F$8*$A$34*HelperFunctions!$H$42</f>
        <v>0</v>
      </c>
      <c r="AJ47" s="79">
        <f>Inputs!$F$8*$A$35*HelperFunctions!$H$42</f>
        <v>0</v>
      </c>
      <c r="AK47" s="79">
        <f>Inputs!$F$8*$A$36*HelperFunctions!$H$42</f>
        <v>0</v>
      </c>
      <c r="AL47" s="79">
        <f>Inputs!$F$8*$A$37*HelperFunctions!$H41</f>
        <v>0</v>
      </c>
      <c r="AM47" s="79">
        <f>Inputs!$F$8*$A$38*HelperFunctions!$H40</f>
        <v>0</v>
      </c>
      <c r="AN47" s="79">
        <f>Inputs!$F$8*$A$39*HelperFunctions!$H53</f>
        <v>0</v>
      </c>
      <c r="AO47" s="79">
        <f>Inputs!$F$8*$A$40*HelperFunctions!$H52</f>
        <v>0</v>
      </c>
      <c r="AP47" s="79">
        <f>Inputs!$F$8*$A$41*HelperFunctions!$H51</f>
        <v>0</v>
      </c>
      <c r="AQ47" s="79">
        <f>Inputs!$F$8*$A$42*HelperFunctions!$H50</f>
        <v>0</v>
      </c>
      <c r="AR47" s="79">
        <f>Inputs!$F$8*$A$43*HelperFunctions!$H49</f>
        <v>0</v>
      </c>
      <c r="AS47" s="79">
        <f>Inputs!$F$8*$A$44*HelperFunctions!$H48</f>
        <v>0</v>
      </c>
      <c r="AT47" s="79">
        <f>Inputs!$F$8*$A$45*HelperFunctions!$H47</f>
        <v>0</v>
      </c>
      <c r="AU47" s="79">
        <f>Inputs!$F$8*$A$46*HelperFunctions!$H46</f>
        <v>0</v>
      </c>
      <c r="AV47" s="79">
        <f>Inputs!$F$8*$A$47*HelperFunctions!$H45</f>
        <v>0</v>
      </c>
      <c r="AW47" s="93"/>
      <c r="AX47" s="93"/>
      <c r="AY47" s="94"/>
      <c r="AZ47" s="93"/>
      <c r="BA47" s="93"/>
      <c r="BB47" s="93"/>
      <c r="BC47" s="93"/>
      <c r="BD47" s="93"/>
      <c r="BE47" s="93"/>
      <c r="BF47" s="93"/>
      <c r="BG47" s="93"/>
      <c r="BH47" s="93"/>
      <c r="BI47" s="93"/>
      <c r="BJ47" s="93"/>
      <c r="BK47" s="94"/>
    </row>
    <row r="48" spans="1:63" x14ac:dyDescent="0.35">
      <c r="A48" s="84"/>
      <c r="B48" s="87">
        <v>3</v>
      </c>
      <c r="C48" s="79" t="str">
        <f>Inputs!I69</f>
        <v/>
      </c>
      <c r="D48" s="79">
        <f>Inputs!$F$8*$A$3*HelperFunctions!H$14</f>
        <v>0</v>
      </c>
      <c r="E48" s="79">
        <f>Inputs!$F$8*$A$4*HelperFunctions!$H$14</f>
        <v>0</v>
      </c>
      <c r="F48" s="79">
        <f>Inputs!$F$8*$A$5*HelperFunctions!$H$14</f>
        <v>0</v>
      </c>
      <c r="G48" s="79">
        <f>Inputs!$F$8*$A$6*HelperFunctions!$H$14</f>
        <v>0</v>
      </c>
      <c r="H48" s="79">
        <f>Inputs!$F$8*$A$7*HelperFunctions!$H$14</f>
        <v>0</v>
      </c>
      <c r="I48" s="79">
        <f>Inputs!$F$8*$A$8*HelperFunctions!$H$14</f>
        <v>0</v>
      </c>
      <c r="J48" s="79">
        <f>Inputs!$F$8*$A$9*HelperFunctions!$H$14</f>
        <v>0</v>
      </c>
      <c r="K48" s="79">
        <f>Inputs!$F$8*$A$10*HelperFunctions!$H$14</f>
        <v>0</v>
      </c>
      <c r="L48" s="79">
        <f>Inputs!$F$8*$A$11*HelperFunctions!$H$14</f>
        <v>0</v>
      </c>
      <c r="M48" s="79">
        <f>Inputs!$F$8*$A$12*HelperFunctions!$H$14</f>
        <v>0</v>
      </c>
      <c r="N48" s="79">
        <f>Inputs!$F$8*$A$13*HelperFunctions!$H$14</f>
        <v>0</v>
      </c>
      <c r="O48" s="79">
        <f>Inputs!$F$8*$A$14*HelperFunctions!$H$14</f>
        <v>0</v>
      </c>
      <c r="P48" s="79">
        <f>Inputs!$F$8*$A$15*HelperFunctions!$H$28</f>
        <v>0</v>
      </c>
      <c r="Q48" s="79">
        <f>Inputs!$F$8*$A$16*HelperFunctions!$H$28</f>
        <v>0</v>
      </c>
      <c r="R48" s="79">
        <f>Inputs!$F$8*$A$17*HelperFunctions!$H$28</f>
        <v>0</v>
      </c>
      <c r="S48" s="79">
        <f>Inputs!$F$8*$A$18*HelperFunctions!$H$28</f>
        <v>0</v>
      </c>
      <c r="T48" s="79">
        <f>Inputs!$F$8*$A$19*HelperFunctions!$H$28</f>
        <v>0</v>
      </c>
      <c r="U48" s="79">
        <f>Inputs!$F$8*$A$20*HelperFunctions!$H$28</f>
        <v>0</v>
      </c>
      <c r="V48" s="79">
        <f>Inputs!$F$8*$A$21*HelperFunctions!$H$28</f>
        <v>0</v>
      </c>
      <c r="W48" s="79">
        <f>Inputs!$F$8*$A$22*HelperFunctions!$H$28</f>
        <v>0</v>
      </c>
      <c r="X48" s="79">
        <f>Inputs!$F$8*$A$23*HelperFunctions!$H$28</f>
        <v>0</v>
      </c>
      <c r="Y48" s="79">
        <f>Inputs!$F$8*$A$24*HelperFunctions!$H$28</f>
        <v>0</v>
      </c>
      <c r="Z48" s="79">
        <f>Inputs!$F$8*$A$25*HelperFunctions!$H$28</f>
        <v>0</v>
      </c>
      <c r="AA48" s="79">
        <f>Inputs!$F$8*$A$26*HelperFunctions!$H$28</f>
        <v>0</v>
      </c>
      <c r="AB48" s="79">
        <f>Inputs!$F$8*$A$27*HelperFunctions!$H$42</f>
        <v>0</v>
      </c>
      <c r="AC48" s="79">
        <f>Inputs!$F$8*$A$28*HelperFunctions!$H$42</f>
        <v>0</v>
      </c>
      <c r="AD48" s="79">
        <f>Inputs!$F$8*$A$29*HelperFunctions!$H$42</f>
        <v>0</v>
      </c>
      <c r="AE48" s="79">
        <f>Inputs!$F$8*$A$30*HelperFunctions!$H$42</f>
        <v>0</v>
      </c>
      <c r="AF48" s="79">
        <f>Inputs!$F$8*$A$31*HelperFunctions!$H$42</f>
        <v>0</v>
      </c>
      <c r="AG48" s="79">
        <f>Inputs!$F$8*$A$32*HelperFunctions!$H$42</f>
        <v>0</v>
      </c>
      <c r="AH48" s="79">
        <f>Inputs!$F$8*$A$33*HelperFunctions!$H$42</f>
        <v>0</v>
      </c>
      <c r="AI48" s="79">
        <f>Inputs!$F$8*$A$34*HelperFunctions!$H$42</f>
        <v>0</v>
      </c>
      <c r="AJ48" s="79">
        <f>Inputs!$F$8*$A$35*HelperFunctions!$H$42</f>
        <v>0</v>
      </c>
      <c r="AK48" s="79">
        <f>Inputs!$F$8*$A$36*HelperFunctions!$H$42</f>
        <v>0</v>
      </c>
      <c r="AL48" s="79">
        <f>Inputs!$F$8*$A$37*HelperFunctions!$H$42</f>
        <v>0</v>
      </c>
      <c r="AM48" s="79">
        <f>Inputs!$F$8*$A$38*HelperFunctions!$H41</f>
        <v>0</v>
      </c>
      <c r="AN48" s="79">
        <f>Inputs!$F$8*$A$39*HelperFunctions!$H54</f>
        <v>0</v>
      </c>
      <c r="AO48" s="79">
        <f>Inputs!$F$8*$A$40*HelperFunctions!$H53</f>
        <v>0</v>
      </c>
      <c r="AP48" s="79">
        <f>Inputs!$F$8*$A$41*HelperFunctions!$H52</f>
        <v>0</v>
      </c>
      <c r="AQ48" s="79">
        <f>Inputs!$F$8*$A$42*HelperFunctions!$H51</f>
        <v>0</v>
      </c>
      <c r="AR48" s="79">
        <f>Inputs!$F$8*$A$43*HelperFunctions!$H50</f>
        <v>0</v>
      </c>
      <c r="AS48" s="79">
        <f>Inputs!$F$8*$A$44*HelperFunctions!$H49</f>
        <v>0</v>
      </c>
      <c r="AT48" s="79">
        <f>Inputs!$F$8*$A$45*HelperFunctions!$H48</f>
        <v>0</v>
      </c>
      <c r="AU48" s="79">
        <f>Inputs!$F$8*$A$46*HelperFunctions!$H47</f>
        <v>0</v>
      </c>
      <c r="AV48" s="79">
        <f>Inputs!$F$8*$A$47*HelperFunctions!$H46</f>
        <v>0</v>
      </c>
      <c r="AW48" s="79">
        <f>Inputs!$F$8*$A$48*HelperFunctions!$H45</f>
        <v>0</v>
      </c>
      <c r="AX48" s="93"/>
      <c r="AY48" s="94"/>
      <c r="AZ48" s="93"/>
      <c r="BA48" s="93"/>
      <c r="BB48" s="93"/>
      <c r="BC48" s="93"/>
      <c r="BD48" s="93"/>
      <c r="BE48" s="93"/>
      <c r="BF48" s="93"/>
      <c r="BG48" s="93"/>
      <c r="BH48" s="93"/>
      <c r="BI48" s="93"/>
      <c r="BJ48" s="93"/>
      <c r="BK48" s="94"/>
    </row>
    <row r="49" spans="1:63" x14ac:dyDescent="0.35">
      <c r="A49" s="84"/>
      <c r="B49" s="87">
        <v>3</v>
      </c>
      <c r="C49" s="79" t="str">
        <f>Inputs!I70</f>
        <v/>
      </c>
      <c r="D49" s="79">
        <f>Inputs!$F$8*$A$3*HelperFunctions!H$14</f>
        <v>0</v>
      </c>
      <c r="E49" s="79">
        <f>Inputs!$F$8*$A$4*HelperFunctions!$H$14</f>
        <v>0</v>
      </c>
      <c r="F49" s="79">
        <f>Inputs!$F$8*$A$5*HelperFunctions!$H$14</f>
        <v>0</v>
      </c>
      <c r="G49" s="79">
        <f>Inputs!$F$8*$A$6*HelperFunctions!$H$14</f>
        <v>0</v>
      </c>
      <c r="H49" s="79">
        <f>Inputs!$F$8*$A$7*HelperFunctions!$H$14</f>
        <v>0</v>
      </c>
      <c r="I49" s="79">
        <f>Inputs!$F$8*$A$8*HelperFunctions!$H$14</f>
        <v>0</v>
      </c>
      <c r="J49" s="79">
        <f>Inputs!$F$8*$A$9*HelperFunctions!$H$14</f>
        <v>0</v>
      </c>
      <c r="K49" s="79">
        <f>Inputs!$F$8*$A$10*HelperFunctions!$H$14</f>
        <v>0</v>
      </c>
      <c r="L49" s="79">
        <f>Inputs!$F$8*$A$11*HelperFunctions!$H$14</f>
        <v>0</v>
      </c>
      <c r="M49" s="79">
        <f>Inputs!$F$8*$A$12*HelperFunctions!$H$14</f>
        <v>0</v>
      </c>
      <c r="N49" s="79">
        <f>Inputs!$F$8*$A$13*HelperFunctions!$H$14</f>
        <v>0</v>
      </c>
      <c r="O49" s="79">
        <f>Inputs!$F$8*$A$14*HelperFunctions!$H$14</f>
        <v>0</v>
      </c>
      <c r="P49" s="79">
        <f>Inputs!$F$8*$A$15*HelperFunctions!$H$28</f>
        <v>0</v>
      </c>
      <c r="Q49" s="79">
        <f>Inputs!$F$8*$A$16*HelperFunctions!$H$28</f>
        <v>0</v>
      </c>
      <c r="R49" s="79">
        <f>Inputs!$F$8*$A$17*HelperFunctions!$H$28</f>
        <v>0</v>
      </c>
      <c r="S49" s="79">
        <f>Inputs!$F$8*$A$18*HelperFunctions!$H$28</f>
        <v>0</v>
      </c>
      <c r="T49" s="79">
        <f>Inputs!$F$8*$A$19*HelperFunctions!$H$28</f>
        <v>0</v>
      </c>
      <c r="U49" s="79">
        <f>Inputs!$F$8*$A$20*HelperFunctions!$H$28</f>
        <v>0</v>
      </c>
      <c r="V49" s="79">
        <f>Inputs!$F$8*$A$21*HelperFunctions!$H$28</f>
        <v>0</v>
      </c>
      <c r="W49" s="79">
        <f>Inputs!$F$8*$A$22*HelperFunctions!$H$28</f>
        <v>0</v>
      </c>
      <c r="X49" s="79">
        <f>Inputs!$F$8*$A$23*HelperFunctions!$H$28</f>
        <v>0</v>
      </c>
      <c r="Y49" s="79">
        <f>Inputs!$F$8*$A$24*HelperFunctions!$H$28</f>
        <v>0</v>
      </c>
      <c r="Z49" s="79">
        <f>Inputs!$F$8*$A$25*HelperFunctions!$H$28</f>
        <v>0</v>
      </c>
      <c r="AA49" s="79">
        <f>Inputs!$F$8*$A$26*HelperFunctions!$H$28</f>
        <v>0</v>
      </c>
      <c r="AB49" s="79">
        <f>Inputs!$F$8*$A$27*HelperFunctions!$H$42</f>
        <v>0</v>
      </c>
      <c r="AC49" s="79">
        <f>Inputs!$F$8*$A$28*HelperFunctions!$H$42</f>
        <v>0</v>
      </c>
      <c r="AD49" s="79">
        <f>Inputs!$F$8*$A$29*HelperFunctions!$H$42</f>
        <v>0</v>
      </c>
      <c r="AE49" s="79">
        <f>Inputs!$F$8*$A$30*HelperFunctions!$H$42</f>
        <v>0</v>
      </c>
      <c r="AF49" s="79">
        <f>Inputs!$F$8*$A$31*HelperFunctions!$H$42</f>
        <v>0</v>
      </c>
      <c r="AG49" s="79">
        <f>Inputs!$F$8*$A$32*HelperFunctions!$H$42</f>
        <v>0</v>
      </c>
      <c r="AH49" s="79">
        <f>Inputs!$F$8*$A$33*HelperFunctions!$H$42</f>
        <v>0</v>
      </c>
      <c r="AI49" s="79">
        <f>Inputs!$F$8*$A$34*HelperFunctions!$H$42</f>
        <v>0</v>
      </c>
      <c r="AJ49" s="79">
        <f>Inputs!$F$8*$A$35*HelperFunctions!$H$42</f>
        <v>0</v>
      </c>
      <c r="AK49" s="79">
        <f>Inputs!$F$8*$A$36*HelperFunctions!$H$42</f>
        <v>0</v>
      </c>
      <c r="AL49" s="79">
        <f>Inputs!$F$8*$A$37*HelperFunctions!$H$42</f>
        <v>0</v>
      </c>
      <c r="AM49" s="79">
        <f>Inputs!$F$8*$A$38*HelperFunctions!$H$42</f>
        <v>0</v>
      </c>
      <c r="AN49" s="79">
        <f>Inputs!$F$8*$A$39*HelperFunctions!$H55</f>
        <v>0</v>
      </c>
      <c r="AO49" s="79">
        <f>Inputs!$F$8*$A$40*HelperFunctions!$H54</f>
        <v>0</v>
      </c>
      <c r="AP49" s="79">
        <f>Inputs!$F$8*$A$41*HelperFunctions!$H53</f>
        <v>0</v>
      </c>
      <c r="AQ49" s="79">
        <f>Inputs!$F$8*$A$42*HelperFunctions!$H52</f>
        <v>0</v>
      </c>
      <c r="AR49" s="79">
        <f>Inputs!$F$8*$A$43*HelperFunctions!$H51</f>
        <v>0</v>
      </c>
      <c r="AS49" s="79">
        <f>Inputs!$F$8*$A$44*HelperFunctions!$H50</f>
        <v>0</v>
      </c>
      <c r="AT49" s="79">
        <f>Inputs!$F$8*$A$45*HelperFunctions!$H49</f>
        <v>0</v>
      </c>
      <c r="AU49" s="79">
        <f>Inputs!$F$8*$A$46*HelperFunctions!$H48</f>
        <v>0</v>
      </c>
      <c r="AV49" s="79">
        <f>Inputs!$F$8*$A$47*HelperFunctions!$H47</f>
        <v>0</v>
      </c>
      <c r="AW49" s="79">
        <f>Inputs!$F$8*$A$48*HelperFunctions!$H46</f>
        <v>0</v>
      </c>
      <c r="AX49" s="79">
        <f>Inputs!$F$8*$A$49*HelperFunctions!$H45</f>
        <v>0</v>
      </c>
      <c r="AY49" s="94"/>
      <c r="AZ49" s="93"/>
      <c r="BA49" s="93"/>
      <c r="BB49" s="93"/>
      <c r="BC49" s="93"/>
      <c r="BD49" s="93"/>
      <c r="BE49" s="93"/>
      <c r="BF49" s="93"/>
      <c r="BG49" s="93"/>
      <c r="BH49" s="93"/>
      <c r="BI49" s="93"/>
      <c r="BJ49" s="93"/>
      <c r="BK49" s="94"/>
    </row>
    <row r="50" spans="1:63" ht="15.75" customHeight="1" x14ac:dyDescent="0.35">
      <c r="A50" s="84"/>
      <c r="B50" s="88">
        <v>3</v>
      </c>
      <c r="C50" s="89" t="str">
        <f>Inputs!I71</f>
        <v/>
      </c>
      <c r="D50" s="89">
        <f>Inputs!$F$8*$A$3*HelperFunctions!H$14</f>
        <v>0</v>
      </c>
      <c r="E50" s="89">
        <f>Inputs!$F$8*$A$4*HelperFunctions!$H$14</f>
        <v>0</v>
      </c>
      <c r="F50" s="89">
        <f>Inputs!$F$8*$A$5*HelperFunctions!$H$14</f>
        <v>0</v>
      </c>
      <c r="G50" s="89">
        <f>Inputs!$F$8*$A$6*HelperFunctions!$H$14</f>
        <v>0</v>
      </c>
      <c r="H50" s="89">
        <f>Inputs!$F$8*$A$7*HelperFunctions!$H$14</f>
        <v>0</v>
      </c>
      <c r="I50" s="89">
        <f>Inputs!$F$8*$A$8*HelperFunctions!$H$14</f>
        <v>0</v>
      </c>
      <c r="J50" s="89">
        <f>Inputs!$F$8*$A$9*HelperFunctions!$H$14</f>
        <v>0</v>
      </c>
      <c r="K50" s="89">
        <f>Inputs!$F$8*$A$10*HelperFunctions!$H$14</f>
        <v>0</v>
      </c>
      <c r="L50" s="89">
        <f>Inputs!$F$8*$A$11*HelperFunctions!$H$14</f>
        <v>0</v>
      </c>
      <c r="M50" s="89">
        <f>Inputs!$F$8*$A$12*HelperFunctions!$H$14</f>
        <v>0</v>
      </c>
      <c r="N50" s="89">
        <f>Inputs!$F$8*$A$13*HelperFunctions!$H$14</f>
        <v>0</v>
      </c>
      <c r="O50" s="89">
        <f>Inputs!$F$8*$A$14*HelperFunctions!$H$14</f>
        <v>0</v>
      </c>
      <c r="P50" s="89">
        <f>Inputs!$F$8*$A$15*HelperFunctions!$H$28</f>
        <v>0</v>
      </c>
      <c r="Q50" s="89">
        <f>Inputs!$F$8*$A$16*HelperFunctions!$H$28</f>
        <v>0</v>
      </c>
      <c r="R50" s="89">
        <f>Inputs!$F$8*$A$17*HelperFunctions!$H$28</f>
        <v>0</v>
      </c>
      <c r="S50" s="89">
        <f>Inputs!$F$8*$A$18*HelperFunctions!$H$28</f>
        <v>0</v>
      </c>
      <c r="T50" s="89">
        <f>Inputs!$F$8*$A$19*HelperFunctions!$H$28</f>
        <v>0</v>
      </c>
      <c r="U50" s="89">
        <f>Inputs!$F$8*$A$20*HelperFunctions!$H$28</f>
        <v>0</v>
      </c>
      <c r="V50" s="89">
        <f>Inputs!$F$8*$A$21*HelperFunctions!$H$28</f>
        <v>0</v>
      </c>
      <c r="W50" s="89">
        <f>Inputs!$F$8*$A$22*HelperFunctions!$H$28</f>
        <v>0</v>
      </c>
      <c r="X50" s="89">
        <f>Inputs!$F$8*$A$23*HelperFunctions!$H$28</f>
        <v>0</v>
      </c>
      <c r="Y50" s="89">
        <f>Inputs!$F$8*$A$24*HelperFunctions!$H$28</f>
        <v>0</v>
      </c>
      <c r="Z50" s="89">
        <f>Inputs!$F$8*$A$25*HelperFunctions!$H$28</f>
        <v>0</v>
      </c>
      <c r="AA50" s="89">
        <f>Inputs!$F$8*$A$26*HelperFunctions!$H$28</f>
        <v>0</v>
      </c>
      <c r="AB50" s="89">
        <f>Inputs!$F$8*$A$27*HelperFunctions!$H$42</f>
        <v>0</v>
      </c>
      <c r="AC50" s="89">
        <f>Inputs!$F$8*$A$28*HelperFunctions!$H$42</f>
        <v>0</v>
      </c>
      <c r="AD50" s="89">
        <f>Inputs!$F$8*$A$29*HelperFunctions!$H$42</f>
        <v>0</v>
      </c>
      <c r="AE50" s="89">
        <f>Inputs!$F$8*$A$30*HelperFunctions!$H$42</f>
        <v>0</v>
      </c>
      <c r="AF50" s="89">
        <f>Inputs!$F$8*$A$31*HelperFunctions!$H$42</f>
        <v>0</v>
      </c>
      <c r="AG50" s="89">
        <f>Inputs!$F$8*$A$32*HelperFunctions!$H$42</f>
        <v>0</v>
      </c>
      <c r="AH50" s="89">
        <f>Inputs!$F$8*$A$33*HelperFunctions!$H$42</f>
        <v>0</v>
      </c>
      <c r="AI50" s="89">
        <f>Inputs!$F$8*$A$34*HelperFunctions!$H$42</f>
        <v>0</v>
      </c>
      <c r="AJ50" s="89">
        <f>Inputs!$F$8*$A$35*HelperFunctions!$H$42</f>
        <v>0</v>
      </c>
      <c r="AK50" s="89">
        <f>Inputs!$F$8*$A$36*HelperFunctions!$H$42</f>
        <v>0</v>
      </c>
      <c r="AL50" s="89">
        <f>Inputs!$F$8*$A$37*HelperFunctions!$H$42</f>
        <v>0</v>
      </c>
      <c r="AM50" s="89">
        <f>Inputs!$F$8*$A$38*HelperFunctions!$H$42</f>
        <v>0</v>
      </c>
      <c r="AN50" s="89">
        <f>Inputs!$F$8*$A$39*HelperFunctions!$H$56</f>
        <v>0</v>
      </c>
      <c r="AO50" s="89">
        <f>Inputs!$F$8*$A$40*HelperFunctions!$H55</f>
        <v>0</v>
      </c>
      <c r="AP50" s="89">
        <f>Inputs!$F$8*$A$41*HelperFunctions!$H54</f>
        <v>0</v>
      </c>
      <c r="AQ50" s="89">
        <f>Inputs!$F$8*$A$42*HelperFunctions!$H53</f>
        <v>0</v>
      </c>
      <c r="AR50" s="89">
        <f>Inputs!$F$8*$A$43*HelperFunctions!$H52</f>
        <v>0</v>
      </c>
      <c r="AS50" s="89">
        <f>Inputs!$F$8*$A$44*HelperFunctions!$H51</f>
        <v>0</v>
      </c>
      <c r="AT50" s="89">
        <f>Inputs!$F$8*$A$45*HelperFunctions!$H50</f>
        <v>0</v>
      </c>
      <c r="AU50" s="89">
        <f>Inputs!$F$8*$A$46*HelperFunctions!$H49</f>
        <v>0</v>
      </c>
      <c r="AV50" s="89">
        <f>Inputs!$F$8*$A$47*HelperFunctions!$H48</f>
        <v>0</v>
      </c>
      <c r="AW50" s="89">
        <f>Inputs!$F$8*$A$48*HelperFunctions!$H47</f>
        <v>0</v>
      </c>
      <c r="AX50" s="89">
        <f>Inputs!$F$8*$A$49*HelperFunctions!$H46</f>
        <v>0</v>
      </c>
      <c r="AY50" s="90">
        <f>Inputs!$F$8*$A$50*HelperFunctions!$H45</f>
        <v>0</v>
      </c>
      <c r="AZ50" s="93"/>
      <c r="BA50" s="93"/>
      <c r="BB50" s="93"/>
      <c r="BC50" s="93"/>
      <c r="BD50" s="93"/>
      <c r="BE50" s="93"/>
      <c r="BF50" s="93"/>
      <c r="BG50" s="93"/>
      <c r="BH50" s="93"/>
      <c r="BI50" s="93"/>
      <c r="BJ50" s="93"/>
      <c r="BK50" s="94"/>
    </row>
    <row r="51" spans="1:63" x14ac:dyDescent="0.35">
      <c r="A51" s="84"/>
      <c r="B51" s="87">
        <v>4</v>
      </c>
      <c r="C51" s="79" t="str">
        <f>Inputs!I72</f>
        <v/>
      </c>
      <c r="D51" s="79">
        <f>Inputs!$F$8*$A$3*HelperFunctions!H$14</f>
        <v>0</v>
      </c>
      <c r="E51" s="79">
        <f>Inputs!$F$8*$A$4*HelperFunctions!$H$14</f>
        <v>0</v>
      </c>
      <c r="F51" s="79">
        <f>Inputs!$F$8*$A$5*HelperFunctions!$H$14</f>
        <v>0</v>
      </c>
      <c r="G51" s="79">
        <f>Inputs!$F$8*$A$6*HelperFunctions!$H$14</f>
        <v>0</v>
      </c>
      <c r="H51" s="79">
        <f>Inputs!$F$8*$A$7*HelperFunctions!$H$14</f>
        <v>0</v>
      </c>
      <c r="I51" s="79">
        <f>Inputs!$F$8*$A$8*HelperFunctions!$H$14</f>
        <v>0</v>
      </c>
      <c r="J51" s="79">
        <f>Inputs!$F$8*$A$9*HelperFunctions!$H$14</f>
        <v>0</v>
      </c>
      <c r="K51" s="79">
        <f>Inputs!$F$8*$A$10*HelperFunctions!$H$14</f>
        <v>0</v>
      </c>
      <c r="L51" s="79">
        <f>Inputs!$F$8*$A$11*HelperFunctions!$H$14</f>
        <v>0</v>
      </c>
      <c r="M51" s="79">
        <f>Inputs!$F$8*$A$12*HelperFunctions!$H$14</f>
        <v>0</v>
      </c>
      <c r="N51" s="79">
        <f>Inputs!$F$8*$A$13*HelperFunctions!$H$14</f>
        <v>0</v>
      </c>
      <c r="O51" s="79">
        <f>Inputs!$F$8*$A$14*HelperFunctions!$H$14</f>
        <v>0</v>
      </c>
      <c r="P51" s="79">
        <f>Inputs!$F$8*$A$15*HelperFunctions!$H$28</f>
        <v>0</v>
      </c>
      <c r="Q51" s="79">
        <f>Inputs!$F$8*$A$16*HelperFunctions!$H$28</f>
        <v>0</v>
      </c>
      <c r="R51" s="79">
        <f>Inputs!$F$8*$A$17*HelperFunctions!$H$28</f>
        <v>0</v>
      </c>
      <c r="S51" s="79">
        <f>Inputs!$F$8*$A$18*HelperFunctions!$H$28</f>
        <v>0</v>
      </c>
      <c r="T51" s="79">
        <f>Inputs!$F$8*$A$19*HelperFunctions!$H$28</f>
        <v>0</v>
      </c>
      <c r="U51" s="79">
        <f>Inputs!$F$8*$A$20*HelperFunctions!$H$28</f>
        <v>0</v>
      </c>
      <c r="V51" s="79">
        <f>Inputs!$F$8*$A$21*HelperFunctions!$H$28</f>
        <v>0</v>
      </c>
      <c r="W51" s="79">
        <f>Inputs!$F$8*$A$22*HelperFunctions!$H$28</f>
        <v>0</v>
      </c>
      <c r="X51" s="79">
        <f>Inputs!$F$8*$A$23*HelperFunctions!$H$28</f>
        <v>0</v>
      </c>
      <c r="Y51" s="79">
        <f>Inputs!$F$8*$A$24*HelperFunctions!$H$28</f>
        <v>0</v>
      </c>
      <c r="Z51" s="79">
        <f>Inputs!$F$8*$A$25*HelperFunctions!$H$28</f>
        <v>0</v>
      </c>
      <c r="AA51" s="79">
        <f>Inputs!$F$8*$A$26*HelperFunctions!$H$28</f>
        <v>0</v>
      </c>
      <c r="AB51" s="79">
        <f>Inputs!$F$8*$A$27*HelperFunctions!$H$42</f>
        <v>0</v>
      </c>
      <c r="AC51" s="79">
        <f>Inputs!$F$8*$A$28*HelperFunctions!$H$42</f>
        <v>0</v>
      </c>
      <c r="AD51" s="79">
        <f>Inputs!$F$8*$A$29*HelperFunctions!$H$42</f>
        <v>0</v>
      </c>
      <c r="AE51" s="79">
        <f>Inputs!$F$8*$A$30*HelperFunctions!$H$42</f>
        <v>0</v>
      </c>
      <c r="AF51" s="79">
        <f>Inputs!$F$8*$A$31*HelperFunctions!$H$42</f>
        <v>0</v>
      </c>
      <c r="AG51" s="79">
        <f>Inputs!$F$8*$A$32*HelperFunctions!$H$42</f>
        <v>0</v>
      </c>
      <c r="AH51" s="79">
        <f>Inputs!$F$8*$A$33*HelperFunctions!$H$42</f>
        <v>0</v>
      </c>
      <c r="AI51" s="79">
        <f>Inputs!$F$8*$A$34*HelperFunctions!$H$42</f>
        <v>0</v>
      </c>
      <c r="AJ51" s="79">
        <f>Inputs!$F$8*$A$35*HelperFunctions!$H$42</f>
        <v>0</v>
      </c>
      <c r="AK51" s="79">
        <f>Inputs!$F$8*$A$36*HelperFunctions!$H$42</f>
        <v>0</v>
      </c>
      <c r="AL51" s="79">
        <f>Inputs!$F$8*$A$37*HelperFunctions!$H$42</f>
        <v>0</v>
      </c>
      <c r="AM51" s="79">
        <f>Inputs!$F$8*$A$38*HelperFunctions!$H$42</f>
        <v>0</v>
      </c>
      <c r="AN51" s="79">
        <f>Inputs!$F$8*$A$39*HelperFunctions!$H$56</f>
        <v>0</v>
      </c>
      <c r="AO51" s="79">
        <f>Inputs!$F$8*$A$40*HelperFunctions!$H$56</f>
        <v>0</v>
      </c>
      <c r="AP51" s="79">
        <f>Inputs!$F$8*$A$41*HelperFunctions!$H55</f>
        <v>0</v>
      </c>
      <c r="AQ51" s="79">
        <f>Inputs!$F$8*$A$42*HelperFunctions!$H54</f>
        <v>0</v>
      </c>
      <c r="AR51" s="79">
        <f>Inputs!$F$8*$A$43*HelperFunctions!$H53</f>
        <v>0</v>
      </c>
      <c r="AS51" s="79">
        <f>Inputs!$F$8*$A$44*HelperFunctions!$H52</f>
        <v>0</v>
      </c>
      <c r="AT51" s="79">
        <f>Inputs!$F$8*$A$45*HelperFunctions!$H51</f>
        <v>0</v>
      </c>
      <c r="AU51" s="79">
        <f>Inputs!$F$8*$A$46*HelperFunctions!$H50</f>
        <v>0</v>
      </c>
      <c r="AV51" s="79">
        <f>Inputs!$F$8*$A$47*HelperFunctions!$H49</f>
        <v>0</v>
      </c>
      <c r="AW51" s="79">
        <f>Inputs!$F$8*$A$48*HelperFunctions!$H48</f>
        <v>0</v>
      </c>
      <c r="AX51" s="79">
        <f>Inputs!$F$8*$A$49*HelperFunctions!$H47</f>
        <v>0</v>
      </c>
      <c r="AY51" s="79">
        <f>Inputs!$F$8*$A$50*HelperFunctions!$H46</f>
        <v>0</v>
      </c>
      <c r="AZ51" s="79">
        <f>Inputs!$F$8*$A$51*HelperFunctions!$H59</f>
        <v>0</v>
      </c>
      <c r="BA51" s="93"/>
      <c r="BB51" s="93"/>
      <c r="BC51" s="93"/>
      <c r="BD51" s="93"/>
      <c r="BE51" s="93"/>
      <c r="BF51" s="93"/>
      <c r="BG51" s="93"/>
      <c r="BH51" s="93"/>
      <c r="BI51" s="93"/>
      <c r="BJ51" s="93"/>
      <c r="BK51" s="94"/>
    </row>
    <row r="52" spans="1:63" x14ac:dyDescent="0.35">
      <c r="A52" s="84"/>
      <c r="B52" s="87">
        <v>4</v>
      </c>
      <c r="C52" s="79" t="str">
        <f>Inputs!I73</f>
        <v/>
      </c>
      <c r="D52" s="79">
        <f>Inputs!$F$8*$A$3*HelperFunctions!H$14</f>
        <v>0</v>
      </c>
      <c r="E52" s="79">
        <f>Inputs!$F$8*$A$4*HelperFunctions!$H$14</f>
        <v>0</v>
      </c>
      <c r="F52" s="79">
        <f>Inputs!$F$8*$A$5*HelperFunctions!$H$14</f>
        <v>0</v>
      </c>
      <c r="G52" s="79">
        <f>Inputs!$F$8*$A$6*HelperFunctions!$H$14</f>
        <v>0</v>
      </c>
      <c r="H52" s="79">
        <f>Inputs!$F$8*$A$7*HelperFunctions!$H$14</f>
        <v>0</v>
      </c>
      <c r="I52" s="79">
        <f>Inputs!$F$8*$A$8*HelperFunctions!$H$14</f>
        <v>0</v>
      </c>
      <c r="J52" s="79">
        <f>Inputs!$F$8*$A$9*HelperFunctions!$H$14</f>
        <v>0</v>
      </c>
      <c r="K52" s="79">
        <f>Inputs!$F$8*$A$10*HelperFunctions!$H$14</f>
        <v>0</v>
      </c>
      <c r="L52" s="79">
        <f>Inputs!$F$8*$A$11*HelperFunctions!$H$14</f>
        <v>0</v>
      </c>
      <c r="M52" s="79">
        <f>Inputs!$F$8*$A$12*HelperFunctions!$H$14</f>
        <v>0</v>
      </c>
      <c r="N52" s="79">
        <f>Inputs!$F$8*$A$13*HelperFunctions!$H$14</f>
        <v>0</v>
      </c>
      <c r="O52" s="79">
        <f>Inputs!$F$8*$A$14*HelperFunctions!$H$14</f>
        <v>0</v>
      </c>
      <c r="P52" s="79">
        <f>Inputs!$F$8*$A$15*HelperFunctions!$H$28</f>
        <v>0</v>
      </c>
      <c r="Q52" s="79">
        <f>Inputs!$F$8*$A$16*HelperFunctions!$H$28</f>
        <v>0</v>
      </c>
      <c r="R52" s="79">
        <f>Inputs!$F$8*$A$17*HelperFunctions!$H$28</f>
        <v>0</v>
      </c>
      <c r="S52" s="79">
        <f>Inputs!$F$8*$A$18*HelperFunctions!$H$28</f>
        <v>0</v>
      </c>
      <c r="T52" s="79">
        <f>Inputs!$F$8*$A$19*HelperFunctions!$H$28</f>
        <v>0</v>
      </c>
      <c r="U52" s="79">
        <f>Inputs!$F$8*$A$20*HelperFunctions!$H$28</f>
        <v>0</v>
      </c>
      <c r="V52" s="79">
        <f>Inputs!$F$8*$A$21*HelperFunctions!$H$28</f>
        <v>0</v>
      </c>
      <c r="W52" s="79">
        <f>Inputs!$F$8*$A$22*HelperFunctions!$H$28</f>
        <v>0</v>
      </c>
      <c r="X52" s="79">
        <f>Inputs!$F$8*$A$23*HelperFunctions!$H$28</f>
        <v>0</v>
      </c>
      <c r="Y52" s="79">
        <f>Inputs!$F$8*$A$24*HelperFunctions!$H$28</f>
        <v>0</v>
      </c>
      <c r="Z52" s="79">
        <f>Inputs!$F$8*$A$25*HelperFunctions!$H$28</f>
        <v>0</v>
      </c>
      <c r="AA52" s="79">
        <f>Inputs!$F$8*$A$26*HelperFunctions!$H$28</f>
        <v>0</v>
      </c>
      <c r="AB52" s="79">
        <f>Inputs!$F$8*$A$27*HelperFunctions!$H$42</f>
        <v>0</v>
      </c>
      <c r="AC52" s="79">
        <f>Inputs!$F$8*$A$28*HelperFunctions!$H$42</f>
        <v>0</v>
      </c>
      <c r="AD52" s="79">
        <f>Inputs!$F$8*$A$29*HelperFunctions!$H$42</f>
        <v>0</v>
      </c>
      <c r="AE52" s="79">
        <f>Inputs!$F$8*$A$30*HelperFunctions!$H$42</f>
        <v>0</v>
      </c>
      <c r="AF52" s="79">
        <f>Inputs!$F$8*$A$31*HelperFunctions!$H$42</f>
        <v>0</v>
      </c>
      <c r="AG52" s="79">
        <f>Inputs!$F$8*$A$32*HelperFunctions!$H$42</f>
        <v>0</v>
      </c>
      <c r="AH52" s="79">
        <f>Inputs!$F$8*$A$33*HelperFunctions!$H$42</f>
        <v>0</v>
      </c>
      <c r="AI52" s="79">
        <f>Inputs!$F$8*$A$34*HelperFunctions!$H$42</f>
        <v>0</v>
      </c>
      <c r="AJ52" s="79">
        <f>Inputs!$F$8*$A$35*HelperFunctions!$H$42</f>
        <v>0</v>
      </c>
      <c r="AK52" s="79">
        <f>Inputs!$F$8*$A$36*HelperFunctions!$H$42</f>
        <v>0</v>
      </c>
      <c r="AL52" s="79">
        <f>Inputs!$F$8*$A$37*HelperFunctions!$H$42</f>
        <v>0</v>
      </c>
      <c r="AM52" s="79">
        <f>Inputs!$F$8*$A$38*HelperFunctions!$H$42</f>
        <v>0</v>
      </c>
      <c r="AN52" s="79">
        <f>Inputs!$F$8*$A$39*HelperFunctions!$H$56</f>
        <v>0</v>
      </c>
      <c r="AO52" s="79">
        <f>Inputs!$F$8*$A$40*HelperFunctions!$H$56</f>
        <v>0</v>
      </c>
      <c r="AP52" s="79">
        <f>Inputs!$F$8*$A$41*HelperFunctions!$H$56</f>
        <v>0</v>
      </c>
      <c r="AQ52" s="79">
        <f>Inputs!$F$8*$A$42*HelperFunctions!$H55</f>
        <v>0</v>
      </c>
      <c r="AR52" s="79">
        <f>Inputs!$F$8*$A$43*HelperFunctions!$H54</f>
        <v>0</v>
      </c>
      <c r="AS52" s="79">
        <f>Inputs!$F$8*$A$44*HelperFunctions!$H53</f>
        <v>0</v>
      </c>
      <c r="AT52" s="79">
        <f>Inputs!$F$8*$A$45*HelperFunctions!$H52</f>
        <v>0</v>
      </c>
      <c r="AU52" s="79">
        <f>Inputs!$F$8*$A$46*HelperFunctions!$H51</f>
        <v>0</v>
      </c>
      <c r="AV52" s="79">
        <f>Inputs!$F$8*$A$47*HelperFunctions!$H50</f>
        <v>0</v>
      </c>
      <c r="AW52" s="79">
        <f>Inputs!$F$8*$A$48*HelperFunctions!$H49</f>
        <v>0</v>
      </c>
      <c r="AX52" s="79">
        <f>Inputs!$F$8*$A$49*HelperFunctions!$H48</f>
        <v>0</v>
      </c>
      <c r="AY52" s="79">
        <f>Inputs!$F$8*$A$50*HelperFunctions!$H47</f>
        <v>0</v>
      </c>
      <c r="AZ52" s="79">
        <f>Inputs!$F$8*$A$51*HelperFunctions!$H60</f>
        <v>0</v>
      </c>
      <c r="BA52" s="79">
        <f>Inputs!$F$8*$A$52*HelperFunctions!$H59</f>
        <v>0</v>
      </c>
      <c r="BB52" s="93"/>
      <c r="BC52" s="93"/>
      <c r="BD52" s="93"/>
      <c r="BE52" s="93"/>
      <c r="BF52" s="93"/>
      <c r="BG52" s="93"/>
      <c r="BH52" s="93"/>
      <c r="BI52" s="93"/>
      <c r="BJ52" s="93"/>
      <c r="BK52" s="94"/>
    </row>
    <row r="53" spans="1:63" x14ac:dyDescent="0.35">
      <c r="A53" s="84"/>
      <c r="B53" s="87">
        <v>4</v>
      </c>
      <c r="C53" s="79" t="str">
        <f>Inputs!I74</f>
        <v/>
      </c>
      <c r="D53" s="79">
        <f>Inputs!$F$8*$A$3*HelperFunctions!H$14</f>
        <v>0</v>
      </c>
      <c r="E53" s="79">
        <f>Inputs!$F$8*$A$4*HelperFunctions!$H$14</f>
        <v>0</v>
      </c>
      <c r="F53" s="79">
        <f>Inputs!$F$8*$A$5*HelperFunctions!$H$14</f>
        <v>0</v>
      </c>
      <c r="G53" s="79">
        <f>Inputs!$F$8*$A$6*HelperFunctions!$H$14</f>
        <v>0</v>
      </c>
      <c r="H53" s="79">
        <f>Inputs!$F$8*$A$7*HelperFunctions!$H$14</f>
        <v>0</v>
      </c>
      <c r="I53" s="79">
        <f>Inputs!$F$8*$A$8*HelperFunctions!$H$14</f>
        <v>0</v>
      </c>
      <c r="J53" s="79">
        <f>Inputs!$F$8*$A$9*HelperFunctions!$H$14</f>
        <v>0</v>
      </c>
      <c r="K53" s="79">
        <f>Inputs!$F$8*$A$10*HelperFunctions!$H$14</f>
        <v>0</v>
      </c>
      <c r="L53" s="79">
        <f>Inputs!$F$8*$A$11*HelperFunctions!$H$14</f>
        <v>0</v>
      </c>
      <c r="M53" s="79">
        <f>Inputs!$F$8*$A$12*HelperFunctions!$H$14</f>
        <v>0</v>
      </c>
      <c r="N53" s="79">
        <f>Inputs!$F$8*$A$13*HelperFunctions!$H$14</f>
        <v>0</v>
      </c>
      <c r="O53" s="79">
        <f>Inputs!$F$8*$A$14*HelperFunctions!$H$14</f>
        <v>0</v>
      </c>
      <c r="P53" s="79">
        <f>Inputs!$F$8*$A$15*HelperFunctions!$H$28</f>
        <v>0</v>
      </c>
      <c r="Q53" s="79">
        <f>Inputs!$F$8*$A$16*HelperFunctions!$H$28</f>
        <v>0</v>
      </c>
      <c r="R53" s="79">
        <f>Inputs!$F$8*$A$17*HelperFunctions!$H$28</f>
        <v>0</v>
      </c>
      <c r="S53" s="79">
        <f>Inputs!$F$8*$A$18*HelperFunctions!$H$28</f>
        <v>0</v>
      </c>
      <c r="T53" s="79">
        <f>Inputs!$F$8*$A$19*HelperFunctions!$H$28</f>
        <v>0</v>
      </c>
      <c r="U53" s="79">
        <f>Inputs!$F$8*$A$20*HelperFunctions!$H$28</f>
        <v>0</v>
      </c>
      <c r="V53" s="79">
        <f>Inputs!$F$8*$A$21*HelperFunctions!$H$28</f>
        <v>0</v>
      </c>
      <c r="W53" s="79">
        <f>Inputs!$F$8*$A$22*HelperFunctions!$H$28</f>
        <v>0</v>
      </c>
      <c r="X53" s="79">
        <f>Inputs!$F$8*$A$23*HelperFunctions!$H$28</f>
        <v>0</v>
      </c>
      <c r="Y53" s="79">
        <f>Inputs!$F$8*$A$24*HelperFunctions!$H$28</f>
        <v>0</v>
      </c>
      <c r="Z53" s="79">
        <f>Inputs!$F$8*$A$25*HelperFunctions!$H$28</f>
        <v>0</v>
      </c>
      <c r="AA53" s="79">
        <f>Inputs!$F$8*$A$26*HelperFunctions!$H$28</f>
        <v>0</v>
      </c>
      <c r="AB53" s="79">
        <f>Inputs!$F$8*$A$27*HelperFunctions!$H$42</f>
        <v>0</v>
      </c>
      <c r="AC53" s="79">
        <f>Inputs!$F$8*$A$28*HelperFunctions!$H$42</f>
        <v>0</v>
      </c>
      <c r="AD53" s="79">
        <f>Inputs!$F$8*$A$29*HelperFunctions!$H$42</f>
        <v>0</v>
      </c>
      <c r="AE53" s="79">
        <f>Inputs!$F$8*$A$30*HelperFunctions!$H$42</f>
        <v>0</v>
      </c>
      <c r="AF53" s="79">
        <f>Inputs!$F$8*$A$31*HelperFunctions!$H$42</f>
        <v>0</v>
      </c>
      <c r="AG53" s="79">
        <f>Inputs!$F$8*$A$32*HelperFunctions!$H$42</f>
        <v>0</v>
      </c>
      <c r="AH53" s="79">
        <f>Inputs!$F$8*$A$33*HelperFunctions!$H$42</f>
        <v>0</v>
      </c>
      <c r="AI53" s="79">
        <f>Inputs!$F$8*$A$34*HelperFunctions!$H$42</f>
        <v>0</v>
      </c>
      <c r="AJ53" s="79">
        <f>Inputs!$F$8*$A$35*HelperFunctions!$H$42</f>
        <v>0</v>
      </c>
      <c r="AK53" s="79">
        <f>Inputs!$F$8*$A$36*HelperFunctions!$H$42</f>
        <v>0</v>
      </c>
      <c r="AL53" s="79">
        <f>Inputs!$F$8*$A$37*HelperFunctions!$H$42</f>
        <v>0</v>
      </c>
      <c r="AM53" s="79">
        <f>Inputs!$F$8*$A$38*HelperFunctions!$H$42</f>
        <v>0</v>
      </c>
      <c r="AN53" s="79">
        <f>Inputs!$F$8*$A$39*HelperFunctions!$H$56</f>
        <v>0</v>
      </c>
      <c r="AO53" s="79">
        <f>Inputs!$F$8*$A$40*HelperFunctions!$H$56</f>
        <v>0</v>
      </c>
      <c r="AP53" s="79">
        <f>Inputs!$F$8*$A$41*HelperFunctions!$H$56</f>
        <v>0</v>
      </c>
      <c r="AQ53" s="79">
        <f>Inputs!$F$8*$A$42*HelperFunctions!$H$56</f>
        <v>0</v>
      </c>
      <c r="AR53" s="79">
        <f>Inputs!$F$8*$A$43*HelperFunctions!$H55</f>
        <v>0</v>
      </c>
      <c r="AS53" s="79">
        <f>Inputs!$F$8*$A$44*HelperFunctions!$H54</f>
        <v>0</v>
      </c>
      <c r="AT53" s="79">
        <f>Inputs!$F$8*$A$45*HelperFunctions!$H53</f>
        <v>0</v>
      </c>
      <c r="AU53" s="79">
        <f>Inputs!$F$8*$A$46*HelperFunctions!$H52</f>
        <v>0</v>
      </c>
      <c r="AV53" s="79">
        <f>Inputs!$F$8*$A$47*HelperFunctions!$H51</f>
        <v>0</v>
      </c>
      <c r="AW53" s="79">
        <f>Inputs!$F$8*$A$48*HelperFunctions!$H50</f>
        <v>0</v>
      </c>
      <c r="AX53" s="79">
        <f>Inputs!$F$8*$A$49*HelperFunctions!$H49</f>
        <v>0</v>
      </c>
      <c r="AY53" s="79">
        <f>Inputs!$F$8*$A$50*HelperFunctions!$H48</f>
        <v>0</v>
      </c>
      <c r="AZ53" s="79">
        <f>Inputs!$F$8*$A$51*HelperFunctions!$H61</f>
        <v>0</v>
      </c>
      <c r="BA53" s="79">
        <f>Inputs!$F$8*$A$52*HelperFunctions!$H60</f>
        <v>0</v>
      </c>
      <c r="BB53" s="79">
        <f>Inputs!$F$8*$A$53*HelperFunctions!$H59</f>
        <v>0</v>
      </c>
      <c r="BC53" s="93"/>
      <c r="BD53" s="93"/>
      <c r="BE53" s="93"/>
      <c r="BF53" s="93"/>
      <c r="BG53" s="93"/>
      <c r="BH53" s="93"/>
      <c r="BI53" s="93"/>
      <c r="BJ53" s="93"/>
      <c r="BK53" s="94"/>
    </row>
    <row r="54" spans="1:63" x14ac:dyDescent="0.35">
      <c r="A54" s="84"/>
      <c r="B54" s="87">
        <v>4</v>
      </c>
      <c r="C54" s="79" t="str">
        <f>Inputs!I75</f>
        <v/>
      </c>
      <c r="D54" s="79">
        <f>Inputs!$F$8*$A$3*HelperFunctions!H$14</f>
        <v>0</v>
      </c>
      <c r="E54" s="79">
        <f>Inputs!$F$8*$A$4*HelperFunctions!$H$14</f>
        <v>0</v>
      </c>
      <c r="F54" s="79">
        <f>Inputs!$F$8*$A$5*HelperFunctions!$H$14</f>
        <v>0</v>
      </c>
      <c r="G54" s="79">
        <f>Inputs!$F$8*$A$6*HelperFunctions!$H$14</f>
        <v>0</v>
      </c>
      <c r="H54" s="79">
        <f>Inputs!$F$8*$A$7*HelperFunctions!$H$14</f>
        <v>0</v>
      </c>
      <c r="I54" s="79">
        <f>Inputs!$F$8*$A$8*HelperFunctions!$H$14</f>
        <v>0</v>
      </c>
      <c r="J54" s="79">
        <f>Inputs!$F$8*$A$9*HelperFunctions!$H$14</f>
        <v>0</v>
      </c>
      <c r="K54" s="79">
        <f>Inputs!$F$8*$A$10*HelperFunctions!$H$14</f>
        <v>0</v>
      </c>
      <c r="L54" s="79">
        <f>Inputs!$F$8*$A$11*HelperFunctions!$H$14</f>
        <v>0</v>
      </c>
      <c r="M54" s="79">
        <f>Inputs!$F$8*$A$12*HelperFunctions!$H$14</f>
        <v>0</v>
      </c>
      <c r="N54" s="79">
        <f>Inputs!$F$8*$A$13*HelperFunctions!$H$14</f>
        <v>0</v>
      </c>
      <c r="O54" s="79">
        <f>Inputs!$F$8*$A$14*HelperFunctions!$H$14</f>
        <v>0</v>
      </c>
      <c r="P54" s="79">
        <f>Inputs!$F$8*$A$15*HelperFunctions!$H$28</f>
        <v>0</v>
      </c>
      <c r="Q54" s="79">
        <f>Inputs!$F$8*$A$16*HelperFunctions!$H$28</f>
        <v>0</v>
      </c>
      <c r="R54" s="79">
        <f>Inputs!$F$8*$A$17*HelperFunctions!$H$28</f>
        <v>0</v>
      </c>
      <c r="S54" s="79">
        <f>Inputs!$F$8*$A$18*HelperFunctions!$H$28</f>
        <v>0</v>
      </c>
      <c r="T54" s="79">
        <f>Inputs!$F$8*$A$19*HelperFunctions!$H$28</f>
        <v>0</v>
      </c>
      <c r="U54" s="79">
        <f>Inputs!$F$8*$A$20*HelperFunctions!$H$28</f>
        <v>0</v>
      </c>
      <c r="V54" s="79">
        <f>Inputs!$F$8*$A$21*HelperFunctions!$H$28</f>
        <v>0</v>
      </c>
      <c r="W54" s="79">
        <f>Inputs!$F$8*$A$22*HelperFunctions!$H$28</f>
        <v>0</v>
      </c>
      <c r="X54" s="79">
        <f>Inputs!$F$8*$A$23*HelperFunctions!$H$28</f>
        <v>0</v>
      </c>
      <c r="Y54" s="79">
        <f>Inputs!$F$8*$A$24*HelperFunctions!$H$28</f>
        <v>0</v>
      </c>
      <c r="Z54" s="79">
        <f>Inputs!$F$8*$A$25*HelperFunctions!$H$28</f>
        <v>0</v>
      </c>
      <c r="AA54" s="79">
        <f>Inputs!$F$8*$A$26*HelperFunctions!$H$28</f>
        <v>0</v>
      </c>
      <c r="AB54" s="79">
        <f>Inputs!$F$8*$A$27*HelperFunctions!$H$42</f>
        <v>0</v>
      </c>
      <c r="AC54" s="79">
        <f>Inputs!$F$8*$A$28*HelperFunctions!$H$42</f>
        <v>0</v>
      </c>
      <c r="AD54" s="79">
        <f>Inputs!$F$8*$A$29*HelperFunctions!$H$42</f>
        <v>0</v>
      </c>
      <c r="AE54" s="79">
        <f>Inputs!$F$8*$A$30*HelperFunctions!$H$42</f>
        <v>0</v>
      </c>
      <c r="AF54" s="79">
        <f>Inputs!$F$8*$A$31*HelperFunctions!$H$42</f>
        <v>0</v>
      </c>
      <c r="AG54" s="79">
        <f>Inputs!$F$8*$A$32*HelperFunctions!$H$42</f>
        <v>0</v>
      </c>
      <c r="AH54" s="79">
        <f>Inputs!$F$8*$A$33*HelperFunctions!$H$42</f>
        <v>0</v>
      </c>
      <c r="AI54" s="79">
        <f>Inputs!$F$8*$A$34*HelperFunctions!$H$42</f>
        <v>0</v>
      </c>
      <c r="AJ54" s="79">
        <f>Inputs!$F$8*$A$35*HelperFunctions!$H$42</f>
        <v>0</v>
      </c>
      <c r="AK54" s="79">
        <f>Inputs!$F$8*$A$36*HelperFunctions!$H$42</f>
        <v>0</v>
      </c>
      <c r="AL54" s="79">
        <f>Inputs!$F$8*$A$37*HelperFunctions!$H$42</f>
        <v>0</v>
      </c>
      <c r="AM54" s="79">
        <f>Inputs!$F$8*$A$38*HelperFunctions!$H$42</f>
        <v>0</v>
      </c>
      <c r="AN54" s="79">
        <f>Inputs!$F$8*$A$39*HelperFunctions!$H$56</f>
        <v>0</v>
      </c>
      <c r="AO54" s="79">
        <f>Inputs!$F$8*$A$40*HelperFunctions!$H$56</f>
        <v>0</v>
      </c>
      <c r="AP54" s="79">
        <f>Inputs!$F$8*$A$41*HelperFunctions!$H$56</f>
        <v>0</v>
      </c>
      <c r="AQ54" s="79">
        <f>Inputs!$F$8*$A$42*HelperFunctions!$H$56</f>
        <v>0</v>
      </c>
      <c r="AR54" s="79">
        <f>Inputs!$F$8*$A$43*HelperFunctions!$H$56</f>
        <v>0</v>
      </c>
      <c r="AS54" s="79">
        <f>Inputs!$F$8*$A$44*HelperFunctions!$H55</f>
        <v>0</v>
      </c>
      <c r="AT54" s="79">
        <f>Inputs!$F$8*$A$45*HelperFunctions!$H54</f>
        <v>0</v>
      </c>
      <c r="AU54" s="79">
        <f>Inputs!$F$8*$A$46*HelperFunctions!$H53</f>
        <v>0</v>
      </c>
      <c r="AV54" s="79">
        <f>Inputs!$F$8*$A$47*HelperFunctions!$H52</f>
        <v>0</v>
      </c>
      <c r="AW54" s="79">
        <f>Inputs!$F$8*$A$48*HelperFunctions!$H51</f>
        <v>0</v>
      </c>
      <c r="AX54" s="79">
        <f>Inputs!$F$8*$A$49*HelperFunctions!$H50</f>
        <v>0</v>
      </c>
      <c r="AY54" s="79">
        <f>Inputs!$F$8*$A$50*HelperFunctions!$H49</f>
        <v>0</v>
      </c>
      <c r="AZ54" s="79">
        <f>Inputs!$F$8*$A$51*HelperFunctions!$H62</f>
        <v>0</v>
      </c>
      <c r="BA54" s="79">
        <f>Inputs!$F$8*$A$52*HelperFunctions!$H61</f>
        <v>0</v>
      </c>
      <c r="BB54" s="79">
        <f>Inputs!$F$8*$A$53*HelperFunctions!$H60</f>
        <v>0</v>
      </c>
      <c r="BC54" s="79">
        <f>Inputs!$F$8*$A$54*HelperFunctions!$H59</f>
        <v>0</v>
      </c>
      <c r="BD54" s="93"/>
      <c r="BE54" s="93"/>
      <c r="BF54" s="93"/>
      <c r="BG54" s="93"/>
      <c r="BH54" s="93"/>
      <c r="BI54" s="93"/>
      <c r="BJ54" s="93"/>
      <c r="BK54" s="94"/>
    </row>
    <row r="55" spans="1:63" x14ac:dyDescent="0.35">
      <c r="A55" s="84"/>
      <c r="B55" s="87">
        <v>4</v>
      </c>
      <c r="C55" s="79" t="str">
        <f>Inputs!I76</f>
        <v/>
      </c>
      <c r="D55" s="79">
        <f>Inputs!$F$8*$A$3*HelperFunctions!H$14</f>
        <v>0</v>
      </c>
      <c r="E55" s="79">
        <f>Inputs!$F$8*$A$4*HelperFunctions!$H$14</f>
        <v>0</v>
      </c>
      <c r="F55" s="79">
        <f>Inputs!$F$8*$A$5*HelperFunctions!$H$14</f>
        <v>0</v>
      </c>
      <c r="G55" s="79">
        <f>Inputs!$F$8*$A$6*HelperFunctions!$H$14</f>
        <v>0</v>
      </c>
      <c r="H55" s="79">
        <f>Inputs!$F$8*$A$7*HelperFunctions!$H$14</f>
        <v>0</v>
      </c>
      <c r="I55" s="79">
        <f>Inputs!$F$8*$A$8*HelperFunctions!$H$14</f>
        <v>0</v>
      </c>
      <c r="J55" s="79">
        <f>Inputs!$F$8*$A$9*HelperFunctions!$H$14</f>
        <v>0</v>
      </c>
      <c r="K55" s="79">
        <f>Inputs!$F$8*$A$10*HelperFunctions!$H$14</f>
        <v>0</v>
      </c>
      <c r="L55" s="79">
        <f>Inputs!$F$8*$A$11*HelperFunctions!$H$14</f>
        <v>0</v>
      </c>
      <c r="M55" s="79">
        <f>Inputs!$F$8*$A$12*HelperFunctions!$H$14</f>
        <v>0</v>
      </c>
      <c r="N55" s="79">
        <f>Inputs!$F$8*$A$13*HelperFunctions!$H$14</f>
        <v>0</v>
      </c>
      <c r="O55" s="79">
        <f>Inputs!$F$8*$A$14*HelperFunctions!$H$14</f>
        <v>0</v>
      </c>
      <c r="P55" s="79">
        <f>Inputs!$F$8*$A$15*HelperFunctions!$H$28</f>
        <v>0</v>
      </c>
      <c r="Q55" s="79">
        <f>Inputs!$F$8*$A$16*HelperFunctions!$H$28</f>
        <v>0</v>
      </c>
      <c r="R55" s="79">
        <f>Inputs!$F$8*$A$17*HelperFunctions!$H$28</f>
        <v>0</v>
      </c>
      <c r="S55" s="79">
        <f>Inputs!$F$8*$A$18*HelperFunctions!$H$28</f>
        <v>0</v>
      </c>
      <c r="T55" s="79">
        <f>Inputs!$F$8*$A$19*HelperFunctions!$H$28</f>
        <v>0</v>
      </c>
      <c r="U55" s="79">
        <f>Inputs!$F$8*$A$20*HelperFunctions!$H$28</f>
        <v>0</v>
      </c>
      <c r="V55" s="79">
        <f>Inputs!$F$8*$A$21*HelperFunctions!$H$28</f>
        <v>0</v>
      </c>
      <c r="W55" s="79">
        <f>Inputs!$F$8*$A$22*HelperFunctions!$H$28</f>
        <v>0</v>
      </c>
      <c r="X55" s="79">
        <f>Inputs!$F$8*$A$23*HelperFunctions!$H$28</f>
        <v>0</v>
      </c>
      <c r="Y55" s="79">
        <f>Inputs!$F$8*$A$24*HelperFunctions!$H$28</f>
        <v>0</v>
      </c>
      <c r="Z55" s="79">
        <f>Inputs!$F$8*$A$25*HelperFunctions!$H$28</f>
        <v>0</v>
      </c>
      <c r="AA55" s="79">
        <f>Inputs!$F$8*$A$26*HelperFunctions!$H$28</f>
        <v>0</v>
      </c>
      <c r="AB55" s="79">
        <f>Inputs!$F$8*$A$27*HelperFunctions!$H$42</f>
        <v>0</v>
      </c>
      <c r="AC55" s="79">
        <f>Inputs!$F$8*$A$28*HelperFunctions!$H$42</f>
        <v>0</v>
      </c>
      <c r="AD55" s="79">
        <f>Inputs!$F$8*$A$29*HelperFunctions!$H$42</f>
        <v>0</v>
      </c>
      <c r="AE55" s="79">
        <f>Inputs!$F$8*$A$30*HelperFunctions!$H$42</f>
        <v>0</v>
      </c>
      <c r="AF55" s="79">
        <f>Inputs!$F$8*$A$31*HelperFunctions!$H$42</f>
        <v>0</v>
      </c>
      <c r="AG55" s="79">
        <f>Inputs!$F$8*$A$32*HelperFunctions!$H$42</f>
        <v>0</v>
      </c>
      <c r="AH55" s="79">
        <f>Inputs!$F$8*$A$33*HelperFunctions!$H$42</f>
        <v>0</v>
      </c>
      <c r="AI55" s="79">
        <f>Inputs!$F$8*$A$34*HelperFunctions!$H$42</f>
        <v>0</v>
      </c>
      <c r="AJ55" s="79">
        <f>Inputs!$F$8*$A$35*HelperFunctions!$H$42</f>
        <v>0</v>
      </c>
      <c r="AK55" s="79">
        <f>Inputs!$F$8*$A$36*HelperFunctions!$H$42</f>
        <v>0</v>
      </c>
      <c r="AL55" s="79">
        <f>Inputs!$F$8*$A$37*HelperFunctions!$H$42</f>
        <v>0</v>
      </c>
      <c r="AM55" s="79">
        <f>Inputs!$F$8*$A$38*HelperFunctions!$H$42</f>
        <v>0</v>
      </c>
      <c r="AN55" s="79">
        <f>Inputs!$F$8*$A$39*HelperFunctions!$H$56</f>
        <v>0</v>
      </c>
      <c r="AO55" s="79">
        <f>Inputs!$F$8*$A$40*HelperFunctions!$H$56</f>
        <v>0</v>
      </c>
      <c r="AP55" s="79">
        <f>Inputs!$F$8*$A$41*HelperFunctions!$H$56</f>
        <v>0</v>
      </c>
      <c r="AQ55" s="79">
        <f>Inputs!$F$8*$A$42*HelperFunctions!$H$56</f>
        <v>0</v>
      </c>
      <c r="AR55" s="79">
        <f>Inputs!$F$8*$A$43*HelperFunctions!$H$56</f>
        <v>0</v>
      </c>
      <c r="AS55" s="79">
        <f>Inputs!$F$8*$A$44*HelperFunctions!$H$56</f>
        <v>0</v>
      </c>
      <c r="AT55" s="79">
        <f>Inputs!$F$8*$A$45*HelperFunctions!$H55</f>
        <v>0</v>
      </c>
      <c r="AU55" s="79">
        <f>Inputs!$F$8*$A$46*HelperFunctions!$H54</f>
        <v>0</v>
      </c>
      <c r="AV55" s="79">
        <f>Inputs!$F$8*$A$47*HelperFunctions!$H53</f>
        <v>0</v>
      </c>
      <c r="AW55" s="79">
        <f>Inputs!$F$8*$A$48*HelperFunctions!$H52</f>
        <v>0</v>
      </c>
      <c r="AX55" s="79">
        <f>Inputs!$F$8*$A$49*HelperFunctions!$H51</f>
        <v>0</v>
      </c>
      <c r="AY55" s="79">
        <f>Inputs!$F$8*$A$50*HelperFunctions!$H50</f>
        <v>0</v>
      </c>
      <c r="AZ55" s="79">
        <f>Inputs!$F$8*$A$51*HelperFunctions!$H63</f>
        <v>0</v>
      </c>
      <c r="BA55" s="79">
        <f>Inputs!$F$8*$A$52*HelperFunctions!$H62</f>
        <v>0</v>
      </c>
      <c r="BB55" s="79">
        <f>Inputs!$F$8*$A$53*HelperFunctions!$H61</f>
        <v>0</v>
      </c>
      <c r="BC55" s="79">
        <f>Inputs!$F$8*$A$54*HelperFunctions!$H60</f>
        <v>0</v>
      </c>
      <c r="BD55" s="79">
        <f>Inputs!$F$8*$A$55*HelperFunctions!$H59</f>
        <v>0</v>
      </c>
      <c r="BE55" s="93"/>
      <c r="BF55" s="93"/>
      <c r="BG55" s="93"/>
      <c r="BH55" s="93"/>
      <c r="BI55" s="93"/>
      <c r="BJ55" s="93"/>
      <c r="BK55" s="94"/>
    </row>
    <row r="56" spans="1:63" x14ac:dyDescent="0.35">
      <c r="A56" s="84"/>
      <c r="B56" s="87">
        <v>4</v>
      </c>
      <c r="C56" s="79" t="str">
        <f>Inputs!I77</f>
        <v/>
      </c>
      <c r="D56" s="79">
        <f>Inputs!$F$8*$A$3*HelperFunctions!H$14</f>
        <v>0</v>
      </c>
      <c r="E56" s="79">
        <f>Inputs!$F$8*$A$4*HelperFunctions!$H$14</f>
        <v>0</v>
      </c>
      <c r="F56" s="79">
        <f>Inputs!$F$8*$A$5*HelperFunctions!$H$14</f>
        <v>0</v>
      </c>
      <c r="G56" s="79">
        <f>Inputs!$F$8*$A$6*HelperFunctions!$H$14</f>
        <v>0</v>
      </c>
      <c r="H56" s="79">
        <f>Inputs!$F$8*$A$7*HelperFunctions!$H$14</f>
        <v>0</v>
      </c>
      <c r="I56" s="79">
        <f>Inputs!$F$8*$A$8*HelperFunctions!$H$14</f>
        <v>0</v>
      </c>
      <c r="J56" s="79">
        <f>Inputs!$F$8*$A$9*HelperFunctions!$H$14</f>
        <v>0</v>
      </c>
      <c r="K56" s="79">
        <f>Inputs!$F$8*$A$10*HelperFunctions!$H$14</f>
        <v>0</v>
      </c>
      <c r="L56" s="79">
        <f>Inputs!$F$8*$A$11*HelperFunctions!$H$14</f>
        <v>0</v>
      </c>
      <c r="M56" s="79">
        <f>Inputs!$F$8*$A$12*HelperFunctions!$H$14</f>
        <v>0</v>
      </c>
      <c r="N56" s="79">
        <f>Inputs!$F$8*$A$13*HelperFunctions!$H$14</f>
        <v>0</v>
      </c>
      <c r="O56" s="79">
        <f>Inputs!$F$8*$A$14*HelperFunctions!$H$14</f>
        <v>0</v>
      </c>
      <c r="P56" s="79">
        <f>Inputs!$F$8*$A$15*HelperFunctions!$H$28</f>
        <v>0</v>
      </c>
      <c r="Q56" s="79">
        <f>Inputs!$F$8*$A$16*HelperFunctions!$H$28</f>
        <v>0</v>
      </c>
      <c r="R56" s="79">
        <f>Inputs!$F$8*$A$17*HelperFunctions!$H$28</f>
        <v>0</v>
      </c>
      <c r="S56" s="79">
        <f>Inputs!$F$8*$A$18*HelperFunctions!$H$28</f>
        <v>0</v>
      </c>
      <c r="T56" s="79">
        <f>Inputs!$F$8*$A$19*HelperFunctions!$H$28</f>
        <v>0</v>
      </c>
      <c r="U56" s="79">
        <f>Inputs!$F$8*$A$20*HelperFunctions!$H$28</f>
        <v>0</v>
      </c>
      <c r="V56" s="79">
        <f>Inputs!$F$8*$A$21*HelperFunctions!$H$28</f>
        <v>0</v>
      </c>
      <c r="W56" s="79">
        <f>Inputs!$F$8*$A$22*HelperFunctions!$H$28</f>
        <v>0</v>
      </c>
      <c r="X56" s="79">
        <f>Inputs!$F$8*$A$23*HelperFunctions!$H$28</f>
        <v>0</v>
      </c>
      <c r="Y56" s="79">
        <f>Inputs!$F$8*$A$24*HelperFunctions!$H$28</f>
        <v>0</v>
      </c>
      <c r="Z56" s="79">
        <f>Inputs!$F$8*$A$25*HelperFunctions!$H$28</f>
        <v>0</v>
      </c>
      <c r="AA56" s="79">
        <f>Inputs!$F$8*$A$26*HelperFunctions!$H$28</f>
        <v>0</v>
      </c>
      <c r="AB56" s="79">
        <f>Inputs!$F$8*$A$27*HelperFunctions!$H$42</f>
        <v>0</v>
      </c>
      <c r="AC56" s="79">
        <f>Inputs!$F$8*$A$28*HelperFunctions!$H$42</f>
        <v>0</v>
      </c>
      <c r="AD56" s="79">
        <f>Inputs!$F$8*$A$29*HelperFunctions!$H$42</f>
        <v>0</v>
      </c>
      <c r="AE56" s="79">
        <f>Inputs!$F$8*$A$30*HelperFunctions!$H$42</f>
        <v>0</v>
      </c>
      <c r="AF56" s="79">
        <f>Inputs!$F$8*$A$31*HelperFunctions!$H$42</f>
        <v>0</v>
      </c>
      <c r="AG56" s="79">
        <f>Inputs!$F$8*$A$32*HelperFunctions!$H$42</f>
        <v>0</v>
      </c>
      <c r="AH56" s="79">
        <f>Inputs!$F$8*$A$33*HelperFunctions!$H$42</f>
        <v>0</v>
      </c>
      <c r="AI56" s="79">
        <f>Inputs!$F$8*$A$34*HelperFunctions!$H$42</f>
        <v>0</v>
      </c>
      <c r="AJ56" s="79">
        <f>Inputs!$F$8*$A$35*HelperFunctions!$H$42</f>
        <v>0</v>
      </c>
      <c r="AK56" s="79">
        <f>Inputs!$F$8*$A$36*HelperFunctions!$H$42</f>
        <v>0</v>
      </c>
      <c r="AL56" s="79">
        <f>Inputs!$F$8*$A$37*HelperFunctions!$H$42</f>
        <v>0</v>
      </c>
      <c r="AM56" s="79">
        <f>Inputs!$F$8*$A$38*HelperFunctions!$H$42</f>
        <v>0</v>
      </c>
      <c r="AN56" s="79">
        <f>Inputs!$F$8*$A$39*HelperFunctions!$H$56</f>
        <v>0</v>
      </c>
      <c r="AO56" s="79">
        <f>Inputs!$F$8*$A$40*HelperFunctions!$H$56</f>
        <v>0</v>
      </c>
      <c r="AP56" s="79">
        <f>Inputs!$F$8*$A$41*HelperFunctions!$H$56</f>
        <v>0</v>
      </c>
      <c r="AQ56" s="79">
        <f>Inputs!$F$8*$A$42*HelperFunctions!$H$56</f>
        <v>0</v>
      </c>
      <c r="AR56" s="79">
        <f>Inputs!$F$8*$A$43*HelperFunctions!$H$56</f>
        <v>0</v>
      </c>
      <c r="AS56" s="79">
        <f>Inputs!$F$8*$A$44*HelperFunctions!$H$56</f>
        <v>0</v>
      </c>
      <c r="AT56" s="79">
        <f>Inputs!$F$8*$A$45*HelperFunctions!$H$56</f>
        <v>0</v>
      </c>
      <c r="AU56" s="79">
        <f>Inputs!$F$8*$A$46*HelperFunctions!$H55</f>
        <v>0</v>
      </c>
      <c r="AV56" s="79">
        <f>Inputs!$F$8*$A$47*HelperFunctions!$H54</f>
        <v>0</v>
      </c>
      <c r="AW56" s="79">
        <f>Inputs!$F$8*$A$48*HelperFunctions!$H53</f>
        <v>0</v>
      </c>
      <c r="AX56" s="79">
        <f>Inputs!$F$8*$A$49*HelperFunctions!$H52</f>
        <v>0</v>
      </c>
      <c r="AY56" s="79">
        <f>Inputs!$F$8*$A$50*HelperFunctions!$H51</f>
        <v>0</v>
      </c>
      <c r="AZ56" s="79">
        <f>Inputs!$F$8*$A$51*HelperFunctions!$H64</f>
        <v>0</v>
      </c>
      <c r="BA56" s="79">
        <f>Inputs!$F$8*$A$52*HelperFunctions!$H63</f>
        <v>0</v>
      </c>
      <c r="BB56" s="79">
        <f>Inputs!$F$8*$A$53*HelperFunctions!$H62</f>
        <v>0</v>
      </c>
      <c r="BC56" s="79">
        <f>Inputs!$F$8*$A$54*HelperFunctions!$H61</f>
        <v>0</v>
      </c>
      <c r="BD56" s="79">
        <f>Inputs!$F$8*$A$55*HelperFunctions!$H60</f>
        <v>0</v>
      </c>
      <c r="BE56" s="79">
        <f>Inputs!$F$8*$A$56*HelperFunctions!$H59</f>
        <v>0</v>
      </c>
      <c r="BF56" s="93"/>
      <c r="BG56" s="93"/>
      <c r="BH56" s="93"/>
      <c r="BI56" s="93"/>
      <c r="BJ56" s="93"/>
      <c r="BK56" s="94"/>
    </row>
    <row r="57" spans="1:63" x14ac:dyDescent="0.35">
      <c r="A57" s="84"/>
      <c r="B57" s="87">
        <v>4</v>
      </c>
      <c r="C57" s="79" t="str">
        <f>Inputs!I78</f>
        <v/>
      </c>
      <c r="D57" s="79">
        <f>Inputs!$F$8*$A$3*HelperFunctions!H$14</f>
        <v>0</v>
      </c>
      <c r="E57" s="79">
        <f>Inputs!$F$8*$A$4*HelperFunctions!$H$14</f>
        <v>0</v>
      </c>
      <c r="F57" s="79">
        <f>Inputs!$F$8*$A$5*HelperFunctions!$H$14</f>
        <v>0</v>
      </c>
      <c r="G57" s="79">
        <f>Inputs!$F$8*$A$6*HelperFunctions!$H$14</f>
        <v>0</v>
      </c>
      <c r="H57" s="79">
        <f>Inputs!$F$8*$A$7*HelperFunctions!$H$14</f>
        <v>0</v>
      </c>
      <c r="I57" s="79">
        <f>Inputs!$F$8*$A$8*HelperFunctions!$H$14</f>
        <v>0</v>
      </c>
      <c r="J57" s="79">
        <f>Inputs!$F$8*$A$9*HelperFunctions!$H$14</f>
        <v>0</v>
      </c>
      <c r="K57" s="79">
        <f>Inputs!$F$8*$A$10*HelperFunctions!$H$14</f>
        <v>0</v>
      </c>
      <c r="L57" s="79">
        <f>Inputs!$F$8*$A$11*HelperFunctions!$H$14</f>
        <v>0</v>
      </c>
      <c r="M57" s="79">
        <f>Inputs!$F$8*$A$12*HelperFunctions!$H$14</f>
        <v>0</v>
      </c>
      <c r="N57" s="79">
        <f>Inputs!$F$8*$A$13*HelperFunctions!$H$14</f>
        <v>0</v>
      </c>
      <c r="O57" s="79">
        <f>Inputs!$F$8*$A$14*HelperFunctions!$H$14</f>
        <v>0</v>
      </c>
      <c r="P57" s="79">
        <f>Inputs!$F$8*$A$15*HelperFunctions!$H$28</f>
        <v>0</v>
      </c>
      <c r="Q57" s="79">
        <f>Inputs!$F$8*$A$16*HelperFunctions!$H$28</f>
        <v>0</v>
      </c>
      <c r="R57" s="79">
        <f>Inputs!$F$8*$A$17*HelperFunctions!$H$28</f>
        <v>0</v>
      </c>
      <c r="S57" s="79">
        <f>Inputs!$F$8*$A$18*HelperFunctions!$H$28</f>
        <v>0</v>
      </c>
      <c r="T57" s="79">
        <f>Inputs!$F$8*$A$19*HelperFunctions!$H$28</f>
        <v>0</v>
      </c>
      <c r="U57" s="79">
        <f>Inputs!$F$8*$A$20*HelperFunctions!$H$28</f>
        <v>0</v>
      </c>
      <c r="V57" s="79">
        <f>Inputs!$F$8*$A$21*HelperFunctions!$H$28</f>
        <v>0</v>
      </c>
      <c r="W57" s="79">
        <f>Inputs!$F$8*$A$22*HelperFunctions!$H$28</f>
        <v>0</v>
      </c>
      <c r="X57" s="79">
        <f>Inputs!$F$8*$A$23*HelperFunctions!$H$28</f>
        <v>0</v>
      </c>
      <c r="Y57" s="79">
        <f>Inputs!$F$8*$A$24*HelperFunctions!$H$28</f>
        <v>0</v>
      </c>
      <c r="Z57" s="79">
        <f>Inputs!$F$8*$A$25*HelperFunctions!$H$28</f>
        <v>0</v>
      </c>
      <c r="AA57" s="79">
        <f>Inputs!$F$8*$A$26*HelperFunctions!$H$28</f>
        <v>0</v>
      </c>
      <c r="AB57" s="79">
        <f>Inputs!$F$8*$A$27*HelperFunctions!$H$42</f>
        <v>0</v>
      </c>
      <c r="AC57" s="79">
        <f>Inputs!$F$8*$A$28*HelperFunctions!$H$42</f>
        <v>0</v>
      </c>
      <c r="AD57" s="79">
        <f>Inputs!$F$8*$A$29*HelperFunctions!$H$42</f>
        <v>0</v>
      </c>
      <c r="AE57" s="79">
        <f>Inputs!$F$8*$A$30*HelperFunctions!$H$42</f>
        <v>0</v>
      </c>
      <c r="AF57" s="79">
        <f>Inputs!$F$8*$A$31*HelperFunctions!$H$42</f>
        <v>0</v>
      </c>
      <c r="AG57" s="79">
        <f>Inputs!$F$8*$A$32*HelperFunctions!$H$42</f>
        <v>0</v>
      </c>
      <c r="AH57" s="79">
        <f>Inputs!$F$8*$A$33*HelperFunctions!$H$42</f>
        <v>0</v>
      </c>
      <c r="AI57" s="79">
        <f>Inputs!$F$8*$A$34*HelperFunctions!$H$42</f>
        <v>0</v>
      </c>
      <c r="AJ57" s="79">
        <f>Inputs!$F$8*$A$35*HelperFunctions!$H$42</f>
        <v>0</v>
      </c>
      <c r="AK57" s="79">
        <f>Inputs!$F$8*$A$36*HelperFunctions!$H$42</f>
        <v>0</v>
      </c>
      <c r="AL57" s="79">
        <f>Inputs!$F$8*$A$37*HelperFunctions!$H$42</f>
        <v>0</v>
      </c>
      <c r="AM57" s="79">
        <f>Inputs!$F$8*$A$38*HelperFunctions!$H$42</f>
        <v>0</v>
      </c>
      <c r="AN57" s="79">
        <f>Inputs!$F$8*$A$39*HelperFunctions!$H$56</f>
        <v>0</v>
      </c>
      <c r="AO57" s="79">
        <f>Inputs!$F$8*$A$40*HelperFunctions!$H$56</f>
        <v>0</v>
      </c>
      <c r="AP57" s="79">
        <f>Inputs!$F$8*$A$41*HelperFunctions!$H$56</f>
        <v>0</v>
      </c>
      <c r="AQ57" s="79">
        <f>Inputs!$F$8*$A$42*HelperFunctions!$H$56</f>
        <v>0</v>
      </c>
      <c r="AR57" s="79">
        <f>Inputs!$F$8*$A$43*HelperFunctions!$H$56</f>
        <v>0</v>
      </c>
      <c r="AS57" s="79">
        <f>Inputs!$F$8*$A$44*HelperFunctions!$H$56</f>
        <v>0</v>
      </c>
      <c r="AT57" s="79">
        <f>Inputs!$F$8*$A$45*HelperFunctions!$H$56</f>
        <v>0</v>
      </c>
      <c r="AU57" s="79">
        <f>Inputs!$F$8*$A$46*HelperFunctions!$H$56</f>
        <v>0</v>
      </c>
      <c r="AV57" s="79">
        <f>Inputs!$F$8*$A$47*HelperFunctions!$H55</f>
        <v>0</v>
      </c>
      <c r="AW57" s="79">
        <f>Inputs!$F$8*$A$48*HelperFunctions!$H54</f>
        <v>0</v>
      </c>
      <c r="AX57" s="79">
        <f>Inputs!$F$8*$A$49*HelperFunctions!$H53</f>
        <v>0</v>
      </c>
      <c r="AY57" s="79">
        <f>Inputs!$F$8*$A$50*HelperFunctions!$H52</f>
        <v>0</v>
      </c>
      <c r="AZ57" s="79">
        <f>Inputs!$F$8*$A$51*HelperFunctions!$H65</f>
        <v>0</v>
      </c>
      <c r="BA57" s="79">
        <f>Inputs!$F$8*$A$52*HelperFunctions!$H64</f>
        <v>0</v>
      </c>
      <c r="BB57" s="79">
        <f>Inputs!$F$8*$A$53*HelperFunctions!$H63</f>
        <v>0</v>
      </c>
      <c r="BC57" s="79">
        <f>Inputs!$F$8*$A$54*HelperFunctions!$H62</f>
        <v>0</v>
      </c>
      <c r="BD57" s="79">
        <f>Inputs!$F$8*$A$55*HelperFunctions!$H61</f>
        <v>0</v>
      </c>
      <c r="BE57" s="79">
        <f>Inputs!$F$8*$A$56*HelperFunctions!$H60</f>
        <v>0</v>
      </c>
      <c r="BF57" s="79">
        <f>Inputs!$F$8*$A$57*HelperFunctions!$H59</f>
        <v>0</v>
      </c>
      <c r="BG57" s="93"/>
      <c r="BH57" s="93"/>
      <c r="BI57" s="93"/>
      <c r="BJ57" s="93"/>
      <c r="BK57" s="94"/>
    </row>
    <row r="58" spans="1:63" x14ac:dyDescent="0.35">
      <c r="A58" s="84"/>
      <c r="B58" s="87">
        <v>4</v>
      </c>
      <c r="C58" s="79" t="str">
        <f>Inputs!I79</f>
        <v/>
      </c>
      <c r="D58" s="79">
        <f>Inputs!$F$8*$A$3*HelperFunctions!H$14</f>
        <v>0</v>
      </c>
      <c r="E58" s="79">
        <f>Inputs!$F$8*$A$4*HelperFunctions!$H$14</f>
        <v>0</v>
      </c>
      <c r="F58" s="79">
        <f>Inputs!$F$8*$A$5*HelperFunctions!$H$14</f>
        <v>0</v>
      </c>
      <c r="G58" s="79">
        <f>Inputs!$F$8*$A$6*HelperFunctions!$H$14</f>
        <v>0</v>
      </c>
      <c r="H58" s="79">
        <f>Inputs!$F$8*$A$7*HelperFunctions!$H$14</f>
        <v>0</v>
      </c>
      <c r="I58" s="79">
        <f>Inputs!$F$8*$A$8*HelperFunctions!$H$14</f>
        <v>0</v>
      </c>
      <c r="J58" s="79">
        <f>Inputs!$F$8*$A$9*HelperFunctions!$H$14</f>
        <v>0</v>
      </c>
      <c r="K58" s="79">
        <f>Inputs!$F$8*$A$10*HelperFunctions!$H$14</f>
        <v>0</v>
      </c>
      <c r="L58" s="79">
        <f>Inputs!$F$8*$A$11*HelperFunctions!$H$14</f>
        <v>0</v>
      </c>
      <c r="M58" s="79">
        <f>Inputs!$F$8*$A$12*HelperFunctions!$H$14</f>
        <v>0</v>
      </c>
      <c r="N58" s="79">
        <f>Inputs!$F$8*$A$13*HelperFunctions!$H$14</f>
        <v>0</v>
      </c>
      <c r="O58" s="79">
        <f>Inputs!$F$8*$A$14*HelperFunctions!$H$14</f>
        <v>0</v>
      </c>
      <c r="P58" s="79">
        <f>Inputs!$F$8*$A$15*HelperFunctions!$H$28</f>
        <v>0</v>
      </c>
      <c r="Q58" s="79">
        <f>Inputs!$F$8*$A$16*HelperFunctions!$H$28</f>
        <v>0</v>
      </c>
      <c r="R58" s="79">
        <f>Inputs!$F$8*$A$17*HelperFunctions!$H$28</f>
        <v>0</v>
      </c>
      <c r="S58" s="79">
        <f>Inputs!$F$8*$A$18*HelperFunctions!$H$28</f>
        <v>0</v>
      </c>
      <c r="T58" s="79">
        <f>Inputs!$F$8*$A$19*HelperFunctions!$H$28</f>
        <v>0</v>
      </c>
      <c r="U58" s="79">
        <f>Inputs!$F$8*$A$20*HelperFunctions!$H$28</f>
        <v>0</v>
      </c>
      <c r="V58" s="79">
        <f>Inputs!$F$8*$A$21*HelperFunctions!$H$28</f>
        <v>0</v>
      </c>
      <c r="W58" s="79">
        <f>Inputs!$F$8*$A$22*HelperFunctions!$H$28</f>
        <v>0</v>
      </c>
      <c r="X58" s="79">
        <f>Inputs!$F$8*$A$23*HelperFunctions!$H$28</f>
        <v>0</v>
      </c>
      <c r="Y58" s="79">
        <f>Inputs!$F$8*$A$24*HelperFunctions!$H$28</f>
        <v>0</v>
      </c>
      <c r="Z58" s="79">
        <f>Inputs!$F$8*$A$25*HelperFunctions!$H$28</f>
        <v>0</v>
      </c>
      <c r="AA58" s="79">
        <f>Inputs!$F$8*$A$26*HelperFunctions!$H$28</f>
        <v>0</v>
      </c>
      <c r="AB58" s="79">
        <f>Inputs!$F$8*$A$27*HelperFunctions!$H$42</f>
        <v>0</v>
      </c>
      <c r="AC58" s="79">
        <f>Inputs!$F$8*$A$28*HelperFunctions!$H$42</f>
        <v>0</v>
      </c>
      <c r="AD58" s="79">
        <f>Inputs!$F$8*$A$29*HelperFunctions!$H$42</f>
        <v>0</v>
      </c>
      <c r="AE58" s="79">
        <f>Inputs!$F$8*$A$30*HelperFunctions!$H$42</f>
        <v>0</v>
      </c>
      <c r="AF58" s="79">
        <f>Inputs!$F$8*$A$31*HelperFunctions!$H$42</f>
        <v>0</v>
      </c>
      <c r="AG58" s="79">
        <f>Inputs!$F$8*$A$32*HelperFunctions!$H$42</f>
        <v>0</v>
      </c>
      <c r="AH58" s="79">
        <f>Inputs!$F$8*$A$33*HelperFunctions!$H$42</f>
        <v>0</v>
      </c>
      <c r="AI58" s="79">
        <f>Inputs!$F$8*$A$34*HelperFunctions!$H$42</f>
        <v>0</v>
      </c>
      <c r="AJ58" s="79">
        <f>Inputs!$F$8*$A$35*HelperFunctions!$H$42</f>
        <v>0</v>
      </c>
      <c r="AK58" s="79">
        <f>Inputs!$F$8*$A$36*HelperFunctions!$H$42</f>
        <v>0</v>
      </c>
      <c r="AL58" s="79">
        <f>Inputs!$F$8*$A$37*HelperFunctions!$H$42</f>
        <v>0</v>
      </c>
      <c r="AM58" s="79">
        <f>Inputs!$F$8*$A$38*HelperFunctions!$H$42</f>
        <v>0</v>
      </c>
      <c r="AN58" s="79">
        <f>Inputs!$F$8*$A$39*HelperFunctions!$H$56</f>
        <v>0</v>
      </c>
      <c r="AO58" s="79">
        <f>Inputs!$F$8*$A$40*HelperFunctions!$H$56</f>
        <v>0</v>
      </c>
      <c r="AP58" s="79">
        <f>Inputs!$F$8*$A$41*HelperFunctions!$H$56</f>
        <v>0</v>
      </c>
      <c r="AQ58" s="79">
        <f>Inputs!$F$8*$A$42*HelperFunctions!$H$56</f>
        <v>0</v>
      </c>
      <c r="AR58" s="79">
        <f>Inputs!$F$8*$A$43*HelperFunctions!$H$56</f>
        <v>0</v>
      </c>
      <c r="AS58" s="79">
        <f>Inputs!$F$8*$A$44*HelperFunctions!$H$56</f>
        <v>0</v>
      </c>
      <c r="AT58" s="79">
        <f>Inputs!$F$8*$A$45*HelperFunctions!$H$56</f>
        <v>0</v>
      </c>
      <c r="AU58" s="79">
        <f>Inputs!$F$8*$A$46*HelperFunctions!$H$56</f>
        <v>0</v>
      </c>
      <c r="AV58" s="79">
        <f>Inputs!$F$8*$A$47*HelperFunctions!$H$56</f>
        <v>0</v>
      </c>
      <c r="AW58" s="79">
        <f>Inputs!$F$8*$A$48*HelperFunctions!$H55</f>
        <v>0</v>
      </c>
      <c r="AX58" s="79">
        <f>Inputs!$F$8*$A$49*HelperFunctions!$H54</f>
        <v>0</v>
      </c>
      <c r="AY58" s="79">
        <f>Inputs!$F$8*$A$50*HelperFunctions!$H53</f>
        <v>0</v>
      </c>
      <c r="AZ58" s="79">
        <f>Inputs!$F$8*$A$51*HelperFunctions!$H66</f>
        <v>0</v>
      </c>
      <c r="BA58" s="79">
        <f>Inputs!$F$8*$A$52*HelperFunctions!$H65</f>
        <v>0</v>
      </c>
      <c r="BB58" s="79">
        <f>Inputs!$F$8*$A$53*HelperFunctions!$H64</f>
        <v>0</v>
      </c>
      <c r="BC58" s="79">
        <f>Inputs!$F$8*$A$54*HelperFunctions!$H63</f>
        <v>0</v>
      </c>
      <c r="BD58" s="79">
        <f>Inputs!$F$8*$A$55*HelperFunctions!$H62</f>
        <v>0</v>
      </c>
      <c r="BE58" s="79">
        <f>Inputs!$F$8*$A$56*HelperFunctions!$H61</f>
        <v>0</v>
      </c>
      <c r="BF58" s="79">
        <f>Inputs!$F$8*$A$57*HelperFunctions!$H60</f>
        <v>0</v>
      </c>
      <c r="BG58" s="79">
        <f>Inputs!$F$8*$A$58*HelperFunctions!$H59</f>
        <v>0</v>
      </c>
      <c r="BH58" s="93"/>
      <c r="BI58" s="93"/>
      <c r="BJ58" s="93"/>
      <c r="BK58" s="94"/>
    </row>
    <row r="59" spans="1:63" x14ac:dyDescent="0.35">
      <c r="A59" s="84"/>
      <c r="B59" s="87">
        <v>4</v>
      </c>
      <c r="C59" s="79" t="str">
        <f>Inputs!I80</f>
        <v/>
      </c>
      <c r="D59" s="79">
        <f>Inputs!$F$8*$A$3*HelperFunctions!H$14</f>
        <v>0</v>
      </c>
      <c r="E59" s="79">
        <f>Inputs!$F$8*$A$4*HelperFunctions!$H$14</f>
        <v>0</v>
      </c>
      <c r="F59" s="79">
        <f>Inputs!$F$8*$A$5*HelperFunctions!$H$14</f>
        <v>0</v>
      </c>
      <c r="G59" s="79">
        <f>Inputs!$F$8*$A$6*HelperFunctions!$H$14</f>
        <v>0</v>
      </c>
      <c r="H59" s="79">
        <f>Inputs!$F$8*$A$7*HelperFunctions!$H$14</f>
        <v>0</v>
      </c>
      <c r="I59" s="79">
        <f>Inputs!$F$8*$A$8*HelperFunctions!$H$14</f>
        <v>0</v>
      </c>
      <c r="J59" s="79">
        <f>Inputs!$F$8*$A$9*HelperFunctions!$H$14</f>
        <v>0</v>
      </c>
      <c r="K59" s="79">
        <f>Inputs!$F$8*$A$10*HelperFunctions!$H$14</f>
        <v>0</v>
      </c>
      <c r="L59" s="79">
        <f>Inputs!$F$8*$A$11*HelperFunctions!$H$14</f>
        <v>0</v>
      </c>
      <c r="M59" s="79">
        <f>Inputs!$F$8*$A$12*HelperFunctions!$H$14</f>
        <v>0</v>
      </c>
      <c r="N59" s="79">
        <f>Inputs!$F$8*$A$13*HelperFunctions!$H$14</f>
        <v>0</v>
      </c>
      <c r="O59" s="79">
        <f>Inputs!$F$8*$A$14*HelperFunctions!$H$14</f>
        <v>0</v>
      </c>
      <c r="P59" s="79">
        <f>Inputs!$F$8*$A$15*HelperFunctions!$H$28</f>
        <v>0</v>
      </c>
      <c r="Q59" s="79">
        <f>Inputs!$F$8*$A$16*HelperFunctions!$H$28</f>
        <v>0</v>
      </c>
      <c r="R59" s="79">
        <f>Inputs!$F$8*$A$17*HelperFunctions!$H$28</f>
        <v>0</v>
      </c>
      <c r="S59" s="79">
        <f>Inputs!$F$8*$A$18*HelperFunctions!$H$28</f>
        <v>0</v>
      </c>
      <c r="T59" s="79">
        <f>Inputs!$F$8*$A$19*HelperFunctions!$H$28</f>
        <v>0</v>
      </c>
      <c r="U59" s="79">
        <f>Inputs!$F$8*$A$20*HelperFunctions!$H$28</f>
        <v>0</v>
      </c>
      <c r="V59" s="79">
        <f>Inputs!$F$8*$A$21*HelperFunctions!$H$28</f>
        <v>0</v>
      </c>
      <c r="W59" s="79">
        <f>Inputs!$F$8*$A$22*HelperFunctions!$H$28</f>
        <v>0</v>
      </c>
      <c r="X59" s="79">
        <f>Inputs!$F$8*$A$23*HelperFunctions!$H$28</f>
        <v>0</v>
      </c>
      <c r="Y59" s="79">
        <f>Inputs!$F$8*$A$24*HelperFunctions!$H$28</f>
        <v>0</v>
      </c>
      <c r="Z59" s="79">
        <f>Inputs!$F$8*$A$25*HelperFunctions!$H$28</f>
        <v>0</v>
      </c>
      <c r="AA59" s="79">
        <f>Inputs!$F$8*$A$26*HelperFunctions!$H$28</f>
        <v>0</v>
      </c>
      <c r="AB59" s="79">
        <f>Inputs!$F$8*$A$27*HelperFunctions!$H$42</f>
        <v>0</v>
      </c>
      <c r="AC59" s="79">
        <f>Inputs!$F$8*$A$28*HelperFunctions!$H$42</f>
        <v>0</v>
      </c>
      <c r="AD59" s="79">
        <f>Inputs!$F$8*$A$29*HelperFunctions!$H$42</f>
        <v>0</v>
      </c>
      <c r="AE59" s="79">
        <f>Inputs!$F$8*$A$30*HelperFunctions!$H$42</f>
        <v>0</v>
      </c>
      <c r="AF59" s="79">
        <f>Inputs!$F$8*$A$31*HelperFunctions!$H$42</f>
        <v>0</v>
      </c>
      <c r="AG59" s="79">
        <f>Inputs!$F$8*$A$32*HelperFunctions!$H$42</f>
        <v>0</v>
      </c>
      <c r="AH59" s="79">
        <f>Inputs!$F$8*$A$33*HelperFunctions!$H$42</f>
        <v>0</v>
      </c>
      <c r="AI59" s="79">
        <f>Inputs!$F$8*$A$34*HelperFunctions!$H$42</f>
        <v>0</v>
      </c>
      <c r="AJ59" s="79">
        <f>Inputs!$F$8*$A$35*HelperFunctions!$H$42</f>
        <v>0</v>
      </c>
      <c r="AK59" s="79">
        <f>Inputs!$F$8*$A$36*HelperFunctions!$H$42</f>
        <v>0</v>
      </c>
      <c r="AL59" s="79">
        <f>Inputs!$F$8*$A$37*HelperFunctions!$H$42</f>
        <v>0</v>
      </c>
      <c r="AM59" s="79">
        <f>Inputs!$F$8*$A$38*HelperFunctions!$H$42</f>
        <v>0</v>
      </c>
      <c r="AN59" s="79">
        <f>Inputs!$F$8*$A$39*HelperFunctions!$H$56</f>
        <v>0</v>
      </c>
      <c r="AO59" s="79">
        <f>Inputs!$F$8*$A$40*HelperFunctions!$H$56</f>
        <v>0</v>
      </c>
      <c r="AP59" s="79">
        <f>Inputs!$F$8*$A$41*HelperFunctions!$H$56</f>
        <v>0</v>
      </c>
      <c r="AQ59" s="79">
        <f>Inputs!$F$8*$A$42*HelperFunctions!$H$56</f>
        <v>0</v>
      </c>
      <c r="AR59" s="79">
        <f>Inputs!$F$8*$A$43*HelperFunctions!$H$56</f>
        <v>0</v>
      </c>
      <c r="AS59" s="79">
        <f>Inputs!$F$8*$A$44*HelperFunctions!$H$56</f>
        <v>0</v>
      </c>
      <c r="AT59" s="79">
        <f>Inputs!$F$8*$A$45*HelperFunctions!$H$56</f>
        <v>0</v>
      </c>
      <c r="AU59" s="79">
        <f>Inputs!$F$8*$A$46*HelperFunctions!$H$56</f>
        <v>0</v>
      </c>
      <c r="AV59" s="79">
        <f>Inputs!$F$8*$A$47*HelperFunctions!$H$56</f>
        <v>0</v>
      </c>
      <c r="AW59" s="79">
        <f>Inputs!$F$8*$A$48*HelperFunctions!$H$56</f>
        <v>0</v>
      </c>
      <c r="AX59" s="79">
        <f>Inputs!$F$8*$A$49*HelperFunctions!$H55</f>
        <v>0</v>
      </c>
      <c r="AY59" s="79">
        <f>Inputs!$F$8*$A$50*HelperFunctions!$H54</f>
        <v>0</v>
      </c>
      <c r="AZ59" s="79">
        <f>Inputs!$F$8*$A$51*HelperFunctions!$H67</f>
        <v>0</v>
      </c>
      <c r="BA59" s="79">
        <f>Inputs!$F$8*$A$52*HelperFunctions!$H66</f>
        <v>0</v>
      </c>
      <c r="BB59" s="79">
        <f>Inputs!$F$8*$A$53*HelperFunctions!$H65</f>
        <v>0</v>
      </c>
      <c r="BC59" s="79">
        <f>Inputs!$F$8*$A$54*HelperFunctions!$H64</f>
        <v>0</v>
      </c>
      <c r="BD59" s="79">
        <f>Inputs!$F$8*$A$55*HelperFunctions!$H63</f>
        <v>0</v>
      </c>
      <c r="BE59" s="79">
        <f>Inputs!$F$8*$A$56*HelperFunctions!$H62</f>
        <v>0</v>
      </c>
      <c r="BF59" s="79">
        <f>Inputs!$F$8*$A$57*HelperFunctions!$H61</f>
        <v>0</v>
      </c>
      <c r="BG59" s="79">
        <f>Inputs!$F$8*$A$58*HelperFunctions!$H60</f>
        <v>0</v>
      </c>
      <c r="BH59" s="79">
        <f>Inputs!$F$8*$A$59*HelperFunctions!$H59</f>
        <v>0</v>
      </c>
      <c r="BI59" s="93"/>
      <c r="BJ59" s="93"/>
      <c r="BK59" s="94"/>
    </row>
    <row r="60" spans="1:63" x14ac:dyDescent="0.35">
      <c r="A60" s="84"/>
      <c r="B60" s="87">
        <v>4</v>
      </c>
      <c r="C60" s="79" t="str">
        <f>Inputs!I81</f>
        <v/>
      </c>
      <c r="D60" s="79">
        <f>Inputs!$F$8*$A$3*HelperFunctions!H$14</f>
        <v>0</v>
      </c>
      <c r="E60" s="79">
        <f>Inputs!$F$8*$A$4*HelperFunctions!$H$14</f>
        <v>0</v>
      </c>
      <c r="F60" s="79">
        <f>Inputs!$F$8*$A$5*HelperFunctions!$H$14</f>
        <v>0</v>
      </c>
      <c r="G60" s="79">
        <f>Inputs!$F$8*$A$6*HelperFunctions!$H$14</f>
        <v>0</v>
      </c>
      <c r="H60" s="79">
        <f>Inputs!$F$8*$A$7*HelperFunctions!$H$14</f>
        <v>0</v>
      </c>
      <c r="I60" s="79">
        <f>Inputs!$F$8*$A$8*HelperFunctions!$H$14</f>
        <v>0</v>
      </c>
      <c r="J60" s="79">
        <f>Inputs!$F$8*$A$9*HelperFunctions!$H$14</f>
        <v>0</v>
      </c>
      <c r="K60" s="79">
        <f>Inputs!$F$8*$A$10*HelperFunctions!$H$14</f>
        <v>0</v>
      </c>
      <c r="L60" s="79">
        <f>Inputs!$F$8*$A$11*HelperFunctions!$H$14</f>
        <v>0</v>
      </c>
      <c r="M60" s="79">
        <f>Inputs!$F$8*$A$12*HelperFunctions!$H$14</f>
        <v>0</v>
      </c>
      <c r="N60" s="79">
        <f>Inputs!$F$8*$A$13*HelperFunctions!$H$14</f>
        <v>0</v>
      </c>
      <c r="O60" s="79">
        <f>Inputs!$F$8*$A$14*HelperFunctions!$H$14</f>
        <v>0</v>
      </c>
      <c r="P60" s="79">
        <f>Inputs!$F$8*$A$15*HelperFunctions!$H$28</f>
        <v>0</v>
      </c>
      <c r="Q60" s="79">
        <f>Inputs!$F$8*$A$16*HelperFunctions!$H$28</f>
        <v>0</v>
      </c>
      <c r="R60" s="79">
        <f>Inputs!$F$8*$A$17*HelperFunctions!$H$28</f>
        <v>0</v>
      </c>
      <c r="S60" s="79">
        <f>Inputs!$F$8*$A$18*HelperFunctions!$H$28</f>
        <v>0</v>
      </c>
      <c r="T60" s="79">
        <f>Inputs!$F$8*$A$19*HelperFunctions!$H$28</f>
        <v>0</v>
      </c>
      <c r="U60" s="79">
        <f>Inputs!$F$8*$A$20*HelperFunctions!$H$28</f>
        <v>0</v>
      </c>
      <c r="V60" s="79">
        <f>Inputs!$F$8*$A$21*HelperFunctions!$H$28</f>
        <v>0</v>
      </c>
      <c r="W60" s="79">
        <f>Inputs!$F$8*$A$22*HelperFunctions!$H$28</f>
        <v>0</v>
      </c>
      <c r="X60" s="79">
        <f>Inputs!$F$8*$A$23*HelperFunctions!$H$28</f>
        <v>0</v>
      </c>
      <c r="Y60" s="79">
        <f>Inputs!$F$8*$A$24*HelperFunctions!$H$28</f>
        <v>0</v>
      </c>
      <c r="Z60" s="79">
        <f>Inputs!$F$8*$A$25*HelperFunctions!$H$28</f>
        <v>0</v>
      </c>
      <c r="AA60" s="79">
        <f>Inputs!$F$8*$A$26*HelperFunctions!$H$28</f>
        <v>0</v>
      </c>
      <c r="AB60" s="79">
        <f>Inputs!$F$8*$A$27*HelperFunctions!$H$42</f>
        <v>0</v>
      </c>
      <c r="AC60" s="79">
        <f>Inputs!$F$8*$A$28*HelperFunctions!$H$42</f>
        <v>0</v>
      </c>
      <c r="AD60" s="79">
        <f>Inputs!$F$8*$A$29*HelperFunctions!$H$42</f>
        <v>0</v>
      </c>
      <c r="AE60" s="79">
        <f>Inputs!$F$8*$A$30*HelperFunctions!$H$42</f>
        <v>0</v>
      </c>
      <c r="AF60" s="79">
        <f>Inputs!$F$8*$A$31*HelperFunctions!$H$42</f>
        <v>0</v>
      </c>
      <c r="AG60" s="79">
        <f>Inputs!$F$8*$A$32*HelperFunctions!$H$42</f>
        <v>0</v>
      </c>
      <c r="AH60" s="79">
        <f>Inputs!$F$8*$A$33*HelperFunctions!$H$42</f>
        <v>0</v>
      </c>
      <c r="AI60" s="79">
        <f>Inputs!$F$8*$A$34*HelperFunctions!$H$42</f>
        <v>0</v>
      </c>
      <c r="AJ60" s="79">
        <f>Inputs!$F$8*$A$35*HelperFunctions!$H$42</f>
        <v>0</v>
      </c>
      <c r="AK60" s="79">
        <f>Inputs!$F$8*$A$36*HelperFunctions!$H$42</f>
        <v>0</v>
      </c>
      <c r="AL60" s="79">
        <f>Inputs!$F$8*$A$37*HelperFunctions!$H$42</f>
        <v>0</v>
      </c>
      <c r="AM60" s="79">
        <f>Inputs!$F$8*$A$38*HelperFunctions!$H$42</f>
        <v>0</v>
      </c>
      <c r="AN60" s="79">
        <f>Inputs!$F$8*$A$39*HelperFunctions!$H$56</f>
        <v>0</v>
      </c>
      <c r="AO60" s="79">
        <f>Inputs!$F$8*$A$40*HelperFunctions!$H$56</f>
        <v>0</v>
      </c>
      <c r="AP60" s="79">
        <f>Inputs!$F$8*$A$41*HelperFunctions!$H$56</f>
        <v>0</v>
      </c>
      <c r="AQ60" s="79">
        <f>Inputs!$F$8*$A$42*HelperFunctions!$H$56</f>
        <v>0</v>
      </c>
      <c r="AR60" s="79">
        <f>Inputs!$F$8*$A$43*HelperFunctions!$H$56</f>
        <v>0</v>
      </c>
      <c r="AS60" s="79">
        <f>Inputs!$F$8*$A$44*HelperFunctions!$H$56</f>
        <v>0</v>
      </c>
      <c r="AT60" s="79">
        <f>Inputs!$F$8*$A$45*HelperFunctions!$H$56</f>
        <v>0</v>
      </c>
      <c r="AU60" s="79">
        <f>Inputs!$F$8*$A$46*HelperFunctions!$H$56</f>
        <v>0</v>
      </c>
      <c r="AV60" s="79">
        <f>Inputs!$F$8*$A$47*HelperFunctions!$H$56</f>
        <v>0</v>
      </c>
      <c r="AW60" s="79">
        <f>Inputs!$F$8*$A$48*HelperFunctions!$H$56</f>
        <v>0</v>
      </c>
      <c r="AX60" s="79">
        <f>Inputs!$F$8*$A$49*HelperFunctions!$H$56</f>
        <v>0</v>
      </c>
      <c r="AY60" s="79">
        <f>Inputs!$F$8*$A$50*HelperFunctions!$H55</f>
        <v>0</v>
      </c>
      <c r="AZ60" s="79">
        <f>Inputs!$F$8*$A$51*HelperFunctions!$H68</f>
        <v>0</v>
      </c>
      <c r="BA60" s="79">
        <f>Inputs!$F$8*$A$52*HelperFunctions!$H67</f>
        <v>0</v>
      </c>
      <c r="BB60" s="79">
        <f>Inputs!$F$8*$A$53*HelperFunctions!$H66</f>
        <v>0</v>
      </c>
      <c r="BC60" s="79">
        <f>Inputs!$F$8*$A$54*HelperFunctions!$H65</f>
        <v>0</v>
      </c>
      <c r="BD60" s="79">
        <f>Inputs!$F$8*$A$55*HelperFunctions!$H64</f>
        <v>0</v>
      </c>
      <c r="BE60" s="79">
        <f>Inputs!$F$8*$A$56*HelperFunctions!$H63</f>
        <v>0</v>
      </c>
      <c r="BF60" s="79">
        <f>Inputs!$F$8*$A$57*HelperFunctions!$H62</f>
        <v>0</v>
      </c>
      <c r="BG60" s="79">
        <f>Inputs!$F$8*$A$58*HelperFunctions!$H61</f>
        <v>0</v>
      </c>
      <c r="BH60" s="79">
        <f>Inputs!$F$8*$A$59*HelperFunctions!$H60</f>
        <v>0</v>
      </c>
      <c r="BI60" s="79">
        <f>Inputs!$F$8*$A$60*HelperFunctions!$H59</f>
        <v>0</v>
      </c>
      <c r="BJ60" s="93"/>
      <c r="BK60" s="94"/>
    </row>
    <row r="61" spans="1:63" x14ac:dyDescent="0.35">
      <c r="A61" s="84"/>
      <c r="B61" s="87">
        <v>4</v>
      </c>
      <c r="C61" s="79" t="str">
        <f>Inputs!I82</f>
        <v/>
      </c>
      <c r="D61" s="79">
        <f>Inputs!$F$8*$A$3*HelperFunctions!H$14</f>
        <v>0</v>
      </c>
      <c r="E61" s="79">
        <f>Inputs!$F$8*$A$4*HelperFunctions!$H$14</f>
        <v>0</v>
      </c>
      <c r="F61" s="79">
        <f>Inputs!$F$8*$A$5*HelperFunctions!$H$14</f>
        <v>0</v>
      </c>
      <c r="G61" s="79">
        <f>Inputs!$F$8*$A$6*HelperFunctions!$H$14</f>
        <v>0</v>
      </c>
      <c r="H61" s="79">
        <f>Inputs!$F$8*$A$7*HelperFunctions!$H$14</f>
        <v>0</v>
      </c>
      <c r="I61" s="79">
        <f>Inputs!$F$8*$A$8*HelperFunctions!$H$14</f>
        <v>0</v>
      </c>
      <c r="J61" s="79">
        <f>Inputs!$F$8*$A$9*HelperFunctions!$H$14</f>
        <v>0</v>
      </c>
      <c r="K61" s="79">
        <f>Inputs!$F$8*$A$10*HelperFunctions!$H$14</f>
        <v>0</v>
      </c>
      <c r="L61" s="79">
        <f>Inputs!$F$8*$A$11*HelperFunctions!$H$14</f>
        <v>0</v>
      </c>
      <c r="M61" s="79">
        <f>Inputs!$F$8*$A$12*HelperFunctions!$H$14</f>
        <v>0</v>
      </c>
      <c r="N61" s="79">
        <f>Inputs!$F$8*$A$13*HelperFunctions!$H$14</f>
        <v>0</v>
      </c>
      <c r="O61" s="79">
        <f>Inputs!$F$8*$A$14*HelperFunctions!$H$14</f>
        <v>0</v>
      </c>
      <c r="P61" s="79">
        <f>Inputs!$F$8*$A$15*HelperFunctions!$H$28</f>
        <v>0</v>
      </c>
      <c r="Q61" s="79">
        <f>Inputs!$F$8*$A$16*HelperFunctions!$H$28</f>
        <v>0</v>
      </c>
      <c r="R61" s="79">
        <f>Inputs!$F$8*$A$17*HelperFunctions!$H$28</f>
        <v>0</v>
      </c>
      <c r="S61" s="79">
        <f>Inputs!$F$8*$A$18*HelperFunctions!$H$28</f>
        <v>0</v>
      </c>
      <c r="T61" s="79">
        <f>Inputs!$F$8*$A$19*HelperFunctions!$H$28</f>
        <v>0</v>
      </c>
      <c r="U61" s="79">
        <f>Inputs!$F$8*$A$20*HelperFunctions!$H$28</f>
        <v>0</v>
      </c>
      <c r="V61" s="79">
        <f>Inputs!$F$8*$A$21*HelperFunctions!$H$28</f>
        <v>0</v>
      </c>
      <c r="W61" s="79">
        <f>Inputs!$F$8*$A$22*HelperFunctions!$H$28</f>
        <v>0</v>
      </c>
      <c r="X61" s="79">
        <f>Inputs!$F$8*$A$23*HelperFunctions!$H$28</f>
        <v>0</v>
      </c>
      <c r="Y61" s="79">
        <f>Inputs!$F$8*$A$24*HelperFunctions!$H$28</f>
        <v>0</v>
      </c>
      <c r="Z61" s="79">
        <f>Inputs!$F$8*$A$25*HelperFunctions!$H$28</f>
        <v>0</v>
      </c>
      <c r="AA61" s="79">
        <f>Inputs!$F$8*$A$26*HelperFunctions!$H$28</f>
        <v>0</v>
      </c>
      <c r="AB61" s="79">
        <f>Inputs!$F$8*$A$27*HelperFunctions!$H$42</f>
        <v>0</v>
      </c>
      <c r="AC61" s="79">
        <f>Inputs!$F$8*$A$28*HelperFunctions!$H$42</f>
        <v>0</v>
      </c>
      <c r="AD61" s="79">
        <f>Inputs!$F$8*$A$29*HelperFunctions!$H$42</f>
        <v>0</v>
      </c>
      <c r="AE61" s="79">
        <f>Inputs!$F$8*$A$30*HelperFunctions!$H$42</f>
        <v>0</v>
      </c>
      <c r="AF61" s="79">
        <f>Inputs!$F$8*$A$31*HelperFunctions!$H$42</f>
        <v>0</v>
      </c>
      <c r="AG61" s="79">
        <f>Inputs!$F$8*$A$32*HelperFunctions!$H$42</f>
        <v>0</v>
      </c>
      <c r="AH61" s="79">
        <f>Inputs!$F$8*$A$33*HelperFunctions!$H$42</f>
        <v>0</v>
      </c>
      <c r="AI61" s="79">
        <f>Inputs!$F$8*$A$34*HelperFunctions!$H$42</f>
        <v>0</v>
      </c>
      <c r="AJ61" s="79">
        <f>Inputs!$F$8*$A$35*HelperFunctions!$H$42</f>
        <v>0</v>
      </c>
      <c r="AK61" s="79">
        <f>Inputs!$F$8*$A$36*HelperFunctions!$H$42</f>
        <v>0</v>
      </c>
      <c r="AL61" s="79">
        <f>Inputs!$F$8*$A$37*HelperFunctions!$H$42</f>
        <v>0</v>
      </c>
      <c r="AM61" s="79">
        <f>Inputs!$F$8*$A$38*HelperFunctions!$H$42</f>
        <v>0</v>
      </c>
      <c r="AN61" s="79">
        <f>Inputs!$F$8*$A$39*HelperFunctions!$H$56</f>
        <v>0</v>
      </c>
      <c r="AO61" s="79">
        <f>Inputs!$F$8*$A$40*HelperFunctions!$H$56</f>
        <v>0</v>
      </c>
      <c r="AP61" s="79">
        <f>Inputs!$F$8*$A$41*HelperFunctions!$H$56</f>
        <v>0</v>
      </c>
      <c r="AQ61" s="79">
        <f>Inputs!$F$8*$A$42*HelperFunctions!$H$56</f>
        <v>0</v>
      </c>
      <c r="AR61" s="79">
        <f>Inputs!$F$8*$A$43*HelperFunctions!$H$56</f>
        <v>0</v>
      </c>
      <c r="AS61" s="79">
        <f>Inputs!$F$8*$A$44*HelperFunctions!$H$56</f>
        <v>0</v>
      </c>
      <c r="AT61" s="79">
        <f>Inputs!$F$8*$A$45*HelperFunctions!$H$56</f>
        <v>0</v>
      </c>
      <c r="AU61" s="79">
        <f>Inputs!$F$8*$A$46*HelperFunctions!$H$56</f>
        <v>0</v>
      </c>
      <c r="AV61" s="79">
        <f>Inputs!$F$8*$A$47*HelperFunctions!$H$56</f>
        <v>0</v>
      </c>
      <c r="AW61" s="79">
        <f>Inputs!$F$8*$A$48*HelperFunctions!$H$56</f>
        <v>0</v>
      </c>
      <c r="AX61" s="79">
        <f>Inputs!$F$8*$A$49*HelperFunctions!$H$56</f>
        <v>0</v>
      </c>
      <c r="AY61" s="79">
        <f>Inputs!$F$8*$A$50*HelperFunctions!$H$56</f>
        <v>0</v>
      </c>
      <c r="AZ61" s="79">
        <f>Inputs!$F$8*$A$51*HelperFunctions!$H$69</f>
        <v>0</v>
      </c>
      <c r="BA61" s="79">
        <f>Inputs!$F$8*$A$52*HelperFunctions!$H68</f>
        <v>0</v>
      </c>
      <c r="BB61" s="79">
        <f>Inputs!$F$8*$A$53*HelperFunctions!$H67</f>
        <v>0</v>
      </c>
      <c r="BC61" s="79">
        <f>Inputs!$F$8*$A$54*HelperFunctions!$H66</f>
        <v>0</v>
      </c>
      <c r="BD61" s="79">
        <f>Inputs!$F$8*$A$55*HelperFunctions!$H65</f>
        <v>0</v>
      </c>
      <c r="BE61" s="79">
        <f>Inputs!$F$8*$A$56*HelperFunctions!$H64</f>
        <v>0</v>
      </c>
      <c r="BF61" s="79">
        <f>Inputs!$F$8*$A$57*HelperFunctions!$H63</f>
        <v>0</v>
      </c>
      <c r="BG61" s="79">
        <f>Inputs!$F$8*$A$58*HelperFunctions!$H62</f>
        <v>0</v>
      </c>
      <c r="BH61" s="79">
        <f>Inputs!$F$8*$A$59*HelperFunctions!$H61</f>
        <v>0</v>
      </c>
      <c r="BI61" s="79">
        <f>Inputs!$F$8*$A$60*HelperFunctions!$H60</f>
        <v>0</v>
      </c>
      <c r="BJ61" s="79">
        <f>Inputs!$F$8*$A$61*HelperFunctions!$H59</f>
        <v>0</v>
      </c>
      <c r="BK61" s="94"/>
    </row>
    <row r="62" spans="1:63" ht="15.75" customHeight="1" x14ac:dyDescent="0.35">
      <c r="A62" s="84"/>
      <c r="B62" s="88">
        <v>4</v>
      </c>
      <c r="C62" s="89" t="str">
        <f>Inputs!I83</f>
        <v/>
      </c>
      <c r="D62" s="89">
        <f>Inputs!$F$8*$A$3*HelperFunctions!H$14</f>
        <v>0</v>
      </c>
      <c r="E62" s="89">
        <f>Inputs!$F$8*$A$4*HelperFunctions!$H$14</f>
        <v>0</v>
      </c>
      <c r="F62" s="89">
        <f>Inputs!$F$8*$A$5*HelperFunctions!$H$14</f>
        <v>0</v>
      </c>
      <c r="G62" s="89">
        <f>Inputs!$F$8*$A$6*HelperFunctions!$H$14</f>
        <v>0</v>
      </c>
      <c r="H62" s="89">
        <f>Inputs!$F$8*$A$7*HelperFunctions!$H$14</f>
        <v>0</v>
      </c>
      <c r="I62" s="89">
        <f>Inputs!$F$8*$A$8*HelperFunctions!$H$14</f>
        <v>0</v>
      </c>
      <c r="J62" s="89">
        <f>Inputs!$F$8*$A$9*HelperFunctions!$H$14</f>
        <v>0</v>
      </c>
      <c r="K62" s="89">
        <f>Inputs!$F$8*$A$10*HelperFunctions!$H$14</f>
        <v>0</v>
      </c>
      <c r="L62" s="89">
        <f>Inputs!$F$8*$A$11*HelperFunctions!$H$14</f>
        <v>0</v>
      </c>
      <c r="M62" s="89">
        <f>Inputs!$F$8*$A$12*HelperFunctions!$H$14</f>
        <v>0</v>
      </c>
      <c r="N62" s="89">
        <f>Inputs!$F$8*$A$13*HelperFunctions!$H$14</f>
        <v>0</v>
      </c>
      <c r="O62" s="89">
        <f>Inputs!$F$8*$A$14*HelperFunctions!$H$14</f>
        <v>0</v>
      </c>
      <c r="P62" s="89">
        <f>Inputs!$F$8*$A$15*HelperFunctions!$H$28</f>
        <v>0</v>
      </c>
      <c r="Q62" s="89">
        <f>Inputs!$F$8*$A$16*HelperFunctions!$H$28</f>
        <v>0</v>
      </c>
      <c r="R62" s="89">
        <f>Inputs!$F$8*$A$17*HelperFunctions!$H$28</f>
        <v>0</v>
      </c>
      <c r="S62" s="89">
        <f>Inputs!$F$8*$A$18*HelperFunctions!$H$28</f>
        <v>0</v>
      </c>
      <c r="T62" s="89">
        <f>Inputs!$F$8*$A$19*HelperFunctions!$H$28</f>
        <v>0</v>
      </c>
      <c r="U62" s="89">
        <f>Inputs!$F$8*$A$20*HelperFunctions!$H$28</f>
        <v>0</v>
      </c>
      <c r="V62" s="89">
        <f>Inputs!$F$8*$A$21*HelperFunctions!$H$28</f>
        <v>0</v>
      </c>
      <c r="W62" s="89">
        <f>Inputs!$F$8*$A$22*HelperFunctions!$H$28</f>
        <v>0</v>
      </c>
      <c r="X62" s="89">
        <f>Inputs!$F$8*$A$23*HelperFunctions!$H$28</f>
        <v>0</v>
      </c>
      <c r="Y62" s="89">
        <f>Inputs!$F$8*$A$24*HelperFunctions!$H$28</f>
        <v>0</v>
      </c>
      <c r="Z62" s="89">
        <f>Inputs!$F$8*$A$25*HelperFunctions!$H$28</f>
        <v>0</v>
      </c>
      <c r="AA62" s="89">
        <f>Inputs!$F$8*$A$26*HelperFunctions!$H$28</f>
        <v>0</v>
      </c>
      <c r="AB62" s="89">
        <f>Inputs!$F$8*$A$27*HelperFunctions!$H$42</f>
        <v>0</v>
      </c>
      <c r="AC62" s="89">
        <f>Inputs!$F$8*$A$28*HelperFunctions!$H$42</f>
        <v>0</v>
      </c>
      <c r="AD62" s="89">
        <f>Inputs!$F$8*$A$29*HelperFunctions!$H$42</f>
        <v>0</v>
      </c>
      <c r="AE62" s="89">
        <f>Inputs!$F$8*$A$30*HelperFunctions!$H$42</f>
        <v>0</v>
      </c>
      <c r="AF62" s="89">
        <f>Inputs!$F$8*$A$31*HelperFunctions!$H$42</f>
        <v>0</v>
      </c>
      <c r="AG62" s="89">
        <f>Inputs!$F$8*$A$32*HelperFunctions!$H$42</f>
        <v>0</v>
      </c>
      <c r="AH62" s="89">
        <f>Inputs!$F$8*$A$33*HelperFunctions!$H$42</f>
        <v>0</v>
      </c>
      <c r="AI62" s="89">
        <f>Inputs!$F$8*$A$34*HelperFunctions!$H$42</f>
        <v>0</v>
      </c>
      <c r="AJ62" s="89">
        <f>Inputs!$F$8*$A$35*HelperFunctions!$H$42</f>
        <v>0</v>
      </c>
      <c r="AK62" s="89">
        <f>Inputs!$F$8*$A$36*HelperFunctions!$H$42</f>
        <v>0</v>
      </c>
      <c r="AL62" s="89">
        <f>Inputs!$F$8*$A$37*HelperFunctions!$H$42</f>
        <v>0</v>
      </c>
      <c r="AM62" s="89">
        <f>Inputs!$F$8*$A$38*HelperFunctions!$H$42</f>
        <v>0</v>
      </c>
      <c r="AN62" s="89">
        <f>Inputs!$F$8*$A$39*HelperFunctions!$H$56</f>
        <v>0</v>
      </c>
      <c r="AO62" s="89">
        <f>Inputs!$F$8*$A$40*HelperFunctions!$H$56</f>
        <v>0</v>
      </c>
      <c r="AP62" s="89">
        <f>Inputs!$F$8*$A$41*HelperFunctions!$H$56</f>
        <v>0</v>
      </c>
      <c r="AQ62" s="89">
        <f>Inputs!$F$8*$A$42*HelperFunctions!$H$56</f>
        <v>0</v>
      </c>
      <c r="AR62" s="89">
        <f>Inputs!$F$8*$A$43*HelperFunctions!$H$56</f>
        <v>0</v>
      </c>
      <c r="AS62" s="89">
        <f>Inputs!$F$8*$A$44*HelperFunctions!$H$56</f>
        <v>0</v>
      </c>
      <c r="AT62" s="89">
        <f>Inputs!$F$8*$A$45*HelperFunctions!$H$56</f>
        <v>0</v>
      </c>
      <c r="AU62" s="89">
        <f>Inputs!$F$8*$A$46*HelperFunctions!$H$56</f>
        <v>0</v>
      </c>
      <c r="AV62" s="89">
        <f>Inputs!$F$8*$A$47*HelperFunctions!$H$56</f>
        <v>0</v>
      </c>
      <c r="AW62" s="89">
        <f>Inputs!$F$8*$A$48*HelperFunctions!$H$56</f>
        <v>0</v>
      </c>
      <c r="AX62" s="89">
        <f>Inputs!$F$8*$A$49*HelperFunctions!$H$56</f>
        <v>0</v>
      </c>
      <c r="AY62" s="89">
        <f>Inputs!$F$8*$A$50*HelperFunctions!$H$56</f>
        <v>0</v>
      </c>
      <c r="AZ62" s="89">
        <f>Inputs!$F$8*$A$51*HelperFunctions!$H$69</f>
        <v>0</v>
      </c>
      <c r="BA62" s="89">
        <f>Inputs!$F$8*$A$52*HelperFunctions!$H69</f>
        <v>0</v>
      </c>
      <c r="BB62" s="89">
        <f>Inputs!$F$8*$A$53*HelperFunctions!$H68</f>
        <v>0</v>
      </c>
      <c r="BC62" s="89">
        <f>Inputs!$F$8*$A$54*HelperFunctions!$H67</f>
        <v>0</v>
      </c>
      <c r="BD62" s="89">
        <f>Inputs!$F$8*$A$55*HelperFunctions!$H66</f>
        <v>0</v>
      </c>
      <c r="BE62" s="89">
        <f>Inputs!$F$8*$A$56*HelperFunctions!$H65</f>
        <v>0</v>
      </c>
      <c r="BF62" s="89">
        <f>Inputs!$F$8*$A$57*HelperFunctions!$H64</f>
        <v>0</v>
      </c>
      <c r="BG62" s="89">
        <f>Inputs!$F$8*$A$58*HelperFunctions!$H63</f>
        <v>0</v>
      </c>
      <c r="BH62" s="89">
        <f>Inputs!$F$8*$A$59*HelperFunctions!$H62</f>
        <v>0</v>
      </c>
      <c r="BI62" s="89">
        <f>Inputs!$F$8*$A$60*HelperFunctions!$H61</f>
        <v>0</v>
      </c>
      <c r="BJ62" s="89">
        <f>Inputs!$F$8*$A$61*HelperFunctions!$H60</f>
        <v>0</v>
      </c>
      <c r="BK62" s="90">
        <f>Inputs!$F$8*$A$62*HelperFunctions!$H59</f>
        <v>0</v>
      </c>
    </row>
  </sheetData>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A63"/>
  <sheetViews>
    <sheetView topLeftCell="AQ1" zoomScaleNormal="100" workbookViewId="0">
      <selection activeCell="D5" sqref="D5"/>
    </sheetView>
  </sheetViews>
  <sheetFormatPr defaultColWidth="10.90625" defaultRowHeight="14.5" x14ac:dyDescent="0.35"/>
  <cols>
    <col min="4" max="183" width="14.26953125" customWidth="1"/>
  </cols>
  <sheetData>
    <row r="2" spans="2:183" ht="27.65" customHeight="1" x14ac:dyDescent="0.35">
      <c r="B2" t="s">
        <v>214</v>
      </c>
      <c r="C2" t="s">
        <v>64</v>
      </c>
      <c r="D2" s="337" t="s">
        <v>217</v>
      </c>
      <c r="E2" s="338"/>
      <c r="F2" s="338"/>
      <c r="G2" s="337" t="s">
        <v>218</v>
      </c>
      <c r="H2" s="338"/>
      <c r="I2" s="338"/>
      <c r="J2" s="337" t="s">
        <v>221</v>
      </c>
      <c r="K2" s="338"/>
      <c r="L2" s="338"/>
      <c r="M2" s="337" t="s">
        <v>222</v>
      </c>
      <c r="N2" s="338"/>
      <c r="O2" s="338"/>
      <c r="P2" s="337" t="s">
        <v>223</v>
      </c>
      <c r="Q2" s="338"/>
      <c r="R2" s="338"/>
      <c r="S2" s="337" t="s">
        <v>224</v>
      </c>
      <c r="T2" s="338"/>
      <c r="U2" s="338"/>
      <c r="V2" s="337" t="s">
        <v>225</v>
      </c>
      <c r="W2" s="338"/>
      <c r="X2" s="338"/>
      <c r="Y2" s="337" t="s">
        <v>226</v>
      </c>
      <c r="Z2" s="338"/>
      <c r="AA2" s="338"/>
      <c r="AB2" s="337" t="s">
        <v>227</v>
      </c>
      <c r="AC2" s="338"/>
      <c r="AD2" s="338"/>
      <c r="AE2" s="337" t="s">
        <v>228</v>
      </c>
      <c r="AF2" s="338"/>
      <c r="AG2" s="338"/>
      <c r="AH2" s="337" t="s">
        <v>229</v>
      </c>
      <c r="AI2" s="338"/>
      <c r="AJ2" s="338"/>
      <c r="AK2" s="337" t="s">
        <v>230</v>
      </c>
      <c r="AL2" s="338"/>
      <c r="AM2" s="338"/>
      <c r="AN2" s="337" t="s">
        <v>268</v>
      </c>
      <c r="AO2" s="338"/>
      <c r="AP2" s="338"/>
      <c r="AQ2" s="337" t="s">
        <v>269</v>
      </c>
      <c r="AR2" s="338"/>
      <c r="AS2" s="338"/>
      <c r="AT2" s="337" t="s">
        <v>270</v>
      </c>
      <c r="AU2" s="338"/>
      <c r="AV2" s="338"/>
      <c r="AW2" s="337" t="s">
        <v>271</v>
      </c>
      <c r="AX2" s="338"/>
      <c r="AY2" s="338"/>
      <c r="AZ2" s="337" t="s">
        <v>272</v>
      </c>
      <c r="BA2" s="338"/>
      <c r="BB2" s="338"/>
      <c r="BC2" s="337" t="s">
        <v>273</v>
      </c>
      <c r="BD2" s="338"/>
      <c r="BE2" s="338"/>
      <c r="BF2" s="337" t="s">
        <v>274</v>
      </c>
      <c r="BG2" s="338"/>
      <c r="BH2" s="338"/>
      <c r="BI2" s="337" t="s">
        <v>275</v>
      </c>
      <c r="BJ2" s="338"/>
      <c r="BK2" s="338"/>
      <c r="BL2" s="337" t="s">
        <v>276</v>
      </c>
      <c r="BM2" s="338"/>
      <c r="BN2" s="338"/>
      <c r="BO2" s="337" t="s">
        <v>277</v>
      </c>
      <c r="BP2" s="338"/>
      <c r="BQ2" s="338"/>
      <c r="BR2" s="337" t="s">
        <v>278</v>
      </c>
      <c r="BS2" s="338"/>
      <c r="BT2" s="338"/>
      <c r="BU2" s="337" t="s">
        <v>267</v>
      </c>
      <c r="BV2" s="338"/>
      <c r="BW2" s="338"/>
      <c r="BX2" s="337" t="s">
        <v>256</v>
      </c>
      <c r="BY2" s="338"/>
      <c r="BZ2" s="338"/>
      <c r="CA2" s="337" t="s">
        <v>257</v>
      </c>
      <c r="CB2" s="338"/>
      <c r="CC2" s="338"/>
      <c r="CD2" s="337" t="s">
        <v>258</v>
      </c>
      <c r="CE2" s="338"/>
      <c r="CF2" s="338"/>
      <c r="CG2" s="337" t="s">
        <v>259</v>
      </c>
      <c r="CH2" s="338"/>
      <c r="CI2" s="338"/>
      <c r="CJ2" s="337" t="s">
        <v>260</v>
      </c>
      <c r="CK2" s="338"/>
      <c r="CL2" s="338"/>
      <c r="CM2" s="337" t="s">
        <v>261</v>
      </c>
      <c r="CN2" s="338"/>
      <c r="CO2" s="338"/>
      <c r="CP2" s="337" t="s">
        <v>262</v>
      </c>
      <c r="CQ2" s="338"/>
      <c r="CR2" s="338"/>
      <c r="CS2" s="337" t="s">
        <v>263</v>
      </c>
      <c r="CT2" s="338"/>
      <c r="CU2" s="338"/>
      <c r="CV2" s="337" t="s">
        <v>264</v>
      </c>
      <c r="CW2" s="338"/>
      <c r="CX2" s="338"/>
      <c r="CY2" s="337" t="s">
        <v>265</v>
      </c>
      <c r="CZ2" s="338"/>
      <c r="DA2" s="338"/>
      <c r="DB2" s="337" t="s">
        <v>266</v>
      </c>
      <c r="DC2" s="338"/>
      <c r="DD2" s="338"/>
      <c r="DE2" s="337" t="s">
        <v>255</v>
      </c>
      <c r="DF2" s="338"/>
      <c r="DG2" s="338"/>
      <c r="DH2" s="337" t="s">
        <v>244</v>
      </c>
      <c r="DI2" s="338"/>
      <c r="DJ2" s="338"/>
      <c r="DK2" s="337" t="s">
        <v>245</v>
      </c>
      <c r="DL2" s="338"/>
      <c r="DM2" s="338"/>
      <c r="DN2" s="337" t="s">
        <v>246</v>
      </c>
      <c r="DO2" s="338"/>
      <c r="DP2" s="338"/>
      <c r="DQ2" s="337" t="s">
        <v>247</v>
      </c>
      <c r="DR2" s="338"/>
      <c r="DS2" s="338"/>
      <c r="DT2" s="337" t="s">
        <v>248</v>
      </c>
      <c r="DU2" s="338"/>
      <c r="DV2" s="338"/>
      <c r="DW2" s="337" t="s">
        <v>249</v>
      </c>
      <c r="DX2" s="338"/>
      <c r="DY2" s="338"/>
      <c r="DZ2" s="337" t="s">
        <v>250</v>
      </c>
      <c r="EA2" s="338"/>
      <c r="EB2" s="338"/>
      <c r="EC2" s="337" t="s">
        <v>251</v>
      </c>
      <c r="ED2" s="338"/>
      <c r="EE2" s="338"/>
      <c r="EF2" s="337" t="s">
        <v>252</v>
      </c>
      <c r="EG2" s="338"/>
      <c r="EH2" s="338"/>
      <c r="EI2" s="337" t="s">
        <v>253</v>
      </c>
      <c r="EJ2" s="338"/>
      <c r="EK2" s="338"/>
      <c r="EL2" s="337" t="s">
        <v>254</v>
      </c>
      <c r="EM2" s="338"/>
      <c r="EN2" s="338"/>
      <c r="EO2" s="337" t="s">
        <v>243</v>
      </c>
      <c r="EP2" s="338"/>
      <c r="EQ2" s="338"/>
      <c r="ER2" s="337" t="s">
        <v>231</v>
      </c>
      <c r="ES2" s="338"/>
      <c r="ET2" s="338"/>
      <c r="EU2" s="337" t="s">
        <v>232</v>
      </c>
      <c r="EV2" s="338"/>
      <c r="EW2" s="338"/>
      <c r="EX2" s="337" t="s">
        <v>233</v>
      </c>
      <c r="EY2" s="338"/>
      <c r="EZ2" s="338"/>
      <c r="FA2" s="337" t="s">
        <v>234</v>
      </c>
      <c r="FB2" s="338"/>
      <c r="FC2" s="338"/>
      <c r="FD2" s="337" t="s">
        <v>235</v>
      </c>
      <c r="FE2" s="338"/>
      <c r="FF2" s="338"/>
      <c r="FG2" s="337" t="s">
        <v>236</v>
      </c>
      <c r="FH2" s="338"/>
      <c r="FI2" s="338"/>
      <c r="FJ2" s="337" t="s">
        <v>237</v>
      </c>
      <c r="FK2" s="338"/>
      <c r="FL2" s="338"/>
      <c r="FM2" s="337" t="s">
        <v>238</v>
      </c>
      <c r="FN2" s="338"/>
      <c r="FO2" s="338"/>
      <c r="FP2" s="337" t="s">
        <v>239</v>
      </c>
      <c r="FQ2" s="338"/>
      <c r="FR2" s="338"/>
      <c r="FS2" s="337" t="s">
        <v>240</v>
      </c>
      <c r="FT2" s="338"/>
      <c r="FU2" s="338"/>
      <c r="FV2" s="337" t="s">
        <v>241</v>
      </c>
      <c r="FW2" s="338"/>
      <c r="FX2" s="338"/>
      <c r="FY2" s="337" t="s">
        <v>242</v>
      </c>
      <c r="FZ2" s="338"/>
      <c r="GA2" s="338"/>
    </row>
    <row r="3" spans="2:183" ht="30" customHeight="1" x14ac:dyDescent="0.35">
      <c r="D3" s="81" t="s">
        <v>220</v>
      </c>
      <c r="E3" s="81" t="s">
        <v>219</v>
      </c>
      <c r="F3" s="81" t="s">
        <v>216</v>
      </c>
      <c r="G3" s="81" t="s">
        <v>220</v>
      </c>
      <c r="H3" s="81" t="s">
        <v>219</v>
      </c>
      <c r="I3" s="81" t="s">
        <v>216</v>
      </c>
      <c r="J3" s="81" t="s">
        <v>220</v>
      </c>
      <c r="K3" s="81" t="s">
        <v>219</v>
      </c>
      <c r="L3" s="81" t="s">
        <v>216</v>
      </c>
      <c r="M3" s="81" t="s">
        <v>220</v>
      </c>
      <c r="N3" s="81" t="s">
        <v>219</v>
      </c>
      <c r="O3" s="81" t="s">
        <v>216</v>
      </c>
      <c r="P3" s="81" t="s">
        <v>220</v>
      </c>
      <c r="Q3" s="81" t="s">
        <v>219</v>
      </c>
      <c r="R3" s="81" t="s">
        <v>216</v>
      </c>
      <c r="S3" s="81" t="s">
        <v>220</v>
      </c>
      <c r="T3" s="81" t="s">
        <v>219</v>
      </c>
      <c r="U3" s="81" t="s">
        <v>216</v>
      </c>
      <c r="V3" s="81" t="s">
        <v>220</v>
      </c>
      <c r="W3" s="81" t="s">
        <v>219</v>
      </c>
      <c r="X3" s="81" t="s">
        <v>216</v>
      </c>
      <c r="Y3" s="81" t="s">
        <v>220</v>
      </c>
      <c r="Z3" s="81" t="s">
        <v>219</v>
      </c>
      <c r="AA3" s="81" t="s">
        <v>216</v>
      </c>
      <c r="AB3" s="81" t="s">
        <v>220</v>
      </c>
      <c r="AC3" s="81" t="s">
        <v>219</v>
      </c>
      <c r="AD3" s="81" t="s">
        <v>216</v>
      </c>
      <c r="AE3" s="81" t="s">
        <v>220</v>
      </c>
      <c r="AF3" s="81" t="s">
        <v>219</v>
      </c>
      <c r="AG3" s="81" t="s">
        <v>216</v>
      </c>
      <c r="AH3" s="81" t="s">
        <v>220</v>
      </c>
      <c r="AI3" s="81" t="s">
        <v>219</v>
      </c>
      <c r="AJ3" s="81" t="s">
        <v>216</v>
      </c>
      <c r="AK3" s="81" t="s">
        <v>220</v>
      </c>
      <c r="AL3" s="81" t="s">
        <v>219</v>
      </c>
      <c r="AM3" s="81" t="s">
        <v>216</v>
      </c>
      <c r="AN3" s="81" t="s">
        <v>220</v>
      </c>
      <c r="AO3" s="81" t="s">
        <v>219</v>
      </c>
      <c r="AP3" s="81" t="s">
        <v>216</v>
      </c>
      <c r="AQ3" s="81" t="s">
        <v>220</v>
      </c>
      <c r="AR3" s="81" t="s">
        <v>219</v>
      </c>
      <c r="AS3" s="81" t="s">
        <v>216</v>
      </c>
      <c r="AT3" s="81" t="s">
        <v>220</v>
      </c>
      <c r="AU3" s="81" t="s">
        <v>219</v>
      </c>
      <c r="AV3" s="81" t="s">
        <v>216</v>
      </c>
      <c r="AW3" s="81" t="s">
        <v>220</v>
      </c>
      <c r="AX3" s="81" t="s">
        <v>219</v>
      </c>
      <c r="AY3" s="81" t="s">
        <v>216</v>
      </c>
      <c r="AZ3" s="81" t="s">
        <v>220</v>
      </c>
      <c r="BA3" s="81" t="s">
        <v>219</v>
      </c>
      <c r="BB3" s="81" t="s">
        <v>216</v>
      </c>
      <c r="BC3" s="81" t="s">
        <v>220</v>
      </c>
      <c r="BD3" s="81" t="s">
        <v>219</v>
      </c>
      <c r="BE3" s="81" t="s">
        <v>216</v>
      </c>
      <c r="BF3" s="81" t="s">
        <v>220</v>
      </c>
      <c r="BG3" s="81" t="s">
        <v>219</v>
      </c>
      <c r="BH3" s="81" t="s">
        <v>216</v>
      </c>
      <c r="BI3" s="81" t="s">
        <v>220</v>
      </c>
      <c r="BJ3" s="81" t="s">
        <v>219</v>
      </c>
      <c r="BK3" s="81" t="s">
        <v>216</v>
      </c>
      <c r="BL3" s="81" t="s">
        <v>220</v>
      </c>
      <c r="BM3" s="81" t="s">
        <v>219</v>
      </c>
      <c r="BN3" s="81" t="s">
        <v>216</v>
      </c>
      <c r="BO3" s="81" t="s">
        <v>220</v>
      </c>
      <c r="BP3" s="81" t="s">
        <v>219</v>
      </c>
      <c r="BQ3" s="81" t="s">
        <v>216</v>
      </c>
      <c r="BR3" s="81" t="s">
        <v>220</v>
      </c>
      <c r="BS3" s="81" t="s">
        <v>219</v>
      </c>
      <c r="BT3" s="81" t="s">
        <v>216</v>
      </c>
      <c r="BU3" s="81" t="s">
        <v>220</v>
      </c>
      <c r="BV3" s="81" t="s">
        <v>219</v>
      </c>
      <c r="BW3" s="81" t="s">
        <v>216</v>
      </c>
      <c r="BX3" s="81" t="s">
        <v>220</v>
      </c>
      <c r="BY3" s="81" t="s">
        <v>219</v>
      </c>
      <c r="BZ3" s="81" t="s">
        <v>216</v>
      </c>
      <c r="CA3" s="81" t="s">
        <v>220</v>
      </c>
      <c r="CB3" s="81" t="s">
        <v>219</v>
      </c>
      <c r="CC3" s="81" t="s">
        <v>216</v>
      </c>
      <c r="CD3" s="81" t="s">
        <v>220</v>
      </c>
      <c r="CE3" s="81" t="s">
        <v>219</v>
      </c>
      <c r="CF3" s="81" t="s">
        <v>216</v>
      </c>
      <c r="CG3" s="81" t="s">
        <v>220</v>
      </c>
      <c r="CH3" s="81" t="s">
        <v>219</v>
      </c>
      <c r="CI3" s="81" t="s">
        <v>216</v>
      </c>
      <c r="CJ3" s="81" t="s">
        <v>220</v>
      </c>
      <c r="CK3" s="81" t="s">
        <v>219</v>
      </c>
      <c r="CL3" s="81" t="s">
        <v>216</v>
      </c>
      <c r="CM3" s="81" t="s">
        <v>220</v>
      </c>
      <c r="CN3" s="81" t="s">
        <v>219</v>
      </c>
      <c r="CO3" s="81" t="s">
        <v>216</v>
      </c>
      <c r="CP3" s="81" t="s">
        <v>220</v>
      </c>
      <c r="CQ3" s="81" t="s">
        <v>219</v>
      </c>
      <c r="CR3" s="81" t="s">
        <v>216</v>
      </c>
      <c r="CS3" s="81" t="s">
        <v>220</v>
      </c>
      <c r="CT3" s="81" t="s">
        <v>219</v>
      </c>
      <c r="CU3" s="81" t="s">
        <v>216</v>
      </c>
      <c r="CV3" s="81" t="s">
        <v>220</v>
      </c>
      <c r="CW3" s="81" t="s">
        <v>219</v>
      </c>
      <c r="CX3" s="81" t="s">
        <v>216</v>
      </c>
      <c r="CY3" s="81" t="s">
        <v>220</v>
      </c>
      <c r="CZ3" s="81" t="s">
        <v>219</v>
      </c>
      <c r="DA3" s="81" t="s">
        <v>216</v>
      </c>
      <c r="DB3" s="81" t="s">
        <v>220</v>
      </c>
      <c r="DC3" s="81" t="s">
        <v>219</v>
      </c>
      <c r="DD3" s="81" t="s">
        <v>216</v>
      </c>
      <c r="DE3" s="81" t="s">
        <v>220</v>
      </c>
      <c r="DF3" s="81" t="s">
        <v>219</v>
      </c>
      <c r="DG3" s="81" t="s">
        <v>216</v>
      </c>
      <c r="DH3" s="81" t="s">
        <v>220</v>
      </c>
      <c r="DI3" s="81" t="s">
        <v>219</v>
      </c>
      <c r="DJ3" s="81" t="s">
        <v>216</v>
      </c>
      <c r="DK3" s="81" t="s">
        <v>220</v>
      </c>
      <c r="DL3" s="81" t="s">
        <v>219</v>
      </c>
      <c r="DM3" s="81" t="s">
        <v>216</v>
      </c>
      <c r="DN3" s="81" t="s">
        <v>220</v>
      </c>
      <c r="DO3" s="81" t="s">
        <v>219</v>
      </c>
      <c r="DP3" s="81" t="s">
        <v>216</v>
      </c>
      <c r="DQ3" s="81" t="s">
        <v>220</v>
      </c>
      <c r="DR3" s="81" t="s">
        <v>219</v>
      </c>
      <c r="DS3" s="81" t="s">
        <v>216</v>
      </c>
      <c r="DT3" s="81" t="s">
        <v>220</v>
      </c>
      <c r="DU3" s="81" t="s">
        <v>219</v>
      </c>
      <c r="DV3" s="81" t="s">
        <v>216</v>
      </c>
      <c r="DW3" s="81" t="s">
        <v>220</v>
      </c>
      <c r="DX3" s="81" t="s">
        <v>219</v>
      </c>
      <c r="DY3" s="81" t="s">
        <v>216</v>
      </c>
      <c r="DZ3" s="81" t="s">
        <v>220</v>
      </c>
      <c r="EA3" s="81" t="s">
        <v>219</v>
      </c>
      <c r="EB3" s="81" t="s">
        <v>216</v>
      </c>
      <c r="EC3" s="81" t="s">
        <v>220</v>
      </c>
      <c r="ED3" s="81" t="s">
        <v>219</v>
      </c>
      <c r="EE3" s="81" t="s">
        <v>216</v>
      </c>
      <c r="EF3" s="81" t="s">
        <v>220</v>
      </c>
      <c r="EG3" s="81" t="s">
        <v>219</v>
      </c>
      <c r="EH3" s="81" t="s">
        <v>216</v>
      </c>
      <c r="EI3" s="81" t="s">
        <v>220</v>
      </c>
      <c r="EJ3" s="81" t="s">
        <v>219</v>
      </c>
      <c r="EK3" s="81" t="s">
        <v>216</v>
      </c>
      <c r="EL3" s="81" t="s">
        <v>220</v>
      </c>
      <c r="EM3" s="81" t="s">
        <v>219</v>
      </c>
      <c r="EN3" s="81" t="s">
        <v>216</v>
      </c>
      <c r="EO3" s="81" t="s">
        <v>220</v>
      </c>
      <c r="EP3" s="81" t="s">
        <v>219</v>
      </c>
      <c r="EQ3" s="81" t="s">
        <v>216</v>
      </c>
      <c r="ER3" s="81" t="s">
        <v>220</v>
      </c>
      <c r="ES3" s="81" t="s">
        <v>219</v>
      </c>
      <c r="ET3" s="81" t="s">
        <v>216</v>
      </c>
      <c r="EU3" s="81" t="s">
        <v>220</v>
      </c>
      <c r="EV3" s="81" t="s">
        <v>219</v>
      </c>
      <c r="EW3" s="81" t="s">
        <v>216</v>
      </c>
      <c r="EX3" s="81" t="s">
        <v>220</v>
      </c>
      <c r="EY3" s="81" t="s">
        <v>219</v>
      </c>
      <c r="EZ3" s="81" t="s">
        <v>216</v>
      </c>
      <c r="FA3" s="81" t="s">
        <v>220</v>
      </c>
      <c r="FB3" s="81" t="s">
        <v>219</v>
      </c>
      <c r="FC3" s="81" t="s">
        <v>216</v>
      </c>
      <c r="FD3" s="81" t="s">
        <v>220</v>
      </c>
      <c r="FE3" s="81" t="s">
        <v>219</v>
      </c>
      <c r="FF3" s="81" t="s">
        <v>216</v>
      </c>
      <c r="FG3" s="81" t="s">
        <v>220</v>
      </c>
      <c r="FH3" s="81" t="s">
        <v>219</v>
      </c>
      <c r="FI3" s="81" t="s">
        <v>216</v>
      </c>
      <c r="FJ3" s="81" t="s">
        <v>220</v>
      </c>
      <c r="FK3" s="81" t="s">
        <v>219</v>
      </c>
      <c r="FL3" s="81" t="s">
        <v>216</v>
      </c>
      <c r="FM3" s="81" t="s">
        <v>220</v>
      </c>
      <c r="FN3" s="81" t="s">
        <v>219</v>
      </c>
      <c r="FO3" s="81" t="s">
        <v>216</v>
      </c>
      <c r="FP3" s="81" t="s">
        <v>220</v>
      </c>
      <c r="FQ3" s="81" t="s">
        <v>219</v>
      </c>
      <c r="FR3" s="81" t="s">
        <v>216</v>
      </c>
      <c r="FS3" s="81" t="s">
        <v>220</v>
      </c>
      <c r="FT3" s="81" t="s">
        <v>219</v>
      </c>
      <c r="FU3" s="81" t="s">
        <v>216</v>
      </c>
      <c r="FV3" s="81" t="s">
        <v>220</v>
      </c>
      <c r="FW3" s="81" t="s">
        <v>219</v>
      </c>
      <c r="FX3" s="81" t="s">
        <v>216</v>
      </c>
      <c r="FY3" s="81" t="s">
        <v>220</v>
      </c>
      <c r="FZ3" s="81" t="s">
        <v>219</v>
      </c>
      <c r="GA3" s="81" t="s">
        <v>216</v>
      </c>
    </row>
    <row r="4" spans="2:183" x14ac:dyDescent="0.35">
      <c r="B4">
        <v>0</v>
      </c>
      <c r="C4">
        <f>Inputs!I22</f>
        <v>0</v>
      </c>
      <c r="D4" s="93"/>
      <c r="E4" s="93"/>
      <c r="F4" s="84">
        <f>Export!$N2*'Scen EffectivelyVax'!$A3*(1-HelperFunctions!$G$3)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35">
      <c r="B5">
        <v>0</v>
      </c>
      <c r="C5">
        <f>Inputs!I23</f>
        <v>0</v>
      </c>
      <c r="D5" t="e">
        <f>F4*'Scen Hypothetical vaccine model'!J5*HelperFunctions!R3</f>
        <v>#VALUE!</v>
      </c>
      <c r="E5" t="e">
        <f>F4*'Scen Hypothetical vaccine model'!K5</f>
        <v>#VALUE!</v>
      </c>
      <c r="F5" s="84" t="e">
        <f>F4-D5-E5</f>
        <v>#VALUE!</v>
      </c>
      <c r="G5" s="93"/>
      <c r="H5" s="93"/>
      <c r="I5" s="84">
        <f>Export!$N3*'Scen EffectivelyVax'!$A4*(1-HelperFunctions!$G$3)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35">
      <c r="B6">
        <v>0</v>
      </c>
      <c r="C6">
        <f>Inputs!I24</f>
        <v>0</v>
      </c>
      <c r="D6" t="e">
        <f>F5*'Scen Hypothetical vaccine model'!J6*HelperFunctions!R4</f>
        <v>#VALUE!</v>
      </c>
      <c r="E6" t="e">
        <f>F5*'Scen Hypothetical vaccine model'!K6</f>
        <v>#VALUE!</v>
      </c>
      <c r="F6" s="84" t="e">
        <f t="shared" ref="F6:F63" si="0">F5-D6-E6</f>
        <v>#VALUE!</v>
      </c>
      <c r="G6" t="e">
        <f>I5*'Scen Hypothetical vaccine model'!$J6*HelperFunctions!$R3</f>
        <v>#VALUE!</v>
      </c>
      <c r="H6" t="e">
        <f>I5*'Scen Hypothetical vaccine model'!$K6</f>
        <v>#VALUE!</v>
      </c>
      <c r="I6" s="84" t="e">
        <f>I5-G6-H6</f>
        <v>#VALUE!</v>
      </c>
      <c r="J6" s="93"/>
      <c r="K6" s="93"/>
      <c r="L6" s="84">
        <f>Export!$N4*'Scen EffectivelyVax'!$A5*(1-HelperFunctions!$G$3)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35">
      <c r="B7">
        <v>0</v>
      </c>
      <c r="C7">
        <f>Inputs!I25</f>
        <v>0</v>
      </c>
      <c r="D7" t="e">
        <f>F6*'Scen Hypothetical vaccine model'!J7*HelperFunctions!R5</f>
        <v>#VALUE!</v>
      </c>
      <c r="E7" t="e">
        <f>F6*'Scen Hypothetical vaccine model'!K7</f>
        <v>#VALUE!</v>
      </c>
      <c r="F7" s="84" t="e">
        <f t="shared" si="0"/>
        <v>#VALUE!</v>
      </c>
      <c r="G7" t="e">
        <f>I6*'Scen Hypothetical vaccine model'!$J7*HelperFunctions!$R4</f>
        <v>#VALUE!</v>
      </c>
      <c r="H7" t="e">
        <f>I6*'Scen Hypothetical vaccine model'!$K7</f>
        <v>#VALUE!</v>
      </c>
      <c r="I7" s="84" t="e">
        <f t="shared" ref="I7:I63" si="1">I6-G7-H7</f>
        <v>#VALUE!</v>
      </c>
      <c r="J7" t="e">
        <f>L6*'Scen Hypothetical vaccine model'!$J7*HelperFunctions!$R3</f>
        <v>#VALUE!</v>
      </c>
      <c r="K7" t="e">
        <f>L6*'Scen Hypothetical vaccine model'!$K7</f>
        <v>#VALUE!</v>
      </c>
      <c r="L7" s="84" t="e">
        <f>L6-J7-K7</f>
        <v>#VALUE!</v>
      </c>
      <c r="M7" s="93"/>
      <c r="N7" s="93"/>
      <c r="O7" s="84">
        <f>Export!$N5*'Scen EffectivelyVax'!$A6*(1-HelperFunctions!$G$3)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35">
      <c r="B8">
        <v>0</v>
      </c>
      <c r="C8">
        <f>Inputs!I26</f>
        <v>0</v>
      </c>
      <c r="D8" t="e">
        <f>F7*'Scen Hypothetical vaccine model'!J8*HelperFunctions!R6</f>
        <v>#VALUE!</v>
      </c>
      <c r="E8" t="e">
        <f>F7*'Scen Hypothetical vaccine model'!K8</f>
        <v>#VALUE!</v>
      </c>
      <c r="F8" s="84" t="e">
        <f t="shared" si="0"/>
        <v>#VALUE!</v>
      </c>
      <c r="G8" t="e">
        <f>I7*'Scen Hypothetical vaccine model'!$J8*HelperFunctions!$R5</f>
        <v>#VALUE!</v>
      </c>
      <c r="H8" t="e">
        <f>I7*'Scen Hypothetical vaccine model'!$K8</f>
        <v>#VALUE!</v>
      </c>
      <c r="I8" s="84" t="e">
        <f t="shared" si="1"/>
        <v>#VALUE!</v>
      </c>
      <c r="J8" t="e">
        <f>L7*'Scen Hypothetical vaccine model'!$J8*HelperFunctions!$R4</f>
        <v>#VALUE!</v>
      </c>
      <c r="K8" t="e">
        <f>L7*'Scen Hypothetical vaccine model'!$K8</f>
        <v>#VALUE!</v>
      </c>
      <c r="L8" s="84" t="e">
        <f t="shared" ref="L8:L63" si="2">L7-J8-K8</f>
        <v>#VALUE!</v>
      </c>
      <c r="M8" t="e">
        <f>O7*'Scen Hypothetical vaccine model'!$J8*HelperFunctions!$R3</f>
        <v>#VALUE!</v>
      </c>
      <c r="N8" t="e">
        <f>O7*'Scen Hypothetical vaccine model'!$K8</f>
        <v>#VALUE!</v>
      </c>
      <c r="O8" s="84" t="e">
        <f>O7-M8-N8</f>
        <v>#VALUE!</v>
      </c>
      <c r="P8" s="93"/>
      <c r="Q8" s="93"/>
      <c r="R8" s="84">
        <f>Export!$N6*'Scen EffectivelyVax'!$A7*(1-HelperFunctions!$G$3)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35">
      <c r="B9">
        <v>0</v>
      </c>
      <c r="C9">
        <f>Inputs!I27</f>
        <v>0</v>
      </c>
      <c r="D9" t="e">
        <f>F8*'Scen Hypothetical vaccine model'!J9*HelperFunctions!R7</f>
        <v>#VALUE!</v>
      </c>
      <c r="E9" t="e">
        <f>F8*'Scen Hypothetical vaccine model'!K9</f>
        <v>#VALUE!</v>
      </c>
      <c r="F9" s="84" t="e">
        <f t="shared" si="0"/>
        <v>#VALUE!</v>
      </c>
      <c r="G9" t="e">
        <f>I8*'Scen Hypothetical vaccine model'!$J9*HelperFunctions!$R6</f>
        <v>#VALUE!</v>
      </c>
      <c r="H9" t="e">
        <f>I8*'Scen Hypothetical vaccine model'!$K9</f>
        <v>#VALUE!</v>
      </c>
      <c r="I9" s="84" t="e">
        <f t="shared" si="1"/>
        <v>#VALUE!</v>
      </c>
      <c r="J9" t="e">
        <f>L8*'Scen Hypothetical vaccine model'!$J9*HelperFunctions!$R5</f>
        <v>#VALUE!</v>
      </c>
      <c r="K9" t="e">
        <f>L8*'Scen Hypothetical vaccine model'!$K9</f>
        <v>#VALUE!</v>
      </c>
      <c r="L9" s="84" t="e">
        <f t="shared" si="2"/>
        <v>#VALUE!</v>
      </c>
      <c r="M9" t="e">
        <f>O8*'Scen Hypothetical vaccine model'!$J9*HelperFunctions!$R4</f>
        <v>#VALUE!</v>
      </c>
      <c r="N9" t="e">
        <f>O8*'Scen Hypothetical vaccine model'!$K9</f>
        <v>#VALUE!</v>
      </c>
      <c r="O9" s="84" t="e">
        <f t="shared" ref="O9:O63" si="3">O8-M9-N9</f>
        <v>#VALUE!</v>
      </c>
      <c r="P9" t="e">
        <f>R8*'Scen Hypothetical vaccine model'!$J9*HelperFunctions!$R3</f>
        <v>#VALUE!</v>
      </c>
      <c r="Q9" t="e">
        <f>R8*'Scen Hypothetical vaccine model'!$K9</f>
        <v>#VALUE!</v>
      </c>
      <c r="R9" s="84" t="e">
        <f>R8-P9-Q9</f>
        <v>#VALUE!</v>
      </c>
      <c r="S9" s="93"/>
      <c r="T9" s="93"/>
      <c r="U9" s="84">
        <f>Export!$N7*'Scen EffectivelyVax'!$A8*(1-HelperFunctions!$G$3)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35">
      <c r="B10">
        <v>0</v>
      </c>
      <c r="C10">
        <f>Inputs!I28</f>
        <v>0</v>
      </c>
      <c r="D10" t="e">
        <f>F9*'Scen Hypothetical vaccine model'!J10*HelperFunctions!R8</f>
        <v>#VALUE!</v>
      </c>
      <c r="E10" t="e">
        <f>F9*'Scen Hypothetical vaccine model'!K10</f>
        <v>#VALUE!</v>
      </c>
      <c r="F10" s="84" t="e">
        <f t="shared" si="0"/>
        <v>#VALUE!</v>
      </c>
      <c r="G10" t="e">
        <f>I9*'Scen Hypothetical vaccine model'!$J10*HelperFunctions!$R7</f>
        <v>#VALUE!</v>
      </c>
      <c r="H10" t="e">
        <f>I9*'Scen Hypothetical vaccine model'!$K10</f>
        <v>#VALUE!</v>
      </c>
      <c r="I10" s="84" t="e">
        <f t="shared" si="1"/>
        <v>#VALUE!</v>
      </c>
      <c r="J10" t="e">
        <f>L9*'Scen Hypothetical vaccine model'!$J10*HelperFunctions!$R6</f>
        <v>#VALUE!</v>
      </c>
      <c r="K10" t="e">
        <f>L9*'Scen Hypothetical vaccine model'!$K10</f>
        <v>#VALUE!</v>
      </c>
      <c r="L10" s="84" t="e">
        <f t="shared" si="2"/>
        <v>#VALUE!</v>
      </c>
      <c r="M10" t="e">
        <f>O9*'Scen Hypothetical vaccine model'!$J10*HelperFunctions!$R5</f>
        <v>#VALUE!</v>
      </c>
      <c r="N10" t="e">
        <f>O9*'Scen Hypothetical vaccine model'!$K10</f>
        <v>#VALUE!</v>
      </c>
      <c r="O10" s="84" t="e">
        <f t="shared" si="3"/>
        <v>#VALUE!</v>
      </c>
      <c r="P10" t="e">
        <f>R9*'Scen Hypothetical vaccine model'!$J10*HelperFunctions!$R4</f>
        <v>#VALUE!</v>
      </c>
      <c r="Q10" t="e">
        <f>R9*'Scen Hypothetical vaccine model'!$K10</f>
        <v>#VALUE!</v>
      </c>
      <c r="R10" s="84" t="e">
        <f t="shared" ref="R10:R63" si="4">R9-P10-Q10</f>
        <v>#VALUE!</v>
      </c>
      <c r="S10" t="e">
        <f>U9*'Scen Hypothetical vaccine model'!$J10*HelperFunctions!$R3</f>
        <v>#VALUE!</v>
      </c>
      <c r="T10" t="e">
        <f>U9*'Scen Hypothetical vaccine model'!$K10</f>
        <v>#VALUE!</v>
      </c>
      <c r="U10" s="84" t="e">
        <f>U9-S10-T10</f>
        <v>#VALUE!</v>
      </c>
      <c r="V10" s="93"/>
      <c r="W10" s="93"/>
      <c r="X10" s="84">
        <f>Export!$N8*'Scen EffectivelyVax'!$A9*(1-HelperFunctions!$G$3)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35">
      <c r="B11">
        <v>0</v>
      </c>
      <c r="C11">
        <f>Inputs!I29</f>
        <v>0</v>
      </c>
      <c r="D11" t="e">
        <f>F10*'Scen Hypothetical vaccine model'!J11*HelperFunctions!R9</f>
        <v>#VALUE!</v>
      </c>
      <c r="E11" t="e">
        <f>F10*'Scen Hypothetical vaccine model'!K11</f>
        <v>#VALUE!</v>
      </c>
      <c r="F11" s="84" t="e">
        <f t="shared" si="0"/>
        <v>#VALUE!</v>
      </c>
      <c r="G11" t="e">
        <f>I10*'Scen Hypothetical vaccine model'!$J11*HelperFunctions!$R8</f>
        <v>#VALUE!</v>
      </c>
      <c r="H11" t="e">
        <f>I10*'Scen Hypothetical vaccine model'!$K11</f>
        <v>#VALUE!</v>
      </c>
      <c r="I11" s="84" t="e">
        <f t="shared" si="1"/>
        <v>#VALUE!</v>
      </c>
      <c r="J11" t="e">
        <f>L10*'Scen Hypothetical vaccine model'!$J11*HelperFunctions!$R7</f>
        <v>#VALUE!</v>
      </c>
      <c r="K11" t="e">
        <f>L10*'Scen Hypothetical vaccine model'!$K11</f>
        <v>#VALUE!</v>
      </c>
      <c r="L11" s="84" t="e">
        <f t="shared" si="2"/>
        <v>#VALUE!</v>
      </c>
      <c r="M11" t="e">
        <f>O10*'Scen Hypothetical vaccine model'!$J11*HelperFunctions!$R6</f>
        <v>#VALUE!</v>
      </c>
      <c r="N11" t="e">
        <f>O10*'Scen Hypothetical vaccine model'!$K11</f>
        <v>#VALUE!</v>
      </c>
      <c r="O11" s="84" t="e">
        <f t="shared" si="3"/>
        <v>#VALUE!</v>
      </c>
      <c r="P11" t="e">
        <f>R10*'Scen Hypothetical vaccine model'!$J11*HelperFunctions!$R5</f>
        <v>#VALUE!</v>
      </c>
      <c r="Q11" t="e">
        <f>R10*'Scen Hypothetical vaccine model'!$K11</f>
        <v>#VALUE!</v>
      </c>
      <c r="R11" s="84" t="e">
        <f t="shared" si="4"/>
        <v>#VALUE!</v>
      </c>
      <c r="S11" t="e">
        <f>U10*'Scen Hypothetical vaccine model'!$J11*HelperFunctions!$R4</f>
        <v>#VALUE!</v>
      </c>
      <c r="T11" t="e">
        <f>U10*'Scen Hypothetical vaccine model'!$K11</f>
        <v>#VALUE!</v>
      </c>
      <c r="U11" s="84" t="e">
        <f t="shared" ref="U11:U63" si="5">U10-S11-T11</f>
        <v>#VALUE!</v>
      </c>
      <c r="V11" t="e">
        <f>X10*'Scen Hypothetical vaccine model'!$J11*HelperFunctions!$R3</f>
        <v>#VALUE!</v>
      </c>
      <c r="W11" t="e">
        <f>X10*'Scen Hypothetical vaccine model'!$K11</f>
        <v>#VALUE!</v>
      </c>
      <c r="X11" s="84" t="e">
        <f>X10-V11-W11</f>
        <v>#VALUE!</v>
      </c>
      <c r="Y11" s="93"/>
      <c r="Z11" s="93"/>
      <c r="AA11" s="84">
        <f>Export!$N9*'Scen EffectivelyVax'!$A10*(1-HelperFunctions!$G$3)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35">
      <c r="B12">
        <v>0</v>
      </c>
      <c r="C12">
        <f>Inputs!I30</f>
        <v>0</v>
      </c>
      <c r="D12" t="e">
        <f>F11*'Scen Hypothetical vaccine model'!J12*HelperFunctions!R10</f>
        <v>#VALUE!</v>
      </c>
      <c r="E12" t="e">
        <f>F11*'Scen Hypothetical vaccine model'!K12</f>
        <v>#VALUE!</v>
      </c>
      <c r="F12" s="84" t="e">
        <f t="shared" si="0"/>
        <v>#VALUE!</v>
      </c>
      <c r="G12" t="e">
        <f>I11*'Scen Hypothetical vaccine model'!$J12*HelperFunctions!$R9</f>
        <v>#VALUE!</v>
      </c>
      <c r="H12" t="e">
        <f>I11*'Scen Hypothetical vaccine model'!$K12</f>
        <v>#VALUE!</v>
      </c>
      <c r="I12" s="84" t="e">
        <f t="shared" si="1"/>
        <v>#VALUE!</v>
      </c>
      <c r="J12" t="e">
        <f>L11*'Scen Hypothetical vaccine model'!$J12*HelperFunctions!$R8</f>
        <v>#VALUE!</v>
      </c>
      <c r="K12" t="e">
        <f>L11*'Scen Hypothetical vaccine model'!$K12</f>
        <v>#VALUE!</v>
      </c>
      <c r="L12" s="84" t="e">
        <f t="shared" si="2"/>
        <v>#VALUE!</v>
      </c>
      <c r="M12" t="e">
        <f>O11*'Scen Hypothetical vaccine model'!$J12*HelperFunctions!$R7</f>
        <v>#VALUE!</v>
      </c>
      <c r="N12" t="e">
        <f>O11*'Scen Hypothetical vaccine model'!$K12</f>
        <v>#VALUE!</v>
      </c>
      <c r="O12" s="84" t="e">
        <f t="shared" si="3"/>
        <v>#VALUE!</v>
      </c>
      <c r="P12" t="e">
        <f>R11*'Scen Hypothetical vaccine model'!$J12*HelperFunctions!$R6</f>
        <v>#VALUE!</v>
      </c>
      <c r="Q12" t="e">
        <f>R11*'Scen Hypothetical vaccine model'!$K12</f>
        <v>#VALUE!</v>
      </c>
      <c r="R12" s="84" t="e">
        <f t="shared" si="4"/>
        <v>#VALUE!</v>
      </c>
      <c r="S12" t="e">
        <f>U11*'Scen Hypothetical vaccine model'!$J12*HelperFunctions!$R5</f>
        <v>#VALUE!</v>
      </c>
      <c r="T12" t="e">
        <f>U11*'Scen Hypothetical vaccine model'!$K12</f>
        <v>#VALUE!</v>
      </c>
      <c r="U12" s="84" t="e">
        <f t="shared" si="5"/>
        <v>#VALUE!</v>
      </c>
      <c r="V12" t="e">
        <f>X11*'Scen Hypothetical vaccine model'!$J12*HelperFunctions!$R4</f>
        <v>#VALUE!</v>
      </c>
      <c r="W12" t="e">
        <f>X11*'Scen Hypothetical vaccine model'!$K12</f>
        <v>#VALUE!</v>
      </c>
      <c r="X12" s="84" t="e">
        <f t="shared" ref="X12:X63" si="6">X11-V12-W12</f>
        <v>#VALUE!</v>
      </c>
      <c r="Y12" t="e">
        <f>AA11*'Scen Hypothetical vaccine model'!$J12*HelperFunctions!$R3</f>
        <v>#VALUE!</v>
      </c>
      <c r="Z12" t="e">
        <f>AA11*'Scen Hypothetical vaccine model'!$K12</f>
        <v>#VALUE!</v>
      </c>
      <c r="AA12" s="84" t="e">
        <f>AA11-Y12-Z12</f>
        <v>#VALUE!</v>
      </c>
      <c r="AB12" s="93"/>
      <c r="AC12" s="93"/>
      <c r="AD12" s="84">
        <f>Export!$N10*'Scen EffectivelyVax'!$A11*(1-HelperFunctions!$G$3)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35">
      <c r="B13">
        <v>0</v>
      </c>
      <c r="C13">
        <f>Inputs!I31</f>
        <v>0</v>
      </c>
      <c r="D13" t="e">
        <f>F12*'Scen Hypothetical vaccine model'!J13*HelperFunctions!R11</f>
        <v>#VALUE!</v>
      </c>
      <c r="E13" t="e">
        <f>F12*'Scen Hypothetical vaccine model'!K13</f>
        <v>#VALUE!</v>
      </c>
      <c r="F13" s="84" t="e">
        <f t="shared" si="0"/>
        <v>#VALUE!</v>
      </c>
      <c r="G13" t="e">
        <f>I12*'Scen Hypothetical vaccine model'!$J13*HelperFunctions!$R10</f>
        <v>#VALUE!</v>
      </c>
      <c r="H13" t="e">
        <f>I12*'Scen Hypothetical vaccine model'!$K13</f>
        <v>#VALUE!</v>
      </c>
      <c r="I13" s="84" t="e">
        <f t="shared" si="1"/>
        <v>#VALUE!</v>
      </c>
      <c r="J13" t="e">
        <f>L12*'Scen Hypothetical vaccine model'!$J13*HelperFunctions!$R9</f>
        <v>#VALUE!</v>
      </c>
      <c r="K13" t="e">
        <f>L12*'Scen Hypothetical vaccine model'!$K13</f>
        <v>#VALUE!</v>
      </c>
      <c r="L13" s="84" t="e">
        <f t="shared" si="2"/>
        <v>#VALUE!</v>
      </c>
      <c r="M13" t="e">
        <f>O12*'Scen Hypothetical vaccine model'!$J13*HelperFunctions!$R8</f>
        <v>#VALUE!</v>
      </c>
      <c r="N13" t="e">
        <f>O12*'Scen Hypothetical vaccine model'!$K13</f>
        <v>#VALUE!</v>
      </c>
      <c r="O13" s="84" t="e">
        <f t="shared" si="3"/>
        <v>#VALUE!</v>
      </c>
      <c r="P13" t="e">
        <f>R12*'Scen Hypothetical vaccine model'!$J13*HelperFunctions!$R7</f>
        <v>#VALUE!</v>
      </c>
      <c r="Q13" t="e">
        <f>R12*'Scen Hypothetical vaccine model'!$K13</f>
        <v>#VALUE!</v>
      </c>
      <c r="R13" s="84" t="e">
        <f t="shared" si="4"/>
        <v>#VALUE!</v>
      </c>
      <c r="S13" t="e">
        <f>U12*'Scen Hypothetical vaccine model'!$J13*HelperFunctions!$R6</f>
        <v>#VALUE!</v>
      </c>
      <c r="T13" t="e">
        <f>U12*'Scen Hypothetical vaccine model'!$K13</f>
        <v>#VALUE!</v>
      </c>
      <c r="U13" s="84" t="e">
        <f t="shared" si="5"/>
        <v>#VALUE!</v>
      </c>
      <c r="V13" t="e">
        <f>X12*'Scen Hypothetical vaccine model'!$J13*HelperFunctions!$R5</f>
        <v>#VALUE!</v>
      </c>
      <c r="W13" t="e">
        <f>X12*'Scen Hypothetical vaccine model'!$K13</f>
        <v>#VALUE!</v>
      </c>
      <c r="X13" s="84" t="e">
        <f t="shared" si="6"/>
        <v>#VALUE!</v>
      </c>
      <c r="Y13" t="e">
        <f>AA12*'Scen Hypothetical vaccine model'!$J13*HelperFunctions!$R4</f>
        <v>#VALUE!</v>
      </c>
      <c r="Z13" t="e">
        <f>AA12*'Scen Hypothetical vaccine model'!$K13</f>
        <v>#VALUE!</v>
      </c>
      <c r="AA13" s="84" t="e">
        <f t="shared" ref="AA13:AA63" si="7">AA12-Y13-Z13</f>
        <v>#VALUE!</v>
      </c>
      <c r="AB13" t="e">
        <f>AD12*'Scen Hypothetical vaccine model'!$J13*HelperFunctions!$R3</f>
        <v>#VALUE!</v>
      </c>
      <c r="AC13" t="e">
        <f>AD12*'Scen Hypothetical vaccine model'!$K13</f>
        <v>#VALUE!</v>
      </c>
      <c r="AD13" s="84" t="e">
        <f>AD12-AB13-AC13</f>
        <v>#VALUE!</v>
      </c>
      <c r="AE13" s="93"/>
      <c r="AF13" s="93"/>
      <c r="AG13" s="84">
        <f>Export!$N11*'Scen EffectivelyVax'!$A12*(1-HelperFunctions!$G$3)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35">
      <c r="B14">
        <v>0</v>
      </c>
      <c r="C14">
        <f>Inputs!I32</f>
        <v>0</v>
      </c>
      <c r="D14" t="e">
        <f>F13*'Scen Hypothetical vaccine model'!J14*HelperFunctions!R12</f>
        <v>#VALUE!</v>
      </c>
      <c r="E14" t="e">
        <f>F13*'Scen Hypothetical vaccine model'!K14</f>
        <v>#VALUE!</v>
      </c>
      <c r="F14" s="84" t="e">
        <f t="shared" si="0"/>
        <v>#VALUE!</v>
      </c>
      <c r="G14" t="e">
        <f>I13*'Scen Hypothetical vaccine model'!$J14*HelperFunctions!$R11</f>
        <v>#VALUE!</v>
      </c>
      <c r="H14" t="e">
        <f>I13*'Scen Hypothetical vaccine model'!$K14</f>
        <v>#VALUE!</v>
      </c>
      <c r="I14" s="84" t="e">
        <f t="shared" si="1"/>
        <v>#VALUE!</v>
      </c>
      <c r="J14" t="e">
        <f>L13*'Scen Hypothetical vaccine model'!$J14*HelperFunctions!$R10</f>
        <v>#VALUE!</v>
      </c>
      <c r="K14" t="e">
        <f>L13*'Scen Hypothetical vaccine model'!$K14</f>
        <v>#VALUE!</v>
      </c>
      <c r="L14" s="84" t="e">
        <f t="shared" si="2"/>
        <v>#VALUE!</v>
      </c>
      <c r="M14" t="e">
        <f>O13*'Scen Hypothetical vaccine model'!$J14*HelperFunctions!$R9</f>
        <v>#VALUE!</v>
      </c>
      <c r="N14" t="e">
        <f>O13*'Scen Hypothetical vaccine model'!$K14</f>
        <v>#VALUE!</v>
      </c>
      <c r="O14" s="84" t="e">
        <f t="shared" si="3"/>
        <v>#VALUE!</v>
      </c>
      <c r="P14" t="e">
        <f>R13*'Scen Hypothetical vaccine model'!$J14*HelperFunctions!$R8</f>
        <v>#VALUE!</v>
      </c>
      <c r="Q14" t="e">
        <f>R13*'Scen Hypothetical vaccine model'!$K14</f>
        <v>#VALUE!</v>
      </c>
      <c r="R14" s="84" t="e">
        <f t="shared" si="4"/>
        <v>#VALUE!</v>
      </c>
      <c r="S14" t="e">
        <f>U13*'Scen Hypothetical vaccine model'!$J14*HelperFunctions!$R7</f>
        <v>#VALUE!</v>
      </c>
      <c r="T14" t="e">
        <f>U13*'Scen Hypothetical vaccine model'!$K14</f>
        <v>#VALUE!</v>
      </c>
      <c r="U14" s="84" t="e">
        <f t="shared" si="5"/>
        <v>#VALUE!</v>
      </c>
      <c r="V14" t="e">
        <f>X13*'Scen Hypothetical vaccine model'!$J14*HelperFunctions!$R6</f>
        <v>#VALUE!</v>
      </c>
      <c r="W14" t="e">
        <f>X13*'Scen Hypothetical vaccine model'!$K14</f>
        <v>#VALUE!</v>
      </c>
      <c r="X14" s="84" t="e">
        <f t="shared" si="6"/>
        <v>#VALUE!</v>
      </c>
      <c r="Y14" t="e">
        <f>AA13*'Scen Hypothetical vaccine model'!$J14*HelperFunctions!$R5</f>
        <v>#VALUE!</v>
      </c>
      <c r="Z14" t="e">
        <f>AA13*'Scen Hypothetical vaccine model'!$K14</f>
        <v>#VALUE!</v>
      </c>
      <c r="AA14" s="84" t="e">
        <f t="shared" si="7"/>
        <v>#VALUE!</v>
      </c>
      <c r="AB14" t="e">
        <f>AD13*'Scen Hypothetical vaccine model'!$J14*HelperFunctions!$R4</f>
        <v>#VALUE!</v>
      </c>
      <c r="AC14" t="e">
        <f>AD13*'Scen Hypothetical vaccine model'!$K14</f>
        <v>#VALUE!</v>
      </c>
      <c r="AD14" s="84" t="e">
        <f t="shared" ref="AD14:AD63" si="8">AD13-AB14-AC14</f>
        <v>#VALUE!</v>
      </c>
      <c r="AE14" t="e">
        <f>AG13*'Scen Hypothetical vaccine model'!$J14*HelperFunctions!$R3</f>
        <v>#VALUE!</v>
      </c>
      <c r="AF14" t="e">
        <f>AG13*'Scen Hypothetical vaccine model'!$K14</f>
        <v>#VALUE!</v>
      </c>
      <c r="AG14" s="84" t="e">
        <f>AG13-AE14-AF14</f>
        <v>#VALUE!</v>
      </c>
      <c r="AH14" s="93"/>
      <c r="AI14" s="93"/>
      <c r="AJ14" s="84">
        <f>Export!$N12*'Scen EffectivelyVax'!$A13*(1-HelperFunctions!$G$3)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35">
      <c r="B15">
        <v>0</v>
      </c>
      <c r="C15">
        <f>Inputs!I33</f>
        <v>0</v>
      </c>
      <c r="D15" t="e">
        <f>F14*'Scen Hypothetical vaccine model'!J15*HelperFunctions!R13</f>
        <v>#VALUE!</v>
      </c>
      <c r="E15" t="e">
        <f>F14*'Scen Hypothetical vaccine model'!K15</f>
        <v>#VALUE!</v>
      </c>
      <c r="F15" s="84" t="e">
        <f t="shared" si="0"/>
        <v>#VALUE!</v>
      </c>
      <c r="G15" t="e">
        <f>I14*'Scen Hypothetical vaccine model'!$J15*HelperFunctions!$R12</f>
        <v>#VALUE!</v>
      </c>
      <c r="H15" t="e">
        <f>I14*'Scen Hypothetical vaccine model'!$K15</f>
        <v>#VALUE!</v>
      </c>
      <c r="I15" s="84" t="e">
        <f t="shared" si="1"/>
        <v>#VALUE!</v>
      </c>
      <c r="J15" t="e">
        <f>L14*'Scen Hypothetical vaccine model'!$J15*HelperFunctions!$R11</f>
        <v>#VALUE!</v>
      </c>
      <c r="K15" t="e">
        <f>L14*'Scen Hypothetical vaccine model'!$K15</f>
        <v>#VALUE!</v>
      </c>
      <c r="L15" s="84" t="e">
        <f t="shared" si="2"/>
        <v>#VALUE!</v>
      </c>
      <c r="M15" t="e">
        <f>O14*'Scen Hypothetical vaccine model'!$J15*HelperFunctions!$R10</f>
        <v>#VALUE!</v>
      </c>
      <c r="N15" t="e">
        <f>O14*'Scen Hypothetical vaccine model'!$K15</f>
        <v>#VALUE!</v>
      </c>
      <c r="O15" s="84" t="e">
        <f t="shared" si="3"/>
        <v>#VALUE!</v>
      </c>
      <c r="P15" t="e">
        <f>R14*'Scen Hypothetical vaccine model'!$J15*HelperFunctions!$R9</f>
        <v>#VALUE!</v>
      </c>
      <c r="Q15" t="e">
        <f>R14*'Scen Hypothetical vaccine model'!$K15</f>
        <v>#VALUE!</v>
      </c>
      <c r="R15" s="84" t="e">
        <f t="shared" si="4"/>
        <v>#VALUE!</v>
      </c>
      <c r="S15" t="e">
        <f>U14*'Scen Hypothetical vaccine model'!$J15*HelperFunctions!$R8</f>
        <v>#VALUE!</v>
      </c>
      <c r="T15" t="e">
        <f>U14*'Scen Hypothetical vaccine model'!$K15</f>
        <v>#VALUE!</v>
      </c>
      <c r="U15" s="84" t="e">
        <f t="shared" si="5"/>
        <v>#VALUE!</v>
      </c>
      <c r="V15" t="e">
        <f>X14*'Scen Hypothetical vaccine model'!$J15*HelperFunctions!$R7</f>
        <v>#VALUE!</v>
      </c>
      <c r="W15" t="e">
        <f>X14*'Scen Hypothetical vaccine model'!$K15</f>
        <v>#VALUE!</v>
      </c>
      <c r="X15" s="84" t="e">
        <f t="shared" si="6"/>
        <v>#VALUE!</v>
      </c>
      <c r="Y15" t="e">
        <f>AA14*'Scen Hypothetical vaccine model'!$J15*HelperFunctions!$R6</f>
        <v>#VALUE!</v>
      </c>
      <c r="Z15" t="e">
        <f>AA14*'Scen Hypothetical vaccine model'!$K15</f>
        <v>#VALUE!</v>
      </c>
      <c r="AA15" s="84" t="e">
        <f t="shared" si="7"/>
        <v>#VALUE!</v>
      </c>
      <c r="AB15" t="e">
        <f>AD14*'Scen Hypothetical vaccine model'!$J15*HelperFunctions!$R5</f>
        <v>#VALUE!</v>
      </c>
      <c r="AC15" t="e">
        <f>AD14*'Scen Hypothetical vaccine model'!$K15</f>
        <v>#VALUE!</v>
      </c>
      <c r="AD15" s="84" t="e">
        <f t="shared" si="8"/>
        <v>#VALUE!</v>
      </c>
      <c r="AE15" t="e">
        <f>AG14*'Scen Hypothetical vaccine model'!$J15*HelperFunctions!$R4</f>
        <v>#VALUE!</v>
      </c>
      <c r="AF15" t="e">
        <f>AG14*'Scen Hypothetical vaccine model'!$K15</f>
        <v>#VALUE!</v>
      </c>
      <c r="AG15" s="84" t="e">
        <f t="shared" ref="AG15:AG63" si="9">AG14-AE15-AF15</f>
        <v>#VALUE!</v>
      </c>
      <c r="AH15" t="e">
        <f>AJ14*'Scen Hypothetical vaccine model'!$J15*HelperFunctions!$R3</f>
        <v>#VALUE!</v>
      </c>
      <c r="AI15" t="e">
        <f>AJ14*'Scen Hypothetical vaccine model'!$K15</f>
        <v>#VALUE!</v>
      </c>
      <c r="AJ15" s="84" t="e">
        <f>AJ14-AH15-AI15</f>
        <v>#VALUE!</v>
      </c>
      <c r="AK15" s="93"/>
      <c r="AL15" s="93"/>
      <c r="AM15" s="84">
        <f>Export!$N13*'Scen EffectivelyVax'!$A14*(1-HelperFunctions!$G$3)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35">
      <c r="B16">
        <v>1</v>
      </c>
      <c r="C16">
        <f>Inputs!I36</f>
        <v>0</v>
      </c>
      <c r="D16" t="e">
        <f>F15*'Scen Hypothetical vaccine model'!J16*HelperFunctions!R$14</f>
        <v>#VALUE!</v>
      </c>
      <c r="E16" t="e">
        <f>F15*'Scen Hypothetical vaccine model'!K16</f>
        <v>#VALUE!</v>
      </c>
      <c r="F16" s="84" t="e">
        <f t="shared" si="0"/>
        <v>#VALUE!</v>
      </c>
      <c r="G16" t="e">
        <f>I15*'Scen Hypothetical vaccine model'!$J16*HelperFunctions!$R13</f>
        <v>#VALUE!</v>
      </c>
      <c r="H16" t="e">
        <f>I15*'Scen Hypothetical vaccine model'!$K16</f>
        <v>#VALUE!</v>
      </c>
      <c r="I16" s="84" t="e">
        <f t="shared" si="1"/>
        <v>#VALUE!</v>
      </c>
      <c r="J16" t="e">
        <f>L15*'Scen Hypothetical vaccine model'!$J16*HelperFunctions!$R12</f>
        <v>#VALUE!</v>
      </c>
      <c r="K16" t="e">
        <f>L15*'Scen Hypothetical vaccine model'!$K16</f>
        <v>#VALUE!</v>
      </c>
      <c r="L16" s="84" t="e">
        <f t="shared" si="2"/>
        <v>#VALUE!</v>
      </c>
      <c r="M16" t="e">
        <f>O15*'Scen Hypothetical vaccine model'!$J16*HelperFunctions!$R11</f>
        <v>#VALUE!</v>
      </c>
      <c r="N16" t="e">
        <f>O15*'Scen Hypothetical vaccine model'!$K16</f>
        <v>#VALUE!</v>
      </c>
      <c r="O16" s="84" t="e">
        <f t="shared" si="3"/>
        <v>#VALUE!</v>
      </c>
      <c r="P16" t="e">
        <f>R15*'Scen Hypothetical vaccine model'!$J16*HelperFunctions!$R10</f>
        <v>#VALUE!</v>
      </c>
      <c r="Q16" t="e">
        <f>R15*'Scen Hypothetical vaccine model'!$K16</f>
        <v>#VALUE!</v>
      </c>
      <c r="R16" s="84" t="e">
        <f t="shared" si="4"/>
        <v>#VALUE!</v>
      </c>
      <c r="S16" t="e">
        <f>U15*'Scen Hypothetical vaccine model'!$J16*HelperFunctions!$R9</f>
        <v>#VALUE!</v>
      </c>
      <c r="T16" t="e">
        <f>U15*'Scen Hypothetical vaccine model'!$K16</f>
        <v>#VALUE!</v>
      </c>
      <c r="U16" s="84" t="e">
        <f t="shared" si="5"/>
        <v>#VALUE!</v>
      </c>
      <c r="V16" t="e">
        <f>X15*'Scen Hypothetical vaccine model'!$J16*HelperFunctions!$R8</f>
        <v>#VALUE!</v>
      </c>
      <c r="W16" t="e">
        <f>X15*'Scen Hypothetical vaccine model'!$K16</f>
        <v>#VALUE!</v>
      </c>
      <c r="X16" s="84" t="e">
        <f t="shared" si="6"/>
        <v>#VALUE!</v>
      </c>
      <c r="Y16" t="e">
        <f>AA15*'Scen Hypothetical vaccine model'!$J16*HelperFunctions!$R7</f>
        <v>#VALUE!</v>
      </c>
      <c r="Z16" t="e">
        <f>AA15*'Scen Hypothetical vaccine model'!$K16</f>
        <v>#VALUE!</v>
      </c>
      <c r="AA16" s="84" t="e">
        <f t="shared" si="7"/>
        <v>#VALUE!</v>
      </c>
      <c r="AB16" t="e">
        <f>AD15*'Scen Hypothetical vaccine model'!$J16*HelperFunctions!$R6</f>
        <v>#VALUE!</v>
      </c>
      <c r="AC16" t="e">
        <f>AD15*'Scen Hypothetical vaccine model'!$K16</f>
        <v>#VALUE!</v>
      </c>
      <c r="AD16" s="84" t="e">
        <f t="shared" si="8"/>
        <v>#VALUE!</v>
      </c>
      <c r="AE16" t="e">
        <f>AG15*'Scen Hypothetical vaccine model'!$J16*HelperFunctions!$R5</f>
        <v>#VALUE!</v>
      </c>
      <c r="AF16" t="e">
        <f>AG15*'Scen Hypothetical vaccine model'!$K16</f>
        <v>#VALUE!</v>
      </c>
      <c r="AG16" s="84" t="e">
        <f t="shared" si="9"/>
        <v>#VALUE!</v>
      </c>
      <c r="AH16" t="e">
        <f>AJ15*'Scen Hypothetical vaccine model'!$J16*HelperFunctions!$R4</f>
        <v>#VALUE!</v>
      </c>
      <c r="AI16" t="e">
        <f>AJ15*'Scen Hypothetical vaccine model'!$K16</f>
        <v>#VALUE!</v>
      </c>
      <c r="AJ16" s="84" t="e">
        <f t="shared" ref="AJ16:AJ63" si="10">AJ15-AH16-AI16</f>
        <v>#VALUE!</v>
      </c>
      <c r="AK16" t="e">
        <f>AM15*'Scen Hypothetical vaccine model'!$J16*HelperFunctions!$R3</f>
        <v>#VALUE!</v>
      </c>
      <c r="AL16" t="e">
        <f>AM15*'Scen Hypothetical vaccine model'!$K16</f>
        <v>#VALUE!</v>
      </c>
      <c r="AM16" s="84" t="e">
        <f>AM15-AK16-AL16</f>
        <v>#VALUE!</v>
      </c>
      <c r="AN16" s="93"/>
      <c r="AO16" s="93"/>
      <c r="AP16" s="84">
        <f>Export!$N14*'Scen EffectivelyVax'!$A15*(1-HelperFunctions!$G$17)</f>
        <v>0</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35">
      <c r="B17">
        <v>1</v>
      </c>
      <c r="C17">
        <f>Inputs!I37</f>
        <v>0</v>
      </c>
      <c r="D17" t="e">
        <f>F16*'Scen Hypothetical vaccine model'!J17*HelperFunctions!R$14</f>
        <v>#VALUE!</v>
      </c>
      <c r="E17" t="e">
        <f>F16*'Scen Hypothetical vaccine model'!K17</f>
        <v>#VALUE!</v>
      </c>
      <c r="F17" s="84" t="e">
        <f t="shared" si="0"/>
        <v>#VALUE!</v>
      </c>
      <c r="G17" t="e">
        <f>I16*'Scen Hypothetical vaccine model'!$J17*HelperFunctions!$R$14</f>
        <v>#VALUE!</v>
      </c>
      <c r="H17" t="e">
        <f>I16*'Scen Hypothetical vaccine model'!$K17</f>
        <v>#VALUE!</v>
      </c>
      <c r="I17" s="84" t="e">
        <f t="shared" si="1"/>
        <v>#VALUE!</v>
      </c>
      <c r="J17" t="e">
        <f>L16*'Scen Hypothetical vaccine model'!$J17*HelperFunctions!$R13</f>
        <v>#VALUE!</v>
      </c>
      <c r="K17" t="e">
        <f>L16*'Scen Hypothetical vaccine model'!$K17</f>
        <v>#VALUE!</v>
      </c>
      <c r="L17" s="84" t="e">
        <f t="shared" si="2"/>
        <v>#VALUE!</v>
      </c>
      <c r="M17" t="e">
        <f>O16*'Scen Hypothetical vaccine model'!$J17*HelperFunctions!$R12</f>
        <v>#VALUE!</v>
      </c>
      <c r="N17" t="e">
        <f>O16*'Scen Hypothetical vaccine model'!$K17</f>
        <v>#VALUE!</v>
      </c>
      <c r="O17" s="84" t="e">
        <f t="shared" si="3"/>
        <v>#VALUE!</v>
      </c>
      <c r="P17" t="e">
        <f>R16*'Scen Hypothetical vaccine model'!$J17*HelperFunctions!$R11</f>
        <v>#VALUE!</v>
      </c>
      <c r="Q17" t="e">
        <f>R16*'Scen Hypothetical vaccine model'!$K17</f>
        <v>#VALUE!</v>
      </c>
      <c r="R17" s="84" t="e">
        <f t="shared" si="4"/>
        <v>#VALUE!</v>
      </c>
      <c r="S17" t="e">
        <f>U16*'Scen Hypothetical vaccine model'!$J17*HelperFunctions!$R10</f>
        <v>#VALUE!</v>
      </c>
      <c r="T17" t="e">
        <f>U16*'Scen Hypothetical vaccine model'!$K17</f>
        <v>#VALUE!</v>
      </c>
      <c r="U17" s="84" t="e">
        <f t="shared" si="5"/>
        <v>#VALUE!</v>
      </c>
      <c r="V17" t="e">
        <f>X16*'Scen Hypothetical vaccine model'!$J17*HelperFunctions!$R9</f>
        <v>#VALUE!</v>
      </c>
      <c r="W17" t="e">
        <f>X16*'Scen Hypothetical vaccine model'!$K17</f>
        <v>#VALUE!</v>
      </c>
      <c r="X17" s="84" t="e">
        <f t="shared" si="6"/>
        <v>#VALUE!</v>
      </c>
      <c r="Y17" t="e">
        <f>AA16*'Scen Hypothetical vaccine model'!$J17*HelperFunctions!$R8</f>
        <v>#VALUE!</v>
      </c>
      <c r="Z17" t="e">
        <f>AA16*'Scen Hypothetical vaccine model'!$K17</f>
        <v>#VALUE!</v>
      </c>
      <c r="AA17" s="84" t="e">
        <f t="shared" si="7"/>
        <v>#VALUE!</v>
      </c>
      <c r="AB17" t="e">
        <f>AD16*'Scen Hypothetical vaccine model'!$J17*HelperFunctions!$R7</f>
        <v>#VALUE!</v>
      </c>
      <c r="AC17" t="e">
        <f>AD16*'Scen Hypothetical vaccine model'!$K17</f>
        <v>#VALUE!</v>
      </c>
      <c r="AD17" s="84" t="e">
        <f t="shared" si="8"/>
        <v>#VALUE!</v>
      </c>
      <c r="AE17" t="e">
        <f>AG16*'Scen Hypothetical vaccine model'!$J17*HelperFunctions!$R6</f>
        <v>#VALUE!</v>
      </c>
      <c r="AF17" t="e">
        <f>AG16*'Scen Hypothetical vaccine model'!$K17</f>
        <v>#VALUE!</v>
      </c>
      <c r="AG17" s="84" t="e">
        <f t="shared" si="9"/>
        <v>#VALUE!</v>
      </c>
      <c r="AH17" t="e">
        <f>AJ16*'Scen Hypothetical vaccine model'!$J17*HelperFunctions!$R5</f>
        <v>#VALUE!</v>
      </c>
      <c r="AI17" t="e">
        <f>AJ16*'Scen Hypothetical vaccine model'!$K17</f>
        <v>#VALUE!</v>
      </c>
      <c r="AJ17" s="84" t="e">
        <f t="shared" si="10"/>
        <v>#VALUE!</v>
      </c>
      <c r="AK17" t="e">
        <f>AM16*'Scen Hypothetical vaccine model'!$J17*HelperFunctions!$R4</f>
        <v>#VALUE!</v>
      </c>
      <c r="AL17" t="e">
        <f>AM16*'Scen Hypothetical vaccine model'!$K17</f>
        <v>#VALUE!</v>
      </c>
      <c r="AM17" s="84" t="e">
        <f t="shared" ref="AM17:AM63" si="11">AM16-AK17-AL17</f>
        <v>#VALUE!</v>
      </c>
      <c r="AN17" t="e">
        <f>AP16*'Scen Hypothetical vaccine model'!$J17*HelperFunctions!$R17</f>
        <v>#VALUE!</v>
      </c>
      <c r="AO17" t="e">
        <f>AP16*'Scen Hypothetical vaccine model'!$K17</f>
        <v>#VALUE!</v>
      </c>
      <c r="AP17" s="84" t="e">
        <f>AP16-AN17-AO17</f>
        <v>#VALUE!</v>
      </c>
      <c r="AQ17" s="93"/>
      <c r="AR17" s="93"/>
      <c r="AS17" s="84">
        <f>Export!$N15*'Scen EffectivelyVax'!$A16*(1-HelperFunctions!$G$17)</f>
        <v>0</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35">
      <c r="B18">
        <v>1</v>
      </c>
      <c r="C18">
        <f>Inputs!I38</f>
        <v>0</v>
      </c>
      <c r="D18" t="e">
        <f>F17*'Scen Hypothetical vaccine model'!J18*HelperFunctions!R$14</f>
        <v>#VALUE!</v>
      </c>
      <c r="E18" t="e">
        <f>F17*'Scen Hypothetical vaccine model'!K18</f>
        <v>#VALUE!</v>
      </c>
      <c r="F18" s="84" t="e">
        <f t="shared" si="0"/>
        <v>#VALUE!</v>
      </c>
      <c r="G18" t="e">
        <f>I17*'Scen Hypothetical vaccine model'!$J18*HelperFunctions!$R$14</f>
        <v>#VALUE!</v>
      </c>
      <c r="H18" t="e">
        <f>I17*'Scen Hypothetical vaccine model'!$K18</f>
        <v>#VALUE!</v>
      </c>
      <c r="I18" s="84" t="e">
        <f t="shared" si="1"/>
        <v>#VALUE!</v>
      </c>
      <c r="J18" t="e">
        <f>L17*'Scen Hypothetical vaccine model'!$J18*HelperFunctions!$R$14</f>
        <v>#VALUE!</v>
      </c>
      <c r="K18" t="e">
        <f>L17*'Scen Hypothetical vaccine model'!$K18</f>
        <v>#VALUE!</v>
      </c>
      <c r="L18" s="84" t="e">
        <f t="shared" si="2"/>
        <v>#VALUE!</v>
      </c>
      <c r="M18" t="e">
        <f>O17*'Scen Hypothetical vaccine model'!$J18*HelperFunctions!$R13</f>
        <v>#VALUE!</v>
      </c>
      <c r="N18" t="e">
        <f>O17*'Scen Hypothetical vaccine model'!$K18</f>
        <v>#VALUE!</v>
      </c>
      <c r="O18" s="84" t="e">
        <f t="shared" si="3"/>
        <v>#VALUE!</v>
      </c>
      <c r="P18" t="e">
        <f>R17*'Scen Hypothetical vaccine model'!$J18*HelperFunctions!$R12</f>
        <v>#VALUE!</v>
      </c>
      <c r="Q18" t="e">
        <f>R17*'Scen Hypothetical vaccine model'!$K18</f>
        <v>#VALUE!</v>
      </c>
      <c r="R18" s="84" t="e">
        <f t="shared" si="4"/>
        <v>#VALUE!</v>
      </c>
      <c r="S18" t="e">
        <f>U17*'Scen Hypothetical vaccine model'!$J18*HelperFunctions!$R11</f>
        <v>#VALUE!</v>
      </c>
      <c r="T18" t="e">
        <f>U17*'Scen Hypothetical vaccine model'!$K18</f>
        <v>#VALUE!</v>
      </c>
      <c r="U18" s="84" t="e">
        <f t="shared" si="5"/>
        <v>#VALUE!</v>
      </c>
      <c r="V18" t="e">
        <f>X17*'Scen Hypothetical vaccine model'!$J18*HelperFunctions!$R10</f>
        <v>#VALUE!</v>
      </c>
      <c r="W18" t="e">
        <f>X17*'Scen Hypothetical vaccine model'!$K18</f>
        <v>#VALUE!</v>
      </c>
      <c r="X18" s="84" t="e">
        <f t="shared" si="6"/>
        <v>#VALUE!</v>
      </c>
      <c r="Y18" t="e">
        <f>AA17*'Scen Hypothetical vaccine model'!$J18*HelperFunctions!$R9</f>
        <v>#VALUE!</v>
      </c>
      <c r="Z18" t="e">
        <f>AA17*'Scen Hypothetical vaccine model'!$K18</f>
        <v>#VALUE!</v>
      </c>
      <c r="AA18" s="84" t="e">
        <f t="shared" si="7"/>
        <v>#VALUE!</v>
      </c>
      <c r="AB18" t="e">
        <f>AD17*'Scen Hypothetical vaccine model'!$J18*HelperFunctions!$R8</f>
        <v>#VALUE!</v>
      </c>
      <c r="AC18" t="e">
        <f>AD17*'Scen Hypothetical vaccine model'!$K18</f>
        <v>#VALUE!</v>
      </c>
      <c r="AD18" s="84" t="e">
        <f t="shared" si="8"/>
        <v>#VALUE!</v>
      </c>
      <c r="AE18" t="e">
        <f>AG17*'Scen Hypothetical vaccine model'!$J18*HelperFunctions!$R7</f>
        <v>#VALUE!</v>
      </c>
      <c r="AF18" t="e">
        <f>AG17*'Scen Hypothetical vaccine model'!$K18</f>
        <v>#VALUE!</v>
      </c>
      <c r="AG18" s="84" t="e">
        <f t="shared" si="9"/>
        <v>#VALUE!</v>
      </c>
      <c r="AH18" t="e">
        <f>AJ17*'Scen Hypothetical vaccine model'!$J18*HelperFunctions!$R6</f>
        <v>#VALUE!</v>
      </c>
      <c r="AI18" t="e">
        <f>AJ17*'Scen Hypothetical vaccine model'!$K18</f>
        <v>#VALUE!</v>
      </c>
      <c r="AJ18" s="84" t="e">
        <f t="shared" si="10"/>
        <v>#VALUE!</v>
      </c>
      <c r="AK18" t="e">
        <f>AM17*'Scen Hypothetical vaccine model'!$J18*HelperFunctions!$R5</f>
        <v>#VALUE!</v>
      </c>
      <c r="AL18" t="e">
        <f>AM17*'Scen Hypothetical vaccine model'!$K18</f>
        <v>#VALUE!</v>
      </c>
      <c r="AM18" s="84" t="e">
        <f t="shared" si="11"/>
        <v>#VALUE!</v>
      </c>
      <c r="AN18" t="e">
        <f>AP17*'Scen Hypothetical vaccine model'!$J18*HelperFunctions!$R18</f>
        <v>#VALUE!</v>
      </c>
      <c r="AO18" t="e">
        <f>AP17*'Scen Hypothetical vaccine model'!$K18</f>
        <v>#VALUE!</v>
      </c>
      <c r="AP18" s="84" t="e">
        <f t="shared" ref="AP18:AP63" si="12">AP17-AN18-AO18</f>
        <v>#VALUE!</v>
      </c>
      <c r="AQ18" t="e">
        <f>AS17*'Scen Hypothetical vaccine model'!$J18*HelperFunctions!$R17</f>
        <v>#VALUE!</v>
      </c>
      <c r="AR18" t="e">
        <f>AS17*'Scen Hypothetical vaccine model'!$K18</f>
        <v>#VALUE!</v>
      </c>
      <c r="AS18" s="84" t="e">
        <f>AS17-AQ18-AR18</f>
        <v>#VALUE!</v>
      </c>
      <c r="AT18" s="93"/>
      <c r="AU18" s="93"/>
      <c r="AV18" s="84">
        <f>Export!$N16*'Scen EffectivelyVax'!$A17*(1-HelperFunctions!$G$17)</f>
        <v>0</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35">
      <c r="B19">
        <v>1</v>
      </c>
      <c r="C19">
        <f>Inputs!I39</f>
        <v>0</v>
      </c>
      <c r="D19" t="e">
        <f>F18*'Scen Hypothetical vaccine model'!J19*HelperFunctions!R$14</f>
        <v>#VALUE!</v>
      </c>
      <c r="E19" t="e">
        <f>F18*'Scen Hypothetical vaccine model'!K19</f>
        <v>#VALUE!</v>
      </c>
      <c r="F19" s="84" t="e">
        <f t="shared" si="0"/>
        <v>#VALUE!</v>
      </c>
      <c r="G19" t="e">
        <f>I18*'Scen Hypothetical vaccine model'!$J19*HelperFunctions!$R$14</f>
        <v>#VALUE!</v>
      </c>
      <c r="H19" t="e">
        <f>I18*'Scen Hypothetical vaccine model'!$K19</f>
        <v>#VALUE!</v>
      </c>
      <c r="I19" s="84" t="e">
        <f t="shared" si="1"/>
        <v>#VALUE!</v>
      </c>
      <c r="J19" t="e">
        <f>L18*'Scen Hypothetical vaccine model'!$J19*HelperFunctions!$R$14</f>
        <v>#VALUE!</v>
      </c>
      <c r="K19" t="e">
        <f>L18*'Scen Hypothetical vaccine model'!$K19</f>
        <v>#VALUE!</v>
      </c>
      <c r="L19" s="84" t="e">
        <f t="shared" si="2"/>
        <v>#VALUE!</v>
      </c>
      <c r="M19" t="e">
        <f>O18*'Scen Hypothetical vaccine model'!$J19*HelperFunctions!$R$14</f>
        <v>#VALUE!</v>
      </c>
      <c r="N19" t="e">
        <f>O18*'Scen Hypothetical vaccine model'!$K19</f>
        <v>#VALUE!</v>
      </c>
      <c r="O19" s="84" t="e">
        <f t="shared" si="3"/>
        <v>#VALUE!</v>
      </c>
      <c r="P19" t="e">
        <f>R18*'Scen Hypothetical vaccine model'!$J19*HelperFunctions!$R13</f>
        <v>#VALUE!</v>
      </c>
      <c r="Q19" t="e">
        <f>R18*'Scen Hypothetical vaccine model'!$K19</f>
        <v>#VALUE!</v>
      </c>
      <c r="R19" s="84" t="e">
        <f t="shared" si="4"/>
        <v>#VALUE!</v>
      </c>
      <c r="S19" t="e">
        <f>U18*'Scen Hypothetical vaccine model'!$J19*HelperFunctions!$R12</f>
        <v>#VALUE!</v>
      </c>
      <c r="T19" t="e">
        <f>U18*'Scen Hypothetical vaccine model'!$K19</f>
        <v>#VALUE!</v>
      </c>
      <c r="U19" s="84" t="e">
        <f t="shared" si="5"/>
        <v>#VALUE!</v>
      </c>
      <c r="V19" t="e">
        <f>X18*'Scen Hypothetical vaccine model'!$J19*HelperFunctions!$R11</f>
        <v>#VALUE!</v>
      </c>
      <c r="W19" t="e">
        <f>X18*'Scen Hypothetical vaccine model'!$K19</f>
        <v>#VALUE!</v>
      </c>
      <c r="X19" s="84" t="e">
        <f t="shared" si="6"/>
        <v>#VALUE!</v>
      </c>
      <c r="Y19" t="e">
        <f>AA18*'Scen Hypothetical vaccine model'!$J19*HelperFunctions!$R10</f>
        <v>#VALUE!</v>
      </c>
      <c r="Z19" t="e">
        <f>AA18*'Scen Hypothetical vaccine model'!$K19</f>
        <v>#VALUE!</v>
      </c>
      <c r="AA19" s="84" t="e">
        <f t="shared" si="7"/>
        <v>#VALUE!</v>
      </c>
      <c r="AB19" t="e">
        <f>AD18*'Scen Hypothetical vaccine model'!$J19*HelperFunctions!$R9</f>
        <v>#VALUE!</v>
      </c>
      <c r="AC19" t="e">
        <f>AD18*'Scen Hypothetical vaccine model'!$K19</f>
        <v>#VALUE!</v>
      </c>
      <c r="AD19" s="84" t="e">
        <f t="shared" si="8"/>
        <v>#VALUE!</v>
      </c>
      <c r="AE19" t="e">
        <f>AG18*'Scen Hypothetical vaccine model'!$J19*HelperFunctions!$R8</f>
        <v>#VALUE!</v>
      </c>
      <c r="AF19" t="e">
        <f>AG18*'Scen Hypothetical vaccine model'!$K19</f>
        <v>#VALUE!</v>
      </c>
      <c r="AG19" s="84" t="e">
        <f t="shared" si="9"/>
        <v>#VALUE!</v>
      </c>
      <c r="AH19" t="e">
        <f>AJ18*'Scen Hypothetical vaccine model'!$J19*HelperFunctions!$R7</f>
        <v>#VALUE!</v>
      </c>
      <c r="AI19" t="e">
        <f>AJ18*'Scen Hypothetical vaccine model'!$K19</f>
        <v>#VALUE!</v>
      </c>
      <c r="AJ19" s="84" t="e">
        <f t="shared" si="10"/>
        <v>#VALUE!</v>
      </c>
      <c r="AK19" t="e">
        <f>AM18*'Scen Hypothetical vaccine model'!$J19*HelperFunctions!$R6</f>
        <v>#VALUE!</v>
      </c>
      <c r="AL19" t="e">
        <f>AM18*'Scen Hypothetical vaccine model'!$K19</f>
        <v>#VALUE!</v>
      </c>
      <c r="AM19" s="84" t="e">
        <f t="shared" si="11"/>
        <v>#VALUE!</v>
      </c>
      <c r="AN19" t="e">
        <f>AP18*'Scen Hypothetical vaccine model'!$J19*HelperFunctions!$R19</f>
        <v>#VALUE!</v>
      </c>
      <c r="AO19" t="e">
        <f>AP18*'Scen Hypothetical vaccine model'!$K19</f>
        <v>#VALUE!</v>
      </c>
      <c r="AP19" s="84" t="e">
        <f t="shared" si="12"/>
        <v>#VALUE!</v>
      </c>
      <c r="AQ19" t="e">
        <f>AS18*'Scen Hypothetical vaccine model'!$J19*HelperFunctions!$R18</f>
        <v>#VALUE!</v>
      </c>
      <c r="AR19" t="e">
        <f>AS18*'Scen Hypothetical vaccine model'!$K19</f>
        <v>#VALUE!</v>
      </c>
      <c r="AS19" s="84" t="e">
        <f t="shared" ref="AS19:AS63" si="13">AS18-AQ19-AR19</f>
        <v>#VALUE!</v>
      </c>
      <c r="AT19" t="e">
        <f>AV18*'Scen Hypothetical vaccine model'!$J19*HelperFunctions!$R17</f>
        <v>#VALUE!</v>
      </c>
      <c r="AU19" t="e">
        <f>AV18*'Scen Hypothetical vaccine model'!$K19</f>
        <v>#VALUE!</v>
      </c>
      <c r="AV19" s="84" t="e">
        <f>AV18-AT19-AU19</f>
        <v>#VALUE!</v>
      </c>
      <c r="AW19" s="93"/>
      <c r="AX19" s="93"/>
      <c r="AY19" s="84">
        <f>Export!$N17*'Scen EffectivelyVax'!$A18*(1-HelperFunctions!$G$17)</f>
        <v>0</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35">
      <c r="B20">
        <v>1</v>
      </c>
      <c r="C20">
        <f>Inputs!I40</f>
        <v>0</v>
      </c>
      <c r="D20" t="e">
        <f>F19*'Scen Hypothetical vaccine model'!J20*HelperFunctions!R$14</f>
        <v>#VALUE!</v>
      </c>
      <c r="E20" t="e">
        <f>F19*'Scen Hypothetical vaccine model'!K20</f>
        <v>#VALUE!</v>
      </c>
      <c r="F20" s="84" t="e">
        <f t="shared" si="0"/>
        <v>#VALUE!</v>
      </c>
      <c r="G20" t="e">
        <f>I19*'Scen Hypothetical vaccine model'!$J20*HelperFunctions!$R$14</f>
        <v>#VALUE!</v>
      </c>
      <c r="H20" t="e">
        <f>I19*'Scen Hypothetical vaccine model'!$K20</f>
        <v>#VALUE!</v>
      </c>
      <c r="I20" s="84" t="e">
        <f t="shared" si="1"/>
        <v>#VALUE!</v>
      </c>
      <c r="J20" t="e">
        <f>L19*'Scen Hypothetical vaccine model'!$J20*HelperFunctions!$R$14</f>
        <v>#VALUE!</v>
      </c>
      <c r="K20" t="e">
        <f>L19*'Scen Hypothetical vaccine model'!$K20</f>
        <v>#VALUE!</v>
      </c>
      <c r="L20" s="84" t="e">
        <f t="shared" si="2"/>
        <v>#VALUE!</v>
      </c>
      <c r="M20" t="e">
        <f>O19*'Scen Hypothetical vaccine model'!$J20*HelperFunctions!$R$14</f>
        <v>#VALUE!</v>
      </c>
      <c r="N20" t="e">
        <f>O19*'Scen Hypothetical vaccine model'!$K20</f>
        <v>#VALUE!</v>
      </c>
      <c r="O20" s="84" t="e">
        <f t="shared" si="3"/>
        <v>#VALUE!</v>
      </c>
      <c r="P20" t="e">
        <f>R19*'Scen Hypothetical vaccine model'!$J20*HelperFunctions!$R$14</f>
        <v>#VALUE!</v>
      </c>
      <c r="Q20" t="e">
        <f>R19*'Scen Hypothetical vaccine model'!$K20</f>
        <v>#VALUE!</v>
      </c>
      <c r="R20" s="84" t="e">
        <f t="shared" si="4"/>
        <v>#VALUE!</v>
      </c>
      <c r="S20" t="e">
        <f>U19*'Scen Hypothetical vaccine model'!$J20*HelperFunctions!$R13</f>
        <v>#VALUE!</v>
      </c>
      <c r="T20" t="e">
        <f>U19*'Scen Hypothetical vaccine model'!$K20</f>
        <v>#VALUE!</v>
      </c>
      <c r="U20" s="84" t="e">
        <f t="shared" si="5"/>
        <v>#VALUE!</v>
      </c>
      <c r="V20" t="e">
        <f>X19*'Scen Hypothetical vaccine model'!$J20*HelperFunctions!$R12</f>
        <v>#VALUE!</v>
      </c>
      <c r="W20" t="e">
        <f>X19*'Scen Hypothetical vaccine model'!$K20</f>
        <v>#VALUE!</v>
      </c>
      <c r="X20" s="84" t="e">
        <f t="shared" si="6"/>
        <v>#VALUE!</v>
      </c>
      <c r="Y20" t="e">
        <f>AA19*'Scen Hypothetical vaccine model'!$J20*HelperFunctions!$R11</f>
        <v>#VALUE!</v>
      </c>
      <c r="Z20" t="e">
        <f>AA19*'Scen Hypothetical vaccine model'!$K20</f>
        <v>#VALUE!</v>
      </c>
      <c r="AA20" s="84" t="e">
        <f t="shared" si="7"/>
        <v>#VALUE!</v>
      </c>
      <c r="AB20" t="e">
        <f>AD19*'Scen Hypothetical vaccine model'!$J20*HelperFunctions!$R10</f>
        <v>#VALUE!</v>
      </c>
      <c r="AC20" t="e">
        <f>AD19*'Scen Hypothetical vaccine model'!$K20</f>
        <v>#VALUE!</v>
      </c>
      <c r="AD20" s="84" t="e">
        <f t="shared" si="8"/>
        <v>#VALUE!</v>
      </c>
      <c r="AE20" t="e">
        <f>AG19*'Scen Hypothetical vaccine model'!$J20*HelperFunctions!$R9</f>
        <v>#VALUE!</v>
      </c>
      <c r="AF20" t="e">
        <f>AG19*'Scen Hypothetical vaccine model'!$K20</f>
        <v>#VALUE!</v>
      </c>
      <c r="AG20" s="84" t="e">
        <f t="shared" si="9"/>
        <v>#VALUE!</v>
      </c>
      <c r="AH20" t="e">
        <f>AJ19*'Scen Hypothetical vaccine model'!$J20*HelperFunctions!$R8</f>
        <v>#VALUE!</v>
      </c>
      <c r="AI20" t="e">
        <f>AJ19*'Scen Hypothetical vaccine model'!$K20</f>
        <v>#VALUE!</v>
      </c>
      <c r="AJ20" s="84" t="e">
        <f t="shared" si="10"/>
        <v>#VALUE!</v>
      </c>
      <c r="AK20" t="e">
        <f>AM19*'Scen Hypothetical vaccine model'!$J20*HelperFunctions!$R7</f>
        <v>#VALUE!</v>
      </c>
      <c r="AL20" t="e">
        <f>AM19*'Scen Hypothetical vaccine model'!$K20</f>
        <v>#VALUE!</v>
      </c>
      <c r="AM20" s="84" t="e">
        <f t="shared" si="11"/>
        <v>#VALUE!</v>
      </c>
      <c r="AN20" t="e">
        <f>AP19*'Scen Hypothetical vaccine model'!$J20*HelperFunctions!$R20</f>
        <v>#VALUE!</v>
      </c>
      <c r="AO20" t="e">
        <f>AP19*'Scen Hypothetical vaccine model'!$K20</f>
        <v>#VALUE!</v>
      </c>
      <c r="AP20" s="84" t="e">
        <f t="shared" si="12"/>
        <v>#VALUE!</v>
      </c>
      <c r="AQ20" t="e">
        <f>AS19*'Scen Hypothetical vaccine model'!$J20*HelperFunctions!$R19</f>
        <v>#VALUE!</v>
      </c>
      <c r="AR20" t="e">
        <f>AS19*'Scen Hypothetical vaccine model'!$K20</f>
        <v>#VALUE!</v>
      </c>
      <c r="AS20" s="84" t="e">
        <f t="shared" si="13"/>
        <v>#VALUE!</v>
      </c>
      <c r="AT20" t="e">
        <f>AV19*'Scen Hypothetical vaccine model'!$J20*HelperFunctions!$R18</f>
        <v>#VALUE!</v>
      </c>
      <c r="AU20" t="e">
        <f>AV19*'Scen Hypothetical vaccine model'!$K20</f>
        <v>#VALUE!</v>
      </c>
      <c r="AV20" s="84" t="e">
        <f t="shared" ref="AV20:AV63" si="14">AV19-AT20-AU20</f>
        <v>#VALUE!</v>
      </c>
      <c r="AW20" t="e">
        <f>AY19*'Scen Hypothetical vaccine model'!$J20*HelperFunctions!$R17</f>
        <v>#VALUE!</v>
      </c>
      <c r="AX20" t="e">
        <f>AY19*'Scen Hypothetical vaccine model'!$K20</f>
        <v>#VALUE!</v>
      </c>
      <c r="AY20" s="84" t="e">
        <f>AY19-AW20-AX20</f>
        <v>#VALUE!</v>
      </c>
      <c r="AZ20" s="93"/>
      <c r="BA20" s="93"/>
      <c r="BB20" s="84">
        <f>Export!$N18*'Scen EffectivelyVax'!$A19*(1-HelperFunctions!$G$17)</f>
        <v>0</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35">
      <c r="B21">
        <v>1</v>
      </c>
      <c r="C21">
        <f>Inputs!I41</f>
        <v>0</v>
      </c>
      <c r="D21" t="e">
        <f>F20*'Scen Hypothetical vaccine model'!J21*HelperFunctions!R$14</f>
        <v>#VALUE!</v>
      </c>
      <c r="E21" t="e">
        <f>F20*'Scen Hypothetical vaccine model'!K21</f>
        <v>#VALUE!</v>
      </c>
      <c r="F21" s="84" t="e">
        <f t="shared" si="0"/>
        <v>#VALUE!</v>
      </c>
      <c r="G21" t="e">
        <f>I20*'Scen Hypothetical vaccine model'!$J21*HelperFunctions!$R$14</f>
        <v>#VALUE!</v>
      </c>
      <c r="H21" t="e">
        <f>I20*'Scen Hypothetical vaccine model'!$K21</f>
        <v>#VALUE!</v>
      </c>
      <c r="I21" s="84" t="e">
        <f t="shared" si="1"/>
        <v>#VALUE!</v>
      </c>
      <c r="J21" t="e">
        <f>L20*'Scen Hypothetical vaccine model'!$J21*HelperFunctions!$R$14</f>
        <v>#VALUE!</v>
      </c>
      <c r="K21" t="e">
        <f>L20*'Scen Hypothetical vaccine model'!$K21</f>
        <v>#VALUE!</v>
      </c>
      <c r="L21" s="84" t="e">
        <f t="shared" si="2"/>
        <v>#VALUE!</v>
      </c>
      <c r="M21" t="e">
        <f>O20*'Scen Hypothetical vaccine model'!$J21*HelperFunctions!$R$14</f>
        <v>#VALUE!</v>
      </c>
      <c r="N21" t="e">
        <f>O20*'Scen Hypothetical vaccine model'!$K21</f>
        <v>#VALUE!</v>
      </c>
      <c r="O21" s="84" t="e">
        <f t="shared" si="3"/>
        <v>#VALUE!</v>
      </c>
      <c r="P21" t="e">
        <f>R20*'Scen Hypothetical vaccine model'!$J21*HelperFunctions!$R$14</f>
        <v>#VALUE!</v>
      </c>
      <c r="Q21" t="e">
        <f>R20*'Scen Hypothetical vaccine model'!$K21</f>
        <v>#VALUE!</v>
      </c>
      <c r="R21" s="84" t="e">
        <f t="shared" si="4"/>
        <v>#VALUE!</v>
      </c>
      <c r="S21" t="e">
        <f>U20*'Scen Hypothetical vaccine model'!$J21*HelperFunctions!$R$14</f>
        <v>#VALUE!</v>
      </c>
      <c r="T21" t="e">
        <f>U20*'Scen Hypothetical vaccine model'!$K21</f>
        <v>#VALUE!</v>
      </c>
      <c r="U21" s="84" t="e">
        <f t="shared" si="5"/>
        <v>#VALUE!</v>
      </c>
      <c r="V21" t="e">
        <f>X20*'Scen Hypothetical vaccine model'!$J21*HelperFunctions!$R13</f>
        <v>#VALUE!</v>
      </c>
      <c r="W21" t="e">
        <f>X20*'Scen Hypothetical vaccine model'!$K21</f>
        <v>#VALUE!</v>
      </c>
      <c r="X21" s="84" t="e">
        <f t="shared" si="6"/>
        <v>#VALUE!</v>
      </c>
      <c r="Y21" t="e">
        <f>AA20*'Scen Hypothetical vaccine model'!$J21*HelperFunctions!$R12</f>
        <v>#VALUE!</v>
      </c>
      <c r="Z21" t="e">
        <f>AA20*'Scen Hypothetical vaccine model'!$K21</f>
        <v>#VALUE!</v>
      </c>
      <c r="AA21" s="84" t="e">
        <f t="shared" si="7"/>
        <v>#VALUE!</v>
      </c>
      <c r="AB21" t="e">
        <f>AD20*'Scen Hypothetical vaccine model'!$J21*HelperFunctions!$R11</f>
        <v>#VALUE!</v>
      </c>
      <c r="AC21" t="e">
        <f>AD20*'Scen Hypothetical vaccine model'!$K21</f>
        <v>#VALUE!</v>
      </c>
      <c r="AD21" s="84" t="e">
        <f t="shared" si="8"/>
        <v>#VALUE!</v>
      </c>
      <c r="AE21" t="e">
        <f>AG20*'Scen Hypothetical vaccine model'!$J21*HelperFunctions!$R10</f>
        <v>#VALUE!</v>
      </c>
      <c r="AF21" t="e">
        <f>AG20*'Scen Hypothetical vaccine model'!$K21</f>
        <v>#VALUE!</v>
      </c>
      <c r="AG21" s="84" t="e">
        <f t="shared" si="9"/>
        <v>#VALUE!</v>
      </c>
      <c r="AH21" t="e">
        <f>AJ20*'Scen Hypothetical vaccine model'!$J21*HelperFunctions!$R9</f>
        <v>#VALUE!</v>
      </c>
      <c r="AI21" t="e">
        <f>AJ20*'Scen Hypothetical vaccine model'!$K21</f>
        <v>#VALUE!</v>
      </c>
      <c r="AJ21" s="84" t="e">
        <f t="shared" si="10"/>
        <v>#VALUE!</v>
      </c>
      <c r="AK21" t="e">
        <f>AM20*'Scen Hypothetical vaccine model'!$J21*HelperFunctions!$R8</f>
        <v>#VALUE!</v>
      </c>
      <c r="AL21" t="e">
        <f>AM20*'Scen Hypothetical vaccine model'!$K21</f>
        <v>#VALUE!</v>
      </c>
      <c r="AM21" s="84" t="e">
        <f t="shared" si="11"/>
        <v>#VALUE!</v>
      </c>
      <c r="AN21" t="e">
        <f>AP20*'Scen Hypothetical vaccine model'!$J21*HelperFunctions!$R21</f>
        <v>#VALUE!</v>
      </c>
      <c r="AO21" t="e">
        <f>AP20*'Scen Hypothetical vaccine model'!$K21</f>
        <v>#VALUE!</v>
      </c>
      <c r="AP21" s="84" t="e">
        <f t="shared" si="12"/>
        <v>#VALUE!</v>
      </c>
      <c r="AQ21" t="e">
        <f>AS20*'Scen Hypothetical vaccine model'!$J21*HelperFunctions!$R20</f>
        <v>#VALUE!</v>
      </c>
      <c r="AR21" t="e">
        <f>AS20*'Scen Hypothetical vaccine model'!$K21</f>
        <v>#VALUE!</v>
      </c>
      <c r="AS21" s="84" t="e">
        <f t="shared" si="13"/>
        <v>#VALUE!</v>
      </c>
      <c r="AT21" t="e">
        <f>AV20*'Scen Hypothetical vaccine model'!$J21*HelperFunctions!$R19</f>
        <v>#VALUE!</v>
      </c>
      <c r="AU21" t="e">
        <f>AV20*'Scen Hypothetical vaccine model'!$K21</f>
        <v>#VALUE!</v>
      </c>
      <c r="AV21" s="84" t="e">
        <f t="shared" si="14"/>
        <v>#VALUE!</v>
      </c>
      <c r="AW21" t="e">
        <f>AY20*'Scen Hypothetical vaccine model'!$J21*HelperFunctions!$R18</f>
        <v>#VALUE!</v>
      </c>
      <c r="AX21" t="e">
        <f>AY20*'Scen Hypothetical vaccine model'!$K21</f>
        <v>#VALUE!</v>
      </c>
      <c r="AY21" s="84" t="e">
        <f t="shared" ref="AY21:AY63" si="15">AY20-AW21-AX21</f>
        <v>#VALUE!</v>
      </c>
      <c r="AZ21" t="e">
        <f>BB20*'Scen Hypothetical vaccine model'!$J21*HelperFunctions!$R17</f>
        <v>#VALUE!</v>
      </c>
      <c r="BA21" t="e">
        <f>BB20*'Scen Hypothetical vaccine model'!$K21</f>
        <v>#VALUE!</v>
      </c>
      <c r="BB21" s="84" t="e">
        <f>BB20-AZ21-BA21</f>
        <v>#VALUE!</v>
      </c>
      <c r="BC21" s="93"/>
      <c r="BD21" s="93"/>
      <c r="BE21" s="84">
        <f>Export!$N19*'Scen EffectivelyVax'!$A20*(1-HelperFunctions!$G$17)</f>
        <v>0</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35">
      <c r="B22">
        <v>1</v>
      </c>
      <c r="C22">
        <f>Inputs!I42</f>
        <v>0</v>
      </c>
      <c r="D22" t="e">
        <f>F21*'Scen Hypothetical vaccine model'!J22*HelperFunctions!R$14</f>
        <v>#VALUE!</v>
      </c>
      <c r="E22" t="e">
        <f>F21*'Scen Hypothetical vaccine model'!K22</f>
        <v>#VALUE!</v>
      </c>
      <c r="F22" s="84" t="e">
        <f t="shared" si="0"/>
        <v>#VALUE!</v>
      </c>
      <c r="G22" t="e">
        <f>I21*'Scen Hypothetical vaccine model'!$J22*HelperFunctions!$R$14</f>
        <v>#VALUE!</v>
      </c>
      <c r="H22" t="e">
        <f>I21*'Scen Hypothetical vaccine model'!$K22</f>
        <v>#VALUE!</v>
      </c>
      <c r="I22" s="84" t="e">
        <f t="shared" si="1"/>
        <v>#VALUE!</v>
      </c>
      <c r="J22" t="e">
        <f>L21*'Scen Hypothetical vaccine model'!$J22*HelperFunctions!$R$14</f>
        <v>#VALUE!</v>
      </c>
      <c r="K22" t="e">
        <f>L21*'Scen Hypothetical vaccine model'!$K22</f>
        <v>#VALUE!</v>
      </c>
      <c r="L22" s="84" t="e">
        <f t="shared" si="2"/>
        <v>#VALUE!</v>
      </c>
      <c r="M22" t="e">
        <f>O21*'Scen Hypothetical vaccine model'!$J22*HelperFunctions!$R$14</f>
        <v>#VALUE!</v>
      </c>
      <c r="N22" t="e">
        <f>O21*'Scen Hypothetical vaccine model'!$K22</f>
        <v>#VALUE!</v>
      </c>
      <c r="O22" s="84" t="e">
        <f t="shared" si="3"/>
        <v>#VALUE!</v>
      </c>
      <c r="P22" t="e">
        <f>R21*'Scen Hypothetical vaccine model'!$J22*HelperFunctions!$R$14</f>
        <v>#VALUE!</v>
      </c>
      <c r="Q22" t="e">
        <f>R21*'Scen Hypothetical vaccine model'!$K22</f>
        <v>#VALUE!</v>
      </c>
      <c r="R22" s="84" t="e">
        <f t="shared" si="4"/>
        <v>#VALUE!</v>
      </c>
      <c r="S22" t="e">
        <f>U21*'Scen Hypothetical vaccine model'!$J22*HelperFunctions!$R$14</f>
        <v>#VALUE!</v>
      </c>
      <c r="T22" t="e">
        <f>U21*'Scen Hypothetical vaccine model'!$K22</f>
        <v>#VALUE!</v>
      </c>
      <c r="U22" s="84" t="e">
        <f t="shared" si="5"/>
        <v>#VALUE!</v>
      </c>
      <c r="V22" t="e">
        <f>X21*'Scen Hypothetical vaccine model'!$J22*HelperFunctions!$R$14</f>
        <v>#VALUE!</v>
      </c>
      <c r="W22" t="e">
        <f>X21*'Scen Hypothetical vaccine model'!$K22</f>
        <v>#VALUE!</v>
      </c>
      <c r="X22" s="84" t="e">
        <f t="shared" si="6"/>
        <v>#VALUE!</v>
      </c>
      <c r="Y22" t="e">
        <f>AA21*'Scen Hypothetical vaccine model'!$J22*HelperFunctions!$R13</f>
        <v>#VALUE!</v>
      </c>
      <c r="Z22" t="e">
        <f>AA21*'Scen Hypothetical vaccine model'!$K22</f>
        <v>#VALUE!</v>
      </c>
      <c r="AA22" s="84" t="e">
        <f t="shared" si="7"/>
        <v>#VALUE!</v>
      </c>
      <c r="AB22" t="e">
        <f>AD21*'Scen Hypothetical vaccine model'!$J22*HelperFunctions!$R12</f>
        <v>#VALUE!</v>
      </c>
      <c r="AC22" t="e">
        <f>AD21*'Scen Hypothetical vaccine model'!$K22</f>
        <v>#VALUE!</v>
      </c>
      <c r="AD22" s="84" t="e">
        <f t="shared" si="8"/>
        <v>#VALUE!</v>
      </c>
      <c r="AE22" t="e">
        <f>AG21*'Scen Hypothetical vaccine model'!$J22*HelperFunctions!$R11</f>
        <v>#VALUE!</v>
      </c>
      <c r="AF22" t="e">
        <f>AG21*'Scen Hypothetical vaccine model'!$K22</f>
        <v>#VALUE!</v>
      </c>
      <c r="AG22" s="84" t="e">
        <f t="shared" si="9"/>
        <v>#VALUE!</v>
      </c>
      <c r="AH22" t="e">
        <f>AJ21*'Scen Hypothetical vaccine model'!$J22*HelperFunctions!$R10</f>
        <v>#VALUE!</v>
      </c>
      <c r="AI22" t="e">
        <f>AJ21*'Scen Hypothetical vaccine model'!$K22</f>
        <v>#VALUE!</v>
      </c>
      <c r="AJ22" s="84" t="e">
        <f t="shared" si="10"/>
        <v>#VALUE!</v>
      </c>
      <c r="AK22" t="e">
        <f>AM21*'Scen Hypothetical vaccine model'!$J22*HelperFunctions!$R9</f>
        <v>#VALUE!</v>
      </c>
      <c r="AL22" t="e">
        <f>AM21*'Scen Hypothetical vaccine model'!$K22</f>
        <v>#VALUE!</v>
      </c>
      <c r="AM22" s="84" t="e">
        <f t="shared" si="11"/>
        <v>#VALUE!</v>
      </c>
      <c r="AN22" t="e">
        <f>AP21*'Scen Hypothetical vaccine model'!$J22*HelperFunctions!$R22</f>
        <v>#VALUE!</v>
      </c>
      <c r="AO22" t="e">
        <f>AP21*'Scen Hypothetical vaccine model'!$K22</f>
        <v>#VALUE!</v>
      </c>
      <c r="AP22" s="84" t="e">
        <f t="shared" si="12"/>
        <v>#VALUE!</v>
      </c>
      <c r="AQ22" t="e">
        <f>AS21*'Scen Hypothetical vaccine model'!$J22*HelperFunctions!$R21</f>
        <v>#VALUE!</v>
      </c>
      <c r="AR22" t="e">
        <f>AS21*'Scen Hypothetical vaccine model'!$K22</f>
        <v>#VALUE!</v>
      </c>
      <c r="AS22" s="84" t="e">
        <f t="shared" si="13"/>
        <v>#VALUE!</v>
      </c>
      <c r="AT22" t="e">
        <f>AV21*'Scen Hypothetical vaccine model'!$J22*HelperFunctions!$R20</f>
        <v>#VALUE!</v>
      </c>
      <c r="AU22" t="e">
        <f>AV21*'Scen Hypothetical vaccine model'!$K22</f>
        <v>#VALUE!</v>
      </c>
      <c r="AV22" s="84" t="e">
        <f t="shared" si="14"/>
        <v>#VALUE!</v>
      </c>
      <c r="AW22" t="e">
        <f>AY21*'Scen Hypothetical vaccine model'!$J22*HelperFunctions!$R19</f>
        <v>#VALUE!</v>
      </c>
      <c r="AX22" t="e">
        <f>AY21*'Scen Hypothetical vaccine model'!$K22</f>
        <v>#VALUE!</v>
      </c>
      <c r="AY22" s="84" t="e">
        <f t="shared" si="15"/>
        <v>#VALUE!</v>
      </c>
      <c r="AZ22" t="e">
        <f>BB21*'Scen Hypothetical vaccine model'!$J22*HelperFunctions!$R18</f>
        <v>#VALUE!</v>
      </c>
      <c r="BA22" t="e">
        <f>BB21*'Scen Hypothetical vaccine model'!$K22</f>
        <v>#VALUE!</v>
      </c>
      <c r="BB22" s="84" t="e">
        <f t="shared" ref="BB22:BB63" si="16">BB21-AZ22-BA22</f>
        <v>#VALUE!</v>
      </c>
      <c r="BC22" t="e">
        <f>BE21*'Scen Hypothetical vaccine model'!$J22*HelperFunctions!$R17</f>
        <v>#VALUE!</v>
      </c>
      <c r="BD22" t="e">
        <f>BE21*'Scen Hypothetical vaccine model'!$K22</f>
        <v>#VALUE!</v>
      </c>
      <c r="BE22" s="84" t="e">
        <f>BE21-BC22-BD22</f>
        <v>#VALUE!</v>
      </c>
      <c r="BF22" s="93"/>
      <c r="BG22" s="93"/>
      <c r="BH22" s="84">
        <f>Export!$N20*'Scen EffectivelyVax'!$A21*(1-HelperFunctions!$G$17)</f>
        <v>0</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35">
      <c r="B23">
        <v>1</v>
      </c>
      <c r="C23">
        <f>Inputs!I43</f>
        <v>0</v>
      </c>
      <c r="D23" t="e">
        <f>F22*'Scen Hypothetical vaccine model'!J23*HelperFunctions!R$14</f>
        <v>#VALUE!</v>
      </c>
      <c r="E23" t="e">
        <f>F22*'Scen Hypothetical vaccine model'!K23</f>
        <v>#VALUE!</v>
      </c>
      <c r="F23" s="84" t="e">
        <f t="shared" si="0"/>
        <v>#VALUE!</v>
      </c>
      <c r="G23" t="e">
        <f>I22*'Scen Hypothetical vaccine model'!$J23*HelperFunctions!$R$14</f>
        <v>#VALUE!</v>
      </c>
      <c r="H23" t="e">
        <f>I22*'Scen Hypothetical vaccine model'!$K23</f>
        <v>#VALUE!</v>
      </c>
      <c r="I23" s="84" t="e">
        <f t="shared" si="1"/>
        <v>#VALUE!</v>
      </c>
      <c r="J23" t="e">
        <f>L22*'Scen Hypothetical vaccine model'!$J23*HelperFunctions!$R$14</f>
        <v>#VALUE!</v>
      </c>
      <c r="K23" t="e">
        <f>L22*'Scen Hypothetical vaccine model'!$K23</f>
        <v>#VALUE!</v>
      </c>
      <c r="L23" s="84" t="e">
        <f t="shared" si="2"/>
        <v>#VALUE!</v>
      </c>
      <c r="M23" t="e">
        <f>O22*'Scen Hypothetical vaccine model'!$J23*HelperFunctions!$R$14</f>
        <v>#VALUE!</v>
      </c>
      <c r="N23" t="e">
        <f>O22*'Scen Hypothetical vaccine model'!$K23</f>
        <v>#VALUE!</v>
      </c>
      <c r="O23" s="84" t="e">
        <f t="shared" si="3"/>
        <v>#VALUE!</v>
      </c>
      <c r="P23" t="e">
        <f>R22*'Scen Hypothetical vaccine model'!$J23*HelperFunctions!$R$14</f>
        <v>#VALUE!</v>
      </c>
      <c r="Q23" t="e">
        <f>R22*'Scen Hypothetical vaccine model'!$K23</f>
        <v>#VALUE!</v>
      </c>
      <c r="R23" s="84" t="e">
        <f t="shared" si="4"/>
        <v>#VALUE!</v>
      </c>
      <c r="S23" t="e">
        <f>U22*'Scen Hypothetical vaccine model'!$J23*HelperFunctions!$R$14</f>
        <v>#VALUE!</v>
      </c>
      <c r="T23" t="e">
        <f>U22*'Scen Hypothetical vaccine model'!$K23</f>
        <v>#VALUE!</v>
      </c>
      <c r="U23" s="84" t="e">
        <f t="shared" si="5"/>
        <v>#VALUE!</v>
      </c>
      <c r="V23" t="e">
        <f>X22*'Scen Hypothetical vaccine model'!$J23*HelperFunctions!$R$14</f>
        <v>#VALUE!</v>
      </c>
      <c r="W23" t="e">
        <f>X22*'Scen Hypothetical vaccine model'!$K23</f>
        <v>#VALUE!</v>
      </c>
      <c r="X23" s="84" t="e">
        <f t="shared" si="6"/>
        <v>#VALUE!</v>
      </c>
      <c r="Y23" t="e">
        <f>AA22*'Scen Hypothetical vaccine model'!$J23*HelperFunctions!$R$14</f>
        <v>#VALUE!</v>
      </c>
      <c r="Z23" t="e">
        <f>AA22*'Scen Hypothetical vaccine model'!$K23</f>
        <v>#VALUE!</v>
      </c>
      <c r="AA23" s="84" t="e">
        <f t="shared" si="7"/>
        <v>#VALUE!</v>
      </c>
      <c r="AB23" t="e">
        <f>AD22*'Scen Hypothetical vaccine model'!$J23*HelperFunctions!$R13</f>
        <v>#VALUE!</v>
      </c>
      <c r="AC23" t="e">
        <f>AD22*'Scen Hypothetical vaccine model'!$K23</f>
        <v>#VALUE!</v>
      </c>
      <c r="AD23" s="84" t="e">
        <f t="shared" si="8"/>
        <v>#VALUE!</v>
      </c>
      <c r="AE23" t="e">
        <f>AG22*'Scen Hypothetical vaccine model'!$J23*HelperFunctions!$R12</f>
        <v>#VALUE!</v>
      </c>
      <c r="AF23" t="e">
        <f>AG22*'Scen Hypothetical vaccine model'!$K23</f>
        <v>#VALUE!</v>
      </c>
      <c r="AG23" s="84" t="e">
        <f t="shared" si="9"/>
        <v>#VALUE!</v>
      </c>
      <c r="AH23" t="e">
        <f>AJ22*'Scen Hypothetical vaccine model'!$J23*HelperFunctions!$R11</f>
        <v>#VALUE!</v>
      </c>
      <c r="AI23" t="e">
        <f>AJ22*'Scen Hypothetical vaccine model'!$K23</f>
        <v>#VALUE!</v>
      </c>
      <c r="AJ23" s="84" t="e">
        <f t="shared" si="10"/>
        <v>#VALUE!</v>
      </c>
      <c r="AK23" t="e">
        <f>AM22*'Scen Hypothetical vaccine model'!$J23*HelperFunctions!$R10</f>
        <v>#VALUE!</v>
      </c>
      <c r="AL23" t="e">
        <f>AM22*'Scen Hypothetical vaccine model'!$K23</f>
        <v>#VALUE!</v>
      </c>
      <c r="AM23" s="84" t="e">
        <f t="shared" si="11"/>
        <v>#VALUE!</v>
      </c>
      <c r="AN23" t="e">
        <f>AP22*'Scen Hypothetical vaccine model'!$J23*HelperFunctions!$R23</f>
        <v>#VALUE!</v>
      </c>
      <c r="AO23" t="e">
        <f>AP22*'Scen Hypothetical vaccine model'!$K23</f>
        <v>#VALUE!</v>
      </c>
      <c r="AP23" s="84" t="e">
        <f t="shared" si="12"/>
        <v>#VALUE!</v>
      </c>
      <c r="AQ23" t="e">
        <f>AS22*'Scen Hypothetical vaccine model'!$J23*HelperFunctions!$R22</f>
        <v>#VALUE!</v>
      </c>
      <c r="AR23" t="e">
        <f>AS22*'Scen Hypothetical vaccine model'!$K23</f>
        <v>#VALUE!</v>
      </c>
      <c r="AS23" s="84" t="e">
        <f t="shared" si="13"/>
        <v>#VALUE!</v>
      </c>
      <c r="AT23" t="e">
        <f>AV22*'Scen Hypothetical vaccine model'!$J23*HelperFunctions!$R21</f>
        <v>#VALUE!</v>
      </c>
      <c r="AU23" t="e">
        <f>AV22*'Scen Hypothetical vaccine model'!$K23</f>
        <v>#VALUE!</v>
      </c>
      <c r="AV23" s="84" t="e">
        <f t="shared" si="14"/>
        <v>#VALUE!</v>
      </c>
      <c r="AW23" t="e">
        <f>AY22*'Scen Hypothetical vaccine model'!$J23*HelperFunctions!$R20</f>
        <v>#VALUE!</v>
      </c>
      <c r="AX23" t="e">
        <f>AY22*'Scen Hypothetical vaccine model'!$K23</f>
        <v>#VALUE!</v>
      </c>
      <c r="AY23" s="84" t="e">
        <f t="shared" si="15"/>
        <v>#VALUE!</v>
      </c>
      <c r="AZ23" t="e">
        <f>BB22*'Scen Hypothetical vaccine model'!$J23*HelperFunctions!$R19</f>
        <v>#VALUE!</v>
      </c>
      <c r="BA23" t="e">
        <f>BB22*'Scen Hypothetical vaccine model'!$K23</f>
        <v>#VALUE!</v>
      </c>
      <c r="BB23" s="84" t="e">
        <f t="shared" si="16"/>
        <v>#VALUE!</v>
      </c>
      <c r="BC23" t="e">
        <f>BE22*'Scen Hypothetical vaccine model'!$J23*HelperFunctions!$R18</f>
        <v>#VALUE!</v>
      </c>
      <c r="BD23" t="e">
        <f>BE22*'Scen Hypothetical vaccine model'!$K23</f>
        <v>#VALUE!</v>
      </c>
      <c r="BE23" s="84" t="e">
        <f t="shared" ref="BE23:BE63" si="17">BE22-BC23-BD23</f>
        <v>#VALUE!</v>
      </c>
      <c r="BF23" t="e">
        <f>BH22*'Scen Hypothetical vaccine model'!$J23*HelperFunctions!$R17</f>
        <v>#VALUE!</v>
      </c>
      <c r="BG23" t="e">
        <f>BH22*'Scen Hypothetical vaccine model'!$K23</f>
        <v>#VALUE!</v>
      </c>
      <c r="BH23" s="84" t="e">
        <f>BH22-BF23-BG23</f>
        <v>#VALUE!</v>
      </c>
      <c r="BI23" s="93"/>
      <c r="BJ23" s="93"/>
      <c r="BK23" s="84">
        <f>Export!$N21*'Scen EffectivelyVax'!$A22*(1-HelperFunctions!$G$17)</f>
        <v>0</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35">
      <c r="B24">
        <v>1</v>
      </c>
      <c r="C24">
        <f>Inputs!I44</f>
        <v>0</v>
      </c>
      <c r="D24" t="e">
        <f>F23*'Scen Hypothetical vaccine model'!J24*HelperFunctions!R$14</f>
        <v>#VALUE!</v>
      </c>
      <c r="E24" t="e">
        <f>F23*'Scen Hypothetical vaccine model'!K24</f>
        <v>#VALUE!</v>
      </c>
      <c r="F24" s="84" t="e">
        <f t="shared" si="0"/>
        <v>#VALUE!</v>
      </c>
      <c r="G24" t="e">
        <f>I23*'Scen Hypothetical vaccine model'!$J24*HelperFunctions!$R$14</f>
        <v>#VALUE!</v>
      </c>
      <c r="H24" t="e">
        <f>I23*'Scen Hypothetical vaccine model'!$K24</f>
        <v>#VALUE!</v>
      </c>
      <c r="I24" s="84" t="e">
        <f t="shared" si="1"/>
        <v>#VALUE!</v>
      </c>
      <c r="J24" t="e">
        <f>L23*'Scen Hypothetical vaccine model'!$J24*HelperFunctions!$R$14</f>
        <v>#VALUE!</v>
      </c>
      <c r="K24" t="e">
        <f>L23*'Scen Hypothetical vaccine model'!$K24</f>
        <v>#VALUE!</v>
      </c>
      <c r="L24" s="84" t="e">
        <f t="shared" si="2"/>
        <v>#VALUE!</v>
      </c>
      <c r="M24" t="e">
        <f>O23*'Scen Hypothetical vaccine model'!$J24*HelperFunctions!$R$14</f>
        <v>#VALUE!</v>
      </c>
      <c r="N24" t="e">
        <f>O23*'Scen Hypothetical vaccine model'!$K24</f>
        <v>#VALUE!</v>
      </c>
      <c r="O24" s="84" t="e">
        <f t="shared" si="3"/>
        <v>#VALUE!</v>
      </c>
      <c r="P24" t="e">
        <f>R23*'Scen Hypothetical vaccine model'!$J24*HelperFunctions!$R$14</f>
        <v>#VALUE!</v>
      </c>
      <c r="Q24" t="e">
        <f>R23*'Scen Hypothetical vaccine model'!$K24</f>
        <v>#VALUE!</v>
      </c>
      <c r="R24" s="84" t="e">
        <f t="shared" si="4"/>
        <v>#VALUE!</v>
      </c>
      <c r="S24" t="e">
        <f>U23*'Scen Hypothetical vaccine model'!$J24*HelperFunctions!$R$14</f>
        <v>#VALUE!</v>
      </c>
      <c r="T24" t="e">
        <f>U23*'Scen Hypothetical vaccine model'!$K24</f>
        <v>#VALUE!</v>
      </c>
      <c r="U24" s="84" t="e">
        <f t="shared" si="5"/>
        <v>#VALUE!</v>
      </c>
      <c r="V24" t="e">
        <f>X23*'Scen Hypothetical vaccine model'!$J24*HelperFunctions!$R$14</f>
        <v>#VALUE!</v>
      </c>
      <c r="W24" t="e">
        <f>X23*'Scen Hypothetical vaccine model'!$K24</f>
        <v>#VALUE!</v>
      </c>
      <c r="X24" s="84" t="e">
        <f t="shared" si="6"/>
        <v>#VALUE!</v>
      </c>
      <c r="Y24" t="e">
        <f>AA23*'Scen Hypothetical vaccine model'!$J24*HelperFunctions!$R$14</f>
        <v>#VALUE!</v>
      </c>
      <c r="Z24" t="e">
        <f>AA23*'Scen Hypothetical vaccine model'!$K24</f>
        <v>#VALUE!</v>
      </c>
      <c r="AA24" s="84" t="e">
        <f t="shared" si="7"/>
        <v>#VALUE!</v>
      </c>
      <c r="AB24" t="e">
        <f>AD23*'Scen Hypothetical vaccine model'!$J24*HelperFunctions!$R$14</f>
        <v>#VALUE!</v>
      </c>
      <c r="AC24" t="e">
        <f>AD23*'Scen Hypothetical vaccine model'!$K24</f>
        <v>#VALUE!</v>
      </c>
      <c r="AD24" s="84" t="e">
        <f t="shared" si="8"/>
        <v>#VALUE!</v>
      </c>
      <c r="AE24" t="e">
        <f>AG23*'Scen Hypothetical vaccine model'!$J24*HelperFunctions!$R13</f>
        <v>#VALUE!</v>
      </c>
      <c r="AF24" t="e">
        <f>AG23*'Scen Hypothetical vaccine model'!$K24</f>
        <v>#VALUE!</v>
      </c>
      <c r="AG24" s="84" t="e">
        <f t="shared" si="9"/>
        <v>#VALUE!</v>
      </c>
      <c r="AH24" t="e">
        <f>AJ23*'Scen Hypothetical vaccine model'!$J24*HelperFunctions!$R12</f>
        <v>#VALUE!</v>
      </c>
      <c r="AI24" t="e">
        <f>AJ23*'Scen Hypothetical vaccine model'!$K24</f>
        <v>#VALUE!</v>
      </c>
      <c r="AJ24" s="84" t="e">
        <f t="shared" si="10"/>
        <v>#VALUE!</v>
      </c>
      <c r="AK24" t="e">
        <f>AM23*'Scen Hypothetical vaccine model'!$J24*HelperFunctions!$R11</f>
        <v>#VALUE!</v>
      </c>
      <c r="AL24" t="e">
        <f>AM23*'Scen Hypothetical vaccine model'!$K24</f>
        <v>#VALUE!</v>
      </c>
      <c r="AM24" s="84" t="e">
        <f t="shared" si="11"/>
        <v>#VALUE!</v>
      </c>
      <c r="AN24" t="e">
        <f>AP23*'Scen Hypothetical vaccine model'!$J24*HelperFunctions!$R24</f>
        <v>#VALUE!</v>
      </c>
      <c r="AO24" t="e">
        <f>AP23*'Scen Hypothetical vaccine model'!$K24</f>
        <v>#VALUE!</v>
      </c>
      <c r="AP24" s="84" t="e">
        <f t="shared" si="12"/>
        <v>#VALUE!</v>
      </c>
      <c r="AQ24" t="e">
        <f>AS23*'Scen Hypothetical vaccine model'!$J24*HelperFunctions!$R23</f>
        <v>#VALUE!</v>
      </c>
      <c r="AR24" t="e">
        <f>AS23*'Scen Hypothetical vaccine model'!$K24</f>
        <v>#VALUE!</v>
      </c>
      <c r="AS24" s="84" t="e">
        <f t="shared" si="13"/>
        <v>#VALUE!</v>
      </c>
      <c r="AT24" t="e">
        <f>AV23*'Scen Hypothetical vaccine model'!$J24*HelperFunctions!$R22</f>
        <v>#VALUE!</v>
      </c>
      <c r="AU24" t="e">
        <f>AV23*'Scen Hypothetical vaccine model'!$K24</f>
        <v>#VALUE!</v>
      </c>
      <c r="AV24" s="84" t="e">
        <f t="shared" si="14"/>
        <v>#VALUE!</v>
      </c>
      <c r="AW24" t="e">
        <f>AY23*'Scen Hypothetical vaccine model'!$J24*HelperFunctions!$R21</f>
        <v>#VALUE!</v>
      </c>
      <c r="AX24" t="e">
        <f>AY23*'Scen Hypothetical vaccine model'!$K24</f>
        <v>#VALUE!</v>
      </c>
      <c r="AY24" s="84" t="e">
        <f t="shared" si="15"/>
        <v>#VALUE!</v>
      </c>
      <c r="AZ24" t="e">
        <f>BB23*'Scen Hypothetical vaccine model'!$J24*HelperFunctions!$R20</f>
        <v>#VALUE!</v>
      </c>
      <c r="BA24" t="e">
        <f>BB23*'Scen Hypothetical vaccine model'!$K24</f>
        <v>#VALUE!</v>
      </c>
      <c r="BB24" s="84" t="e">
        <f t="shared" si="16"/>
        <v>#VALUE!</v>
      </c>
      <c r="BC24" t="e">
        <f>BE23*'Scen Hypothetical vaccine model'!$J24*HelperFunctions!$R19</f>
        <v>#VALUE!</v>
      </c>
      <c r="BD24" t="e">
        <f>BE23*'Scen Hypothetical vaccine model'!$K24</f>
        <v>#VALUE!</v>
      </c>
      <c r="BE24" s="84" t="e">
        <f t="shared" si="17"/>
        <v>#VALUE!</v>
      </c>
      <c r="BF24" t="e">
        <f>BH23*'Scen Hypothetical vaccine model'!$J24*HelperFunctions!$R18</f>
        <v>#VALUE!</v>
      </c>
      <c r="BG24" t="e">
        <f>BH23*'Scen Hypothetical vaccine model'!$K24</f>
        <v>#VALUE!</v>
      </c>
      <c r="BH24" s="84" t="e">
        <f t="shared" ref="BH24:BH63" si="18">BH23-BF24-BG24</f>
        <v>#VALUE!</v>
      </c>
      <c r="BI24" t="e">
        <f>BK23*'Scen Hypothetical vaccine model'!$J24*HelperFunctions!$R17</f>
        <v>#VALUE!</v>
      </c>
      <c r="BJ24" t="e">
        <f>BK23*'Scen Hypothetical vaccine model'!$K24</f>
        <v>#VALUE!</v>
      </c>
      <c r="BK24" s="84" t="e">
        <f>BK23-BI24-BJ24</f>
        <v>#VALUE!</v>
      </c>
      <c r="BL24" s="93"/>
      <c r="BM24" s="93"/>
      <c r="BN24" s="84">
        <f>Export!$N22*'Scen EffectivelyVax'!$A23*(1-HelperFunctions!$G$17)</f>
        <v>0</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35">
      <c r="B25">
        <v>1</v>
      </c>
      <c r="C25">
        <f>Inputs!I45</f>
        <v>0</v>
      </c>
      <c r="D25" t="e">
        <f>F24*'Scen Hypothetical vaccine model'!J25*HelperFunctions!R$14</f>
        <v>#VALUE!</v>
      </c>
      <c r="E25" t="e">
        <f>F24*'Scen Hypothetical vaccine model'!K25</f>
        <v>#VALUE!</v>
      </c>
      <c r="F25" s="84" t="e">
        <f t="shared" si="0"/>
        <v>#VALUE!</v>
      </c>
      <c r="G25" t="e">
        <f>I24*'Scen Hypothetical vaccine model'!$J25*HelperFunctions!$R$14</f>
        <v>#VALUE!</v>
      </c>
      <c r="H25" t="e">
        <f>I24*'Scen Hypothetical vaccine model'!$K25</f>
        <v>#VALUE!</v>
      </c>
      <c r="I25" s="84" t="e">
        <f t="shared" si="1"/>
        <v>#VALUE!</v>
      </c>
      <c r="J25" t="e">
        <f>L24*'Scen Hypothetical vaccine model'!$J25*HelperFunctions!$R$14</f>
        <v>#VALUE!</v>
      </c>
      <c r="K25" t="e">
        <f>L24*'Scen Hypothetical vaccine model'!$K25</f>
        <v>#VALUE!</v>
      </c>
      <c r="L25" s="84" t="e">
        <f t="shared" si="2"/>
        <v>#VALUE!</v>
      </c>
      <c r="M25" t="e">
        <f>O24*'Scen Hypothetical vaccine model'!$J25*HelperFunctions!$R$14</f>
        <v>#VALUE!</v>
      </c>
      <c r="N25" t="e">
        <f>O24*'Scen Hypothetical vaccine model'!$K25</f>
        <v>#VALUE!</v>
      </c>
      <c r="O25" s="84" t="e">
        <f t="shared" si="3"/>
        <v>#VALUE!</v>
      </c>
      <c r="P25" t="e">
        <f>R24*'Scen Hypothetical vaccine model'!$J25*HelperFunctions!$R$14</f>
        <v>#VALUE!</v>
      </c>
      <c r="Q25" t="e">
        <f>R24*'Scen Hypothetical vaccine model'!$K25</f>
        <v>#VALUE!</v>
      </c>
      <c r="R25" s="84" t="e">
        <f t="shared" si="4"/>
        <v>#VALUE!</v>
      </c>
      <c r="S25" t="e">
        <f>U24*'Scen Hypothetical vaccine model'!$J25*HelperFunctions!$R$14</f>
        <v>#VALUE!</v>
      </c>
      <c r="T25" t="e">
        <f>U24*'Scen Hypothetical vaccine model'!$K25</f>
        <v>#VALUE!</v>
      </c>
      <c r="U25" s="84" t="e">
        <f t="shared" si="5"/>
        <v>#VALUE!</v>
      </c>
      <c r="V25" t="e">
        <f>X24*'Scen Hypothetical vaccine model'!$J25*HelperFunctions!$R$14</f>
        <v>#VALUE!</v>
      </c>
      <c r="W25" t="e">
        <f>X24*'Scen Hypothetical vaccine model'!$K25</f>
        <v>#VALUE!</v>
      </c>
      <c r="X25" s="84" t="e">
        <f t="shared" si="6"/>
        <v>#VALUE!</v>
      </c>
      <c r="Y25" t="e">
        <f>AA24*'Scen Hypothetical vaccine model'!$J25*HelperFunctions!$R$14</f>
        <v>#VALUE!</v>
      </c>
      <c r="Z25" t="e">
        <f>AA24*'Scen Hypothetical vaccine model'!$K25</f>
        <v>#VALUE!</v>
      </c>
      <c r="AA25" s="84" t="e">
        <f t="shared" si="7"/>
        <v>#VALUE!</v>
      </c>
      <c r="AB25" t="e">
        <f>AD24*'Scen Hypothetical vaccine model'!$J25*HelperFunctions!$R$14</f>
        <v>#VALUE!</v>
      </c>
      <c r="AC25" t="e">
        <f>AD24*'Scen Hypothetical vaccine model'!$K25</f>
        <v>#VALUE!</v>
      </c>
      <c r="AD25" s="84" t="e">
        <f t="shared" si="8"/>
        <v>#VALUE!</v>
      </c>
      <c r="AE25" t="e">
        <f>AG24*'Scen Hypothetical vaccine model'!$J25*HelperFunctions!$R$14</f>
        <v>#VALUE!</v>
      </c>
      <c r="AF25" t="e">
        <f>AG24*'Scen Hypothetical vaccine model'!$K25</f>
        <v>#VALUE!</v>
      </c>
      <c r="AG25" s="84" t="e">
        <f t="shared" si="9"/>
        <v>#VALUE!</v>
      </c>
      <c r="AH25" t="e">
        <f>AJ24*'Scen Hypothetical vaccine model'!$J25*HelperFunctions!$R13</f>
        <v>#VALUE!</v>
      </c>
      <c r="AI25" t="e">
        <f>AJ24*'Scen Hypothetical vaccine model'!$K25</f>
        <v>#VALUE!</v>
      </c>
      <c r="AJ25" s="84" t="e">
        <f t="shared" si="10"/>
        <v>#VALUE!</v>
      </c>
      <c r="AK25" t="e">
        <f>AM24*'Scen Hypothetical vaccine model'!$J25*HelperFunctions!$R12</f>
        <v>#VALUE!</v>
      </c>
      <c r="AL25" t="e">
        <f>AM24*'Scen Hypothetical vaccine model'!$K25</f>
        <v>#VALUE!</v>
      </c>
      <c r="AM25" s="84" t="e">
        <f t="shared" si="11"/>
        <v>#VALUE!</v>
      </c>
      <c r="AN25" t="e">
        <f>AP24*'Scen Hypothetical vaccine model'!$J25*HelperFunctions!$R25</f>
        <v>#VALUE!</v>
      </c>
      <c r="AO25" t="e">
        <f>AP24*'Scen Hypothetical vaccine model'!$K25</f>
        <v>#VALUE!</v>
      </c>
      <c r="AP25" s="84" t="e">
        <f t="shared" si="12"/>
        <v>#VALUE!</v>
      </c>
      <c r="AQ25" t="e">
        <f>AS24*'Scen Hypothetical vaccine model'!$J25*HelperFunctions!$R24</f>
        <v>#VALUE!</v>
      </c>
      <c r="AR25" t="e">
        <f>AS24*'Scen Hypothetical vaccine model'!$K25</f>
        <v>#VALUE!</v>
      </c>
      <c r="AS25" s="84" t="e">
        <f t="shared" si="13"/>
        <v>#VALUE!</v>
      </c>
      <c r="AT25" t="e">
        <f>AV24*'Scen Hypothetical vaccine model'!$J25*HelperFunctions!$R23</f>
        <v>#VALUE!</v>
      </c>
      <c r="AU25" t="e">
        <f>AV24*'Scen Hypothetical vaccine model'!$K25</f>
        <v>#VALUE!</v>
      </c>
      <c r="AV25" s="84" t="e">
        <f t="shared" si="14"/>
        <v>#VALUE!</v>
      </c>
      <c r="AW25" t="e">
        <f>AY24*'Scen Hypothetical vaccine model'!$J25*HelperFunctions!$R22</f>
        <v>#VALUE!</v>
      </c>
      <c r="AX25" t="e">
        <f>AY24*'Scen Hypothetical vaccine model'!$K25</f>
        <v>#VALUE!</v>
      </c>
      <c r="AY25" s="84" t="e">
        <f t="shared" si="15"/>
        <v>#VALUE!</v>
      </c>
      <c r="AZ25" t="e">
        <f>BB24*'Scen Hypothetical vaccine model'!$J25*HelperFunctions!$R21</f>
        <v>#VALUE!</v>
      </c>
      <c r="BA25" t="e">
        <f>BB24*'Scen Hypothetical vaccine model'!$K25</f>
        <v>#VALUE!</v>
      </c>
      <c r="BB25" s="84" t="e">
        <f t="shared" si="16"/>
        <v>#VALUE!</v>
      </c>
      <c r="BC25" t="e">
        <f>BE24*'Scen Hypothetical vaccine model'!$J25*HelperFunctions!$R20</f>
        <v>#VALUE!</v>
      </c>
      <c r="BD25" t="e">
        <f>BE24*'Scen Hypothetical vaccine model'!$K25</f>
        <v>#VALUE!</v>
      </c>
      <c r="BE25" s="84" t="e">
        <f t="shared" si="17"/>
        <v>#VALUE!</v>
      </c>
      <c r="BF25" t="e">
        <f>BH24*'Scen Hypothetical vaccine model'!$J25*HelperFunctions!$R19</f>
        <v>#VALUE!</v>
      </c>
      <c r="BG25" t="e">
        <f>BH24*'Scen Hypothetical vaccine model'!$K25</f>
        <v>#VALUE!</v>
      </c>
      <c r="BH25" s="84" t="e">
        <f t="shared" si="18"/>
        <v>#VALUE!</v>
      </c>
      <c r="BI25" t="e">
        <f>BK24*'Scen Hypothetical vaccine model'!$J25*HelperFunctions!$R18</f>
        <v>#VALUE!</v>
      </c>
      <c r="BJ25" t="e">
        <f>BK24*'Scen Hypothetical vaccine model'!$K25</f>
        <v>#VALUE!</v>
      </c>
      <c r="BK25" s="84" t="e">
        <f t="shared" ref="BK25:BK63" si="19">BK24-BI25-BJ25</f>
        <v>#VALUE!</v>
      </c>
      <c r="BL25" t="e">
        <f>BN24*'Scen Hypothetical vaccine model'!$J25*HelperFunctions!$R17</f>
        <v>#VALUE!</v>
      </c>
      <c r="BM25" t="e">
        <f>BN24*'Scen Hypothetical vaccine model'!$K25</f>
        <v>#VALUE!</v>
      </c>
      <c r="BN25" s="84" t="e">
        <f>BN24-BL25-BM25</f>
        <v>#VALUE!</v>
      </c>
      <c r="BO25" s="93"/>
      <c r="BP25" s="93"/>
      <c r="BQ25" s="84">
        <f>Export!$N23*'Scen EffectivelyVax'!$A24*(1-HelperFunctions!$G$17)</f>
        <v>0</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35">
      <c r="B26">
        <v>1</v>
      </c>
      <c r="C26">
        <f>Inputs!I46</f>
        <v>0</v>
      </c>
      <c r="D26" t="e">
        <f>F25*'Scen Hypothetical vaccine model'!J26*HelperFunctions!R$14</f>
        <v>#VALUE!</v>
      </c>
      <c r="E26" t="e">
        <f>F25*'Scen Hypothetical vaccine model'!K26</f>
        <v>#VALUE!</v>
      </c>
      <c r="F26" s="84" t="e">
        <f t="shared" si="0"/>
        <v>#VALUE!</v>
      </c>
      <c r="G26" t="e">
        <f>I25*'Scen Hypothetical vaccine model'!$J26*HelperFunctions!$R$14</f>
        <v>#VALUE!</v>
      </c>
      <c r="H26" t="e">
        <f>I25*'Scen Hypothetical vaccine model'!$K26</f>
        <v>#VALUE!</v>
      </c>
      <c r="I26" s="84" t="e">
        <f t="shared" si="1"/>
        <v>#VALUE!</v>
      </c>
      <c r="J26" t="e">
        <f>L25*'Scen Hypothetical vaccine model'!$J26*HelperFunctions!$R$14</f>
        <v>#VALUE!</v>
      </c>
      <c r="K26" t="e">
        <f>L25*'Scen Hypothetical vaccine model'!$K26</f>
        <v>#VALUE!</v>
      </c>
      <c r="L26" s="84" t="e">
        <f t="shared" si="2"/>
        <v>#VALUE!</v>
      </c>
      <c r="M26" t="e">
        <f>O25*'Scen Hypothetical vaccine model'!$J26*HelperFunctions!$R$14</f>
        <v>#VALUE!</v>
      </c>
      <c r="N26" t="e">
        <f>O25*'Scen Hypothetical vaccine model'!$K26</f>
        <v>#VALUE!</v>
      </c>
      <c r="O26" s="84" t="e">
        <f t="shared" si="3"/>
        <v>#VALUE!</v>
      </c>
      <c r="P26" t="e">
        <f>R25*'Scen Hypothetical vaccine model'!$J26*HelperFunctions!$R$14</f>
        <v>#VALUE!</v>
      </c>
      <c r="Q26" t="e">
        <f>R25*'Scen Hypothetical vaccine model'!$K26</f>
        <v>#VALUE!</v>
      </c>
      <c r="R26" s="84" t="e">
        <f t="shared" si="4"/>
        <v>#VALUE!</v>
      </c>
      <c r="S26" t="e">
        <f>U25*'Scen Hypothetical vaccine model'!$J26*HelperFunctions!$R$14</f>
        <v>#VALUE!</v>
      </c>
      <c r="T26" t="e">
        <f>U25*'Scen Hypothetical vaccine model'!$K26</f>
        <v>#VALUE!</v>
      </c>
      <c r="U26" s="84" t="e">
        <f t="shared" si="5"/>
        <v>#VALUE!</v>
      </c>
      <c r="V26" t="e">
        <f>X25*'Scen Hypothetical vaccine model'!$J26*HelperFunctions!$R$14</f>
        <v>#VALUE!</v>
      </c>
      <c r="W26" t="e">
        <f>X25*'Scen Hypothetical vaccine model'!$K26</f>
        <v>#VALUE!</v>
      </c>
      <c r="X26" s="84" t="e">
        <f t="shared" si="6"/>
        <v>#VALUE!</v>
      </c>
      <c r="Y26" t="e">
        <f>AA25*'Scen Hypothetical vaccine model'!$J26*HelperFunctions!$R$14</f>
        <v>#VALUE!</v>
      </c>
      <c r="Z26" t="e">
        <f>AA25*'Scen Hypothetical vaccine model'!$K26</f>
        <v>#VALUE!</v>
      </c>
      <c r="AA26" s="84" t="e">
        <f t="shared" si="7"/>
        <v>#VALUE!</v>
      </c>
      <c r="AB26" t="e">
        <f>AD25*'Scen Hypothetical vaccine model'!$J26*HelperFunctions!$R$14</f>
        <v>#VALUE!</v>
      </c>
      <c r="AC26" t="e">
        <f>AD25*'Scen Hypothetical vaccine model'!$K26</f>
        <v>#VALUE!</v>
      </c>
      <c r="AD26" s="84" t="e">
        <f t="shared" si="8"/>
        <v>#VALUE!</v>
      </c>
      <c r="AE26" t="e">
        <f>AG25*'Scen Hypothetical vaccine model'!$J26*HelperFunctions!$R$14</f>
        <v>#VALUE!</v>
      </c>
      <c r="AF26" t="e">
        <f>AG25*'Scen Hypothetical vaccine model'!$K26</f>
        <v>#VALUE!</v>
      </c>
      <c r="AG26" s="84" t="e">
        <f t="shared" si="9"/>
        <v>#VALUE!</v>
      </c>
      <c r="AH26" t="e">
        <f>AJ25*'Scen Hypothetical vaccine model'!$J26*HelperFunctions!$R$14</f>
        <v>#VALUE!</v>
      </c>
      <c r="AI26" t="e">
        <f>AJ25*'Scen Hypothetical vaccine model'!$K26</f>
        <v>#VALUE!</v>
      </c>
      <c r="AJ26" s="84" t="e">
        <f t="shared" si="10"/>
        <v>#VALUE!</v>
      </c>
      <c r="AK26" t="e">
        <f>AM25*'Scen Hypothetical vaccine model'!$J26*HelperFunctions!$R13</f>
        <v>#VALUE!</v>
      </c>
      <c r="AL26" t="e">
        <f>AM25*'Scen Hypothetical vaccine model'!$K26</f>
        <v>#VALUE!</v>
      </c>
      <c r="AM26" s="84" t="e">
        <f t="shared" si="11"/>
        <v>#VALUE!</v>
      </c>
      <c r="AN26" t="e">
        <f>AP25*'Scen Hypothetical vaccine model'!$J26*HelperFunctions!$R26</f>
        <v>#VALUE!</v>
      </c>
      <c r="AO26" t="e">
        <f>AP25*'Scen Hypothetical vaccine model'!$K26</f>
        <v>#VALUE!</v>
      </c>
      <c r="AP26" s="84" t="e">
        <f t="shared" si="12"/>
        <v>#VALUE!</v>
      </c>
      <c r="AQ26" t="e">
        <f>AS25*'Scen Hypothetical vaccine model'!$J26*HelperFunctions!$R25</f>
        <v>#VALUE!</v>
      </c>
      <c r="AR26" t="e">
        <f>AS25*'Scen Hypothetical vaccine model'!$K26</f>
        <v>#VALUE!</v>
      </c>
      <c r="AS26" s="84" t="e">
        <f t="shared" si="13"/>
        <v>#VALUE!</v>
      </c>
      <c r="AT26" t="e">
        <f>AV25*'Scen Hypothetical vaccine model'!$J26*HelperFunctions!$R24</f>
        <v>#VALUE!</v>
      </c>
      <c r="AU26" t="e">
        <f>AV25*'Scen Hypothetical vaccine model'!$K26</f>
        <v>#VALUE!</v>
      </c>
      <c r="AV26" s="84" t="e">
        <f t="shared" si="14"/>
        <v>#VALUE!</v>
      </c>
      <c r="AW26" t="e">
        <f>AY25*'Scen Hypothetical vaccine model'!$J26*HelperFunctions!$R23</f>
        <v>#VALUE!</v>
      </c>
      <c r="AX26" t="e">
        <f>AY25*'Scen Hypothetical vaccine model'!$K26</f>
        <v>#VALUE!</v>
      </c>
      <c r="AY26" s="84" t="e">
        <f t="shared" si="15"/>
        <v>#VALUE!</v>
      </c>
      <c r="AZ26" t="e">
        <f>BB25*'Scen Hypothetical vaccine model'!$J26*HelperFunctions!$R22</f>
        <v>#VALUE!</v>
      </c>
      <c r="BA26" t="e">
        <f>BB25*'Scen Hypothetical vaccine model'!$K26</f>
        <v>#VALUE!</v>
      </c>
      <c r="BB26" s="84" t="e">
        <f t="shared" si="16"/>
        <v>#VALUE!</v>
      </c>
      <c r="BC26" t="e">
        <f>BE25*'Scen Hypothetical vaccine model'!$J26*HelperFunctions!$R21</f>
        <v>#VALUE!</v>
      </c>
      <c r="BD26" t="e">
        <f>BE25*'Scen Hypothetical vaccine model'!$K26</f>
        <v>#VALUE!</v>
      </c>
      <c r="BE26" s="84" t="e">
        <f t="shared" si="17"/>
        <v>#VALUE!</v>
      </c>
      <c r="BF26" t="e">
        <f>BH25*'Scen Hypothetical vaccine model'!$J26*HelperFunctions!$R20</f>
        <v>#VALUE!</v>
      </c>
      <c r="BG26" t="e">
        <f>BH25*'Scen Hypothetical vaccine model'!$K26</f>
        <v>#VALUE!</v>
      </c>
      <c r="BH26" s="84" t="e">
        <f t="shared" si="18"/>
        <v>#VALUE!</v>
      </c>
      <c r="BI26" t="e">
        <f>BK25*'Scen Hypothetical vaccine model'!$J26*HelperFunctions!$R19</f>
        <v>#VALUE!</v>
      </c>
      <c r="BJ26" t="e">
        <f>BK25*'Scen Hypothetical vaccine model'!$K26</f>
        <v>#VALUE!</v>
      </c>
      <c r="BK26" s="84" t="e">
        <f t="shared" si="19"/>
        <v>#VALUE!</v>
      </c>
      <c r="BL26" t="e">
        <f>BN25*'Scen Hypothetical vaccine model'!$J26*HelperFunctions!$R18</f>
        <v>#VALUE!</v>
      </c>
      <c r="BM26" t="e">
        <f>BN25*'Scen Hypothetical vaccine model'!$K26</f>
        <v>#VALUE!</v>
      </c>
      <c r="BN26" s="84" t="e">
        <f t="shared" ref="BN26:BN63" si="20">BN25-BL26-BM26</f>
        <v>#VALUE!</v>
      </c>
      <c r="BO26" t="e">
        <f>BQ25*'Scen Hypothetical vaccine model'!$J26*HelperFunctions!$R17</f>
        <v>#VALUE!</v>
      </c>
      <c r="BP26" t="e">
        <f>BQ25*'Scen Hypothetical vaccine model'!$K26</f>
        <v>#VALUE!</v>
      </c>
      <c r="BQ26" s="84" t="e">
        <f>BQ25-BO26-BP26</f>
        <v>#VALUE!</v>
      </c>
      <c r="BR26" s="93"/>
      <c r="BS26" s="93"/>
      <c r="BT26" s="84">
        <f>Export!$N24*'Scen EffectivelyVax'!$A25*(1-HelperFunctions!$G$17)</f>
        <v>0</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35">
      <c r="B27">
        <v>1</v>
      </c>
      <c r="C27">
        <f>Inputs!I47</f>
        <v>0</v>
      </c>
      <c r="D27" t="e">
        <f>F26*'Scen Hypothetical vaccine model'!J27*HelperFunctions!R$14</f>
        <v>#VALUE!</v>
      </c>
      <c r="E27" t="e">
        <f>F26*'Scen Hypothetical vaccine model'!K27</f>
        <v>#VALUE!</v>
      </c>
      <c r="F27" s="84" t="e">
        <f t="shared" si="0"/>
        <v>#VALUE!</v>
      </c>
      <c r="G27" t="e">
        <f>I26*'Scen Hypothetical vaccine model'!$J27*HelperFunctions!$R$14</f>
        <v>#VALUE!</v>
      </c>
      <c r="H27" t="e">
        <f>I26*'Scen Hypothetical vaccine model'!$K27</f>
        <v>#VALUE!</v>
      </c>
      <c r="I27" s="84" t="e">
        <f t="shared" si="1"/>
        <v>#VALUE!</v>
      </c>
      <c r="J27" t="e">
        <f>L26*'Scen Hypothetical vaccine model'!$J27*HelperFunctions!$R$14</f>
        <v>#VALUE!</v>
      </c>
      <c r="K27" t="e">
        <f>L26*'Scen Hypothetical vaccine model'!$K27</f>
        <v>#VALUE!</v>
      </c>
      <c r="L27" s="84" t="e">
        <f t="shared" si="2"/>
        <v>#VALUE!</v>
      </c>
      <c r="M27" t="e">
        <f>O26*'Scen Hypothetical vaccine model'!$J27*HelperFunctions!$R$14</f>
        <v>#VALUE!</v>
      </c>
      <c r="N27" t="e">
        <f>O26*'Scen Hypothetical vaccine model'!$K27</f>
        <v>#VALUE!</v>
      </c>
      <c r="O27" s="84" t="e">
        <f t="shared" si="3"/>
        <v>#VALUE!</v>
      </c>
      <c r="P27" t="e">
        <f>R26*'Scen Hypothetical vaccine model'!$J27*HelperFunctions!$R$14</f>
        <v>#VALUE!</v>
      </c>
      <c r="Q27" t="e">
        <f>R26*'Scen Hypothetical vaccine model'!$K27</f>
        <v>#VALUE!</v>
      </c>
      <c r="R27" s="84" t="e">
        <f t="shared" si="4"/>
        <v>#VALUE!</v>
      </c>
      <c r="S27" t="e">
        <f>U26*'Scen Hypothetical vaccine model'!$J27*HelperFunctions!$R$14</f>
        <v>#VALUE!</v>
      </c>
      <c r="T27" t="e">
        <f>U26*'Scen Hypothetical vaccine model'!$K27</f>
        <v>#VALUE!</v>
      </c>
      <c r="U27" s="84" t="e">
        <f t="shared" si="5"/>
        <v>#VALUE!</v>
      </c>
      <c r="V27" t="e">
        <f>X26*'Scen Hypothetical vaccine model'!$J27*HelperFunctions!$R$14</f>
        <v>#VALUE!</v>
      </c>
      <c r="W27" t="e">
        <f>X26*'Scen Hypothetical vaccine model'!$K27</f>
        <v>#VALUE!</v>
      </c>
      <c r="X27" s="84" t="e">
        <f t="shared" si="6"/>
        <v>#VALUE!</v>
      </c>
      <c r="Y27" t="e">
        <f>AA26*'Scen Hypothetical vaccine model'!$J27*HelperFunctions!$R$14</f>
        <v>#VALUE!</v>
      </c>
      <c r="Z27" t="e">
        <f>AA26*'Scen Hypothetical vaccine model'!$K27</f>
        <v>#VALUE!</v>
      </c>
      <c r="AA27" s="84" t="e">
        <f t="shared" si="7"/>
        <v>#VALUE!</v>
      </c>
      <c r="AB27" t="e">
        <f>AD26*'Scen Hypothetical vaccine model'!$J27*HelperFunctions!$R$14</f>
        <v>#VALUE!</v>
      </c>
      <c r="AC27" t="e">
        <f>AD26*'Scen Hypothetical vaccine model'!$K27</f>
        <v>#VALUE!</v>
      </c>
      <c r="AD27" s="84" t="e">
        <f t="shared" si="8"/>
        <v>#VALUE!</v>
      </c>
      <c r="AE27" t="e">
        <f>AG26*'Scen Hypothetical vaccine model'!$J27*HelperFunctions!$R$14</f>
        <v>#VALUE!</v>
      </c>
      <c r="AF27" t="e">
        <f>AG26*'Scen Hypothetical vaccine model'!$K27</f>
        <v>#VALUE!</v>
      </c>
      <c r="AG27" s="84" t="e">
        <f t="shared" si="9"/>
        <v>#VALUE!</v>
      </c>
      <c r="AH27" t="e">
        <f>AJ26*'Scen Hypothetical vaccine model'!$J27*HelperFunctions!$R$14</f>
        <v>#VALUE!</v>
      </c>
      <c r="AI27" t="e">
        <f>AJ26*'Scen Hypothetical vaccine model'!$K27</f>
        <v>#VALUE!</v>
      </c>
      <c r="AJ27" s="84" t="e">
        <f t="shared" si="10"/>
        <v>#VALUE!</v>
      </c>
      <c r="AK27" t="e">
        <f>AM26*'Scen Hypothetical vaccine model'!$J27*HelperFunctions!$R$14</f>
        <v>#VALUE!</v>
      </c>
      <c r="AL27" t="e">
        <f>AM26*'Scen Hypothetical vaccine model'!$K27</f>
        <v>#VALUE!</v>
      </c>
      <c r="AM27" s="84" t="e">
        <f t="shared" si="11"/>
        <v>#VALUE!</v>
      </c>
      <c r="AN27" t="e">
        <f>AP26*'Scen Hypothetical vaccine model'!$J27*HelperFunctions!$R27</f>
        <v>#VALUE!</v>
      </c>
      <c r="AO27" t="e">
        <f>AP26*'Scen Hypothetical vaccine model'!$K27</f>
        <v>#VALUE!</v>
      </c>
      <c r="AP27" s="84" t="e">
        <f t="shared" si="12"/>
        <v>#VALUE!</v>
      </c>
      <c r="AQ27" t="e">
        <f>AS26*'Scen Hypothetical vaccine model'!$J27*HelperFunctions!$R26</f>
        <v>#VALUE!</v>
      </c>
      <c r="AR27" t="e">
        <f>AS26*'Scen Hypothetical vaccine model'!$K27</f>
        <v>#VALUE!</v>
      </c>
      <c r="AS27" s="84" t="e">
        <f t="shared" si="13"/>
        <v>#VALUE!</v>
      </c>
      <c r="AT27" t="e">
        <f>AV26*'Scen Hypothetical vaccine model'!$J27*HelperFunctions!$R25</f>
        <v>#VALUE!</v>
      </c>
      <c r="AU27" t="e">
        <f>AV26*'Scen Hypothetical vaccine model'!$K27</f>
        <v>#VALUE!</v>
      </c>
      <c r="AV27" s="84" t="e">
        <f t="shared" si="14"/>
        <v>#VALUE!</v>
      </c>
      <c r="AW27" t="e">
        <f>AY26*'Scen Hypothetical vaccine model'!$J27*HelperFunctions!$R24</f>
        <v>#VALUE!</v>
      </c>
      <c r="AX27" t="e">
        <f>AY26*'Scen Hypothetical vaccine model'!$K27</f>
        <v>#VALUE!</v>
      </c>
      <c r="AY27" s="84" t="e">
        <f t="shared" si="15"/>
        <v>#VALUE!</v>
      </c>
      <c r="AZ27" t="e">
        <f>BB26*'Scen Hypothetical vaccine model'!$J27*HelperFunctions!$R23</f>
        <v>#VALUE!</v>
      </c>
      <c r="BA27" t="e">
        <f>BB26*'Scen Hypothetical vaccine model'!$K27</f>
        <v>#VALUE!</v>
      </c>
      <c r="BB27" s="84" t="e">
        <f t="shared" si="16"/>
        <v>#VALUE!</v>
      </c>
      <c r="BC27" t="e">
        <f>BE26*'Scen Hypothetical vaccine model'!$J27*HelperFunctions!$R22</f>
        <v>#VALUE!</v>
      </c>
      <c r="BD27" t="e">
        <f>BE26*'Scen Hypothetical vaccine model'!$K27</f>
        <v>#VALUE!</v>
      </c>
      <c r="BE27" s="84" t="e">
        <f t="shared" si="17"/>
        <v>#VALUE!</v>
      </c>
      <c r="BF27" t="e">
        <f>BH26*'Scen Hypothetical vaccine model'!$J27*HelperFunctions!$R21</f>
        <v>#VALUE!</v>
      </c>
      <c r="BG27" t="e">
        <f>BH26*'Scen Hypothetical vaccine model'!$K27</f>
        <v>#VALUE!</v>
      </c>
      <c r="BH27" s="84" t="e">
        <f t="shared" si="18"/>
        <v>#VALUE!</v>
      </c>
      <c r="BI27" t="e">
        <f>BK26*'Scen Hypothetical vaccine model'!$J27*HelperFunctions!$R20</f>
        <v>#VALUE!</v>
      </c>
      <c r="BJ27" t="e">
        <f>BK26*'Scen Hypothetical vaccine model'!$K27</f>
        <v>#VALUE!</v>
      </c>
      <c r="BK27" s="84" t="e">
        <f t="shared" si="19"/>
        <v>#VALUE!</v>
      </c>
      <c r="BL27" t="e">
        <f>BN26*'Scen Hypothetical vaccine model'!$J27*HelperFunctions!$R19</f>
        <v>#VALUE!</v>
      </c>
      <c r="BM27" t="e">
        <f>BN26*'Scen Hypothetical vaccine model'!$K27</f>
        <v>#VALUE!</v>
      </c>
      <c r="BN27" s="84" t="e">
        <f t="shared" si="20"/>
        <v>#VALUE!</v>
      </c>
      <c r="BO27" t="e">
        <f>BQ26*'Scen Hypothetical vaccine model'!$J27*HelperFunctions!$R18</f>
        <v>#VALUE!</v>
      </c>
      <c r="BP27" t="e">
        <f>BQ26*'Scen Hypothetical vaccine model'!$K27</f>
        <v>#VALUE!</v>
      </c>
      <c r="BQ27" s="84" t="e">
        <f t="shared" ref="BQ27:BQ63" si="21">BQ26-BO27-BP27</f>
        <v>#VALUE!</v>
      </c>
      <c r="BR27" t="e">
        <f>BT26*'Scen Hypothetical vaccine model'!$J27*HelperFunctions!$R17</f>
        <v>#VALUE!</v>
      </c>
      <c r="BS27" t="e">
        <f>BT26*'Scen Hypothetical vaccine model'!$K27</f>
        <v>#VALUE!</v>
      </c>
      <c r="BT27" s="84" t="e">
        <f>BT26-BR27-BS27</f>
        <v>#VALUE!</v>
      </c>
      <c r="BU27" s="93"/>
      <c r="BV27" s="93"/>
      <c r="BW27" s="84">
        <f>Export!$N25*'Scen EffectivelyVax'!$A26*(1-HelperFunctions!$G$17)</f>
        <v>0</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35">
      <c r="B28">
        <v>2</v>
      </c>
      <c r="C28" t="str">
        <f>Inputs!I48</f>
        <v/>
      </c>
      <c r="D28" t="e">
        <f>F27*'Scen Hypothetical vaccine model'!J28*HelperFunctions!R$14</f>
        <v>#VALUE!</v>
      </c>
      <c r="E28" t="e">
        <f>F27*'Scen Hypothetical vaccine model'!K28</f>
        <v>#VALUE!</v>
      </c>
      <c r="F28" s="84" t="e">
        <f t="shared" si="0"/>
        <v>#VALUE!</v>
      </c>
      <c r="G28" t="e">
        <f>I27*'Scen Hypothetical vaccine model'!$J28*HelperFunctions!$R$14</f>
        <v>#VALUE!</v>
      </c>
      <c r="H28" t="e">
        <f>I27*'Scen Hypothetical vaccine model'!$K28</f>
        <v>#VALUE!</v>
      </c>
      <c r="I28" s="84" t="e">
        <f t="shared" si="1"/>
        <v>#VALUE!</v>
      </c>
      <c r="J28" t="e">
        <f>L27*'Scen Hypothetical vaccine model'!$J28*HelperFunctions!$R$14</f>
        <v>#VALUE!</v>
      </c>
      <c r="K28" t="e">
        <f>L27*'Scen Hypothetical vaccine model'!$K28</f>
        <v>#VALUE!</v>
      </c>
      <c r="L28" s="84" t="e">
        <f t="shared" si="2"/>
        <v>#VALUE!</v>
      </c>
      <c r="M28" t="e">
        <f>O27*'Scen Hypothetical vaccine model'!$J28*HelperFunctions!$R$14</f>
        <v>#VALUE!</v>
      </c>
      <c r="N28" t="e">
        <f>O27*'Scen Hypothetical vaccine model'!$K28</f>
        <v>#VALUE!</v>
      </c>
      <c r="O28" s="84" t="e">
        <f t="shared" si="3"/>
        <v>#VALUE!</v>
      </c>
      <c r="P28" t="e">
        <f>R27*'Scen Hypothetical vaccine model'!$J28*HelperFunctions!$R$14</f>
        <v>#VALUE!</v>
      </c>
      <c r="Q28" t="e">
        <f>R27*'Scen Hypothetical vaccine model'!$K28</f>
        <v>#VALUE!</v>
      </c>
      <c r="R28" s="84" t="e">
        <f t="shared" si="4"/>
        <v>#VALUE!</v>
      </c>
      <c r="S28" t="e">
        <f>U27*'Scen Hypothetical vaccine model'!$J28*HelperFunctions!$R$14</f>
        <v>#VALUE!</v>
      </c>
      <c r="T28" t="e">
        <f>U27*'Scen Hypothetical vaccine model'!$K28</f>
        <v>#VALUE!</v>
      </c>
      <c r="U28" s="84" t="e">
        <f t="shared" si="5"/>
        <v>#VALUE!</v>
      </c>
      <c r="V28" t="e">
        <f>X27*'Scen Hypothetical vaccine model'!$J28*HelperFunctions!$R$14</f>
        <v>#VALUE!</v>
      </c>
      <c r="W28" t="e">
        <f>X27*'Scen Hypothetical vaccine model'!$K28</f>
        <v>#VALUE!</v>
      </c>
      <c r="X28" s="84" t="e">
        <f t="shared" si="6"/>
        <v>#VALUE!</v>
      </c>
      <c r="Y28" t="e">
        <f>AA27*'Scen Hypothetical vaccine model'!$J28*HelperFunctions!$R$14</f>
        <v>#VALUE!</v>
      </c>
      <c r="Z28" t="e">
        <f>AA27*'Scen Hypothetical vaccine model'!$K28</f>
        <v>#VALUE!</v>
      </c>
      <c r="AA28" s="84" t="e">
        <f t="shared" si="7"/>
        <v>#VALUE!</v>
      </c>
      <c r="AB28" t="e">
        <f>AD27*'Scen Hypothetical vaccine model'!$J28*HelperFunctions!$R$14</f>
        <v>#VALUE!</v>
      </c>
      <c r="AC28" t="e">
        <f>AD27*'Scen Hypothetical vaccine model'!$K28</f>
        <v>#VALUE!</v>
      </c>
      <c r="AD28" s="84" t="e">
        <f t="shared" si="8"/>
        <v>#VALUE!</v>
      </c>
      <c r="AE28" t="e">
        <f>AG27*'Scen Hypothetical vaccine model'!$J28*HelperFunctions!$R$14</f>
        <v>#VALUE!</v>
      </c>
      <c r="AF28" t="e">
        <f>AG27*'Scen Hypothetical vaccine model'!$K28</f>
        <v>#VALUE!</v>
      </c>
      <c r="AG28" s="84" t="e">
        <f t="shared" si="9"/>
        <v>#VALUE!</v>
      </c>
      <c r="AH28" t="e">
        <f>AJ27*'Scen Hypothetical vaccine model'!$J28*HelperFunctions!$R$14</f>
        <v>#VALUE!</v>
      </c>
      <c r="AI28" t="e">
        <f>AJ27*'Scen Hypothetical vaccine model'!$K28</f>
        <v>#VALUE!</v>
      </c>
      <c r="AJ28" s="84" t="e">
        <f t="shared" si="10"/>
        <v>#VALUE!</v>
      </c>
      <c r="AK28" t="e">
        <f>AM27*'Scen Hypothetical vaccine model'!$J28*HelperFunctions!$R$14</f>
        <v>#VALUE!</v>
      </c>
      <c r="AL28" t="e">
        <f>AM27*'Scen Hypothetical vaccine model'!$K28</f>
        <v>#VALUE!</v>
      </c>
      <c r="AM28" s="84" t="e">
        <f t="shared" si="11"/>
        <v>#VALUE!</v>
      </c>
      <c r="AN28" t="e">
        <f>AP27*'Scen Hypothetical vaccine model'!$J28*HelperFunctions!$R$28</f>
        <v>#VALUE!</v>
      </c>
      <c r="AO28" t="e">
        <f>AP27*'Scen Hypothetical vaccine model'!$K28</f>
        <v>#VALUE!</v>
      </c>
      <c r="AP28" s="84" t="e">
        <f t="shared" si="12"/>
        <v>#VALUE!</v>
      </c>
      <c r="AQ28" t="e">
        <f>AS27*'Scen Hypothetical vaccine model'!$J28*HelperFunctions!$R27</f>
        <v>#VALUE!</v>
      </c>
      <c r="AR28" t="e">
        <f>AS27*'Scen Hypothetical vaccine model'!$K28</f>
        <v>#VALUE!</v>
      </c>
      <c r="AS28" s="84" t="e">
        <f t="shared" si="13"/>
        <v>#VALUE!</v>
      </c>
      <c r="AT28" t="e">
        <f>AV27*'Scen Hypothetical vaccine model'!$J28*HelperFunctions!$R26</f>
        <v>#VALUE!</v>
      </c>
      <c r="AU28" t="e">
        <f>AV27*'Scen Hypothetical vaccine model'!$K28</f>
        <v>#VALUE!</v>
      </c>
      <c r="AV28" s="84" t="e">
        <f t="shared" si="14"/>
        <v>#VALUE!</v>
      </c>
      <c r="AW28" t="e">
        <f>AY27*'Scen Hypothetical vaccine model'!$J28*HelperFunctions!$R25</f>
        <v>#VALUE!</v>
      </c>
      <c r="AX28" t="e">
        <f>AY27*'Scen Hypothetical vaccine model'!$K28</f>
        <v>#VALUE!</v>
      </c>
      <c r="AY28" s="84" t="e">
        <f t="shared" si="15"/>
        <v>#VALUE!</v>
      </c>
      <c r="AZ28" t="e">
        <f>BB27*'Scen Hypothetical vaccine model'!$J28*HelperFunctions!$R24</f>
        <v>#VALUE!</v>
      </c>
      <c r="BA28" t="e">
        <f>BB27*'Scen Hypothetical vaccine model'!$K28</f>
        <v>#VALUE!</v>
      </c>
      <c r="BB28" s="84" t="e">
        <f t="shared" si="16"/>
        <v>#VALUE!</v>
      </c>
      <c r="BC28" t="e">
        <f>BE27*'Scen Hypothetical vaccine model'!$J28*HelperFunctions!$R23</f>
        <v>#VALUE!</v>
      </c>
      <c r="BD28" t="e">
        <f>BE27*'Scen Hypothetical vaccine model'!$K28</f>
        <v>#VALUE!</v>
      </c>
      <c r="BE28" s="84" t="e">
        <f t="shared" si="17"/>
        <v>#VALUE!</v>
      </c>
      <c r="BF28" t="e">
        <f>BH27*'Scen Hypothetical vaccine model'!$J28*HelperFunctions!$R22</f>
        <v>#VALUE!</v>
      </c>
      <c r="BG28" t="e">
        <f>BH27*'Scen Hypothetical vaccine model'!$K28</f>
        <v>#VALUE!</v>
      </c>
      <c r="BH28" s="84" t="e">
        <f t="shared" si="18"/>
        <v>#VALUE!</v>
      </c>
      <c r="BI28" t="e">
        <f>BK27*'Scen Hypothetical vaccine model'!$J28*HelperFunctions!$R21</f>
        <v>#VALUE!</v>
      </c>
      <c r="BJ28" t="e">
        <f>BK27*'Scen Hypothetical vaccine model'!$K28</f>
        <v>#VALUE!</v>
      </c>
      <c r="BK28" s="84" t="e">
        <f t="shared" si="19"/>
        <v>#VALUE!</v>
      </c>
      <c r="BL28" t="e">
        <f>BN27*'Scen Hypothetical vaccine model'!$J28*HelperFunctions!$R20</f>
        <v>#VALUE!</v>
      </c>
      <c r="BM28" t="e">
        <f>BN27*'Scen Hypothetical vaccine model'!$K28</f>
        <v>#VALUE!</v>
      </c>
      <c r="BN28" s="84" t="e">
        <f t="shared" si="20"/>
        <v>#VALUE!</v>
      </c>
      <c r="BO28" t="e">
        <f>BQ27*'Scen Hypothetical vaccine model'!$J28*HelperFunctions!$R19</f>
        <v>#VALUE!</v>
      </c>
      <c r="BP28" t="e">
        <f>BQ27*'Scen Hypothetical vaccine model'!$K28</f>
        <v>#VALUE!</v>
      </c>
      <c r="BQ28" s="84" t="e">
        <f t="shared" si="21"/>
        <v>#VALUE!</v>
      </c>
      <c r="BR28" t="e">
        <f>BT27*'Scen Hypothetical vaccine model'!$J28*HelperFunctions!$R18</f>
        <v>#VALUE!</v>
      </c>
      <c r="BS28" t="e">
        <f>BT27*'Scen Hypothetical vaccine model'!$K28</f>
        <v>#VALUE!</v>
      </c>
      <c r="BT28" s="84" t="e">
        <f t="shared" ref="BT28:BT63" si="22">BT27-BR28-BS28</f>
        <v>#VALUE!</v>
      </c>
      <c r="BU28" t="e">
        <f>BW27*'Scen Hypothetical vaccine model'!$J28*HelperFunctions!$R17</f>
        <v>#VALUE!</v>
      </c>
      <c r="BV28" t="e">
        <f>BW27*'Scen Hypothetical vaccine model'!$K28</f>
        <v>#VALUE!</v>
      </c>
      <c r="BW28" s="84" t="e">
        <f>BW27-BU28-BV28</f>
        <v>#VALUE!</v>
      </c>
      <c r="BX28" s="93"/>
      <c r="BY28" s="93"/>
      <c r="BZ28" s="84" t="e">
        <f>Export!$N26*'Scen EffectivelyVax'!$A27*(1-HelperFunctions!$G$31)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35">
      <c r="B29">
        <v>2</v>
      </c>
      <c r="C29" t="str">
        <f>Inputs!I49</f>
        <v/>
      </c>
      <c r="D29" t="e">
        <f>F28*'Scen Hypothetical vaccine model'!J29*HelperFunctions!R$14</f>
        <v>#VALUE!</v>
      </c>
      <c r="E29" t="e">
        <f>F28*'Scen Hypothetical vaccine model'!K29</f>
        <v>#VALUE!</v>
      </c>
      <c r="F29" s="84" t="e">
        <f t="shared" si="0"/>
        <v>#VALUE!</v>
      </c>
      <c r="G29" t="e">
        <f>I28*'Scen Hypothetical vaccine model'!$J29*HelperFunctions!$R$14</f>
        <v>#VALUE!</v>
      </c>
      <c r="H29" t="e">
        <f>I28*'Scen Hypothetical vaccine model'!$K29</f>
        <v>#VALUE!</v>
      </c>
      <c r="I29" s="84" t="e">
        <f t="shared" si="1"/>
        <v>#VALUE!</v>
      </c>
      <c r="J29" t="e">
        <f>L28*'Scen Hypothetical vaccine model'!$J29*HelperFunctions!$R$14</f>
        <v>#VALUE!</v>
      </c>
      <c r="K29" t="e">
        <f>L28*'Scen Hypothetical vaccine model'!$K29</f>
        <v>#VALUE!</v>
      </c>
      <c r="L29" s="84" t="e">
        <f t="shared" si="2"/>
        <v>#VALUE!</v>
      </c>
      <c r="M29" t="e">
        <f>O28*'Scen Hypothetical vaccine model'!$J29*HelperFunctions!$R$14</f>
        <v>#VALUE!</v>
      </c>
      <c r="N29" t="e">
        <f>O28*'Scen Hypothetical vaccine model'!$K29</f>
        <v>#VALUE!</v>
      </c>
      <c r="O29" s="84" t="e">
        <f t="shared" si="3"/>
        <v>#VALUE!</v>
      </c>
      <c r="P29" t="e">
        <f>R28*'Scen Hypothetical vaccine model'!$J29*HelperFunctions!$R$14</f>
        <v>#VALUE!</v>
      </c>
      <c r="Q29" t="e">
        <f>R28*'Scen Hypothetical vaccine model'!$K29</f>
        <v>#VALUE!</v>
      </c>
      <c r="R29" s="84" t="e">
        <f t="shared" si="4"/>
        <v>#VALUE!</v>
      </c>
      <c r="S29" t="e">
        <f>U28*'Scen Hypothetical vaccine model'!$J29*HelperFunctions!$R$14</f>
        <v>#VALUE!</v>
      </c>
      <c r="T29" t="e">
        <f>U28*'Scen Hypothetical vaccine model'!$K29</f>
        <v>#VALUE!</v>
      </c>
      <c r="U29" s="84" t="e">
        <f t="shared" si="5"/>
        <v>#VALUE!</v>
      </c>
      <c r="V29" t="e">
        <f>X28*'Scen Hypothetical vaccine model'!$J29*HelperFunctions!$R$14</f>
        <v>#VALUE!</v>
      </c>
      <c r="W29" t="e">
        <f>X28*'Scen Hypothetical vaccine model'!$K29</f>
        <v>#VALUE!</v>
      </c>
      <c r="X29" s="84" t="e">
        <f t="shared" si="6"/>
        <v>#VALUE!</v>
      </c>
      <c r="Y29" t="e">
        <f>AA28*'Scen Hypothetical vaccine model'!$J29*HelperFunctions!$R$14</f>
        <v>#VALUE!</v>
      </c>
      <c r="Z29" t="e">
        <f>AA28*'Scen Hypothetical vaccine model'!$K29</f>
        <v>#VALUE!</v>
      </c>
      <c r="AA29" s="84" t="e">
        <f t="shared" si="7"/>
        <v>#VALUE!</v>
      </c>
      <c r="AB29" t="e">
        <f>AD28*'Scen Hypothetical vaccine model'!$J29*HelperFunctions!$R$14</f>
        <v>#VALUE!</v>
      </c>
      <c r="AC29" t="e">
        <f>AD28*'Scen Hypothetical vaccine model'!$K29</f>
        <v>#VALUE!</v>
      </c>
      <c r="AD29" s="84" t="e">
        <f t="shared" si="8"/>
        <v>#VALUE!</v>
      </c>
      <c r="AE29" t="e">
        <f>AG28*'Scen Hypothetical vaccine model'!$J29*HelperFunctions!$R$14</f>
        <v>#VALUE!</v>
      </c>
      <c r="AF29" t="e">
        <f>AG28*'Scen Hypothetical vaccine model'!$K29</f>
        <v>#VALUE!</v>
      </c>
      <c r="AG29" s="84" t="e">
        <f t="shared" si="9"/>
        <v>#VALUE!</v>
      </c>
      <c r="AH29" t="e">
        <f>AJ28*'Scen Hypothetical vaccine model'!$J29*HelperFunctions!$R$14</f>
        <v>#VALUE!</v>
      </c>
      <c r="AI29" t="e">
        <f>AJ28*'Scen Hypothetical vaccine model'!$K29</f>
        <v>#VALUE!</v>
      </c>
      <c r="AJ29" s="84" t="e">
        <f t="shared" si="10"/>
        <v>#VALUE!</v>
      </c>
      <c r="AK29" t="e">
        <f>AM28*'Scen Hypothetical vaccine model'!$J29*HelperFunctions!$R$14</f>
        <v>#VALUE!</v>
      </c>
      <c r="AL29" t="e">
        <f>AM28*'Scen Hypothetical vaccine model'!$K29</f>
        <v>#VALUE!</v>
      </c>
      <c r="AM29" s="84" t="e">
        <f t="shared" si="11"/>
        <v>#VALUE!</v>
      </c>
      <c r="AN29" t="e">
        <f>AP28*'Scen Hypothetical vaccine model'!$J29*HelperFunctions!$R$28</f>
        <v>#VALUE!</v>
      </c>
      <c r="AO29" t="e">
        <f>AP28*'Scen Hypothetical vaccine model'!$K29</f>
        <v>#VALUE!</v>
      </c>
      <c r="AP29" s="84" t="e">
        <f t="shared" si="12"/>
        <v>#VALUE!</v>
      </c>
      <c r="AQ29" t="e">
        <f>AS28*'Scen Hypothetical vaccine model'!$J29*HelperFunctions!$R$28</f>
        <v>#VALUE!</v>
      </c>
      <c r="AR29" t="e">
        <f>AS28*'Scen Hypothetical vaccine model'!$K29</f>
        <v>#VALUE!</v>
      </c>
      <c r="AS29" s="84" t="e">
        <f t="shared" si="13"/>
        <v>#VALUE!</v>
      </c>
      <c r="AT29" t="e">
        <f>AV28*'Scen Hypothetical vaccine model'!$J29*HelperFunctions!$R27</f>
        <v>#VALUE!</v>
      </c>
      <c r="AU29" t="e">
        <f>AV28*'Scen Hypothetical vaccine model'!$K29</f>
        <v>#VALUE!</v>
      </c>
      <c r="AV29" s="84" t="e">
        <f t="shared" si="14"/>
        <v>#VALUE!</v>
      </c>
      <c r="AW29" t="e">
        <f>AY28*'Scen Hypothetical vaccine model'!$J29*HelperFunctions!$R26</f>
        <v>#VALUE!</v>
      </c>
      <c r="AX29" t="e">
        <f>AY28*'Scen Hypothetical vaccine model'!$K29</f>
        <v>#VALUE!</v>
      </c>
      <c r="AY29" s="84" t="e">
        <f t="shared" si="15"/>
        <v>#VALUE!</v>
      </c>
      <c r="AZ29" t="e">
        <f>BB28*'Scen Hypothetical vaccine model'!$J29*HelperFunctions!$R25</f>
        <v>#VALUE!</v>
      </c>
      <c r="BA29" t="e">
        <f>BB28*'Scen Hypothetical vaccine model'!$K29</f>
        <v>#VALUE!</v>
      </c>
      <c r="BB29" s="84" t="e">
        <f t="shared" si="16"/>
        <v>#VALUE!</v>
      </c>
      <c r="BC29" t="e">
        <f>BE28*'Scen Hypothetical vaccine model'!$J29*HelperFunctions!$R24</f>
        <v>#VALUE!</v>
      </c>
      <c r="BD29" t="e">
        <f>BE28*'Scen Hypothetical vaccine model'!$K29</f>
        <v>#VALUE!</v>
      </c>
      <c r="BE29" s="84" t="e">
        <f t="shared" si="17"/>
        <v>#VALUE!</v>
      </c>
      <c r="BF29" t="e">
        <f>BH28*'Scen Hypothetical vaccine model'!$J29*HelperFunctions!$R23</f>
        <v>#VALUE!</v>
      </c>
      <c r="BG29" t="e">
        <f>BH28*'Scen Hypothetical vaccine model'!$K29</f>
        <v>#VALUE!</v>
      </c>
      <c r="BH29" s="84" t="e">
        <f t="shared" si="18"/>
        <v>#VALUE!</v>
      </c>
      <c r="BI29" t="e">
        <f>BK28*'Scen Hypothetical vaccine model'!$J29*HelperFunctions!$R22</f>
        <v>#VALUE!</v>
      </c>
      <c r="BJ29" t="e">
        <f>BK28*'Scen Hypothetical vaccine model'!$K29</f>
        <v>#VALUE!</v>
      </c>
      <c r="BK29" s="84" t="e">
        <f t="shared" si="19"/>
        <v>#VALUE!</v>
      </c>
      <c r="BL29" t="e">
        <f>BN28*'Scen Hypothetical vaccine model'!$J29*HelperFunctions!$R21</f>
        <v>#VALUE!</v>
      </c>
      <c r="BM29" t="e">
        <f>BN28*'Scen Hypothetical vaccine model'!$K29</f>
        <v>#VALUE!</v>
      </c>
      <c r="BN29" s="84" t="e">
        <f t="shared" si="20"/>
        <v>#VALUE!</v>
      </c>
      <c r="BO29" t="e">
        <f>BQ28*'Scen Hypothetical vaccine model'!$J29*HelperFunctions!$R20</f>
        <v>#VALUE!</v>
      </c>
      <c r="BP29" t="e">
        <f>BQ28*'Scen Hypothetical vaccine model'!$K29</f>
        <v>#VALUE!</v>
      </c>
      <c r="BQ29" s="84" t="e">
        <f t="shared" si="21"/>
        <v>#VALUE!</v>
      </c>
      <c r="BR29" t="e">
        <f>BT28*'Scen Hypothetical vaccine model'!$J29*HelperFunctions!$R19</f>
        <v>#VALUE!</v>
      </c>
      <c r="BS29" t="e">
        <f>BT28*'Scen Hypothetical vaccine model'!$K29</f>
        <v>#VALUE!</v>
      </c>
      <c r="BT29" s="84" t="e">
        <f t="shared" si="22"/>
        <v>#VALUE!</v>
      </c>
      <c r="BU29" t="e">
        <f>BW28*'Scen Hypothetical vaccine model'!$J29*HelperFunctions!$R18</f>
        <v>#VALUE!</v>
      </c>
      <c r="BV29" t="e">
        <f>BW28*'Scen Hypothetical vaccine model'!$K29</f>
        <v>#VALUE!</v>
      </c>
      <c r="BW29" s="84" t="e">
        <f t="shared" ref="BW29:BW63" si="23">BW28-BU29-BV29</f>
        <v>#VALUE!</v>
      </c>
      <c r="BX29" t="e">
        <f>BZ28*'Scen Hypothetical vaccine model'!$J29*HelperFunctions!$R31</f>
        <v>#VALUE!</v>
      </c>
      <c r="BY29" t="e">
        <f>BZ28*'Scen Hypothetical vaccine model'!$K29</f>
        <v>#VALUE!</v>
      </c>
      <c r="BZ29" s="84" t="e">
        <f>BZ28-BX29-BY29</f>
        <v>#VALUE!</v>
      </c>
      <c r="CA29" s="93"/>
      <c r="CB29" s="93"/>
      <c r="CC29" s="84" t="e">
        <f>Export!$N27*'Scen EffectivelyVax'!$A28*(1-HelperFunctions!$G$31)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35">
      <c r="B30">
        <v>2</v>
      </c>
      <c r="C30" t="str">
        <f>Inputs!I50</f>
        <v/>
      </c>
      <c r="D30" t="e">
        <f>F29*'Scen Hypothetical vaccine model'!J30*HelperFunctions!R$14</f>
        <v>#VALUE!</v>
      </c>
      <c r="E30" t="e">
        <f>F29*'Scen Hypothetical vaccine model'!K30</f>
        <v>#VALUE!</v>
      </c>
      <c r="F30" s="84" t="e">
        <f t="shared" si="0"/>
        <v>#VALUE!</v>
      </c>
      <c r="G30" t="e">
        <f>I29*'Scen Hypothetical vaccine model'!$J30*HelperFunctions!$R$14</f>
        <v>#VALUE!</v>
      </c>
      <c r="H30" t="e">
        <f>I29*'Scen Hypothetical vaccine model'!$K30</f>
        <v>#VALUE!</v>
      </c>
      <c r="I30" s="84" t="e">
        <f t="shared" si="1"/>
        <v>#VALUE!</v>
      </c>
      <c r="J30" t="e">
        <f>L29*'Scen Hypothetical vaccine model'!$J30*HelperFunctions!$R$14</f>
        <v>#VALUE!</v>
      </c>
      <c r="K30" t="e">
        <f>L29*'Scen Hypothetical vaccine model'!$K30</f>
        <v>#VALUE!</v>
      </c>
      <c r="L30" s="84" t="e">
        <f t="shared" si="2"/>
        <v>#VALUE!</v>
      </c>
      <c r="M30" t="e">
        <f>O29*'Scen Hypothetical vaccine model'!$J30*HelperFunctions!$R$14</f>
        <v>#VALUE!</v>
      </c>
      <c r="N30" t="e">
        <f>O29*'Scen Hypothetical vaccine model'!$K30</f>
        <v>#VALUE!</v>
      </c>
      <c r="O30" s="84" t="e">
        <f t="shared" si="3"/>
        <v>#VALUE!</v>
      </c>
      <c r="P30" t="e">
        <f>R29*'Scen Hypothetical vaccine model'!$J30*HelperFunctions!$R$14</f>
        <v>#VALUE!</v>
      </c>
      <c r="Q30" t="e">
        <f>R29*'Scen Hypothetical vaccine model'!$K30</f>
        <v>#VALUE!</v>
      </c>
      <c r="R30" s="84" t="e">
        <f t="shared" si="4"/>
        <v>#VALUE!</v>
      </c>
      <c r="S30" t="e">
        <f>U29*'Scen Hypothetical vaccine model'!$J30*HelperFunctions!$R$14</f>
        <v>#VALUE!</v>
      </c>
      <c r="T30" t="e">
        <f>U29*'Scen Hypothetical vaccine model'!$K30</f>
        <v>#VALUE!</v>
      </c>
      <c r="U30" s="84" t="e">
        <f t="shared" si="5"/>
        <v>#VALUE!</v>
      </c>
      <c r="V30" t="e">
        <f>X29*'Scen Hypothetical vaccine model'!$J30*HelperFunctions!$R$14</f>
        <v>#VALUE!</v>
      </c>
      <c r="W30" t="e">
        <f>X29*'Scen Hypothetical vaccine model'!$K30</f>
        <v>#VALUE!</v>
      </c>
      <c r="X30" s="84" t="e">
        <f t="shared" si="6"/>
        <v>#VALUE!</v>
      </c>
      <c r="Y30" t="e">
        <f>AA29*'Scen Hypothetical vaccine model'!$J30*HelperFunctions!$R$14</f>
        <v>#VALUE!</v>
      </c>
      <c r="Z30" t="e">
        <f>AA29*'Scen Hypothetical vaccine model'!$K30</f>
        <v>#VALUE!</v>
      </c>
      <c r="AA30" s="84" t="e">
        <f t="shared" si="7"/>
        <v>#VALUE!</v>
      </c>
      <c r="AB30" t="e">
        <f>AD29*'Scen Hypothetical vaccine model'!$J30*HelperFunctions!$R$14</f>
        <v>#VALUE!</v>
      </c>
      <c r="AC30" t="e">
        <f>AD29*'Scen Hypothetical vaccine model'!$K30</f>
        <v>#VALUE!</v>
      </c>
      <c r="AD30" s="84" t="e">
        <f t="shared" si="8"/>
        <v>#VALUE!</v>
      </c>
      <c r="AE30" t="e">
        <f>AG29*'Scen Hypothetical vaccine model'!$J30*HelperFunctions!$R$14</f>
        <v>#VALUE!</v>
      </c>
      <c r="AF30" t="e">
        <f>AG29*'Scen Hypothetical vaccine model'!$K30</f>
        <v>#VALUE!</v>
      </c>
      <c r="AG30" s="84" t="e">
        <f t="shared" si="9"/>
        <v>#VALUE!</v>
      </c>
      <c r="AH30" t="e">
        <f>AJ29*'Scen Hypothetical vaccine model'!$J30*HelperFunctions!$R$14</f>
        <v>#VALUE!</v>
      </c>
      <c r="AI30" t="e">
        <f>AJ29*'Scen Hypothetical vaccine model'!$K30</f>
        <v>#VALUE!</v>
      </c>
      <c r="AJ30" s="84" t="e">
        <f t="shared" si="10"/>
        <v>#VALUE!</v>
      </c>
      <c r="AK30" t="e">
        <f>AM29*'Scen Hypothetical vaccine model'!$J30*HelperFunctions!$R$14</f>
        <v>#VALUE!</v>
      </c>
      <c r="AL30" t="e">
        <f>AM29*'Scen Hypothetical vaccine model'!$K30</f>
        <v>#VALUE!</v>
      </c>
      <c r="AM30" s="84" t="e">
        <f t="shared" si="11"/>
        <v>#VALUE!</v>
      </c>
      <c r="AN30" t="e">
        <f>AP29*'Scen Hypothetical vaccine model'!$J30*HelperFunctions!$R$28</f>
        <v>#VALUE!</v>
      </c>
      <c r="AO30" t="e">
        <f>AP29*'Scen Hypothetical vaccine model'!$K30</f>
        <v>#VALUE!</v>
      </c>
      <c r="AP30" s="84" t="e">
        <f t="shared" si="12"/>
        <v>#VALUE!</v>
      </c>
      <c r="AQ30" t="e">
        <f>AS29*'Scen Hypothetical vaccine model'!$J30*HelperFunctions!$R$28</f>
        <v>#VALUE!</v>
      </c>
      <c r="AR30" t="e">
        <f>AS29*'Scen Hypothetical vaccine model'!$K30</f>
        <v>#VALUE!</v>
      </c>
      <c r="AS30" s="84" t="e">
        <f t="shared" si="13"/>
        <v>#VALUE!</v>
      </c>
      <c r="AT30" t="e">
        <f>AV29*'Scen Hypothetical vaccine model'!$J30*HelperFunctions!$R$28</f>
        <v>#VALUE!</v>
      </c>
      <c r="AU30" t="e">
        <f>AV29*'Scen Hypothetical vaccine model'!$K30</f>
        <v>#VALUE!</v>
      </c>
      <c r="AV30" s="84" t="e">
        <f t="shared" si="14"/>
        <v>#VALUE!</v>
      </c>
      <c r="AW30" t="e">
        <f>AY29*'Scen Hypothetical vaccine model'!$J30*HelperFunctions!$R27</f>
        <v>#VALUE!</v>
      </c>
      <c r="AX30" t="e">
        <f>AY29*'Scen Hypothetical vaccine model'!$K30</f>
        <v>#VALUE!</v>
      </c>
      <c r="AY30" s="84" t="e">
        <f t="shared" si="15"/>
        <v>#VALUE!</v>
      </c>
      <c r="AZ30" t="e">
        <f>BB29*'Scen Hypothetical vaccine model'!$J30*HelperFunctions!$R26</f>
        <v>#VALUE!</v>
      </c>
      <c r="BA30" t="e">
        <f>BB29*'Scen Hypothetical vaccine model'!$K30</f>
        <v>#VALUE!</v>
      </c>
      <c r="BB30" s="84" t="e">
        <f t="shared" si="16"/>
        <v>#VALUE!</v>
      </c>
      <c r="BC30" t="e">
        <f>BE29*'Scen Hypothetical vaccine model'!$J30*HelperFunctions!$R25</f>
        <v>#VALUE!</v>
      </c>
      <c r="BD30" t="e">
        <f>BE29*'Scen Hypothetical vaccine model'!$K30</f>
        <v>#VALUE!</v>
      </c>
      <c r="BE30" s="84" t="e">
        <f t="shared" si="17"/>
        <v>#VALUE!</v>
      </c>
      <c r="BF30" t="e">
        <f>BH29*'Scen Hypothetical vaccine model'!$J30*HelperFunctions!$R24</f>
        <v>#VALUE!</v>
      </c>
      <c r="BG30" t="e">
        <f>BH29*'Scen Hypothetical vaccine model'!$K30</f>
        <v>#VALUE!</v>
      </c>
      <c r="BH30" s="84" t="e">
        <f t="shared" si="18"/>
        <v>#VALUE!</v>
      </c>
      <c r="BI30" t="e">
        <f>BK29*'Scen Hypothetical vaccine model'!$J30*HelperFunctions!$R23</f>
        <v>#VALUE!</v>
      </c>
      <c r="BJ30" t="e">
        <f>BK29*'Scen Hypothetical vaccine model'!$K30</f>
        <v>#VALUE!</v>
      </c>
      <c r="BK30" s="84" t="e">
        <f t="shared" si="19"/>
        <v>#VALUE!</v>
      </c>
      <c r="BL30" t="e">
        <f>BN29*'Scen Hypothetical vaccine model'!$J30*HelperFunctions!$R22</f>
        <v>#VALUE!</v>
      </c>
      <c r="BM30" t="e">
        <f>BN29*'Scen Hypothetical vaccine model'!$K30</f>
        <v>#VALUE!</v>
      </c>
      <c r="BN30" s="84" t="e">
        <f t="shared" si="20"/>
        <v>#VALUE!</v>
      </c>
      <c r="BO30" t="e">
        <f>BQ29*'Scen Hypothetical vaccine model'!$J30*HelperFunctions!$R21</f>
        <v>#VALUE!</v>
      </c>
      <c r="BP30" t="e">
        <f>BQ29*'Scen Hypothetical vaccine model'!$K30</f>
        <v>#VALUE!</v>
      </c>
      <c r="BQ30" s="84" t="e">
        <f t="shared" si="21"/>
        <v>#VALUE!</v>
      </c>
      <c r="BR30" t="e">
        <f>BT29*'Scen Hypothetical vaccine model'!$J30*HelperFunctions!$R20</f>
        <v>#VALUE!</v>
      </c>
      <c r="BS30" t="e">
        <f>BT29*'Scen Hypothetical vaccine model'!$K30</f>
        <v>#VALUE!</v>
      </c>
      <c r="BT30" s="84" t="e">
        <f t="shared" si="22"/>
        <v>#VALUE!</v>
      </c>
      <c r="BU30" t="e">
        <f>BW29*'Scen Hypothetical vaccine model'!$J30*HelperFunctions!$R19</f>
        <v>#VALUE!</v>
      </c>
      <c r="BV30" t="e">
        <f>BW29*'Scen Hypothetical vaccine model'!$K30</f>
        <v>#VALUE!</v>
      </c>
      <c r="BW30" s="84" t="e">
        <f t="shared" si="23"/>
        <v>#VALUE!</v>
      </c>
      <c r="BX30" t="e">
        <f>BZ29*'Scen Hypothetical vaccine model'!$J30*HelperFunctions!$R32</f>
        <v>#VALUE!</v>
      </c>
      <c r="BY30" t="e">
        <f>BZ29*'Scen Hypothetical vaccine model'!$K30</f>
        <v>#VALUE!</v>
      </c>
      <c r="BZ30" s="84" t="e">
        <f t="shared" ref="BZ30:BZ63" si="24">BZ29-BX30-BY30</f>
        <v>#VALUE!</v>
      </c>
      <c r="CA30" t="e">
        <f>CC29*'Scen Hypothetical vaccine model'!$J30*HelperFunctions!$R31</f>
        <v>#VALUE!</v>
      </c>
      <c r="CB30" t="e">
        <f>CC29*'Scen Hypothetical vaccine model'!$K30</f>
        <v>#VALUE!</v>
      </c>
      <c r="CC30" s="84" t="e">
        <f>CC29-CA30-CB30</f>
        <v>#VALUE!</v>
      </c>
      <c r="CD30" s="93"/>
      <c r="CE30" s="93"/>
      <c r="CF30" s="84" t="e">
        <f>Export!$N28*'Scen EffectivelyVax'!$A29*(1-HelperFunctions!$G$31)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35">
      <c r="B31">
        <v>2</v>
      </c>
      <c r="C31" t="str">
        <f>Inputs!I51</f>
        <v/>
      </c>
      <c r="D31" t="e">
        <f>F30*'Scen Hypothetical vaccine model'!J31*HelperFunctions!R$14</f>
        <v>#VALUE!</v>
      </c>
      <c r="E31" t="e">
        <f>F30*'Scen Hypothetical vaccine model'!K31</f>
        <v>#VALUE!</v>
      </c>
      <c r="F31" s="84" t="e">
        <f t="shared" si="0"/>
        <v>#VALUE!</v>
      </c>
      <c r="G31" t="e">
        <f>I30*'Scen Hypothetical vaccine model'!$J31*HelperFunctions!$R$14</f>
        <v>#VALUE!</v>
      </c>
      <c r="H31" t="e">
        <f>I30*'Scen Hypothetical vaccine model'!$K31</f>
        <v>#VALUE!</v>
      </c>
      <c r="I31" s="84" t="e">
        <f t="shared" si="1"/>
        <v>#VALUE!</v>
      </c>
      <c r="J31" t="e">
        <f>L30*'Scen Hypothetical vaccine model'!$J31*HelperFunctions!$R$14</f>
        <v>#VALUE!</v>
      </c>
      <c r="K31" t="e">
        <f>L30*'Scen Hypothetical vaccine model'!$K31</f>
        <v>#VALUE!</v>
      </c>
      <c r="L31" s="84" t="e">
        <f t="shared" si="2"/>
        <v>#VALUE!</v>
      </c>
      <c r="M31" t="e">
        <f>O30*'Scen Hypothetical vaccine model'!$J31*HelperFunctions!$R$14</f>
        <v>#VALUE!</v>
      </c>
      <c r="N31" t="e">
        <f>O30*'Scen Hypothetical vaccine model'!$K31</f>
        <v>#VALUE!</v>
      </c>
      <c r="O31" s="84" t="e">
        <f t="shared" si="3"/>
        <v>#VALUE!</v>
      </c>
      <c r="P31" t="e">
        <f>R30*'Scen Hypothetical vaccine model'!$J31*HelperFunctions!$R$14</f>
        <v>#VALUE!</v>
      </c>
      <c r="Q31" t="e">
        <f>R30*'Scen Hypothetical vaccine model'!$K31</f>
        <v>#VALUE!</v>
      </c>
      <c r="R31" s="84" t="e">
        <f t="shared" si="4"/>
        <v>#VALUE!</v>
      </c>
      <c r="S31" t="e">
        <f>U30*'Scen Hypothetical vaccine model'!$J31*HelperFunctions!$R$14</f>
        <v>#VALUE!</v>
      </c>
      <c r="T31" t="e">
        <f>U30*'Scen Hypothetical vaccine model'!$K31</f>
        <v>#VALUE!</v>
      </c>
      <c r="U31" s="84" t="e">
        <f t="shared" si="5"/>
        <v>#VALUE!</v>
      </c>
      <c r="V31" t="e">
        <f>X30*'Scen Hypothetical vaccine model'!$J31*HelperFunctions!$R$14</f>
        <v>#VALUE!</v>
      </c>
      <c r="W31" t="e">
        <f>X30*'Scen Hypothetical vaccine model'!$K31</f>
        <v>#VALUE!</v>
      </c>
      <c r="X31" s="84" t="e">
        <f t="shared" si="6"/>
        <v>#VALUE!</v>
      </c>
      <c r="Y31" t="e">
        <f>AA30*'Scen Hypothetical vaccine model'!$J31*HelperFunctions!$R$14</f>
        <v>#VALUE!</v>
      </c>
      <c r="Z31" t="e">
        <f>AA30*'Scen Hypothetical vaccine model'!$K31</f>
        <v>#VALUE!</v>
      </c>
      <c r="AA31" s="84" t="e">
        <f t="shared" si="7"/>
        <v>#VALUE!</v>
      </c>
      <c r="AB31" t="e">
        <f>AD30*'Scen Hypothetical vaccine model'!$J31*HelperFunctions!$R$14</f>
        <v>#VALUE!</v>
      </c>
      <c r="AC31" t="e">
        <f>AD30*'Scen Hypothetical vaccine model'!$K31</f>
        <v>#VALUE!</v>
      </c>
      <c r="AD31" s="84" t="e">
        <f t="shared" si="8"/>
        <v>#VALUE!</v>
      </c>
      <c r="AE31" t="e">
        <f>AG30*'Scen Hypothetical vaccine model'!$J31*HelperFunctions!$R$14</f>
        <v>#VALUE!</v>
      </c>
      <c r="AF31" t="e">
        <f>AG30*'Scen Hypothetical vaccine model'!$K31</f>
        <v>#VALUE!</v>
      </c>
      <c r="AG31" s="84" t="e">
        <f t="shared" si="9"/>
        <v>#VALUE!</v>
      </c>
      <c r="AH31" t="e">
        <f>AJ30*'Scen Hypothetical vaccine model'!$J31*HelperFunctions!$R$14</f>
        <v>#VALUE!</v>
      </c>
      <c r="AI31" t="e">
        <f>AJ30*'Scen Hypothetical vaccine model'!$K31</f>
        <v>#VALUE!</v>
      </c>
      <c r="AJ31" s="84" t="e">
        <f t="shared" si="10"/>
        <v>#VALUE!</v>
      </c>
      <c r="AK31" t="e">
        <f>AM30*'Scen Hypothetical vaccine model'!$J31*HelperFunctions!$R$14</f>
        <v>#VALUE!</v>
      </c>
      <c r="AL31" t="e">
        <f>AM30*'Scen Hypothetical vaccine model'!$K31</f>
        <v>#VALUE!</v>
      </c>
      <c r="AM31" s="84" t="e">
        <f t="shared" si="11"/>
        <v>#VALUE!</v>
      </c>
      <c r="AN31" t="e">
        <f>AP30*'Scen Hypothetical vaccine model'!$J31*HelperFunctions!$R$28</f>
        <v>#VALUE!</v>
      </c>
      <c r="AO31" t="e">
        <f>AP30*'Scen Hypothetical vaccine model'!$K31</f>
        <v>#VALUE!</v>
      </c>
      <c r="AP31" s="84" t="e">
        <f t="shared" si="12"/>
        <v>#VALUE!</v>
      </c>
      <c r="AQ31" t="e">
        <f>AS30*'Scen Hypothetical vaccine model'!$J31*HelperFunctions!$R$28</f>
        <v>#VALUE!</v>
      </c>
      <c r="AR31" t="e">
        <f>AS30*'Scen Hypothetical vaccine model'!$K31</f>
        <v>#VALUE!</v>
      </c>
      <c r="AS31" s="84" t="e">
        <f t="shared" si="13"/>
        <v>#VALUE!</v>
      </c>
      <c r="AT31" t="e">
        <f>AV30*'Scen Hypothetical vaccine model'!$J31*HelperFunctions!$R$28</f>
        <v>#VALUE!</v>
      </c>
      <c r="AU31" t="e">
        <f>AV30*'Scen Hypothetical vaccine model'!$K31</f>
        <v>#VALUE!</v>
      </c>
      <c r="AV31" s="84" t="e">
        <f t="shared" si="14"/>
        <v>#VALUE!</v>
      </c>
      <c r="AW31" t="e">
        <f>AY30*'Scen Hypothetical vaccine model'!$J31*HelperFunctions!$R$28</f>
        <v>#VALUE!</v>
      </c>
      <c r="AX31" t="e">
        <f>AY30*'Scen Hypothetical vaccine model'!$K31</f>
        <v>#VALUE!</v>
      </c>
      <c r="AY31" s="84" t="e">
        <f t="shared" si="15"/>
        <v>#VALUE!</v>
      </c>
      <c r="AZ31" t="e">
        <f>BB30*'Scen Hypothetical vaccine model'!$J31*HelperFunctions!$R27</f>
        <v>#VALUE!</v>
      </c>
      <c r="BA31" t="e">
        <f>BB30*'Scen Hypothetical vaccine model'!$K31</f>
        <v>#VALUE!</v>
      </c>
      <c r="BB31" s="84" t="e">
        <f t="shared" si="16"/>
        <v>#VALUE!</v>
      </c>
      <c r="BC31" t="e">
        <f>BE30*'Scen Hypothetical vaccine model'!$J31*HelperFunctions!$R26</f>
        <v>#VALUE!</v>
      </c>
      <c r="BD31" t="e">
        <f>BE30*'Scen Hypothetical vaccine model'!$K31</f>
        <v>#VALUE!</v>
      </c>
      <c r="BE31" s="84" t="e">
        <f t="shared" si="17"/>
        <v>#VALUE!</v>
      </c>
      <c r="BF31" t="e">
        <f>BH30*'Scen Hypothetical vaccine model'!$J31*HelperFunctions!$R25</f>
        <v>#VALUE!</v>
      </c>
      <c r="BG31" t="e">
        <f>BH30*'Scen Hypothetical vaccine model'!$K31</f>
        <v>#VALUE!</v>
      </c>
      <c r="BH31" s="84" t="e">
        <f t="shared" si="18"/>
        <v>#VALUE!</v>
      </c>
      <c r="BI31" t="e">
        <f>BK30*'Scen Hypothetical vaccine model'!$J31*HelperFunctions!$R24</f>
        <v>#VALUE!</v>
      </c>
      <c r="BJ31" t="e">
        <f>BK30*'Scen Hypothetical vaccine model'!$K31</f>
        <v>#VALUE!</v>
      </c>
      <c r="BK31" s="84" t="e">
        <f t="shared" si="19"/>
        <v>#VALUE!</v>
      </c>
      <c r="BL31" t="e">
        <f>BN30*'Scen Hypothetical vaccine model'!$J31*HelperFunctions!$R23</f>
        <v>#VALUE!</v>
      </c>
      <c r="BM31" t="e">
        <f>BN30*'Scen Hypothetical vaccine model'!$K31</f>
        <v>#VALUE!</v>
      </c>
      <c r="BN31" s="84" t="e">
        <f t="shared" si="20"/>
        <v>#VALUE!</v>
      </c>
      <c r="BO31" t="e">
        <f>BQ30*'Scen Hypothetical vaccine model'!$J31*HelperFunctions!$R22</f>
        <v>#VALUE!</v>
      </c>
      <c r="BP31" t="e">
        <f>BQ30*'Scen Hypothetical vaccine model'!$K31</f>
        <v>#VALUE!</v>
      </c>
      <c r="BQ31" s="84" t="e">
        <f t="shared" si="21"/>
        <v>#VALUE!</v>
      </c>
      <c r="BR31" t="e">
        <f>BT30*'Scen Hypothetical vaccine model'!$J31*HelperFunctions!$R21</f>
        <v>#VALUE!</v>
      </c>
      <c r="BS31" t="e">
        <f>BT30*'Scen Hypothetical vaccine model'!$K31</f>
        <v>#VALUE!</v>
      </c>
      <c r="BT31" s="84" t="e">
        <f t="shared" si="22"/>
        <v>#VALUE!</v>
      </c>
      <c r="BU31" t="e">
        <f>BW30*'Scen Hypothetical vaccine model'!$J31*HelperFunctions!$R20</f>
        <v>#VALUE!</v>
      </c>
      <c r="BV31" t="e">
        <f>BW30*'Scen Hypothetical vaccine model'!$K31</f>
        <v>#VALUE!</v>
      </c>
      <c r="BW31" s="84" t="e">
        <f t="shared" si="23"/>
        <v>#VALUE!</v>
      </c>
      <c r="BX31" t="e">
        <f>BZ30*'Scen Hypothetical vaccine model'!$J31*HelperFunctions!$R33</f>
        <v>#VALUE!</v>
      </c>
      <c r="BY31" t="e">
        <f>BZ30*'Scen Hypothetical vaccine model'!$K31</f>
        <v>#VALUE!</v>
      </c>
      <c r="BZ31" s="84" t="e">
        <f t="shared" si="24"/>
        <v>#VALUE!</v>
      </c>
      <c r="CA31" t="e">
        <f>CC30*'Scen Hypothetical vaccine model'!$J31*HelperFunctions!$R32</f>
        <v>#VALUE!</v>
      </c>
      <c r="CB31" t="e">
        <f>CC30*'Scen Hypothetical vaccine model'!$K31</f>
        <v>#VALUE!</v>
      </c>
      <c r="CC31" s="84" t="e">
        <f t="shared" ref="CC31:CC63" si="25">CC30-CA31-CB31</f>
        <v>#VALUE!</v>
      </c>
      <c r="CD31" t="e">
        <f>CF30*'Scen Hypothetical vaccine model'!$J31*HelperFunctions!$R31</f>
        <v>#VALUE!</v>
      </c>
      <c r="CE31" t="e">
        <f>CF30*'Scen Hypothetical vaccine model'!$K31</f>
        <v>#VALUE!</v>
      </c>
      <c r="CF31" s="84" t="e">
        <f>CF30-CD31-CE31</f>
        <v>#VALUE!</v>
      </c>
      <c r="CG31" s="93"/>
      <c r="CH31" s="93"/>
      <c r="CI31" s="84" t="e">
        <f>Export!$N29*'Scen EffectivelyVax'!$A30*(1-HelperFunctions!$G$31)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35">
      <c r="B32">
        <v>2</v>
      </c>
      <c r="C32" t="str">
        <f>Inputs!I52</f>
        <v/>
      </c>
      <c r="D32" t="e">
        <f>F31*'Scen Hypothetical vaccine model'!J32*HelperFunctions!R$14</f>
        <v>#VALUE!</v>
      </c>
      <c r="E32" t="e">
        <f>F31*'Scen Hypothetical vaccine model'!K32</f>
        <v>#VALUE!</v>
      </c>
      <c r="F32" s="84" t="e">
        <f t="shared" si="0"/>
        <v>#VALUE!</v>
      </c>
      <c r="G32" t="e">
        <f>I31*'Scen Hypothetical vaccine model'!$J32*HelperFunctions!$R$14</f>
        <v>#VALUE!</v>
      </c>
      <c r="H32" t="e">
        <f>I31*'Scen Hypothetical vaccine model'!$K32</f>
        <v>#VALUE!</v>
      </c>
      <c r="I32" s="84" t="e">
        <f t="shared" si="1"/>
        <v>#VALUE!</v>
      </c>
      <c r="J32" t="e">
        <f>L31*'Scen Hypothetical vaccine model'!$J32*HelperFunctions!$R$14</f>
        <v>#VALUE!</v>
      </c>
      <c r="K32" t="e">
        <f>L31*'Scen Hypothetical vaccine model'!$K32</f>
        <v>#VALUE!</v>
      </c>
      <c r="L32" s="84" t="e">
        <f t="shared" si="2"/>
        <v>#VALUE!</v>
      </c>
      <c r="M32" t="e">
        <f>O31*'Scen Hypothetical vaccine model'!$J32*HelperFunctions!$R$14</f>
        <v>#VALUE!</v>
      </c>
      <c r="N32" t="e">
        <f>O31*'Scen Hypothetical vaccine model'!$K32</f>
        <v>#VALUE!</v>
      </c>
      <c r="O32" s="84" t="e">
        <f t="shared" si="3"/>
        <v>#VALUE!</v>
      </c>
      <c r="P32" t="e">
        <f>R31*'Scen Hypothetical vaccine model'!$J32*HelperFunctions!$R$14</f>
        <v>#VALUE!</v>
      </c>
      <c r="Q32" t="e">
        <f>R31*'Scen Hypothetical vaccine model'!$K32</f>
        <v>#VALUE!</v>
      </c>
      <c r="R32" s="84" t="e">
        <f t="shared" si="4"/>
        <v>#VALUE!</v>
      </c>
      <c r="S32" t="e">
        <f>U31*'Scen Hypothetical vaccine model'!$J32*HelperFunctions!$R$14</f>
        <v>#VALUE!</v>
      </c>
      <c r="T32" t="e">
        <f>U31*'Scen Hypothetical vaccine model'!$K32</f>
        <v>#VALUE!</v>
      </c>
      <c r="U32" s="84" t="e">
        <f t="shared" si="5"/>
        <v>#VALUE!</v>
      </c>
      <c r="V32" t="e">
        <f>X31*'Scen Hypothetical vaccine model'!$J32*HelperFunctions!$R$14</f>
        <v>#VALUE!</v>
      </c>
      <c r="W32" t="e">
        <f>X31*'Scen Hypothetical vaccine model'!$K32</f>
        <v>#VALUE!</v>
      </c>
      <c r="X32" s="84" t="e">
        <f t="shared" si="6"/>
        <v>#VALUE!</v>
      </c>
      <c r="Y32" t="e">
        <f>AA31*'Scen Hypothetical vaccine model'!$J32*HelperFunctions!$R$14</f>
        <v>#VALUE!</v>
      </c>
      <c r="Z32" t="e">
        <f>AA31*'Scen Hypothetical vaccine model'!$K32</f>
        <v>#VALUE!</v>
      </c>
      <c r="AA32" s="84" t="e">
        <f t="shared" si="7"/>
        <v>#VALUE!</v>
      </c>
      <c r="AB32" t="e">
        <f>AD31*'Scen Hypothetical vaccine model'!$J32*HelperFunctions!$R$14</f>
        <v>#VALUE!</v>
      </c>
      <c r="AC32" t="e">
        <f>AD31*'Scen Hypothetical vaccine model'!$K32</f>
        <v>#VALUE!</v>
      </c>
      <c r="AD32" s="84" t="e">
        <f t="shared" si="8"/>
        <v>#VALUE!</v>
      </c>
      <c r="AE32" t="e">
        <f>AG31*'Scen Hypothetical vaccine model'!$J32*HelperFunctions!$R$14</f>
        <v>#VALUE!</v>
      </c>
      <c r="AF32" t="e">
        <f>AG31*'Scen Hypothetical vaccine model'!$K32</f>
        <v>#VALUE!</v>
      </c>
      <c r="AG32" s="84" t="e">
        <f t="shared" si="9"/>
        <v>#VALUE!</v>
      </c>
      <c r="AH32" t="e">
        <f>AJ31*'Scen Hypothetical vaccine model'!$J32*HelperFunctions!$R$14</f>
        <v>#VALUE!</v>
      </c>
      <c r="AI32" t="e">
        <f>AJ31*'Scen Hypothetical vaccine model'!$K32</f>
        <v>#VALUE!</v>
      </c>
      <c r="AJ32" s="84" t="e">
        <f t="shared" si="10"/>
        <v>#VALUE!</v>
      </c>
      <c r="AK32" t="e">
        <f>AM31*'Scen Hypothetical vaccine model'!$J32*HelperFunctions!$R$14</f>
        <v>#VALUE!</v>
      </c>
      <c r="AL32" t="e">
        <f>AM31*'Scen Hypothetical vaccine model'!$K32</f>
        <v>#VALUE!</v>
      </c>
      <c r="AM32" s="84" t="e">
        <f t="shared" si="11"/>
        <v>#VALUE!</v>
      </c>
      <c r="AN32" t="e">
        <f>AP31*'Scen Hypothetical vaccine model'!$J32*HelperFunctions!$R$28</f>
        <v>#VALUE!</v>
      </c>
      <c r="AO32" t="e">
        <f>AP31*'Scen Hypothetical vaccine model'!$K32</f>
        <v>#VALUE!</v>
      </c>
      <c r="AP32" s="84" t="e">
        <f t="shared" si="12"/>
        <v>#VALUE!</v>
      </c>
      <c r="AQ32" t="e">
        <f>AS31*'Scen Hypothetical vaccine model'!$J32*HelperFunctions!$R$28</f>
        <v>#VALUE!</v>
      </c>
      <c r="AR32" t="e">
        <f>AS31*'Scen Hypothetical vaccine model'!$K32</f>
        <v>#VALUE!</v>
      </c>
      <c r="AS32" s="84" t="e">
        <f t="shared" si="13"/>
        <v>#VALUE!</v>
      </c>
      <c r="AT32" t="e">
        <f>AV31*'Scen Hypothetical vaccine model'!$J32*HelperFunctions!$R$28</f>
        <v>#VALUE!</v>
      </c>
      <c r="AU32" t="e">
        <f>AV31*'Scen Hypothetical vaccine model'!$K32</f>
        <v>#VALUE!</v>
      </c>
      <c r="AV32" s="84" t="e">
        <f t="shared" si="14"/>
        <v>#VALUE!</v>
      </c>
      <c r="AW32" t="e">
        <f>AY31*'Scen Hypothetical vaccine model'!$J32*HelperFunctions!$R$28</f>
        <v>#VALUE!</v>
      </c>
      <c r="AX32" t="e">
        <f>AY31*'Scen Hypothetical vaccine model'!$K32</f>
        <v>#VALUE!</v>
      </c>
      <c r="AY32" s="84" t="e">
        <f t="shared" si="15"/>
        <v>#VALUE!</v>
      </c>
      <c r="AZ32" t="e">
        <f>BB31*'Scen Hypothetical vaccine model'!$J32*HelperFunctions!$R$28</f>
        <v>#VALUE!</v>
      </c>
      <c r="BA32" t="e">
        <f>BB31*'Scen Hypothetical vaccine model'!$K32</f>
        <v>#VALUE!</v>
      </c>
      <c r="BB32" s="84" t="e">
        <f t="shared" si="16"/>
        <v>#VALUE!</v>
      </c>
      <c r="BC32" t="e">
        <f>BE31*'Scen Hypothetical vaccine model'!$J32*HelperFunctions!$R27</f>
        <v>#VALUE!</v>
      </c>
      <c r="BD32" t="e">
        <f>BE31*'Scen Hypothetical vaccine model'!$K32</f>
        <v>#VALUE!</v>
      </c>
      <c r="BE32" s="84" t="e">
        <f t="shared" si="17"/>
        <v>#VALUE!</v>
      </c>
      <c r="BF32" t="e">
        <f>BH31*'Scen Hypothetical vaccine model'!$J32*HelperFunctions!$R26</f>
        <v>#VALUE!</v>
      </c>
      <c r="BG32" t="e">
        <f>BH31*'Scen Hypothetical vaccine model'!$K32</f>
        <v>#VALUE!</v>
      </c>
      <c r="BH32" s="84" t="e">
        <f t="shared" si="18"/>
        <v>#VALUE!</v>
      </c>
      <c r="BI32" t="e">
        <f>BK31*'Scen Hypothetical vaccine model'!$J32*HelperFunctions!$R25</f>
        <v>#VALUE!</v>
      </c>
      <c r="BJ32" t="e">
        <f>BK31*'Scen Hypothetical vaccine model'!$K32</f>
        <v>#VALUE!</v>
      </c>
      <c r="BK32" s="84" t="e">
        <f t="shared" si="19"/>
        <v>#VALUE!</v>
      </c>
      <c r="BL32" t="e">
        <f>BN31*'Scen Hypothetical vaccine model'!$J32*HelperFunctions!$R24</f>
        <v>#VALUE!</v>
      </c>
      <c r="BM32" t="e">
        <f>BN31*'Scen Hypothetical vaccine model'!$K32</f>
        <v>#VALUE!</v>
      </c>
      <c r="BN32" s="84" t="e">
        <f t="shared" si="20"/>
        <v>#VALUE!</v>
      </c>
      <c r="BO32" t="e">
        <f>BQ31*'Scen Hypothetical vaccine model'!$J32*HelperFunctions!$R23</f>
        <v>#VALUE!</v>
      </c>
      <c r="BP32" t="e">
        <f>BQ31*'Scen Hypothetical vaccine model'!$K32</f>
        <v>#VALUE!</v>
      </c>
      <c r="BQ32" s="84" t="e">
        <f t="shared" si="21"/>
        <v>#VALUE!</v>
      </c>
      <c r="BR32" t="e">
        <f>BT31*'Scen Hypothetical vaccine model'!$J32*HelperFunctions!$R22</f>
        <v>#VALUE!</v>
      </c>
      <c r="BS32" t="e">
        <f>BT31*'Scen Hypothetical vaccine model'!$K32</f>
        <v>#VALUE!</v>
      </c>
      <c r="BT32" s="84" t="e">
        <f t="shared" si="22"/>
        <v>#VALUE!</v>
      </c>
      <c r="BU32" t="e">
        <f>BW31*'Scen Hypothetical vaccine model'!$J32*HelperFunctions!$R21</f>
        <v>#VALUE!</v>
      </c>
      <c r="BV32" t="e">
        <f>BW31*'Scen Hypothetical vaccine model'!$K32</f>
        <v>#VALUE!</v>
      </c>
      <c r="BW32" s="84" t="e">
        <f t="shared" si="23"/>
        <v>#VALUE!</v>
      </c>
      <c r="BX32" t="e">
        <f>BZ31*'Scen Hypothetical vaccine model'!$J32*HelperFunctions!$R34</f>
        <v>#VALUE!</v>
      </c>
      <c r="BY32" t="e">
        <f>BZ31*'Scen Hypothetical vaccine model'!$K32</f>
        <v>#VALUE!</v>
      </c>
      <c r="BZ32" s="84" t="e">
        <f t="shared" si="24"/>
        <v>#VALUE!</v>
      </c>
      <c r="CA32" t="e">
        <f>CC31*'Scen Hypothetical vaccine model'!$J32*HelperFunctions!$R33</f>
        <v>#VALUE!</v>
      </c>
      <c r="CB32" t="e">
        <f>CC31*'Scen Hypothetical vaccine model'!$K32</f>
        <v>#VALUE!</v>
      </c>
      <c r="CC32" s="84" t="e">
        <f t="shared" si="25"/>
        <v>#VALUE!</v>
      </c>
      <c r="CD32" t="e">
        <f>CF31*'Scen Hypothetical vaccine model'!$J32*HelperFunctions!$R32</f>
        <v>#VALUE!</v>
      </c>
      <c r="CE32" t="e">
        <f>CF31*'Scen Hypothetical vaccine model'!$K32</f>
        <v>#VALUE!</v>
      </c>
      <c r="CF32" s="84" t="e">
        <f t="shared" ref="CF32:CF63" si="26">CF31-CD32-CE32</f>
        <v>#VALUE!</v>
      </c>
      <c r="CG32" t="e">
        <f>CI31*'Scen Hypothetical vaccine model'!$J32*HelperFunctions!$R31</f>
        <v>#VALUE!</v>
      </c>
      <c r="CH32" t="e">
        <f>CI31*'Scen Hypothetical vaccine model'!$K32</f>
        <v>#VALUE!</v>
      </c>
      <c r="CI32" s="84" t="e">
        <f>CI31-CG32-CH32</f>
        <v>#VALUE!</v>
      </c>
      <c r="CJ32" s="93"/>
      <c r="CK32" s="93"/>
      <c r="CL32" s="84" t="e">
        <f>Export!$N30*'Scen EffectivelyVax'!$A31*(1-HelperFunctions!$G$31)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35">
      <c r="B33">
        <v>2</v>
      </c>
      <c r="C33" t="str">
        <f>Inputs!I53</f>
        <v/>
      </c>
      <c r="D33" t="e">
        <f>F32*'Scen Hypothetical vaccine model'!J33*HelperFunctions!R$14</f>
        <v>#VALUE!</v>
      </c>
      <c r="E33" t="e">
        <f>F32*'Scen Hypothetical vaccine model'!K33</f>
        <v>#VALUE!</v>
      </c>
      <c r="F33" s="84" t="e">
        <f t="shared" si="0"/>
        <v>#VALUE!</v>
      </c>
      <c r="G33" t="e">
        <f>I32*'Scen Hypothetical vaccine model'!$J33*HelperFunctions!$R$14</f>
        <v>#VALUE!</v>
      </c>
      <c r="H33" t="e">
        <f>I32*'Scen Hypothetical vaccine model'!$K33</f>
        <v>#VALUE!</v>
      </c>
      <c r="I33" s="84" t="e">
        <f t="shared" si="1"/>
        <v>#VALUE!</v>
      </c>
      <c r="J33" t="e">
        <f>L32*'Scen Hypothetical vaccine model'!$J33*HelperFunctions!$R$14</f>
        <v>#VALUE!</v>
      </c>
      <c r="K33" t="e">
        <f>L32*'Scen Hypothetical vaccine model'!$K33</f>
        <v>#VALUE!</v>
      </c>
      <c r="L33" s="84" t="e">
        <f t="shared" si="2"/>
        <v>#VALUE!</v>
      </c>
      <c r="M33" t="e">
        <f>O32*'Scen Hypothetical vaccine model'!$J33*HelperFunctions!$R$14</f>
        <v>#VALUE!</v>
      </c>
      <c r="N33" t="e">
        <f>O32*'Scen Hypothetical vaccine model'!$K33</f>
        <v>#VALUE!</v>
      </c>
      <c r="O33" s="84" t="e">
        <f t="shared" si="3"/>
        <v>#VALUE!</v>
      </c>
      <c r="P33" t="e">
        <f>R32*'Scen Hypothetical vaccine model'!$J33*HelperFunctions!$R$14</f>
        <v>#VALUE!</v>
      </c>
      <c r="Q33" t="e">
        <f>R32*'Scen Hypothetical vaccine model'!$K33</f>
        <v>#VALUE!</v>
      </c>
      <c r="R33" s="84" t="e">
        <f t="shared" si="4"/>
        <v>#VALUE!</v>
      </c>
      <c r="S33" t="e">
        <f>U32*'Scen Hypothetical vaccine model'!$J33*HelperFunctions!$R$14</f>
        <v>#VALUE!</v>
      </c>
      <c r="T33" t="e">
        <f>U32*'Scen Hypothetical vaccine model'!$K33</f>
        <v>#VALUE!</v>
      </c>
      <c r="U33" s="84" t="e">
        <f t="shared" si="5"/>
        <v>#VALUE!</v>
      </c>
      <c r="V33" t="e">
        <f>X32*'Scen Hypothetical vaccine model'!$J33*HelperFunctions!$R$14</f>
        <v>#VALUE!</v>
      </c>
      <c r="W33" t="e">
        <f>X32*'Scen Hypothetical vaccine model'!$K33</f>
        <v>#VALUE!</v>
      </c>
      <c r="X33" s="84" t="e">
        <f t="shared" si="6"/>
        <v>#VALUE!</v>
      </c>
      <c r="Y33" t="e">
        <f>AA32*'Scen Hypothetical vaccine model'!$J33*HelperFunctions!$R$14</f>
        <v>#VALUE!</v>
      </c>
      <c r="Z33" t="e">
        <f>AA32*'Scen Hypothetical vaccine model'!$K33</f>
        <v>#VALUE!</v>
      </c>
      <c r="AA33" s="84" t="e">
        <f t="shared" si="7"/>
        <v>#VALUE!</v>
      </c>
      <c r="AB33" t="e">
        <f>AD32*'Scen Hypothetical vaccine model'!$J33*HelperFunctions!$R$14</f>
        <v>#VALUE!</v>
      </c>
      <c r="AC33" t="e">
        <f>AD32*'Scen Hypothetical vaccine model'!$K33</f>
        <v>#VALUE!</v>
      </c>
      <c r="AD33" s="84" t="e">
        <f t="shared" si="8"/>
        <v>#VALUE!</v>
      </c>
      <c r="AE33" t="e">
        <f>AG32*'Scen Hypothetical vaccine model'!$J33*HelperFunctions!$R$14</f>
        <v>#VALUE!</v>
      </c>
      <c r="AF33" t="e">
        <f>AG32*'Scen Hypothetical vaccine model'!$K33</f>
        <v>#VALUE!</v>
      </c>
      <c r="AG33" s="84" t="e">
        <f t="shared" si="9"/>
        <v>#VALUE!</v>
      </c>
      <c r="AH33" t="e">
        <f>AJ32*'Scen Hypothetical vaccine model'!$J33*HelperFunctions!$R$14</f>
        <v>#VALUE!</v>
      </c>
      <c r="AI33" t="e">
        <f>AJ32*'Scen Hypothetical vaccine model'!$K33</f>
        <v>#VALUE!</v>
      </c>
      <c r="AJ33" s="84" t="e">
        <f t="shared" si="10"/>
        <v>#VALUE!</v>
      </c>
      <c r="AK33" t="e">
        <f>AM32*'Scen Hypothetical vaccine model'!$J33*HelperFunctions!$R$14</f>
        <v>#VALUE!</v>
      </c>
      <c r="AL33" t="e">
        <f>AM32*'Scen Hypothetical vaccine model'!$K33</f>
        <v>#VALUE!</v>
      </c>
      <c r="AM33" s="84" t="e">
        <f t="shared" si="11"/>
        <v>#VALUE!</v>
      </c>
      <c r="AN33" t="e">
        <f>AP32*'Scen Hypothetical vaccine model'!$J33*HelperFunctions!$R$28</f>
        <v>#VALUE!</v>
      </c>
      <c r="AO33" t="e">
        <f>AP32*'Scen Hypothetical vaccine model'!$K33</f>
        <v>#VALUE!</v>
      </c>
      <c r="AP33" s="84" t="e">
        <f t="shared" si="12"/>
        <v>#VALUE!</v>
      </c>
      <c r="AQ33" t="e">
        <f>AS32*'Scen Hypothetical vaccine model'!$J33*HelperFunctions!$R$28</f>
        <v>#VALUE!</v>
      </c>
      <c r="AR33" t="e">
        <f>AS32*'Scen Hypothetical vaccine model'!$K33</f>
        <v>#VALUE!</v>
      </c>
      <c r="AS33" s="84" t="e">
        <f t="shared" si="13"/>
        <v>#VALUE!</v>
      </c>
      <c r="AT33" t="e">
        <f>AV32*'Scen Hypothetical vaccine model'!$J33*HelperFunctions!$R$28</f>
        <v>#VALUE!</v>
      </c>
      <c r="AU33" t="e">
        <f>AV32*'Scen Hypothetical vaccine model'!$K33</f>
        <v>#VALUE!</v>
      </c>
      <c r="AV33" s="84" t="e">
        <f t="shared" si="14"/>
        <v>#VALUE!</v>
      </c>
      <c r="AW33" t="e">
        <f>AY32*'Scen Hypothetical vaccine model'!$J33*HelperFunctions!$R$28</f>
        <v>#VALUE!</v>
      </c>
      <c r="AX33" t="e">
        <f>AY32*'Scen Hypothetical vaccine model'!$K33</f>
        <v>#VALUE!</v>
      </c>
      <c r="AY33" s="84" t="e">
        <f t="shared" si="15"/>
        <v>#VALUE!</v>
      </c>
      <c r="AZ33" t="e">
        <f>BB32*'Scen Hypothetical vaccine model'!$J33*HelperFunctions!$R$28</f>
        <v>#VALUE!</v>
      </c>
      <c r="BA33" t="e">
        <f>BB32*'Scen Hypothetical vaccine model'!$K33</f>
        <v>#VALUE!</v>
      </c>
      <c r="BB33" s="84" t="e">
        <f t="shared" si="16"/>
        <v>#VALUE!</v>
      </c>
      <c r="BC33" t="e">
        <f>BE32*'Scen Hypothetical vaccine model'!$J33*HelperFunctions!$R$28</f>
        <v>#VALUE!</v>
      </c>
      <c r="BD33" t="e">
        <f>BE32*'Scen Hypothetical vaccine model'!$K33</f>
        <v>#VALUE!</v>
      </c>
      <c r="BE33" s="84" t="e">
        <f t="shared" si="17"/>
        <v>#VALUE!</v>
      </c>
      <c r="BF33" t="e">
        <f>BH32*'Scen Hypothetical vaccine model'!$J33*HelperFunctions!$R27</f>
        <v>#VALUE!</v>
      </c>
      <c r="BG33" t="e">
        <f>BH32*'Scen Hypothetical vaccine model'!$K33</f>
        <v>#VALUE!</v>
      </c>
      <c r="BH33" s="84" t="e">
        <f t="shared" si="18"/>
        <v>#VALUE!</v>
      </c>
      <c r="BI33" t="e">
        <f>BK32*'Scen Hypothetical vaccine model'!$J33*HelperFunctions!$R26</f>
        <v>#VALUE!</v>
      </c>
      <c r="BJ33" t="e">
        <f>BK32*'Scen Hypothetical vaccine model'!$K33</f>
        <v>#VALUE!</v>
      </c>
      <c r="BK33" s="84" t="e">
        <f t="shared" si="19"/>
        <v>#VALUE!</v>
      </c>
      <c r="BL33" t="e">
        <f>BN32*'Scen Hypothetical vaccine model'!$J33*HelperFunctions!$R25</f>
        <v>#VALUE!</v>
      </c>
      <c r="BM33" t="e">
        <f>BN32*'Scen Hypothetical vaccine model'!$K33</f>
        <v>#VALUE!</v>
      </c>
      <c r="BN33" s="84" t="e">
        <f t="shared" si="20"/>
        <v>#VALUE!</v>
      </c>
      <c r="BO33" t="e">
        <f>BQ32*'Scen Hypothetical vaccine model'!$J33*HelperFunctions!$R24</f>
        <v>#VALUE!</v>
      </c>
      <c r="BP33" t="e">
        <f>BQ32*'Scen Hypothetical vaccine model'!$K33</f>
        <v>#VALUE!</v>
      </c>
      <c r="BQ33" s="84" t="e">
        <f t="shared" si="21"/>
        <v>#VALUE!</v>
      </c>
      <c r="BR33" t="e">
        <f>BT32*'Scen Hypothetical vaccine model'!$J33*HelperFunctions!$R23</f>
        <v>#VALUE!</v>
      </c>
      <c r="BS33" t="e">
        <f>BT32*'Scen Hypothetical vaccine model'!$K33</f>
        <v>#VALUE!</v>
      </c>
      <c r="BT33" s="84" t="e">
        <f t="shared" si="22"/>
        <v>#VALUE!</v>
      </c>
      <c r="BU33" t="e">
        <f>BW32*'Scen Hypothetical vaccine model'!$J33*HelperFunctions!$R22</f>
        <v>#VALUE!</v>
      </c>
      <c r="BV33" t="e">
        <f>BW32*'Scen Hypothetical vaccine model'!$K33</f>
        <v>#VALUE!</v>
      </c>
      <c r="BW33" s="84" t="e">
        <f t="shared" si="23"/>
        <v>#VALUE!</v>
      </c>
      <c r="BX33" t="e">
        <f>BZ32*'Scen Hypothetical vaccine model'!$J33*HelperFunctions!$R35</f>
        <v>#VALUE!</v>
      </c>
      <c r="BY33" t="e">
        <f>BZ32*'Scen Hypothetical vaccine model'!$K33</f>
        <v>#VALUE!</v>
      </c>
      <c r="BZ33" s="84" t="e">
        <f t="shared" si="24"/>
        <v>#VALUE!</v>
      </c>
      <c r="CA33" t="e">
        <f>CC32*'Scen Hypothetical vaccine model'!$J33*HelperFunctions!$R34</f>
        <v>#VALUE!</v>
      </c>
      <c r="CB33" t="e">
        <f>CC32*'Scen Hypothetical vaccine model'!$K33</f>
        <v>#VALUE!</v>
      </c>
      <c r="CC33" s="84" t="e">
        <f t="shared" si="25"/>
        <v>#VALUE!</v>
      </c>
      <c r="CD33" t="e">
        <f>CF32*'Scen Hypothetical vaccine model'!$J33*HelperFunctions!$R33</f>
        <v>#VALUE!</v>
      </c>
      <c r="CE33" t="e">
        <f>CF32*'Scen Hypothetical vaccine model'!$K33</f>
        <v>#VALUE!</v>
      </c>
      <c r="CF33" s="84" t="e">
        <f t="shared" si="26"/>
        <v>#VALUE!</v>
      </c>
      <c r="CG33" t="e">
        <f>CI32*'Scen Hypothetical vaccine model'!$J33*HelperFunctions!$R32</f>
        <v>#VALUE!</v>
      </c>
      <c r="CH33" t="e">
        <f>CI32*'Scen Hypothetical vaccine model'!$K33</f>
        <v>#VALUE!</v>
      </c>
      <c r="CI33" s="84" t="e">
        <f t="shared" ref="CI33:CI63" si="27">CI32-CG33-CH33</f>
        <v>#VALUE!</v>
      </c>
      <c r="CJ33" t="e">
        <f>CL32*'Scen Hypothetical vaccine model'!$J33*HelperFunctions!$R31</f>
        <v>#VALUE!</v>
      </c>
      <c r="CK33" t="e">
        <f>CL32*'Scen Hypothetical vaccine model'!$K33</f>
        <v>#VALUE!</v>
      </c>
      <c r="CL33" s="84" t="e">
        <f>CL32-CJ33-CK33</f>
        <v>#VALUE!</v>
      </c>
      <c r="CM33" s="93"/>
      <c r="CN33" s="93"/>
      <c r="CO33" s="84" t="e">
        <f>Export!$N31*'Scen EffectivelyVax'!$A32*(1-HelperFunctions!$G$31)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35">
      <c r="B34">
        <v>2</v>
      </c>
      <c r="C34" t="str">
        <f>Inputs!I54</f>
        <v/>
      </c>
      <c r="D34" t="e">
        <f>F33*'Scen Hypothetical vaccine model'!J34*HelperFunctions!R$14</f>
        <v>#VALUE!</v>
      </c>
      <c r="E34" t="e">
        <f>F33*'Scen Hypothetical vaccine model'!K34</f>
        <v>#VALUE!</v>
      </c>
      <c r="F34" s="84" t="e">
        <f t="shared" si="0"/>
        <v>#VALUE!</v>
      </c>
      <c r="G34" t="e">
        <f>I33*'Scen Hypothetical vaccine model'!$J34*HelperFunctions!$R$14</f>
        <v>#VALUE!</v>
      </c>
      <c r="H34" t="e">
        <f>I33*'Scen Hypothetical vaccine model'!$K34</f>
        <v>#VALUE!</v>
      </c>
      <c r="I34" s="84" t="e">
        <f t="shared" si="1"/>
        <v>#VALUE!</v>
      </c>
      <c r="J34" t="e">
        <f>L33*'Scen Hypothetical vaccine model'!$J34*HelperFunctions!$R$14</f>
        <v>#VALUE!</v>
      </c>
      <c r="K34" t="e">
        <f>L33*'Scen Hypothetical vaccine model'!$K34</f>
        <v>#VALUE!</v>
      </c>
      <c r="L34" s="84" t="e">
        <f t="shared" si="2"/>
        <v>#VALUE!</v>
      </c>
      <c r="M34" t="e">
        <f>O33*'Scen Hypothetical vaccine model'!$J34*HelperFunctions!$R$14</f>
        <v>#VALUE!</v>
      </c>
      <c r="N34" t="e">
        <f>O33*'Scen Hypothetical vaccine model'!$K34</f>
        <v>#VALUE!</v>
      </c>
      <c r="O34" s="84" t="e">
        <f t="shared" si="3"/>
        <v>#VALUE!</v>
      </c>
      <c r="P34" t="e">
        <f>R33*'Scen Hypothetical vaccine model'!$J34*HelperFunctions!$R$14</f>
        <v>#VALUE!</v>
      </c>
      <c r="Q34" t="e">
        <f>R33*'Scen Hypothetical vaccine model'!$K34</f>
        <v>#VALUE!</v>
      </c>
      <c r="R34" s="84" t="e">
        <f t="shared" si="4"/>
        <v>#VALUE!</v>
      </c>
      <c r="S34" t="e">
        <f>U33*'Scen Hypothetical vaccine model'!$J34*HelperFunctions!$R$14</f>
        <v>#VALUE!</v>
      </c>
      <c r="T34" t="e">
        <f>U33*'Scen Hypothetical vaccine model'!$K34</f>
        <v>#VALUE!</v>
      </c>
      <c r="U34" s="84" t="e">
        <f t="shared" si="5"/>
        <v>#VALUE!</v>
      </c>
      <c r="V34" t="e">
        <f>X33*'Scen Hypothetical vaccine model'!$J34*HelperFunctions!$R$14</f>
        <v>#VALUE!</v>
      </c>
      <c r="W34" t="e">
        <f>X33*'Scen Hypothetical vaccine model'!$K34</f>
        <v>#VALUE!</v>
      </c>
      <c r="X34" s="84" t="e">
        <f t="shared" si="6"/>
        <v>#VALUE!</v>
      </c>
      <c r="Y34" t="e">
        <f>AA33*'Scen Hypothetical vaccine model'!$J34*HelperFunctions!$R$14</f>
        <v>#VALUE!</v>
      </c>
      <c r="Z34" t="e">
        <f>AA33*'Scen Hypothetical vaccine model'!$K34</f>
        <v>#VALUE!</v>
      </c>
      <c r="AA34" s="84" t="e">
        <f t="shared" si="7"/>
        <v>#VALUE!</v>
      </c>
      <c r="AB34" t="e">
        <f>AD33*'Scen Hypothetical vaccine model'!$J34*HelperFunctions!$R$14</f>
        <v>#VALUE!</v>
      </c>
      <c r="AC34" t="e">
        <f>AD33*'Scen Hypothetical vaccine model'!$K34</f>
        <v>#VALUE!</v>
      </c>
      <c r="AD34" s="84" t="e">
        <f t="shared" si="8"/>
        <v>#VALUE!</v>
      </c>
      <c r="AE34" t="e">
        <f>AG33*'Scen Hypothetical vaccine model'!$J34*HelperFunctions!$R$14</f>
        <v>#VALUE!</v>
      </c>
      <c r="AF34" t="e">
        <f>AG33*'Scen Hypothetical vaccine model'!$K34</f>
        <v>#VALUE!</v>
      </c>
      <c r="AG34" s="84" t="e">
        <f t="shared" si="9"/>
        <v>#VALUE!</v>
      </c>
      <c r="AH34" t="e">
        <f>AJ33*'Scen Hypothetical vaccine model'!$J34*HelperFunctions!$R$14</f>
        <v>#VALUE!</v>
      </c>
      <c r="AI34" t="e">
        <f>AJ33*'Scen Hypothetical vaccine model'!$K34</f>
        <v>#VALUE!</v>
      </c>
      <c r="AJ34" s="84" t="e">
        <f t="shared" si="10"/>
        <v>#VALUE!</v>
      </c>
      <c r="AK34" t="e">
        <f>AM33*'Scen Hypothetical vaccine model'!$J34*HelperFunctions!$R$14</f>
        <v>#VALUE!</v>
      </c>
      <c r="AL34" t="e">
        <f>AM33*'Scen Hypothetical vaccine model'!$K34</f>
        <v>#VALUE!</v>
      </c>
      <c r="AM34" s="84" t="e">
        <f t="shared" si="11"/>
        <v>#VALUE!</v>
      </c>
      <c r="AN34" t="e">
        <f>AP33*'Scen Hypothetical vaccine model'!$J34*HelperFunctions!$R$28</f>
        <v>#VALUE!</v>
      </c>
      <c r="AO34" t="e">
        <f>AP33*'Scen Hypothetical vaccine model'!$K34</f>
        <v>#VALUE!</v>
      </c>
      <c r="AP34" s="84" t="e">
        <f t="shared" si="12"/>
        <v>#VALUE!</v>
      </c>
      <c r="AQ34" t="e">
        <f>AS33*'Scen Hypothetical vaccine model'!$J34*HelperFunctions!$R$28</f>
        <v>#VALUE!</v>
      </c>
      <c r="AR34" t="e">
        <f>AS33*'Scen Hypothetical vaccine model'!$K34</f>
        <v>#VALUE!</v>
      </c>
      <c r="AS34" s="84" t="e">
        <f t="shared" si="13"/>
        <v>#VALUE!</v>
      </c>
      <c r="AT34" t="e">
        <f>AV33*'Scen Hypothetical vaccine model'!$J34*HelperFunctions!$R$28</f>
        <v>#VALUE!</v>
      </c>
      <c r="AU34" t="e">
        <f>AV33*'Scen Hypothetical vaccine model'!$K34</f>
        <v>#VALUE!</v>
      </c>
      <c r="AV34" s="84" t="e">
        <f t="shared" si="14"/>
        <v>#VALUE!</v>
      </c>
      <c r="AW34" t="e">
        <f>AY33*'Scen Hypothetical vaccine model'!$J34*HelperFunctions!$R$28</f>
        <v>#VALUE!</v>
      </c>
      <c r="AX34" t="e">
        <f>AY33*'Scen Hypothetical vaccine model'!$K34</f>
        <v>#VALUE!</v>
      </c>
      <c r="AY34" s="84" t="e">
        <f t="shared" si="15"/>
        <v>#VALUE!</v>
      </c>
      <c r="AZ34" t="e">
        <f>BB33*'Scen Hypothetical vaccine model'!$J34*HelperFunctions!$R$28</f>
        <v>#VALUE!</v>
      </c>
      <c r="BA34" t="e">
        <f>BB33*'Scen Hypothetical vaccine model'!$K34</f>
        <v>#VALUE!</v>
      </c>
      <c r="BB34" s="84" t="e">
        <f t="shared" si="16"/>
        <v>#VALUE!</v>
      </c>
      <c r="BC34" t="e">
        <f>BE33*'Scen Hypothetical vaccine model'!$J34*HelperFunctions!$R$28</f>
        <v>#VALUE!</v>
      </c>
      <c r="BD34" t="e">
        <f>BE33*'Scen Hypothetical vaccine model'!$K34</f>
        <v>#VALUE!</v>
      </c>
      <c r="BE34" s="84" t="e">
        <f t="shared" si="17"/>
        <v>#VALUE!</v>
      </c>
      <c r="BF34" t="e">
        <f>BH33*'Scen Hypothetical vaccine model'!$J34*HelperFunctions!$R$28</f>
        <v>#VALUE!</v>
      </c>
      <c r="BG34" t="e">
        <f>BH33*'Scen Hypothetical vaccine model'!$K34</f>
        <v>#VALUE!</v>
      </c>
      <c r="BH34" s="84" t="e">
        <f t="shared" si="18"/>
        <v>#VALUE!</v>
      </c>
      <c r="BI34" t="e">
        <f>BK33*'Scen Hypothetical vaccine model'!$J34*HelperFunctions!$R27</f>
        <v>#VALUE!</v>
      </c>
      <c r="BJ34" t="e">
        <f>BK33*'Scen Hypothetical vaccine model'!$K34</f>
        <v>#VALUE!</v>
      </c>
      <c r="BK34" s="84" t="e">
        <f t="shared" si="19"/>
        <v>#VALUE!</v>
      </c>
      <c r="BL34" t="e">
        <f>BN33*'Scen Hypothetical vaccine model'!$J34*HelperFunctions!$R26</f>
        <v>#VALUE!</v>
      </c>
      <c r="BM34" t="e">
        <f>BN33*'Scen Hypothetical vaccine model'!$K34</f>
        <v>#VALUE!</v>
      </c>
      <c r="BN34" s="84" t="e">
        <f t="shared" si="20"/>
        <v>#VALUE!</v>
      </c>
      <c r="BO34" t="e">
        <f>BQ33*'Scen Hypothetical vaccine model'!$J34*HelperFunctions!$R25</f>
        <v>#VALUE!</v>
      </c>
      <c r="BP34" t="e">
        <f>BQ33*'Scen Hypothetical vaccine model'!$K34</f>
        <v>#VALUE!</v>
      </c>
      <c r="BQ34" s="84" t="e">
        <f t="shared" si="21"/>
        <v>#VALUE!</v>
      </c>
      <c r="BR34" t="e">
        <f>BT33*'Scen Hypothetical vaccine model'!$J34*HelperFunctions!$R24</f>
        <v>#VALUE!</v>
      </c>
      <c r="BS34" t="e">
        <f>BT33*'Scen Hypothetical vaccine model'!$K34</f>
        <v>#VALUE!</v>
      </c>
      <c r="BT34" s="84" t="e">
        <f t="shared" si="22"/>
        <v>#VALUE!</v>
      </c>
      <c r="BU34" t="e">
        <f>BW33*'Scen Hypothetical vaccine model'!$J34*HelperFunctions!$R23</f>
        <v>#VALUE!</v>
      </c>
      <c r="BV34" t="e">
        <f>BW33*'Scen Hypothetical vaccine model'!$K34</f>
        <v>#VALUE!</v>
      </c>
      <c r="BW34" s="84" t="e">
        <f t="shared" si="23"/>
        <v>#VALUE!</v>
      </c>
      <c r="BX34" t="e">
        <f>BZ33*'Scen Hypothetical vaccine model'!$J34*HelperFunctions!$R36</f>
        <v>#VALUE!</v>
      </c>
      <c r="BY34" t="e">
        <f>BZ33*'Scen Hypothetical vaccine model'!$K34</f>
        <v>#VALUE!</v>
      </c>
      <c r="BZ34" s="84" t="e">
        <f t="shared" si="24"/>
        <v>#VALUE!</v>
      </c>
      <c r="CA34" t="e">
        <f>CC33*'Scen Hypothetical vaccine model'!$J34*HelperFunctions!$R35</f>
        <v>#VALUE!</v>
      </c>
      <c r="CB34" t="e">
        <f>CC33*'Scen Hypothetical vaccine model'!$K34</f>
        <v>#VALUE!</v>
      </c>
      <c r="CC34" s="84" t="e">
        <f t="shared" si="25"/>
        <v>#VALUE!</v>
      </c>
      <c r="CD34" t="e">
        <f>CF33*'Scen Hypothetical vaccine model'!$J34*HelperFunctions!$R34</f>
        <v>#VALUE!</v>
      </c>
      <c r="CE34" t="e">
        <f>CF33*'Scen Hypothetical vaccine model'!$K34</f>
        <v>#VALUE!</v>
      </c>
      <c r="CF34" s="84" t="e">
        <f t="shared" si="26"/>
        <v>#VALUE!</v>
      </c>
      <c r="CG34" t="e">
        <f>CI33*'Scen Hypothetical vaccine model'!$J34*HelperFunctions!$R33</f>
        <v>#VALUE!</v>
      </c>
      <c r="CH34" t="e">
        <f>CI33*'Scen Hypothetical vaccine model'!$K34</f>
        <v>#VALUE!</v>
      </c>
      <c r="CI34" s="84" t="e">
        <f t="shared" si="27"/>
        <v>#VALUE!</v>
      </c>
      <c r="CJ34" t="e">
        <f>CL33*'Scen Hypothetical vaccine model'!$J34*HelperFunctions!$R32</f>
        <v>#VALUE!</v>
      </c>
      <c r="CK34" t="e">
        <f>CL33*'Scen Hypothetical vaccine model'!$K34</f>
        <v>#VALUE!</v>
      </c>
      <c r="CL34" s="84" t="e">
        <f t="shared" ref="CL34:CL63" si="28">CL33-CJ34-CK34</f>
        <v>#VALUE!</v>
      </c>
      <c r="CM34" t="e">
        <f>CO33*'Scen Hypothetical vaccine model'!$J34*HelperFunctions!$R31</f>
        <v>#VALUE!</v>
      </c>
      <c r="CN34" t="e">
        <f>CO33*'Scen Hypothetical vaccine model'!$K34</f>
        <v>#VALUE!</v>
      </c>
      <c r="CO34" s="84" t="e">
        <f>CO33-CM34-CN34</f>
        <v>#VALUE!</v>
      </c>
      <c r="CP34" s="93"/>
      <c r="CQ34" s="93"/>
      <c r="CR34" s="84" t="e">
        <f>Export!$N32*'Scen EffectivelyVax'!$A33*(1-HelperFunctions!$G$31)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35">
      <c r="B35">
        <v>2</v>
      </c>
      <c r="C35" t="str">
        <f>Inputs!I55</f>
        <v/>
      </c>
      <c r="D35" t="e">
        <f>F34*'Scen Hypothetical vaccine model'!J35*HelperFunctions!R$14</f>
        <v>#VALUE!</v>
      </c>
      <c r="E35" t="e">
        <f>F34*'Scen Hypothetical vaccine model'!K35</f>
        <v>#VALUE!</v>
      </c>
      <c r="F35" s="84" t="e">
        <f t="shared" si="0"/>
        <v>#VALUE!</v>
      </c>
      <c r="G35" t="e">
        <f>I34*'Scen Hypothetical vaccine model'!$J35*HelperFunctions!$R$14</f>
        <v>#VALUE!</v>
      </c>
      <c r="H35" t="e">
        <f>I34*'Scen Hypothetical vaccine model'!$K35</f>
        <v>#VALUE!</v>
      </c>
      <c r="I35" s="84" t="e">
        <f t="shared" si="1"/>
        <v>#VALUE!</v>
      </c>
      <c r="J35" t="e">
        <f>L34*'Scen Hypothetical vaccine model'!$J35*HelperFunctions!$R$14</f>
        <v>#VALUE!</v>
      </c>
      <c r="K35" t="e">
        <f>L34*'Scen Hypothetical vaccine model'!$K35</f>
        <v>#VALUE!</v>
      </c>
      <c r="L35" s="84" t="e">
        <f t="shared" si="2"/>
        <v>#VALUE!</v>
      </c>
      <c r="M35" t="e">
        <f>O34*'Scen Hypothetical vaccine model'!$J35*HelperFunctions!$R$14</f>
        <v>#VALUE!</v>
      </c>
      <c r="N35" t="e">
        <f>O34*'Scen Hypothetical vaccine model'!$K35</f>
        <v>#VALUE!</v>
      </c>
      <c r="O35" s="84" t="e">
        <f t="shared" si="3"/>
        <v>#VALUE!</v>
      </c>
      <c r="P35" t="e">
        <f>R34*'Scen Hypothetical vaccine model'!$J35*HelperFunctions!$R$14</f>
        <v>#VALUE!</v>
      </c>
      <c r="Q35" t="e">
        <f>R34*'Scen Hypothetical vaccine model'!$K35</f>
        <v>#VALUE!</v>
      </c>
      <c r="R35" s="84" t="e">
        <f t="shared" si="4"/>
        <v>#VALUE!</v>
      </c>
      <c r="S35" t="e">
        <f>U34*'Scen Hypothetical vaccine model'!$J35*HelperFunctions!$R$14</f>
        <v>#VALUE!</v>
      </c>
      <c r="T35" t="e">
        <f>U34*'Scen Hypothetical vaccine model'!$K35</f>
        <v>#VALUE!</v>
      </c>
      <c r="U35" s="84" t="e">
        <f t="shared" si="5"/>
        <v>#VALUE!</v>
      </c>
      <c r="V35" t="e">
        <f>X34*'Scen Hypothetical vaccine model'!$J35*HelperFunctions!$R$14</f>
        <v>#VALUE!</v>
      </c>
      <c r="W35" t="e">
        <f>X34*'Scen Hypothetical vaccine model'!$K35</f>
        <v>#VALUE!</v>
      </c>
      <c r="X35" s="84" t="e">
        <f t="shared" si="6"/>
        <v>#VALUE!</v>
      </c>
      <c r="Y35" t="e">
        <f>AA34*'Scen Hypothetical vaccine model'!$J35*HelperFunctions!$R$14</f>
        <v>#VALUE!</v>
      </c>
      <c r="Z35" t="e">
        <f>AA34*'Scen Hypothetical vaccine model'!$K35</f>
        <v>#VALUE!</v>
      </c>
      <c r="AA35" s="84" t="e">
        <f t="shared" si="7"/>
        <v>#VALUE!</v>
      </c>
      <c r="AB35" t="e">
        <f>AD34*'Scen Hypothetical vaccine model'!$J35*HelperFunctions!$R$14</f>
        <v>#VALUE!</v>
      </c>
      <c r="AC35" t="e">
        <f>AD34*'Scen Hypothetical vaccine model'!$K35</f>
        <v>#VALUE!</v>
      </c>
      <c r="AD35" s="84" t="e">
        <f t="shared" si="8"/>
        <v>#VALUE!</v>
      </c>
      <c r="AE35" t="e">
        <f>AG34*'Scen Hypothetical vaccine model'!$J35*HelperFunctions!$R$14</f>
        <v>#VALUE!</v>
      </c>
      <c r="AF35" t="e">
        <f>AG34*'Scen Hypothetical vaccine model'!$K35</f>
        <v>#VALUE!</v>
      </c>
      <c r="AG35" s="84" t="e">
        <f t="shared" si="9"/>
        <v>#VALUE!</v>
      </c>
      <c r="AH35" t="e">
        <f>AJ34*'Scen Hypothetical vaccine model'!$J35*HelperFunctions!$R$14</f>
        <v>#VALUE!</v>
      </c>
      <c r="AI35" t="e">
        <f>AJ34*'Scen Hypothetical vaccine model'!$K35</f>
        <v>#VALUE!</v>
      </c>
      <c r="AJ35" s="84" t="e">
        <f t="shared" si="10"/>
        <v>#VALUE!</v>
      </c>
      <c r="AK35" t="e">
        <f>AM34*'Scen Hypothetical vaccine model'!$J35*HelperFunctions!$R$14</f>
        <v>#VALUE!</v>
      </c>
      <c r="AL35" t="e">
        <f>AM34*'Scen Hypothetical vaccine model'!$K35</f>
        <v>#VALUE!</v>
      </c>
      <c r="AM35" s="84" t="e">
        <f t="shared" si="11"/>
        <v>#VALUE!</v>
      </c>
      <c r="AN35" t="e">
        <f>AP34*'Scen Hypothetical vaccine model'!$J35*HelperFunctions!$R$28</f>
        <v>#VALUE!</v>
      </c>
      <c r="AO35" t="e">
        <f>AP34*'Scen Hypothetical vaccine model'!$K35</f>
        <v>#VALUE!</v>
      </c>
      <c r="AP35" s="84" t="e">
        <f t="shared" si="12"/>
        <v>#VALUE!</v>
      </c>
      <c r="AQ35" t="e">
        <f>AS34*'Scen Hypothetical vaccine model'!$J35*HelperFunctions!$R$28</f>
        <v>#VALUE!</v>
      </c>
      <c r="AR35" t="e">
        <f>AS34*'Scen Hypothetical vaccine model'!$K35</f>
        <v>#VALUE!</v>
      </c>
      <c r="AS35" s="84" t="e">
        <f t="shared" si="13"/>
        <v>#VALUE!</v>
      </c>
      <c r="AT35" t="e">
        <f>AV34*'Scen Hypothetical vaccine model'!$J35*HelperFunctions!$R$28</f>
        <v>#VALUE!</v>
      </c>
      <c r="AU35" t="e">
        <f>AV34*'Scen Hypothetical vaccine model'!$K35</f>
        <v>#VALUE!</v>
      </c>
      <c r="AV35" s="84" t="e">
        <f t="shared" si="14"/>
        <v>#VALUE!</v>
      </c>
      <c r="AW35" t="e">
        <f>AY34*'Scen Hypothetical vaccine model'!$J35*HelperFunctions!$R$28</f>
        <v>#VALUE!</v>
      </c>
      <c r="AX35" t="e">
        <f>AY34*'Scen Hypothetical vaccine model'!$K35</f>
        <v>#VALUE!</v>
      </c>
      <c r="AY35" s="84" t="e">
        <f t="shared" si="15"/>
        <v>#VALUE!</v>
      </c>
      <c r="AZ35" t="e">
        <f>BB34*'Scen Hypothetical vaccine model'!$J35*HelperFunctions!$R$28</f>
        <v>#VALUE!</v>
      </c>
      <c r="BA35" t="e">
        <f>BB34*'Scen Hypothetical vaccine model'!$K35</f>
        <v>#VALUE!</v>
      </c>
      <c r="BB35" s="84" t="e">
        <f t="shared" si="16"/>
        <v>#VALUE!</v>
      </c>
      <c r="BC35" t="e">
        <f>BE34*'Scen Hypothetical vaccine model'!$J35*HelperFunctions!$R$28</f>
        <v>#VALUE!</v>
      </c>
      <c r="BD35" t="e">
        <f>BE34*'Scen Hypothetical vaccine model'!$K35</f>
        <v>#VALUE!</v>
      </c>
      <c r="BE35" s="84" t="e">
        <f t="shared" si="17"/>
        <v>#VALUE!</v>
      </c>
      <c r="BF35" t="e">
        <f>BH34*'Scen Hypothetical vaccine model'!$J35*HelperFunctions!$R$28</f>
        <v>#VALUE!</v>
      </c>
      <c r="BG35" t="e">
        <f>BH34*'Scen Hypothetical vaccine model'!$K35</f>
        <v>#VALUE!</v>
      </c>
      <c r="BH35" s="84" t="e">
        <f t="shared" si="18"/>
        <v>#VALUE!</v>
      </c>
      <c r="BI35" t="e">
        <f>BK34*'Scen Hypothetical vaccine model'!$J35*HelperFunctions!$R$28</f>
        <v>#VALUE!</v>
      </c>
      <c r="BJ35" t="e">
        <f>BK34*'Scen Hypothetical vaccine model'!$K35</f>
        <v>#VALUE!</v>
      </c>
      <c r="BK35" s="84" t="e">
        <f t="shared" si="19"/>
        <v>#VALUE!</v>
      </c>
      <c r="BL35" t="e">
        <f>BN34*'Scen Hypothetical vaccine model'!$J35*HelperFunctions!$R27</f>
        <v>#VALUE!</v>
      </c>
      <c r="BM35" t="e">
        <f>BN34*'Scen Hypothetical vaccine model'!$K35</f>
        <v>#VALUE!</v>
      </c>
      <c r="BN35" s="84" t="e">
        <f t="shared" si="20"/>
        <v>#VALUE!</v>
      </c>
      <c r="BO35" t="e">
        <f>BQ34*'Scen Hypothetical vaccine model'!$J35*HelperFunctions!$R26</f>
        <v>#VALUE!</v>
      </c>
      <c r="BP35" t="e">
        <f>BQ34*'Scen Hypothetical vaccine model'!$K35</f>
        <v>#VALUE!</v>
      </c>
      <c r="BQ35" s="84" t="e">
        <f t="shared" si="21"/>
        <v>#VALUE!</v>
      </c>
      <c r="BR35" t="e">
        <f>BT34*'Scen Hypothetical vaccine model'!$J35*HelperFunctions!$R25</f>
        <v>#VALUE!</v>
      </c>
      <c r="BS35" t="e">
        <f>BT34*'Scen Hypothetical vaccine model'!$K35</f>
        <v>#VALUE!</v>
      </c>
      <c r="BT35" s="84" t="e">
        <f t="shared" si="22"/>
        <v>#VALUE!</v>
      </c>
      <c r="BU35" t="e">
        <f>BW34*'Scen Hypothetical vaccine model'!$J35*HelperFunctions!$R24</f>
        <v>#VALUE!</v>
      </c>
      <c r="BV35" t="e">
        <f>BW34*'Scen Hypothetical vaccine model'!$K35</f>
        <v>#VALUE!</v>
      </c>
      <c r="BW35" s="84" t="e">
        <f t="shared" si="23"/>
        <v>#VALUE!</v>
      </c>
      <c r="BX35" t="e">
        <f>BZ34*'Scen Hypothetical vaccine model'!$J35*HelperFunctions!$R37</f>
        <v>#VALUE!</v>
      </c>
      <c r="BY35" t="e">
        <f>BZ34*'Scen Hypothetical vaccine model'!$K35</f>
        <v>#VALUE!</v>
      </c>
      <c r="BZ35" s="84" t="e">
        <f t="shared" si="24"/>
        <v>#VALUE!</v>
      </c>
      <c r="CA35" t="e">
        <f>CC34*'Scen Hypothetical vaccine model'!$J35*HelperFunctions!$R36</f>
        <v>#VALUE!</v>
      </c>
      <c r="CB35" t="e">
        <f>CC34*'Scen Hypothetical vaccine model'!$K35</f>
        <v>#VALUE!</v>
      </c>
      <c r="CC35" s="84" t="e">
        <f t="shared" si="25"/>
        <v>#VALUE!</v>
      </c>
      <c r="CD35" t="e">
        <f>CF34*'Scen Hypothetical vaccine model'!$J35*HelperFunctions!$R35</f>
        <v>#VALUE!</v>
      </c>
      <c r="CE35" t="e">
        <f>CF34*'Scen Hypothetical vaccine model'!$K35</f>
        <v>#VALUE!</v>
      </c>
      <c r="CF35" s="84" t="e">
        <f t="shared" si="26"/>
        <v>#VALUE!</v>
      </c>
      <c r="CG35" t="e">
        <f>CI34*'Scen Hypothetical vaccine model'!$J35*HelperFunctions!$R34</f>
        <v>#VALUE!</v>
      </c>
      <c r="CH35" t="e">
        <f>CI34*'Scen Hypothetical vaccine model'!$K35</f>
        <v>#VALUE!</v>
      </c>
      <c r="CI35" s="84" t="e">
        <f t="shared" si="27"/>
        <v>#VALUE!</v>
      </c>
      <c r="CJ35" t="e">
        <f>CL34*'Scen Hypothetical vaccine model'!$J35*HelperFunctions!$R33</f>
        <v>#VALUE!</v>
      </c>
      <c r="CK35" t="e">
        <f>CL34*'Scen Hypothetical vaccine model'!$K35</f>
        <v>#VALUE!</v>
      </c>
      <c r="CL35" s="84" t="e">
        <f t="shared" si="28"/>
        <v>#VALUE!</v>
      </c>
      <c r="CM35" t="e">
        <f>CO34*'Scen Hypothetical vaccine model'!$J35*HelperFunctions!$R32</f>
        <v>#VALUE!</v>
      </c>
      <c r="CN35" t="e">
        <f>CO34*'Scen Hypothetical vaccine model'!$K35</f>
        <v>#VALUE!</v>
      </c>
      <c r="CO35" s="84" t="e">
        <f t="shared" ref="CO35:CO63" si="29">CO34-CM35-CN35</f>
        <v>#VALUE!</v>
      </c>
      <c r="CP35" t="e">
        <f>CR34*'Scen Hypothetical vaccine model'!$J35*HelperFunctions!$R31</f>
        <v>#VALUE!</v>
      </c>
      <c r="CQ35" t="e">
        <f>CR34*'Scen Hypothetical vaccine model'!$K35</f>
        <v>#VALUE!</v>
      </c>
      <c r="CR35" s="84" t="e">
        <f>CR34-CP35-CQ35</f>
        <v>#VALUE!</v>
      </c>
      <c r="CS35" s="93"/>
      <c r="CT35" s="93"/>
      <c r="CU35" s="84" t="e">
        <f>Export!$N33*'Scen EffectivelyVax'!$A34*(1-HelperFunctions!$G$31)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35">
      <c r="B36">
        <v>2</v>
      </c>
      <c r="C36" t="str">
        <f>Inputs!I56</f>
        <v/>
      </c>
      <c r="D36" t="e">
        <f>F35*'Scen Hypothetical vaccine model'!J36*HelperFunctions!R$14</f>
        <v>#VALUE!</v>
      </c>
      <c r="E36" t="e">
        <f>F35*'Scen Hypothetical vaccine model'!K36</f>
        <v>#VALUE!</v>
      </c>
      <c r="F36" s="84" t="e">
        <f t="shared" si="0"/>
        <v>#VALUE!</v>
      </c>
      <c r="G36" t="e">
        <f>I35*'Scen Hypothetical vaccine model'!$J36*HelperFunctions!$R$14</f>
        <v>#VALUE!</v>
      </c>
      <c r="H36" t="e">
        <f>I35*'Scen Hypothetical vaccine model'!$K36</f>
        <v>#VALUE!</v>
      </c>
      <c r="I36" s="84" t="e">
        <f t="shared" si="1"/>
        <v>#VALUE!</v>
      </c>
      <c r="J36" t="e">
        <f>L35*'Scen Hypothetical vaccine model'!$J36*HelperFunctions!$R$14</f>
        <v>#VALUE!</v>
      </c>
      <c r="K36" t="e">
        <f>L35*'Scen Hypothetical vaccine model'!$K36</f>
        <v>#VALUE!</v>
      </c>
      <c r="L36" s="84" t="e">
        <f t="shared" si="2"/>
        <v>#VALUE!</v>
      </c>
      <c r="M36" t="e">
        <f>O35*'Scen Hypothetical vaccine model'!$J36*HelperFunctions!$R$14</f>
        <v>#VALUE!</v>
      </c>
      <c r="N36" t="e">
        <f>O35*'Scen Hypothetical vaccine model'!$K36</f>
        <v>#VALUE!</v>
      </c>
      <c r="O36" s="84" t="e">
        <f t="shared" si="3"/>
        <v>#VALUE!</v>
      </c>
      <c r="P36" t="e">
        <f>R35*'Scen Hypothetical vaccine model'!$J36*HelperFunctions!$R$14</f>
        <v>#VALUE!</v>
      </c>
      <c r="Q36" t="e">
        <f>R35*'Scen Hypothetical vaccine model'!$K36</f>
        <v>#VALUE!</v>
      </c>
      <c r="R36" s="84" t="e">
        <f t="shared" si="4"/>
        <v>#VALUE!</v>
      </c>
      <c r="S36" t="e">
        <f>U35*'Scen Hypothetical vaccine model'!$J36*HelperFunctions!$R$14</f>
        <v>#VALUE!</v>
      </c>
      <c r="T36" t="e">
        <f>U35*'Scen Hypothetical vaccine model'!$K36</f>
        <v>#VALUE!</v>
      </c>
      <c r="U36" s="84" t="e">
        <f t="shared" si="5"/>
        <v>#VALUE!</v>
      </c>
      <c r="V36" t="e">
        <f>X35*'Scen Hypothetical vaccine model'!$J36*HelperFunctions!$R$14</f>
        <v>#VALUE!</v>
      </c>
      <c r="W36" t="e">
        <f>X35*'Scen Hypothetical vaccine model'!$K36</f>
        <v>#VALUE!</v>
      </c>
      <c r="X36" s="84" t="e">
        <f t="shared" si="6"/>
        <v>#VALUE!</v>
      </c>
      <c r="Y36" t="e">
        <f>AA35*'Scen Hypothetical vaccine model'!$J36*HelperFunctions!$R$14</f>
        <v>#VALUE!</v>
      </c>
      <c r="Z36" t="e">
        <f>AA35*'Scen Hypothetical vaccine model'!$K36</f>
        <v>#VALUE!</v>
      </c>
      <c r="AA36" s="84" t="e">
        <f t="shared" si="7"/>
        <v>#VALUE!</v>
      </c>
      <c r="AB36" t="e">
        <f>AD35*'Scen Hypothetical vaccine model'!$J36*HelperFunctions!$R$14</f>
        <v>#VALUE!</v>
      </c>
      <c r="AC36" t="e">
        <f>AD35*'Scen Hypothetical vaccine model'!$K36</f>
        <v>#VALUE!</v>
      </c>
      <c r="AD36" s="84" t="e">
        <f t="shared" si="8"/>
        <v>#VALUE!</v>
      </c>
      <c r="AE36" t="e">
        <f>AG35*'Scen Hypothetical vaccine model'!$J36*HelperFunctions!$R$14</f>
        <v>#VALUE!</v>
      </c>
      <c r="AF36" t="e">
        <f>AG35*'Scen Hypothetical vaccine model'!$K36</f>
        <v>#VALUE!</v>
      </c>
      <c r="AG36" s="84" t="e">
        <f t="shared" si="9"/>
        <v>#VALUE!</v>
      </c>
      <c r="AH36" t="e">
        <f>AJ35*'Scen Hypothetical vaccine model'!$J36*HelperFunctions!$R$14</f>
        <v>#VALUE!</v>
      </c>
      <c r="AI36" t="e">
        <f>AJ35*'Scen Hypothetical vaccine model'!$K36</f>
        <v>#VALUE!</v>
      </c>
      <c r="AJ36" s="84" t="e">
        <f t="shared" si="10"/>
        <v>#VALUE!</v>
      </c>
      <c r="AK36" t="e">
        <f>AM35*'Scen Hypothetical vaccine model'!$J36*HelperFunctions!$R$14</f>
        <v>#VALUE!</v>
      </c>
      <c r="AL36" t="e">
        <f>AM35*'Scen Hypothetical vaccine model'!$K36</f>
        <v>#VALUE!</v>
      </c>
      <c r="AM36" s="84" t="e">
        <f t="shared" si="11"/>
        <v>#VALUE!</v>
      </c>
      <c r="AN36" t="e">
        <f>AP35*'Scen Hypothetical vaccine model'!$J36*HelperFunctions!$R$28</f>
        <v>#VALUE!</v>
      </c>
      <c r="AO36" t="e">
        <f>AP35*'Scen Hypothetical vaccine model'!$K36</f>
        <v>#VALUE!</v>
      </c>
      <c r="AP36" s="84" t="e">
        <f t="shared" si="12"/>
        <v>#VALUE!</v>
      </c>
      <c r="AQ36" t="e">
        <f>AS35*'Scen Hypothetical vaccine model'!$J36*HelperFunctions!$R$28</f>
        <v>#VALUE!</v>
      </c>
      <c r="AR36" t="e">
        <f>AS35*'Scen Hypothetical vaccine model'!$K36</f>
        <v>#VALUE!</v>
      </c>
      <c r="AS36" s="84" t="e">
        <f t="shared" si="13"/>
        <v>#VALUE!</v>
      </c>
      <c r="AT36" t="e">
        <f>AV35*'Scen Hypothetical vaccine model'!$J36*HelperFunctions!$R$28</f>
        <v>#VALUE!</v>
      </c>
      <c r="AU36" t="e">
        <f>AV35*'Scen Hypothetical vaccine model'!$K36</f>
        <v>#VALUE!</v>
      </c>
      <c r="AV36" s="84" t="e">
        <f t="shared" si="14"/>
        <v>#VALUE!</v>
      </c>
      <c r="AW36" t="e">
        <f>AY35*'Scen Hypothetical vaccine model'!$J36*HelperFunctions!$R$28</f>
        <v>#VALUE!</v>
      </c>
      <c r="AX36" t="e">
        <f>AY35*'Scen Hypothetical vaccine model'!$K36</f>
        <v>#VALUE!</v>
      </c>
      <c r="AY36" s="84" t="e">
        <f t="shared" si="15"/>
        <v>#VALUE!</v>
      </c>
      <c r="AZ36" t="e">
        <f>BB35*'Scen Hypothetical vaccine model'!$J36*HelperFunctions!$R$28</f>
        <v>#VALUE!</v>
      </c>
      <c r="BA36" t="e">
        <f>BB35*'Scen Hypothetical vaccine model'!$K36</f>
        <v>#VALUE!</v>
      </c>
      <c r="BB36" s="84" t="e">
        <f t="shared" si="16"/>
        <v>#VALUE!</v>
      </c>
      <c r="BC36" t="e">
        <f>BE35*'Scen Hypothetical vaccine model'!$J36*HelperFunctions!$R$28</f>
        <v>#VALUE!</v>
      </c>
      <c r="BD36" t="e">
        <f>BE35*'Scen Hypothetical vaccine model'!$K36</f>
        <v>#VALUE!</v>
      </c>
      <c r="BE36" s="84" t="e">
        <f t="shared" si="17"/>
        <v>#VALUE!</v>
      </c>
      <c r="BF36" t="e">
        <f>BH35*'Scen Hypothetical vaccine model'!$J36*HelperFunctions!$R$28</f>
        <v>#VALUE!</v>
      </c>
      <c r="BG36" t="e">
        <f>BH35*'Scen Hypothetical vaccine model'!$K36</f>
        <v>#VALUE!</v>
      </c>
      <c r="BH36" s="84" t="e">
        <f t="shared" si="18"/>
        <v>#VALUE!</v>
      </c>
      <c r="BI36" t="e">
        <f>BK35*'Scen Hypothetical vaccine model'!$J36*HelperFunctions!$R$28</f>
        <v>#VALUE!</v>
      </c>
      <c r="BJ36" t="e">
        <f>BK35*'Scen Hypothetical vaccine model'!$K36</f>
        <v>#VALUE!</v>
      </c>
      <c r="BK36" s="84" t="e">
        <f t="shared" si="19"/>
        <v>#VALUE!</v>
      </c>
      <c r="BL36" t="e">
        <f>BN35*'Scen Hypothetical vaccine model'!$J36*HelperFunctions!$R$28</f>
        <v>#VALUE!</v>
      </c>
      <c r="BM36" t="e">
        <f>BN35*'Scen Hypothetical vaccine model'!$K36</f>
        <v>#VALUE!</v>
      </c>
      <c r="BN36" s="84" t="e">
        <f t="shared" si="20"/>
        <v>#VALUE!</v>
      </c>
      <c r="BO36" t="e">
        <f>BQ35*'Scen Hypothetical vaccine model'!$J36*HelperFunctions!$R27</f>
        <v>#VALUE!</v>
      </c>
      <c r="BP36" t="e">
        <f>BQ35*'Scen Hypothetical vaccine model'!$K36</f>
        <v>#VALUE!</v>
      </c>
      <c r="BQ36" s="84" t="e">
        <f t="shared" si="21"/>
        <v>#VALUE!</v>
      </c>
      <c r="BR36" t="e">
        <f>BT35*'Scen Hypothetical vaccine model'!$J36*HelperFunctions!$R26</f>
        <v>#VALUE!</v>
      </c>
      <c r="BS36" t="e">
        <f>BT35*'Scen Hypothetical vaccine model'!$K36</f>
        <v>#VALUE!</v>
      </c>
      <c r="BT36" s="84" t="e">
        <f t="shared" si="22"/>
        <v>#VALUE!</v>
      </c>
      <c r="BU36" t="e">
        <f>BW35*'Scen Hypothetical vaccine model'!$J36*HelperFunctions!$R25</f>
        <v>#VALUE!</v>
      </c>
      <c r="BV36" t="e">
        <f>BW35*'Scen Hypothetical vaccine model'!$K36</f>
        <v>#VALUE!</v>
      </c>
      <c r="BW36" s="84" t="e">
        <f t="shared" si="23"/>
        <v>#VALUE!</v>
      </c>
      <c r="BX36" t="e">
        <f>BZ35*'Scen Hypothetical vaccine model'!$J36*HelperFunctions!$R38</f>
        <v>#VALUE!</v>
      </c>
      <c r="BY36" t="e">
        <f>BZ35*'Scen Hypothetical vaccine model'!$K36</f>
        <v>#VALUE!</v>
      </c>
      <c r="BZ36" s="84" t="e">
        <f t="shared" si="24"/>
        <v>#VALUE!</v>
      </c>
      <c r="CA36" t="e">
        <f>CC35*'Scen Hypothetical vaccine model'!$J36*HelperFunctions!$R37</f>
        <v>#VALUE!</v>
      </c>
      <c r="CB36" t="e">
        <f>CC35*'Scen Hypothetical vaccine model'!$K36</f>
        <v>#VALUE!</v>
      </c>
      <c r="CC36" s="84" t="e">
        <f t="shared" si="25"/>
        <v>#VALUE!</v>
      </c>
      <c r="CD36" t="e">
        <f>CF35*'Scen Hypothetical vaccine model'!$J36*HelperFunctions!$R36</f>
        <v>#VALUE!</v>
      </c>
      <c r="CE36" t="e">
        <f>CF35*'Scen Hypothetical vaccine model'!$K36</f>
        <v>#VALUE!</v>
      </c>
      <c r="CF36" s="84" t="e">
        <f t="shared" si="26"/>
        <v>#VALUE!</v>
      </c>
      <c r="CG36" t="e">
        <f>CI35*'Scen Hypothetical vaccine model'!$J36*HelperFunctions!$R35</f>
        <v>#VALUE!</v>
      </c>
      <c r="CH36" t="e">
        <f>CI35*'Scen Hypothetical vaccine model'!$K36</f>
        <v>#VALUE!</v>
      </c>
      <c r="CI36" s="84" t="e">
        <f t="shared" si="27"/>
        <v>#VALUE!</v>
      </c>
      <c r="CJ36" t="e">
        <f>CL35*'Scen Hypothetical vaccine model'!$J36*HelperFunctions!$R34</f>
        <v>#VALUE!</v>
      </c>
      <c r="CK36" t="e">
        <f>CL35*'Scen Hypothetical vaccine model'!$K36</f>
        <v>#VALUE!</v>
      </c>
      <c r="CL36" s="84" t="e">
        <f t="shared" si="28"/>
        <v>#VALUE!</v>
      </c>
      <c r="CM36" t="e">
        <f>CO35*'Scen Hypothetical vaccine model'!$J36*HelperFunctions!$R33</f>
        <v>#VALUE!</v>
      </c>
      <c r="CN36" t="e">
        <f>CO35*'Scen Hypothetical vaccine model'!$K36</f>
        <v>#VALUE!</v>
      </c>
      <c r="CO36" s="84" t="e">
        <f t="shared" si="29"/>
        <v>#VALUE!</v>
      </c>
      <c r="CP36" t="e">
        <f>CR35*'Scen Hypothetical vaccine model'!$J36*HelperFunctions!$R32</f>
        <v>#VALUE!</v>
      </c>
      <c r="CQ36" t="e">
        <f>CR35*'Scen Hypothetical vaccine model'!$K36</f>
        <v>#VALUE!</v>
      </c>
      <c r="CR36" s="84" t="e">
        <f t="shared" ref="CR36:CR63" si="30">CR35-CP36-CQ36</f>
        <v>#VALUE!</v>
      </c>
      <c r="CS36" t="e">
        <f>CU35*'Scen Hypothetical vaccine model'!$J36*HelperFunctions!$R31</f>
        <v>#VALUE!</v>
      </c>
      <c r="CT36" t="e">
        <f>CU35*'Scen Hypothetical vaccine model'!$K36</f>
        <v>#VALUE!</v>
      </c>
      <c r="CU36" s="84" t="e">
        <f>CU35-CS36-CT36</f>
        <v>#VALUE!</v>
      </c>
      <c r="CV36" s="93"/>
      <c r="CW36" s="93"/>
      <c r="CX36" s="84" t="e">
        <f>Export!$N34*'Scen EffectivelyVax'!$A35*(1-HelperFunctions!$G$31)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35">
      <c r="B37">
        <v>2</v>
      </c>
      <c r="C37" t="str">
        <f>Inputs!I57</f>
        <v/>
      </c>
      <c r="D37" t="e">
        <f>F36*'Scen Hypothetical vaccine model'!J37*HelperFunctions!R$14</f>
        <v>#VALUE!</v>
      </c>
      <c r="E37" t="e">
        <f>F36*'Scen Hypothetical vaccine model'!K37</f>
        <v>#VALUE!</v>
      </c>
      <c r="F37" s="84" t="e">
        <f t="shared" si="0"/>
        <v>#VALUE!</v>
      </c>
      <c r="G37" t="e">
        <f>I36*'Scen Hypothetical vaccine model'!$J37*HelperFunctions!$R$14</f>
        <v>#VALUE!</v>
      </c>
      <c r="H37" t="e">
        <f>I36*'Scen Hypothetical vaccine model'!$K37</f>
        <v>#VALUE!</v>
      </c>
      <c r="I37" s="84" t="e">
        <f t="shared" si="1"/>
        <v>#VALUE!</v>
      </c>
      <c r="J37" t="e">
        <f>L36*'Scen Hypothetical vaccine model'!$J37*HelperFunctions!$R$14</f>
        <v>#VALUE!</v>
      </c>
      <c r="K37" t="e">
        <f>L36*'Scen Hypothetical vaccine model'!$K37</f>
        <v>#VALUE!</v>
      </c>
      <c r="L37" s="84" t="e">
        <f t="shared" si="2"/>
        <v>#VALUE!</v>
      </c>
      <c r="M37" t="e">
        <f>O36*'Scen Hypothetical vaccine model'!$J37*HelperFunctions!$R$14</f>
        <v>#VALUE!</v>
      </c>
      <c r="N37" t="e">
        <f>O36*'Scen Hypothetical vaccine model'!$K37</f>
        <v>#VALUE!</v>
      </c>
      <c r="O37" s="84" t="e">
        <f t="shared" si="3"/>
        <v>#VALUE!</v>
      </c>
      <c r="P37" t="e">
        <f>R36*'Scen Hypothetical vaccine model'!$J37*HelperFunctions!$R$14</f>
        <v>#VALUE!</v>
      </c>
      <c r="Q37" t="e">
        <f>R36*'Scen Hypothetical vaccine model'!$K37</f>
        <v>#VALUE!</v>
      </c>
      <c r="R37" s="84" t="e">
        <f t="shared" si="4"/>
        <v>#VALUE!</v>
      </c>
      <c r="S37" t="e">
        <f>U36*'Scen Hypothetical vaccine model'!$J37*HelperFunctions!$R$14</f>
        <v>#VALUE!</v>
      </c>
      <c r="T37" t="e">
        <f>U36*'Scen Hypothetical vaccine model'!$K37</f>
        <v>#VALUE!</v>
      </c>
      <c r="U37" s="84" t="e">
        <f t="shared" si="5"/>
        <v>#VALUE!</v>
      </c>
      <c r="V37" t="e">
        <f>X36*'Scen Hypothetical vaccine model'!$J37*HelperFunctions!$R$14</f>
        <v>#VALUE!</v>
      </c>
      <c r="W37" t="e">
        <f>X36*'Scen Hypothetical vaccine model'!$K37</f>
        <v>#VALUE!</v>
      </c>
      <c r="X37" s="84" t="e">
        <f t="shared" si="6"/>
        <v>#VALUE!</v>
      </c>
      <c r="Y37" t="e">
        <f>AA36*'Scen Hypothetical vaccine model'!$J37*HelperFunctions!$R$14</f>
        <v>#VALUE!</v>
      </c>
      <c r="Z37" t="e">
        <f>AA36*'Scen Hypothetical vaccine model'!$K37</f>
        <v>#VALUE!</v>
      </c>
      <c r="AA37" s="84" t="e">
        <f t="shared" si="7"/>
        <v>#VALUE!</v>
      </c>
      <c r="AB37" t="e">
        <f>AD36*'Scen Hypothetical vaccine model'!$J37*HelperFunctions!$R$14</f>
        <v>#VALUE!</v>
      </c>
      <c r="AC37" t="e">
        <f>AD36*'Scen Hypothetical vaccine model'!$K37</f>
        <v>#VALUE!</v>
      </c>
      <c r="AD37" s="84" t="e">
        <f t="shared" si="8"/>
        <v>#VALUE!</v>
      </c>
      <c r="AE37" t="e">
        <f>AG36*'Scen Hypothetical vaccine model'!$J37*HelperFunctions!$R$14</f>
        <v>#VALUE!</v>
      </c>
      <c r="AF37" t="e">
        <f>AG36*'Scen Hypothetical vaccine model'!$K37</f>
        <v>#VALUE!</v>
      </c>
      <c r="AG37" s="84" t="e">
        <f t="shared" si="9"/>
        <v>#VALUE!</v>
      </c>
      <c r="AH37" t="e">
        <f>AJ36*'Scen Hypothetical vaccine model'!$J37*HelperFunctions!$R$14</f>
        <v>#VALUE!</v>
      </c>
      <c r="AI37" t="e">
        <f>AJ36*'Scen Hypothetical vaccine model'!$K37</f>
        <v>#VALUE!</v>
      </c>
      <c r="AJ37" s="84" t="e">
        <f t="shared" si="10"/>
        <v>#VALUE!</v>
      </c>
      <c r="AK37" t="e">
        <f>AM36*'Scen Hypothetical vaccine model'!$J37*HelperFunctions!$R$14</f>
        <v>#VALUE!</v>
      </c>
      <c r="AL37" t="e">
        <f>AM36*'Scen Hypothetical vaccine model'!$K37</f>
        <v>#VALUE!</v>
      </c>
      <c r="AM37" s="84" t="e">
        <f t="shared" si="11"/>
        <v>#VALUE!</v>
      </c>
      <c r="AN37" t="e">
        <f>AP36*'Scen Hypothetical vaccine model'!$J37*HelperFunctions!$R$28</f>
        <v>#VALUE!</v>
      </c>
      <c r="AO37" t="e">
        <f>AP36*'Scen Hypothetical vaccine model'!$K37</f>
        <v>#VALUE!</v>
      </c>
      <c r="AP37" s="84" t="e">
        <f t="shared" si="12"/>
        <v>#VALUE!</v>
      </c>
      <c r="AQ37" t="e">
        <f>AS36*'Scen Hypothetical vaccine model'!$J37*HelperFunctions!$R$28</f>
        <v>#VALUE!</v>
      </c>
      <c r="AR37" t="e">
        <f>AS36*'Scen Hypothetical vaccine model'!$K37</f>
        <v>#VALUE!</v>
      </c>
      <c r="AS37" s="84" t="e">
        <f t="shared" si="13"/>
        <v>#VALUE!</v>
      </c>
      <c r="AT37" t="e">
        <f>AV36*'Scen Hypothetical vaccine model'!$J37*HelperFunctions!$R$28</f>
        <v>#VALUE!</v>
      </c>
      <c r="AU37" t="e">
        <f>AV36*'Scen Hypothetical vaccine model'!$K37</f>
        <v>#VALUE!</v>
      </c>
      <c r="AV37" s="84" t="e">
        <f t="shared" si="14"/>
        <v>#VALUE!</v>
      </c>
      <c r="AW37" t="e">
        <f>AY36*'Scen Hypothetical vaccine model'!$J37*HelperFunctions!$R$28</f>
        <v>#VALUE!</v>
      </c>
      <c r="AX37" t="e">
        <f>AY36*'Scen Hypothetical vaccine model'!$K37</f>
        <v>#VALUE!</v>
      </c>
      <c r="AY37" s="84" t="e">
        <f t="shared" si="15"/>
        <v>#VALUE!</v>
      </c>
      <c r="AZ37" t="e">
        <f>BB36*'Scen Hypothetical vaccine model'!$J37*HelperFunctions!$R$28</f>
        <v>#VALUE!</v>
      </c>
      <c r="BA37" t="e">
        <f>BB36*'Scen Hypothetical vaccine model'!$K37</f>
        <v>#VALUE!</v>
      </c>
      <c r="BB37" s="84" t="e">
        <f t="shared" si="16"/>
        <v>#VALUE!</v>
      </c>
      <c r="BC37" t="e">
        <f>BE36*'Scen Hypothetical vaccine model'!$J37*HelperFunctions!$R$28</f>
        <v>#VALUE!</v>
      </c>
      <c r="BD37" t="e">
        <f>BE36*'Scen Hypothetical vaccine model'!$K37</f>
        <v>#VALUE!</v>
      </c>
      <c r="BE37" s="84" t="e">
        <f t="shared" si="17"/>
        <v>#VALUE!</v>
      </c>
      <c r="BF37" t="e">
        <f>BH36*'Scen Hypothetical vaccine model'!$J37*HelperFunctions!$R$28</f>
        <v>#VALUE!</v>
      </c>
      <c r="BG37" t="e">
        <f>BH36*'Scen Hypothetical vaccine model'!$K37</f>
        <v>#VALUE!</v>
      </c>
      <c r="BH37" s="84" t="e">
        <f t="shared" si="18"/>
        <v>#VALUE!</v>
      </c>
      <c r="BI37" t="e">
        <f>BK36*'Scen Hypothetical vaccine model'!$J37*HelperFunctions!$R$28</f>
        <v>#VALUE!</v>
      </c>
      <c r="BJ37" t="e">
        <f>BK36*'Scen Hypothetical vaccine model'!$K37</f>
        <v>#VALUE!</v>
      </c>
      <c r="BK37" s="84" t="e">
        <f t="shared" si="19"/>
        <v>#VALUE!</v>
      </c>
      <c r="BL37" t="e">
        <f>BN36*'Scen Hypothetical vaccine model'!$J37*HelperFunctions!$R$28</f>
        <v>#VALUE!</v>
      </c>
      <c r="BM37" t="e">
        <f>BN36*'Scen Hypothetical vaccine model'!$K37</f>
        <v>#VALUE!</v>
      </c>
      <c r="BN37" s="84" t="e">
        <f t="shared" si="20"/>
        <v>#VALUE!</v>
      </c>
      <c r="BO37" t="e">
        <f>BQ36*'Scen Hypothetical vaccine model'!$J37*HelperFunctions!$R$28</f>
        <v>#VALUE!</v>
      </c>
      <c r="BP37" t="e">
        <f>BQ36*'Scen Hypothetical vaccine model'!$K37</f>
        <v>#VALUE!</v>
      </c>
      <c r="BQ37" s="84" t="e">
        <f t="shared" si="21"/>
        <v>#VALUE!</v>
      </c>
      <c r="BR37" t="e">
        <f>BT36*'Scen Hypothetical vaccine model'!$J37*HelperFunctions!$R27</f>
        <v>#VALUE!</v>
      </c>
      <c r="BS37" t="e">
        <f>BT36*'Scen Hypothetical vaccine model'!$K37</f>
        <v>#VALUE!</v>
      </c>
      <c r="BT37" s="84" t="e">
        <f t="shared" si="22"/>
        <v>#VALUE!</v>
      </c>
      <c r="BU37" t="e">
        <f>BW36*'Scen Hypothetical vaccine model'!$J37*HelperFunctions!$R26</f>
        <v>#VALUE!</v>
      </c>
      <c r="BV37" t="e">
        <f>BW36*'Scen Hypothetical vaccine model'!$K37</f>
        <v>#VALUE!</v>
      </c>
      <c r="BW37" s="84" t="e">
        <f t="shared" si="23"/>
        <v>#VALUE!</v>
      </c>
      <c r="BX37" t="e">
        <f>BZ36*'Scen Hypothetical vaccine model'!$J37*HelperFunctions!$R39</f>
        <v>#VALUE!</v>
      </c>
      <c r="BY37" t="e">
        <f>BZ36*'Scen Hypothetical vaccine model'!$K37</f>
        <v>#VALUE!</v>
      </c>
      <c r="BZ37" s="84" t="e">
        <f t="shared" si="24"/>
        <v>#VALUE!</v>
      </c>
      <c r="CA37" t="e">
        <f>CC36*'Scen Hypothetical vaccine model'!$J37*HelperFunctions!$R38</f>
        <v>#VALUE!</v>
      </c>
      <c r="CB37" t="e">
        <f>CC36*'Scen Hypothetical vaccine model'!$K37</f>
        <v>#VALUE!</v>
      </c>
      <c r="CC37" s="84" t="e">
        <f t="shared" si="25"/>
        <v>#VALUE!</v>
      </c>
      <c r="CD37" t="e">
        <f>CF36*'Scen Hypothetical vaccine model'!$J37*HelperFunctions!$R37</f>
        <v>#VALUE!</v>
      </c>
      <c r="CE37" t="e">
        <f>CF36*'Scen Hypothetical vaccine model'!$K37</f>
        <v>#VALUE!</v>
      </c>
      <c r="CF37" s="84" t="e">
        <f t="shared" si="26"/>
        <v>#VALUE!</v>
      </c>
      <c r="CG37" t="e">
        <f>CI36*'Scen Hypothetical vaccine model'!$J37*HelperFunctions!$R36</f>
        <v>#VALUE!</v>
      </c>
      <c r="CH37" t="e">
        <f>CI36*'Scen Hypothetical vaccine model'!$K37</f>
        <v>#VALUE!</v>
      </c>
      <c r="CI37" s="84" t="e">
        <f t="shared" si="27"/>
        <v>#VALUE!</v>
      </c>
      <c r="CJ37" t="e">
        <f>CL36*'Scen Hypothetical vaccine model'!$J37*HelperFunctions!$R35</f>
        <v>#VALUE!</v>
      </c>
      <c r="CK37" t="e">
        <f>CL36*'Scen Hypothetical vaccine model'!$K37</f>
        <v>#VALUE!</v>
      </c>
      <c r="CL37" s="84" t="e">
        <f t="shared" si="28"/>
        <v>#VALUE!</v>
      </c>
      <c r="CM37" t="e">
        <f>CO36*'Scen Hypothetical vaccine model'!$J37*HelperFunctions!$R34</f>
        <v>#VALUE!</v>
      </c>
      <c r="CN37" t="e">
        <f>CO36*'Scen Hypothetical vaccine model'!$K37</f>
        <v>#VALUE!</v>
      </c>
      <c r="CO37" s="84" t="e">
        <f t="shared" si="29"/>
        <v>#VALUE!</v>
      </c>
      <c r="CP37" t="e">
        <f>CR36*'Scen Hypothetical vaccine model'!$J37*HelperFunctions!$R33</f>
        <v>#VALUE!</v>
      </c>
      <c r="CQ37" t="e">
        <f>CR36*'Scen Hypothetical vaccine model'!$K37</f>
        <v>#VALUE!</v>
      </c>
      <c r="CR37" s="84" t="e">
        <f t="shared" si="30"/>
        <v>#VALUE!</v>
      </c>
      <c r="CS37" t="e">
        <f>CU36*'Scen Hypothetical vaccine model'!$J37*HelperFunctions!$R32</f>
        <v>#VALUE!</v>
      </c>
      <c r="CT37" t="e">
        <f>CU36*'Scen Hypothetical vaccine model'!$K37</f>
        <v>#VALUE!</v>
      </c>
      <c r="CU37" s="84" t="e">
        <f t="shared" ref="CU37:CU63" si="31">CU36-CS37-CT37</f>
        <v>#VALUE!</v>
      </c>
      <c r="CV37" t="e">
        <f>CX36*'Scen Hypothetical vaccine model'!$J37*HelperFunctions!$R31</f>
        <v>#VALUE!</v>
      </c>
      <c r="CW37" t="e">
        <f>CX36*'Scen Hypothetical vaccine model'!$K37</f>
        <v>#VALUE!</v>
      </c>
      <c r="CX37" s="84" t="e">
        <f>CX36-CV37-CW37</f>
        <v>#VALUE!</v>
      </c>
      <c r="CY37" s="93"/>
      <c r="CZ37" s="93"/>
      <c r="DA37" s="84" t="e">
        <f>Export!$N35*'Scen EffectivelyVax'!$A36*(1-HelperFunctions!$G$31)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35">
      <c r="B38">
        <v>2</v>
      </c>
      <c r="C38" t="str">
        <f>Inputs!I58</f>
        <v/>
      </c>
      <c r="D38" t="e">
        <f>F37*'Scen Hypothetical vaccine model'!J38*HelperFunctions!R$14</f>
        <v>#VALUE!</v>
      </c>
      <c r="E38" t="e">
        <f>F37*'Scen Hypothetical vaccine model'!K38</f>
        <v>#VALUE!</v>
      </c>
      <c r="F38" s="84" t="e">
        <f t="shared" si="0"/>
        <v>#VALUE!</v>
      </c>
      <c r="G38" t="e">
        <f>I37*'Scen Hypothetical vaccine model'!$J38*HelperFunctions!$R$14</f>
        <v>#VALUE!</v>
      </c>
      <c r="H38" t="e">
        <f>I37*'Scen Hypothetical vaccine model'!$K38</f>
        <v>#VALUE!</v>
      </c>
      <c r="I38" s="84" t="e">
        <f t="shared" si="1"/>
        <v>#VALUE!</v>
      </c>
      <c r="J38" t="e">
        <f>L37*'Scen Hypothetical vaccine model'!$J38*HelperFunctions!$R$14</f>
        <v>#VALUE!</v>
      </c>
      <c r="K38" t="e">
        <f>L37*'Scen Hypothetical vaccine model'!$K38</f>
        <v>#VALUE!</v>
      </c>
      <c r="L38" s="84" t="e">
        <f t="shared" si="2"/>
        <v>#VALUE!</v>
      </c>
      <c r="M38" t="e">
        <f>O37*'Scen Hypothetical vaccine model'!$J38*HelperFunctions!$R$14</f>
        <v>#VALUE!</v>
      </c>
      <c r="N38" t="e">
        <f>O37*'Scen Hypothetical vaccine model'!$K38</f>
        <v>#VALUE!</v>
      </c>
      <c r="O38" s="84" t="e">
        <f t="shared" si="3"/>
        <v>#VALUE!</v>
      </c>
      <c r="P38" t="e">
        <f>R37*'Scen Hypothetical vaccine model'!$J38*HelperFunctions!$R$14</f>
        <v>#VALUE!</v>
      </c>
      <c r="Q38" t="e">
        <f>R37*'Scen Hypothetical vaccine model'!$K38</f>
        <v>#VALUE!</v>
      </c>
      <c r="R38" s="84" t="e">
        <f t="shared" si="4"/>
        <v>#VALUE!</v>
      </c>
      <c r="S38" t="e">
        <f>U37*'Scen Hypothetical vaccine model'!$J38*HelperFunctions!$R$14</f>
        <v>#VALUE!</v>
      </c>
      <c r="T38" t="e">
        <f>U37*'Scen Hypothetical vaccine model'!$K38</f>
        <v>#VALUE!</v>
      </c>
      <c r="U38" s="84" t="e">
        <f t="shared" si="5"/>
        <v>#VALUE!</v>
      </c>
      <c r="V38" t="e">
        <f>X37*'Scen Hypothetical vaccine model'!$J38*HelperFunctions!$R$14</f>
        <v>#VALUE!</v>
      </c>
      <c r="W38" t="e">
        <f>X37*'Scen Hypothetical vaccine model'!$K38</f>
        <v>#VALUE!</v>
      </c>
      <c r="X38" s="84" t="e">
        <f t="shared" si="6"/>
        <v>#VALUE!</v>
      </c>
      <c r="Y38" t="e">
        <f>AA37*'Scen Hypothetical vaccine model'!$J38*HelperFunctions!$R$14</f>
        <v>#VALUE!</v>
      </c>
      <c r="Z38" t="e">
        <f>AA37*'Scen Hypothetical vaccine model'!$K38</f>
        <v>#VALUE!</v>
      </c>
      <c r="AA38" s="84" t="e">
        <f t="shared" si="7"/>
        <v>#VALUE!</v>
      </c>
      <c r="AB38" t="e">
        <f>AD37*'Scen Hypothetical vaccine model'!$J38*HelperFunctions!$R$14</f>
        <v>#VALUE!</v>
      </c>
      <c r="AC38" t="e">
        <f>AD37*'Scen Hypothetical vaccine model'!$K38</f>
        <v>#VALUE!</v>
      </c>
      <c r="AD38" s="84" t="e">
        <f t="shared" si="8"/>
        <v>#VALUE!</v>
      </c>
      <c r="AE38" t="e">
        <f>AG37*'Scen Hypothetical vaccine model'!$J38*HelperFunctions!$R$14</f>
        <v>#VALUE!</v>
      </c>
      <c r="AF38" t="e">
        <f>AG37*'Scen Hypothetical vaccine model'!$K38</f>
        <v>#VALUE!</v>
      </c>
      <c r="AG38" s="84" t="e">
        <f t="shared" si="9"/>
        <v>#VALUE!</v>
      </c>
      <c r="AH38" t="e">
        <f>AJ37*'Scen Hypothetical vaccine model'!$J38*HelperFunctions!$R$14</f>
        <v>#VALUE!</v>
      </c>
      <c r="AI38" t="e">
        <f>AJ37*'Scen Hypothetical vaccine model'!$K38</f>
        <v>#VALUE!</v>
      </c>
      <c r="AJ38" s="84" t="e">
        <f t="shared" si="10"/>
        <v>#VALUE!</v>
      </c>
      <c r="AK38" t="e">
        <f>AM37*'Scen Hypothetical vaccine model'!$J38*HelperFunctions!$R$14</f>
        <v>#VALUE!</v>
      </c>
      <c r="AL38" t="e">
        <f>AM37*'Scen Hypothetical vaccine model'!$K38</f>
        <v>#VALUE!</v>
      </c>
      <c r="AM38" s="84" t="e">
        <f t="shared" si="11"/>
        <v>#VALUE!</v>
      </c>
      <c r="AN38" t="e">
        <f>AP37*'Scen Hypothetical vaccine model'!$J38*HelperFunctions!$R$28</f>
        <v>#VALUE!</v>
      </c>
      <c r="AO38" t="e">
        <f>AP37*'Scen Hypothetical vaccine model'!$K38</f>
        <v>#VALUE!</v>
      </c>
      <c r="AP38" s="84" t="e">
        <f t="shared" si="12"/>
        <v>#VALUE!</v>
      </c>
      <c r="AQ38" t="e">
        <f>AS37*'Scen Hypothetical vaccine model'!$J38*HelperFunctions!$R$28</f>
        <v>#VALUE!</v>
      </c>
      <c r="AR38" t="e">
        <f>AS37*'Scen Hypothetical vaccine model'!$K38</f>
        <v>#VALUE!</v>
      </c>
      <c r="AS38" s="84" t="e">
        <f t="shared" si="13"/>
        <v>#VALUE!</v>
      </c>
      <c r="AT38" t="e">
        <f>AV37*'Scen Hypothetical vaccine model'!$J38*HelperFunctions!$R$28</f>
        <v>#VALUE!</v>
      </c>
      <c r="AU38" t="e">
        <f>AV37*'Scen Hypothetical vaccine model'!$K38</f>
        <v>#VALUE!</v>
      </c>
      <c r="AV38" s="84" t="e">
        <f t="shared" si="14"/>
        <v>#VALUE!</v>
      </c>
      <c r="AW38" t="e">
        <f>AY37*'Scen Hypothetical vaccine model'!$J38*HelperFunctions!$R$28</f>
        <v>#VALUE!</v>
      </c>
      <c r="AX38" t="e">
        <f>AY37*'Scen Hypothetical vaccine model'!$K38</f>
        <v>#VALUE!</v>
      </c>
      <c r="AY38" s="84" t="e">
        <f t="shared" si="15"/>
        <v>#VALUE!</v>
      </c>
      <c r="AZ38" t="e">
        <f>BB37*'Scen Hypothetical vaccine model'!$J38*HelperFunctions!$R$28</f>
        <v>#VALUE!</v>
      </c>
      <c r="BA38" t="e">
        <f>BB37*'Scen Hypothetical vaccine model'!$K38</f>
        <v>#VALUE!</v>
      </c>
      <c r="BB38" s="84" t="e">
        <f t="shared" si="16"/>
        <v>#VALUE!</v>
      </c>
      <c r="BC38" t="e">
        <f>BE37*'Scen Hypothetical vaccine model'!$J38*HelperFunctions!$R$28</f>
        <v>#VALUE!</v>
      </c>
      <c r="BD38" t="e">
        <f>BE37*'Scen Hypothetical vaccine model'!$K38</f>
        <v>#VALUE!</v>
      </c>
      <c r="BE38" s="84" t="e">
        <f t="shared" si="17"/>
        <v>#VALUE!</v>
      </c>
      <c r="BF38" t="e">
        <f>BH37*'Scen Hypothetical vaccine model'!$J38*HelperFunctions!$R$28</f>
        <v>#VALUE!</v>
      </c>
      <c r="BG38" t="e">
        <f>BH37*'Scen Hypothetical vaccine model'!$K38</f>
        <v>#VALUE!</v>
      </c>
      <c r="BH38" s="84" t="e">
        <f t="shared" si="18"/>
        <v>#VALUE!</v>
      </c>
      <c r="BI38" t="e">
        <f>BK37*'Scen Hypothetical vaccine model'!$J38*HelperFunctions!$R$28</f>
        <v>#VALUE!</v>
      </c>
      <c r="BJ38" t="e">
        <f>BK37*'Scen Hypothetical vaccine model'!$K38</f>
        <v>#VALUE!</v>
      </c>
      <c r="BK38" s="84" t="e">
        <f t="shared" si="19"/>
        <v>#VALUE!</v>
      </c>
      <c r="BL38" t="e">
        <f>BN37*'Scen Hypothetical vaccine model'!$J38*HelperFunctions!$R$28</f>
        <v>#VALUE!</v>
      </c>
      <c r="BM38" t="e">
        <f>BN37*'Scen Hypothetical vaccine model'!$K38</f>
        <v>#VALUE!</v>
      </c>
      <c r="BN38" s="84" t="e">
        <f t="shared" si="20"/>
        <v>#VALUE!</v>
      </c>
      <c r="BO38" t="e">
        <f>BQ37*'Scen Hypothetical vaccine model'!$J38*HelperFunctions!$R$28</f>
        <v>#VALUE!</v>
      </c>
      <c r="BP38" t="e">
        <f>BQ37*'Scen Hypothetical vaccine model'!$K38</f>
        <v>#VALUE!</v>
      </c>
      <c r="BQ38" s="84" t="e">
        <f t="shared" si="21"/>
        <v>#VALUE!</v>
      </c>
      <c r="BR38" t="e">
        <f>BT37*'Scen Hypothetical vaccine model'!$J38*HelperFunctions!$R$28</f>
        <v>#VALUE!</v>
      </c>
      <c r="BS38" t="e">
        <f>BT37*'Scen Hypothetical vaccine model'!$K38</f>
        <v>#VALUE!</v>
      </c>
      <c r="BT38" s="84" t="e">
        <f t="shared" si="22"/>
        <v>#VALUE!</v>
      </c>
      <c r="BU38" t="e">
        <f>BW37*'Scen Hypothetical vaccine model'!$J38*HelperFunctions!$R27</f>
        <v>#VALUE!</v>
      </c>
      <c r="BV38" t="e">
        <f>BW37*'Scen Hypothetical vaccine model'!$K38</f>
        <v>#VALUE!</v>
      </c>
      <c r="BW38" s="84" t="e">
        <f t="shared" si="23"/>
        <v>#VALUE!</v>
      </c>
      <c r="BX38" t="e">
        <f>BZ37*'Scen Hypothetical vaccine model'!$J38*HelperFunctions!$R40</f>
        <v>#VALUE!</v>
      </c>
      <c r="BY38" t="e">
        <f>BZ37*'Scen Hypothetical vaccine model'!$K38</f>
        <v>#VALUE!</v>
      </c>
      <c r="BZ38" s="84" t="e">
        <f t="shared" si="24"/>
        <v>#VALUE!</v>
      </c>
      <c r="CA38" t="e">
        <f>CC37*'Scen Hypothetical vaccine model'!$J38*HelperFunctions!$R39</f>
        <v>#VALUE!</v>
      </c>
      <c r="CB38" t="e">
        <f>CC37*'Scen Hypothetical vaccine model'!$K38</f>
        <v>#VALUE!</v>
      </c>
      <c r="CC38" s="84" t="e">
        <f t="shared" si="25"/>
        <v>#VALUE!</v>
      </c>
      <c r="CD38" t="e">
        <f>CF37*'Scen Hypothetical vaccine model'!$J38*HelperFunctions!$R38</f>
        <v>#VALUE!</v>
      </c>
      <c r="CE38" t="e">
        <f>CF37*'Scen Hypothetical vaccine model'!$K38</f>
        <v>#VALUE!</v>
      </c>
      <c r="CF38" s="84" t="e">
        <f t="shared" si="26"/>
        <v>#VALUE!</v>
      </c>
      <c r="CG38" t="e">
        <f>CI37*'Scen Hypothetical vaccine model'!$J38*HelperFunctions!$R37</f>
        <v>#VALUE!</v>
      </c>
      <c r="CH38" t="e">
        <f>CI37*'Scen Hypothetical vaccine model'!$K38</f>
        <v>#VALUE!</v>
      </c>
      <c r="CI38" s="84" t="e">
        <f t="shared" si="27"/>
        <v>#VALUE!</v>
      </c>
      <c r="CJ38" t="e">
        <f>CL37*'Scen Hypothetical vaccine model'!$J38*HelperFunctions!$R36</f>
        <v>#VALUE!</v>
      </c>
      <c r="CK38" t="e">
        <f>CL37*'Scen Hypothetical vaccine model'!$K38</f>
        <v>#VALUE!</v>
      </c>
      <c r="CL38" s="84" t="e">
        <f t="shared" si="28"/>
        <v>#VALUE!</v>
      </c>
      <c r="CM38" t="e">
        <f>CO37*'Scen Hypothetical vaccine model'!$J38*HelperFunctions!$R35</f>
        <v>#VALUE!</v>
      </c>
      <c r="CN38" t="e">
        <f>CO37*'Scen Hypothetical vaccine model'!$K38</f>
        <v>#VALUE!</v>
      </c>
      <c r="CO38" s="84" t="e">
        <f t="shared" si="29"/>
        <v>#VALUE!</v>
      </c>
      <c r="CP38" t="e">
        <f>CR37*'Scen Hypothetical vaccine model'!$J38*HelperFunctions!$R34</f>
        <v>#VALUE!</v>
      </c>
      <c r="CQ38" t="e">
        <f>CR37*'Scen Hypothetical vaccine model'!$K38</f>
        <v>#VALUE!</v>
      </c>
      <c r="CR38" s="84" t="e">
        <f t="shared" si="30"/>
        <v>#VALUE!</v>
      </c>
      <c r="CS38" t="e">
        <f>CU37*'Scen Hypothetical vaccine model'!$J38*HelperFunctions!$R33</f>
        <v>#VALUE!</v>
      </c>
      <c r="CT38" t="e">
        <f>CU37*'Scen Hypothetical vaccine model'!$K38</f>
        <v>#VALUE!</v>
      </c>
      <c r="CU38" s="84" t="e">
        <f t="shared" si="31"/>
        <v>#VALUE!</v>
      </c>
      <c r="CV38" t="e">
        <f>CX37*'Scen Hypothetical vaccine model'!$J38*HelperFunctions!$R32</f>
        <v>#VALUE!</v>
      </c>
      <c r="CW38" t="e">
        <f>CX37*'Scen Hypothetical vaccine model'!$K38</f>
        <v>#VALUE!</v>
      </c>
      <c r="CX38" s="84" t="e">
        <f t="shared" ref="CX38:CX63" si="32">CX37-CV38-CW38</f>
        <v>#VALUE!</v>
      </c>
      <c r="CY38" t="e">
        <f>DA37*'Scen Hypothetical vaccine model'!$J38*HelperFunctions!$R31</f>
        <v>#VALUE!</v>
      </c>
      <c r="CZ38" t="e">
        <f>DA37*'Scen Hypothetical vaccine model'!$K38</f>
        <v>#VALUE!</v>
      </c>
      <c r="DA38" s="84" t="e">
        <f>DA37-CY38-CZ38</f>
        <v>#VALUE!</v>
      </c>
      <c r="DB38" s="93"/>
      <c r="DC38" s="93"/>
      <c r="DD38" s="84" t="e">
        <f>Export!$N36*'Scen EffectivelyVax'!$A37*(1-HelperFunctions!$G$31)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35">
      <c r="B39">
        <v>2</v>
      </c>
      <c r="C39" t="str">
        <f>Inputs!I59</f>
        <v/>
      </c>
      <c r="D39" t="e">
        <f>F38*'Scen Hypothetical vaccine model'!J39*HelperFunctions!R$14</f>
        <v>#VALUE!</v>
      </c>
      <c r="E39" t="e">
        <f>F38*'Scen Hypothetical vaccine model'!K39</f>
        <v>#VALUE!</v>
      </c>
      <c r="F39" s="84" t="e">
        <f t="shared" si="0"/>
        <v>#VALUE!</v>
      </c>
      <c r="G39" t="e">
        <f>I38*'Scen Hypothetical vaccine model'!$J39*HelperFunctions!$R$14</f>
        <v>#VALUE!</v>
      </c>
      <c r="H39" t="e">
        <f>I38*'Scen Hypothetical vaccine model'!$K39</f>
        <v>#VALUE!</v>
      </c>
      <c r="I39" s="84" t="e">
        <f t="shared" si="1"/>
        <v>#VALUE!</v>
      </c>
      <c r="J39" t="e">
        <f>L38*'Scen Hypothetical vaccine model'!$J39*HelperFunctions!$R$14</f>
        <v>#VALUE!</v>
      </c>
      <c r="K39" t="e">
        <f>L38*'Scen Hypothetical vaccine model'!$K39</f>
        <v>#VALUE!</v>
      </c>
      <c r="L39" s="84" t="e">
        <f t="shared" si="2"/>
        <v>#VALUE!</v>
      </c>
      <c r="M39" t="e">
        <f>O38*'Scen Hypothetical vaccine model'!$J39*HelperFunctions!$R$14</f>
        <v>#VALUE!</v>
      </c>
      <c r="N39" t="e">
        <f>O38*'Scen Hypothetical vaccine model'!$K39</f>
        <v>#VALUE!</v>
      </c>
      <c r="O39" s="84" t="e">
        <f t="shared" si="3"/>
        <v>#VALUE!</v>
      </c>
      <c r="P39" t="e">
        <f>R38*'Scen Hypothetical vaccine model'!$J39*HelperFunctions!$R$14</f>
        <v>#VALUE!</v>
      </c>
      <c r="Q39" t="e">
        <f>R38*'Scen Hypothetical vaccine model'!$K39</f>
        <v>#VALUE!</v>
      </c>
      <c r="R39" s="84" t="e">
        <f t="shared" si="4"/>
        <v>#VALUE!</v>
      </c>
      <c r="S39" t="e">
        <f>U38*'Scen Hypothetical vaccine model'!$J39*HelperFunctions!$R$14</f>
        <v>#VALUE!</v>
      </c>
      <c r="T39" t="e">
        <f>U38*'Scen Hypothetical vaccine model'!$K39</f>
        <v>#VALUE!</v>
      </c>
      <c r="U39" s="84" t="e">
        <f t="shared" si="5"/>
        <v>#VALUE!</v>
      </c>
      <c r="V39" t="e">
        <f>X38*'Scen Hypothetical vaccine model'!$J39*HelperFunctions!$R$14</f>
        <v>#VALUE!</v>
      </c>
      <c r="W39" t="e">
        <f>X38*'Scen Hypothetical vaccine model'!$K39</f>
        <v>#VALUE!</v>
      </c>
      <c r="X39" s="84" t="e">
        <f t="shared" si="6"/>
        <v>#VALUE!</v>
      </c>
      <c r="Y39" t="e">
        <f>AA38*'Scen Hypothetical vaccine model'!$J39*HelperFunctions!$R$14</f>
        <v>#VALUE!</v>
      </c>
      <c r="Z39" t="e">
        <f>AA38*'Scen Hypothetical vaccine model'!$K39</f>
        <v>#VALUE!</v>
      </c>
      <c r="AA39" s="84" t="e">
        <f t="shared" si="7"/>
        <v>#VALUE!</v>
      </c>
      <c r="AB39" t="e">
        <f>AD38*'Scen Hypothetical vaccine model'!$J39*HelperFunctions!$R$14</f>
        <v>#VALUE!</v>
      </c>
      <c r="AC39" t="e">
        <f>AD38*'Scen Hypothetical vaccine model'!$K39</f>
        <v>#VALUE!</v>
      </c>
      <c r="AD39" s="84" t="e">
        <f t="shared" si="8"/>
        <v>#VALUE!</v>
      </c>
      <c r="AE39" t="e">
        <f>AG38*'Scen Hypothetical vaccine model'!$J39*HelperFunctions!$R$14</f>
        <v>#VALUE!</v>
      </c>
      <c r="AF39" t="e">
        <f>AG38*'Scen Hypothetical vaccine model'!$K39</f>
        <v>#VALUE!</v>
      </c>
      <c r="AG39" s="84" t="e">
        <f t="shared" si="9"/>
        <v>#VALUE!</v>
      </c>
      <c r="AH39" t="e">
        <f>AJ38*'Scen Hypothetical vaccine model'!$J39*HelperFunctions!$R$14</f>
        <v>#VALUE!</v>
      </c>
      <c r="AI39" t="e">
        <f>AJ38*'Scen Hypothetical vaccine model'!$K39</f>
        <v>#VALUE!</v>
      </c>
      <c r="AJ39" s="84" t="e">
        <f t="shared" si="10"/>
        <v>#VALUE!</v>
      </c>
      <c r="AK39" t="e">
        <f>AM38*'Scen Hypothetical vaccine model'!$J39*HelperFunctions!$R$14</f>
        <v>#VALUE!</v>
      </c>
      <c r="AL39" t="e">
        <f>AM38*'Scen Hypothetical vaccine model'!$K39</f>
        <v>#VALUE!</v>
      </c>
      <c r="AM39" s="84" t="e">
        <f t="shared" si="11"/>
        <v>#VALUE!</v>
      </c>
      <c r="AN39" t="e">
        <f>AP38*'Scen Hypothetical vaccine model'!$J39*HelperFunctions!$R$28</f>
        <v>#VALUE!</v>
      </c>
      <c r="AO39" t="e">
        <f>AP38*'Scen Hypothetical vaccine model'!$K39</f>
        <v>#VALUE!</v>
      </c>
      <c r="AP39" s="84" t="e">
        <f t="shared" si="12"/>
        <v>#VALUE!</v>
      </c>
      <c r="AQ39" t="e">
        <f>AS38*'Scen Hypothetical vaccine model'!$J39*HelperFunctions!$R$28</f>
        <v>#VALUE!</v>
      </c>
      <c r="AR39" t="e">
        <f>AS38*'Scen Hypothetical vaccine model'!$K39</f>
        <v>#VALUE!</v>
      </c>
      <c r="AS39" s="84" t="e">
        <f t="shared" si="13"/>
        <v>#VALUE!</v>
      </c>
      <c r="AT39" t="e">
        <f>AV38*'Scen Hypothetical vaccine model'!$J39*HelperFunctions!$R$28</f>
        <v>#VALUE!</v>
      </c>
      <c r="AU39" t="e">
        <f>AV38*'Scen Hypothetical vaccine model'!$K39</f>
        <v>#VALUE!</v>
      </c>
      <c r="AV39" s="84" t="e">
        <f t="shared" si="14"/>
        <v>#VALUE!</v>
      </c>
      <c r="AW39" t="e">
        <f>AY38*'Scen Hypothetical vaccine model'!$J39*HelperFunctions!$R$28</f>
        <v>#VALUE!</v>
      </c>
      <c r="AX39" t="e">
        <f>AY38*'Scen Hypothetical vaccine model'!$K39</f>
        <v>#VALUE!</v>
      </c>
      <c r="AY39" s="84" t="e">
        <f t="shared" si="15"/>
        <v>#VALUE!</v>
      </c>
      <c r="AZ39" t="e">
        <f>BB38*'Scen Hypothetical vaccine model'!$J39*HelperFunctions!$R$28</f>
        <v>#VALUE!</v>
      </c>
      <c r="BA39" t="e">
        <f>BB38*'Scen Hypothetical vaccine model'!$K39</f>
        <v>#VALUE!</v>
      </c>
      <c r="BB39" s="84" t="e">
        <f t="shared" si="16"/>
        <v>#VALUE!</v>
      </c>
      <c r="BC39" t="e">
        <f>BE38*'Scen Hypothetical vaccine model'!$J39*HelperFunctions!$R$28</f>
        <v>#VALUE!</v>
      </c>
      <c r="BD39" t="e">
        <f>BE38*'Scen Hypothetical vaccine model'!$K39</f>
        <v>#VALUE!</v>
      </c>
      <c r="BE39" s="84" t="e">
        <f t="shared" si="17"/>
        <v>#VALUE!</v>
      </c>
      <c r="BF39" t="e">
        <f>BH38*'Scen Hypothetical vaccine model'!$J39*HelperFunctions!$R$28</f>
        <v>#VALUE!</v>
      </c>
      <c r="BG39" t="e">
        <f>BH38*'Scen Hypothetical vaccine model'!$K39</f>
        <v>#VALUE!</v>
      </c>
      <c r="BH39" s="84" t="e">
        <f t="shared" si="18"/>
        <v>#VALUE!</v>
      </c>
      <c r="BI39" t="e">
        <f>BK38*'Scen Hypothetical vaccine model'!$J39*HelperFunctions!$R$28</f>
        <v>#VALUE!</v>
      </c>
      <c r="BJ39" t="e">
        <f>BK38*'Scen Hypothetical vaccine model'!$K39</f>
        <v>#VALUE!</v>
      </c>
      <c r="BK39" s="84" t="e">
        <f t="shared" si="19"/>
        <v>#VALUE!</v>
      </c>
      <c r="BL39" t="e">
        <f>BN38*'Scen Hypothetical vaccine model'!$J39*HelperFunctions!$R$28</f>
        <v>#VALUE!</v>
      </c>
      <c r="BM39" t="e">
        <f>BN38*'Scen Hypothetical vaccine model'!$K39</f>
        <v>#VALUE!</v>
      </c>
      <c r="BN39" s="84" t="e">
        <f t="shared" si="20"/>
        <v>#VALUE!</v>
      </c>
      <c r="BO39" t="e">
        <f>BQ38*'Scen Hypothetical vaccine model'!$J39*HelperFunctions!$R$28</f>
        <v>#VALUE!</v>
      </c>
      <c r="BP39" t="e">
        <f>BQ38*'Scen Hypothetical vaccine model'!$K39</f>
        <v>#VALUE!</v>
      </c>
      <c r="BQ39" s="84" t="e">
        <f t="shared" si="21"/>
        <v>#VALUE!</v>
      </c>
      <c r="BR39" t="e">
        <f>BT38*'Scen Hypothetical vaccine model'!$J39*HelperFunctions!$R$28</f>
        <v>#VALUE!</v>
      </c>
      <c r="BS39" t="e">
        <f>BT38*'Scen Hypothetical vaccine model'!$K39</f>
        <v>#VALUE!</v>
      </c>
      <c r="BT39" s="84" t="e">
        <f t="shared" si="22"/>
        <v>#VALUE!</v>
      </c>
      <c r="BU39" t="e">
        <f>BW38*'Scen Hypothetical vaccine model'!$J39*HelperFunctions!$R$28</f>
        <v>#VALUE!</v>
      </c>
      <c r="BV39" t="e">
        <f>BW38*'Scen Hypothetical vaccine model'!$K39</f>
        <v>#VALUE!</v>
      </c>
      <c r="BW39" s="84" t="e">
        <f t="shared" si="23"/>
        <v>#VALUE!</v>
      </c>
      <c r="BX39" t="e">
        <f>BZ38*'Scen Hypothetical vaccine model'!$J39*HelperFunctions!$R41</f>
        <v>#VALUE!</v>
      </c>
      <c r="BY39" t="e">
        <f>BZ38*'Scen Hypothetical vaccine model'!$K39</f>
        <v>#VALUE!</v>
      </c>
      <c r="BZ39" s="84" t="e">
        <f t="shared" si="24"/>
        <v>#VALUE!</v>
      </c>
      <c r="CA39" t="e">
        <f>CC38*'Scen Hypothetical vaccine model'!$J39*HelperFunctions!$R40</f>
        <v>#VALUE!</v>
      </c>
      <c r="CB39" t="e">
        <f>CC38*'Scen Hypothetical vaccine model'!$K39</f>
        <v>#VALUE!</v>
      </c>
      <c r="CC39" s="84" t="e">
        <f t="shared" si="25"/>
        <v>#VALUE!</v>
      </c>
      <c r="CD39" t="e">
        <f>CF38*'Scen Hypothetical vaccine model'!$J39*HelperFunctions!$R39</f>
        <v>#VALUE!</v>
      </c>
      <c r="CE39" t="e">
        <f>CF38*'Scen Hypothetical vaccine model'!$K39</f>
        <v>#VALUE!</v>
      </c>
      <c r="CF39" s="84" t="e">
        <f t="shared" si="26"/>
        <v>#VALUE!</v>
      </c>
      <c r="CG39" t="e">
        <f>CI38*'Scen Hypothetical vaccine model'!$J39*HelperFunctions!$R38</f>
        <v>#VALUE!</v>
      </c>
      <c r="CH39" t="e">
        <f>CI38*'Scen Hypothetical vaccine model'!$K39</f>
        <v>#VALUE!</v>
      </c>
      <c r="CI39" s="84" t="e">
        <f t="shared" si="27"/>
        <v>#VALUE!</v>
      </c>
      <c r="CJ39" t="e">
        <f>CL38*'Scen Hypothetical vaccine model'!$J39*HelperFunctions!$R37</f>
        <v>#VALUE!</v>
      </c>
      <c r="CK39" t="e">
        <f>CL38*'Scen Hypothetical vaccine model'!$K39</f>
        <v>#VALUE!</v>
      </c>
      <c r="CL39" s="84" t="e">
        <f t="shared" si="28"/>
        <v>#VALUE!</v>
      </c>
      <c r="CM39" t="e">
        <f>CO38*'Scen Hypothetical vaccine model'!$J39*HelperFunctions!$R36</f>
        <v>#VALUE!</v>
      </c>
      <c r="CN39" t="e">
        <f>CO38*'Scen Hypothetical vaccine model'!$K39</f>
        <v>#VALUE!</v>
      </c>
      <c r="CO39" s="84" t="e">
        <f t="shared" si="29"/>
        <v>#VALUE!</v>
      </c>
      <c r="CP39" t="e">
        <f>CR38*'Scen Hypothetical vaccine model'!$J39*HelperFunctions!$R35</f>
        <v>#VALUE!</v>
      </c>
      <c r="CQ39" t="e">
        <f>CR38*'Scen Hypothetical vaccine model'!$K39</f>
        <v>#VALUE!</v>
      </c>
      <c r="CR39" s="84" t="e">
        <f t="shared" si="30"/>
        <v>#VALUE!</v>
      </c>
      <c r="CS39" t="e">
        <f>CU38*'Scen Hypothetical vaccine model'!$J39*HelperFunctions!$R34</f>
        <v>#VALUE!</v>
      </c>
      <c r="CT39" t="e">
        <f>CU38*'Scen Hypothetical vaccine model'!$K39</f>
        <v>#VALUE!</v>
      </c>
      <c r="CU39" s="84" t="e">
        <f t="shared" si="31"/>
        <v>#VALUE!</v>
      </c>
      <c r="CV39" t="e">
        <f>CX38*'Scen Hypothetical vaccine model'!$J39*HelperFunctions!$R33</f>
        <v>#VALUE!</v>
      </c>
      <c r="CW39" t="e">
        <f>CX38*'Scen Hypothetical vaccine model'!$K39</f>
        <v>#VALUE!</v>
      </c>
      <c r="CX39" s="84" t="e">
        <f t="shared" si="32"/>
        <v>#VALUE!</v>
      </c>
      <c r="CY39" t="e">
        <f>DA38*'Scen Hypothetical vaccine model'!$J39*HelperFunctions!$R32</f>
        <v>#VALUE!</v>
      </c>
      <c r="CZ39" t="e">
        <f>DA38*'Scen Hypothetical vaccine model'!$K39</f>
        <v>#VALUE!</v>
      </c>
      <c r="DA39" s="84" t="e">
        <f t="shared" ref="DA39:DA63" si="33">DA38-CY39-CZ39</f>
        <v>#VALUE!</v>
      </c>
      <c r="DB39" t="e">
        <f>DD38*'Scen Hypothetical vaccine model'!$J39*HelperFunctions!$R31</f>
        <v>#VALUE!</v>
      </c>
      <c r="DC39" t="e">
        <f>DD38*'Scen Hypothetical vaccine model'!$K39</f>
        <v>#VALUE!</v>
      </c>
      <c r="DD39" s="84" t="e">
        <f>DD38-DB39-DC39</f>
        <v>#VALUE!</v>
      </c>
      <c r="DE39" s="93"/>
      <c r="DF39" s="93"/>
      <c r="DG39" s="84" t="e">
        <f>Export!$N37*'Scen EffectivelyVax'!$A38*(1-HelperFunctions!$G$31)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35">
      <c r="B40">
        <v>3</v>
      </c>
      <c r="C40" t="str">
        <f>Inputs!I60</f>
        <v/>
      </c>
      <c r="D40" t="e">
        <f>F39*'Scen Hypothetical vaccine model'!J40*HelperFunctions!R$14</f>
        <v>#VALUE!</v>
      </c>
      <c r="E40" t="e">
        <f>F39*'Scen Hypothetical vaccine model'!K40</f>
        <v>#VALUE!</v>
      </c>
      <c r="F40" s="84" t="e">
        <f t="shared" si="0"/>
        <v>#VALUE!</v>
      </c>
      <c r="G40" t="e">
        <f>I39*'Scen Hypothetical vaccine model'!$J40*HelperFunctions!$R$14</f>
        <v>#VALUE!</v>
      </c>
      <c r="H40" t="e">
        <f>I39*'Scen Hypothetical vaccine model'!$K40</f>
        <v>#VALUE!</v>
      </c>
      <c r="I40" s="84" t="e">
        <f t="shared" si="1"/>
        <v>#VALUE!</v>
      </c>
      <c r="J40" t="e">
        <f>L39*'Scen Hypothetical vaccine model'!$J40*HelperFunctions!$R$14</f>
        <v>#VALUE!</v>
      </c>
      <c r="K40" t="e">
        <f>L39*'Scen Hypothetical vaccine model'!$K40</f>
        <v>#VALUE!</v>
      </c>
      <c r="L40" s="84" t="e">
        <f t="shared" si="2"/>
        <v>#VALUE!</v>
      </c>
      <c r="M40" t="e">
        <f>O39*'Scen Hypothetical vaccine model'!$J40*HelperFunctions!$R$14</f>
        <v>#VALUE!</v>
      </c>
      <c r="N40" t="e">
        <f>O39*'Scen Hypothetical vaccine model'!$K40</f>
        <v>#VALUE!</v>
      </c>
      <c r="O40" s="84" t="e">
        <f t="shared" si="3"/>
        <v>#VALUE!</v>
      </c>
      <c r="P40" t="e">
        <f>R39*'Scen Hypothetical vaccine model'!$J40*HelperFunctions!$R$14</f>
        <v>#VALUE!</v>
      </c>
      <c r="Q40" t="e">
        <f>R39*'Scen Hypothetical vaccine model'!$K40</f>
        <v>#VALUE!</v>
      </c>
      <c r="R40" s="84" t="e">
        <f t="shared" si="4"/>
        <v>#VALUE!</v>
      </c>
      <c r="S40" t="e">
        <f>U39*'Scen Hypothetical vaccine model'!$J40*HelperFunctions!$R$14</f>
        <v>#VALUE!</v>
      </c>
      <c r="T40" t="e">
        <f>U39*'Scen Hypothetical vaccine model'!$K40</f>
        <v>#VALUE!</v>
      </c>
      <c r="U40" s="84" t="e">
        <f t="shared" si="5"/>
        <v>#VALUE!</v>
      </c>
      <c r="V40" t="e">
        <f>X39*'Scen Hypothetical vaccine model'!$J40*HelperFunctions!$R$14</f>
        <v>#VALUE!</v>
      </c>
      <c r="W40" t="e">
        <f>X39*'Scen Hypothetical vaccine model'!$K40</f>
        <v>#VALUE!</v>
      </c>
      <c r="X40" s="84" t="e">
        <f t="shared" si="6"/>
        <v>#VALUE!</v>
      </c>
      <c r="Y40" t="e">
        <f>AA39*'Scen Hypothetical vaccine model'!$J40*HelperFunctions!$R$14</f>
        <v>#VALUE!</v>
      </c>
      <c r="Z40" t="e">
        <f>AA39*'Scen Hypothetical vaccine model'!$K40</f>
        <v>#VALUE!</v>
      </c>
      <c r="AA40" s="84" t="e">
        <f t="shared" si="7"/>
        <v>#VALUE!</v>
      </c>
      <c r="AB40" t="e">
        <f>AD39*'Scen Hypothetical vaccine model'!$J40*HelperFunctions!$R$14</f>
        <v>#VALUE!</v>
      </c>
      <c r="AC40" t="e">
        <f>AD39*'Scen Hypothetical vaccine model'!$K40</f>
        <v>#VALUE!</v>
      </c>
      <c r="AD40" s="84" t="e">
        <f t="shared" si="8"/>
        <v>#VALUE!</v>
      </c>
      <c r="AE40" t="e">
        <f>AG39*'Scen Hypothetical vaccine model'!$J40*HelperFunctions!$R$14</f>
        <v>#VALUE!</v>
      </c>
      <c r="AF40" t="e">
        <f>AG39*'Scen Hypothetical vaccine model'!$K40</f>
        <v>#VALUE!</v>
      </c>
      <c r="AG40" s="84" t="e">
        <f t="shared" si="9"/>
        <v>#VALUE!</v>
      </c>
      <c r="AH40" t="e">
        <f>AJ39*'Scen Hypothetical vaccine model'!$J40*HelperFunctions!$R$14</f>
        <v>#VALUE!</v>
      </c>
      <c r="AI40" t="e">
        <f>AJ39*'Scen Hypothetical vaccine model'!$K40</f>
        <v>#VALUE!</v>
      </c>
      <c r="AJ40" s="84" t="e">
        <f t="shared" si="10"/>
        <v>#VALUE!</v>
      </c>
      <c r="AK40" t="e">
        <f>AM39*'Scen Hypothetical vaccine model'!$J40*HelperFunctions!$R$14</f>
        <v>#VALUE!</v>
      </c>
      <c r="AL40" t="e">
        <f>AM39*'Scen Hypothetical vaccine model'!$K40</f>
        <v>#VALUE!</v>
      </c>
      <c r="AM40" s="84" t="e">
        <f t="shared" si="11"/>
        <v>#VALUE!</v>
      </c>
      <c r="AN40" t="e">
        <f>AP39*'Scen Hypothetical vaccine model'!$J40*HelperFunctions!$R$28</f>
        <v>#VALUE!</v>
      </c>
      <c r="AO40" t="e">
        <f>AP39*'Scen Hypothetical vaccine model'!$K40</f>
        <v>#VALUE!</v>
      </c>
      <c r="AP40" s="84" t="e">
        <f t="shared" si="12"/>
        <v>#VALUE!</v>
      </c>
      <c r="AQ40" t="e">
        <f>AS39*'Scen Hypothetical vaccine model'!$J40*HelperFunctions!$R$28</f>
        <v>#VALUE!</v>
      </c>
      <c r="AR40" t="e">
        <f>AS39*'Scen Hypothetical vaccine model'!$K40</f>
        <v>#VALUE!</v>
      </c>
      <c r="AS40" s="84" t="e">
        <f t="shared" si="13"/>
        <v>#VALUE!</v>
      </c>
      <c r="AT40" t="e">
        <f>AV39*'Scen Hypothetical vaccine model'!$J40*HelperFunctions!$R$28</f>
        <v>#VALUE!</v>
      </c>
      <c r="AU40" t="e">
        <f>AV39*'Scen Hypothetical vaccine model'!$K40</f>
        <v>#VALUE!</v>
      </c>
      <c r="AV40" s="84" t="e">
        <f t="shared" si="14"/>
        <v>#VALUE!</v>
      </c>
      <c r="AW40" t="e">
        <f>AY39*'Scen Hypothetical vaccine model'!$J40*HelperFunctions!$R$28</f>
        <v>#VALUE!</v>
      </c>
      <c r="AX40" t="e">
        <f>AY39*'Scen Hypothetical vaccine model'!$K40</f>
        <v>#VALUE!</v>
      </c>
      <c r="AY40" s="84" t="e">
        <f t="shared" si="15"/>
        <v>#VALUE!</v>
      </c>
      <c r="AZ40" t="e">
        <f>BB39*'Scen Hypothetical vaccine model'!$J40*HelperFunctions!$R$28</f>
        <v>#VALUE!</v>
      </c>
      <c r="BA40" t="e">
        <f>BB39*'Scen Hypothetical vaccine model'!$K40</f>
        <v>#VALUE!</v>
      </c>
      <c r="BB40" s="84" t="e">
        <f t="shared" si="16"/>
        <v>#VALUE!</v>
      </c>
      <c r="BC40" t="e">
        <f>BE39*'Scen Hypothetical vaccine model'!$J40*HelperFunctions!$R$28</f>
        <v>#VALUE!</v>
      </c>
      <c r="BD40" t="e">
        <f>BE39*'Scen Hypothetical vaccine model'!$K40</f>
        <v>#VALUE!</v>
      </c>
      <c r="BE40" s="84" t="e">
        <f t="shared" si="17"/>
        <v>#VALUE!</v>
      </c>
      <c r="BF40" t="e">
        <f>BH39*'Scen Hypothetical vaccine model'!$J40*HelperFunctions!$R$28</f>
        <v>#VALUE!</v>
      </c>
      <c r="BG40" t="e">
        <f>BH39*'Scen Hypothetical vaccine model'!$K40</f>
        <v>#VALUE!</v>
      </c>
      <c r="BH40" s="84" t="e">
        <f t="shared" si="18"/>
        <v>#VALUE!</v>
      </c>
      <c r="BI40" t="e">
        <f>BK39*'Scen Hypothetical vaccine model'!$J40*HelperFunctions!$R$28</f>
        <v>#VALUE!</v>
      </c>
      <c r="BJ40" t="e">
        <f>BK39*'Scen Hypothetical vaccine model'!$K40</f>
        <v>#VALUE!</v>
      </c>
      <c r="BK40" s="84" t="e">
        <f t="shared" si="19"/>
        <v>#VALUE!</v>
      </c>
      <c r="BL40" t="e">
        <f>BN39*'Scen Hypothetical vaccine model'!$J40*HelperFunctions!$R$28</f>
        <v>#VALUE!</v>
      </c>
      <c r="BM40" t="e">
        <f>BN39*'Scen Hypothetical vaccine model'!$K40</f>
        <v>#VALUE!</v>
      </c>
      <c r="BN40" s="84" t="e">
        <f t="shared" si="20"/>
        <v>#VALUE!</v>
      </c>
      <c r="BO40" t="e">
        <f>BQ39*'Scen Hypothetical vaccine model'!$J40*HelperFunctions!$R$28</f>
        <v>#VALUE!</v>
      </c>
      <c r="BP40" t="e">
        <f>BQ39*'Scen Hypothetical vaccine model'!$K40</f>
        <v>#VALUE!</v>
      </c>
      <c r="BQ40" s="84" t="e">
        <f t="shared" si="21"/>
        <v>#VALUE!</v>
      </c>
      <c r="BR40" t="e">
        <f>BT39*'Scen Hypothetical vaccine model'!$J40*HelperFunctions!$R$28</f>
        <v>#VALUE!</v>
      </c>
      <c r="BS40" t="e">
        <f>BT39*'Scen Hypothetical vaccine model'!$K40</f>
        <v>#VALUE!</v>
      </c>
      <c r="BT40" s="84" t="e">
        <f t="shared" si="22"/>
        <v>#VALUE!</v>
      </c>
      <c r="BU40" t="e">
        <f>BW39*'Scen Hypothetical vaccine model'!$J40*HelperFunctions!$R$28</f>
        <v>#VALUE!</v>
      </c>
      <c r="BV40" t="e">
        <f>BW39*'Scen Hypothetical vaccine model'!$K40</f>
        <v>#VALUE!</v>
      </c>
      <c r="BW40" s="84" t="e">
        <f t="shared" si="23"/>
        <v>#VALUE!</v>
      </c>
      <c r="BX40" t="e">
        <f>BZ39*'Scen Hypothetical vaccine model'!$J40*HelperFunctions!$R$42</f>
        <v>#VALUE!</v>
      </c>
      <c r="BY40" t="e">
        <f>BZ39*'Scen Hypothetical vaccine model'!$K40</f>
        <v>#VALUE!</v>
      </c>
      <c r="BZ40" s="84" t="e">
        <f t="shared" si="24"/>
        <v>#VALUE!</v>
      </c>
      <c r="CA40" t="e">
        <f>CC39*'Scen Hypothetical vaccine model'!$J40*HelperFunctions!$R41</f>
        <v>#VALUE!</v>
      </c>
      <c r="CB40" t="e">
        <f>CC39*'Scen Hypothetical vaccine model'!$K40</f>
        <v>#VALUE!</v>
      </c>
      <c r="CC40" s="84" t="e">
        <f t="shared" si="25"/>
        <v>#VALUE!</v>
      </c>
      <c r="CD40" t="e">
        <f>CF39*'Scen Hypothetical vaccine model'!$J40*HelperFunctions!$R40</f>
        <v>#VALUE!</v>
      </c>
      <c r="CE40" t="e">
        <f>CF39*'Scen Hypothetical vaccine model'!$K40</f>
        <v>#VALUE!</v>
      </c>
      <c r="CF40" s="84" t="e">
        <f t="shared" si="26"/>
        <v>#VALUE!</v>
      </c>
      <c r="CG40" t="e">
        <f>CI39*'Scen Hypothetical vaccine model'!$J40*HelperFunctions!$R39</f>
        <v>#VALUE!</v>
      </c>
      <c r="CH40" t="e">
        <f>CI39*'Scen Hypothetical vaccine model'!$K40</f>
        <v>#VALUE!</v>
      </c>
      <c r="CI40" s="84" t="e">
        <f t="shared" si="27"/>
        <v>#VALUE!</v>
      </c>
      <c r="CJ40" t="e">
        <f>CL39*'Scen Hypothetical vaccine model'!$J40*HelperFunctions!$R38</f>
        <v>#VALUE!</v>
      </c>
      <c r="CK40" t="e">
        <f>CL39*'Scen Hypothetical vaccine model'!$K40</f>
        <v>#VALUE!</v>
      </c>
      <c r="CL40" s="84" t="e">
        <f t="shared" si="28"/>
        <v>#VALUE!</v>
      </c>
      <c r="CM40" t="e">
        <f>CO39*'Scen Hypothetical vaccine model'!$J40*HelperFunctions!$R37</f>
        <v>#VALUE!</v>
      </c>
      <c r="CN40" t="e">
        <f>CO39*'Scen Hypothetical vaccine model'!$K40</f>
        <v>#VALUE!</v>
      </c>
      <c r="CO40" s="84" t="e">
        <f t="shared" si="29"/>
        <v>#VALUE!</v>
      </c>
      <c r="CP40" t="e">
        <f>CR39*'Scen Hypothetical vaccine model'!$J40*HelperFunctions!$R36</f>
        <v>#VALUE!</v>
      </c>
      <c r="CQ40" t="e">
        <f>CR39*'Scen Hypothetical vaccine model'!$K40</f>
        <v>#VALUE!</v>
      </c>
      <c r="CR40" s="84" t="e">
        <f t="shared" si="30"/>
        <v>#VALUE!</v>
      </c>
      <c r="CS40" t="e">
        <f>CU39*'Scen Hypothetical vaccine model'!$J40*HelperFunctions!$R35</f>
        <v>#VALUE!</v>
      </c>
      <c r="CT40" t="e">
        <f>CU39*'Scen Hypothetical vaccine model'!$K40</f>
        <v>#VALUE!</v>
      </c>
      <c r="CU40" s="84" t="e">
        <f t="shared" si="31"/>
        <v>#VALUE!</v>
      </c>
      <c r="CV40" t="e">
        <f>CX39*'Scen Hypothetical vaccine model'!$J40*HelperFunctions!$R34</f>
        <v>#VALUE!</v>
      </c>
      <c r="CW40" t="e">
        <f>CX39*'Scen Hypothetical vaccine model'!$K40</f>
        <v>#VALUE!</v>
      </c>
      <c r="CX40" s="84" t="e">
        <f t="shared" si="32"/>
        <v>#VALUE!</v>
      </c>
      <c r="CY40" t="e">
        <f>DA39*'Scen Hypothetical vaccine model'!$J40*HelperFunctions!$R33</f>
        <v>#VALUE!</v>
      </c>
      <c r="CZ40" t="e">
        <f>DA39*'Scen Hypothetical vaccine model'!$K40</f>
        <v>#VALUE!</v>
      </c>
      <c r="DA40" s="84" t="e">
        <f t="shared" si="33"/>
        <v>#VALUE!</v>
      </c>
      <c r="DB40" t="e">
        <f>DD39*'Scen Hypothetical vaccine model'!$J40*HelperFunctions!$R32</f>
        <v>#VALUE!</v>
      </c>
      <c r="DC40" t="e">
        <f>DD39*'Scen Hypothetical vaccine model'!$K40</f>
        <v>#VALUE!</v>
      </c>
      <c r="DD40" s="84" t="e">
        <f t="shared" ref="DD40:DD63" si="34">DD39-DB40-DC40</f>
        <v>#VALUE!</v>
      </c>
      <c r="DE40" t="e">
        <f>DG39*'Scen Hypothetical vaccine model'!$J40*HelperFunctions!$R31</f>
        <v>#VALUE!</v>
      </c>
      <c r="DF40" t="e">
        <f>DG39*'Scen Hypothetical vaccine model'!$K40</f>
        <v>#VALUE!</v>
      </c>
      <c r="DG40" s="84" t="e">
        <f>DG39-DE40-DF40</f>
        <v>#VALUE!</v>
      </c>
      <c r="DH40" s="93"/>
      <c r="DI40" s="93"/>
      <c r="DJ40" s="84" t="e">
        <f>Export!$N38*'Scen EffectivelyVax'!$A39*(1-HelperFunctions!$G$45)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35">
      <c r="B41">
        <v>3</v>
      </c>
      <c r="C41" t="str">
        <f>Inputs!I61</f>
        <v/>
      </c>
      <c r="D41" t="e">
        <f>F40*'Scen Hypothetical vaccine model'!J41*HelperFunctions!R$14</f>
        <v>#VALUE!</v>
      </c>
      <c r="E41" t="e">
        <f>F40*'Scen Hypothetical vaccine model'!K41</f>
        <v>#VALUE!</v>
      </c>
      <c r="F41" s="84" t="e">
        <f t="shared" si="0"/>
        <v>#VALUE!</v>
      </c>
      <c r="G41" t="e">
        <f>I40*'Scen Hypothetical vaccine model'!$J41*HelperFunctions!$R$14</f>
        <v>#VALUE!</v>
      </c>
      <c r="H41" t="e">
        <f>I40*'Scen Hypothetical vaccine model'!$K41</f>
        <v>#VALUE!</v>
      </c>
      <c r="I41" s="84" t="e">
        <f t="shared" si="1"/>
        <v>#VALUE!</v>
      </c>
      <c r="J41" t="e">
        <f>L40*'Scen Hypothetical vaccine model'!$J41*HelperFunctions!$R$14</f>
        <v>#VALUE!</v>
      </c>
      <c r="K41" t="e">
        <f>L40*'Scen Hypothetical vaccine model'!$K41</f>
        <v>#VALUE!</v>
      </c>
      <c r="L41" s="84" t="e">
        <f t="shared" si="2"/>
        <v>#VALUE!</v>
      </c>
      <c r="M41" t="e">
        <f>O40*'Scen Hypothetical vaccine model'!$J41*HelperFunctions!$R$14</f>
        <v>#VALUE!</v>
      </c>
      <c r="N41" t="e">
        <f>O40*'Scen Hypothetical vaccine model'!$K41</f>
        <v>#VALUE!</v>
      </c>
      <c r="O41" s="84" t="e">
        <f t="shared" si="3"/>
        <v>#VALUE!</v>
      </c>
      <c r="P41" t="e">
        <f>R40*'Scen Hypothetical vaccine model'!$J41*HelperFunctions!$R$14</f>
        <v>#VALUE!</v>
      </c>
      <c r="Q41" t="e">
        <f>R40*'Scen Hypothetical vaccine model'!$K41</f>
        <v>#VALUE!</v>
      </c>
      <c r="R41" s="84" t="e">
        <f t="shared" si="4"/>
        <v>#VALUE!</v>
      </c>
      <c r="S41" t="e">
        <f>U40*'Scen Hypothetical vaccine model'!$J41*HelperFunctions!$R$14</f>
        <v>#VALUE!</v>
      </c>
      <c r="T41" t="e">
        <f>U40*'Scen Hypothetical vaccine model'!$K41</f>
        <v>#VALUE!</v>
      </c>
      <c r="U41" s="84" t="e">
        <f t="shared" si="5"/>
        <v>#VALUE!</v>
      </c>
      <c r="V41" t="e">
        <f>X40*'Scen Hypothetical vaccine model'!$J41*HelperFunctions!$R$14</f>
        <v>#VALUE!</v>
      </c>
      <c r="W41" t="e">
        <f>X40*'Scen Hypothetical vaccine model'!$K41</f>
        <v>#VALUE!</v>
      </c>
      <c r="X41" s="84" t="e">
        <f t="shared" si="6"/>
        <v>#VALUE!</v>
      </c>
      <c r="Y41" t="e">
        <f>AA40*'Scen Hypothetical vaccine model'!$J41*HelperFunctions!$R$14</f>
        <v>#VALUE!</v>
      </c>
      <c r="Z41" t="e">
        <f>AA40*'Scen Hypothetical vaccine model'!$K41</f>
        <v>#VALUE!</v>
      </c>
      <c r="AA41" s="84" t="e">
        <f t="shared" si="7"/>
        <v>#VALUE!</v>
      </c>
      <c r="AB41" t="e">
        <f>AD40*'Scen Hypothetical vaccine model'!$J41*HelperFunctions!$R$14</f>
        <v>#VALUE!</v>
      </c>
      <c r="AC41" t="e">
        <f>AD40*'Scen Hypothetical vaccine model'!$K41</f>
        <v>#VALUE!</v>
      </c>
      <c r="AD41" s="84" t="e">
        <f t="shared" si="8"/>
        <v>#VALUE!</v>
      </c>
      <c r="AE41" t="e">
        <f>AG40*'Scen Hypothetical vaccine model'!$J41*HelperFunctions!$R$14</f>
        <v>#VALUE!</v>
      </c>
      <c r="AF41" t="e">
        <f>AG40*'Scen Hypothetical vaccine model'!$K41</f>
        <v>#VALUE!</v>
      </c>
      <c r="AG41" s="84" t="e">
        <f t="shared" si="9"/>
        <v>#VALUE!</v>
      </c>
      <c r="AH41" t="e">
        <f>AJ40*'Scen Hypothetical vaccine model'!$J41*HelperFunctions!$R$14</f>
        <v>#VALUE!</v>
      </c>
      <c r="AI41" t="e">
        <f>AJ40*'Scen Hypothetical vaccine model'!$K41</f>
        <v>#VALUE!</v>
      </c>
      <c r="AJ41" s="84" t="e">
        <f t="shared" si="10"/>
        <v>#VALUE!</v>
      </c>
      <c r="AK41" t="e">
        <f>AM40*'Scen Hypothetical vaccine model'!$J41*HelperFunctions!$R$14</f>
        <v>#VALUE!</v>
      </c>
      <c r="AL41" t="e">
        <f>AM40*'Scen Hypothetical vaccine model'!$K41</f>
        <v>#VALUE!</v>
      </c>
      <c r="AM41" s="84" t="e">
        <f t="shared" si="11"/>
        <v>#VALUE!</v>
      </c>
      <c r="AN41" t="e">
        <f>AP40*'Scen Hypothetical vaccine model'!$J41*HelperFunctions!$R$28</f>
        <v>#VALUE!</v>
      </c>
      <c r="AO41" t="e">
        <f>AP40*'Scen Hypothetical vaccine model'!$K41</f>
        <v>#VALUE!</v>
      </c>
      <c r="AP41" s="84" t="e">
        <f t="shared" si="12"/>
        <v>#VALUE!</v>
      </c>
      <c r="AQ41" t="e">
        <f>AS40*'Scen Hypothetical vaccine model'!$J41*HelperFunctions!$R$28</f>
        <v>#VALUE!</v>
      </c>
      <c r="AR41" t="e">
        <f>AS40*'Scen Hypothetical vaccine model'!$K41</f>
        <v>#VALUE!</v>
      </c>
      <c r="AS41" s="84" t="e">
        <f t="shared" si="13"/>
        <v>#VALUE!</v>
      </c>
      <c r="AT41" t="e">
        <f>AV40*'Scen Hypothetical vaccine model'!$J41*HelperFunctions!$R$28</f>
        <v>#VALUE!</v>
      </c>
      <c r="AU41" t="e">
        <f>AV40*'Scen Hypothetical vaccine model'!$K41</f>
        <v>#VALUE!</v>
      </c>
      <c r="AV41" s="84" t="e">
        <f t="shared" si="14"/>
        <v>#VALUE!</v>
      </c>
      <c r="AW41" t="e">
        <f>AY40*'Scen Hypothetical vaccine model'!$J41*HelperFunctions!$R$28</f>
        <v>#VALUE!</v>
      </c>
      <c r="AX41" t="e">
        <f>AY40*'Scen Hypothetical vaccine model'!$K41</f>
        <v>#VALUE!</v>
      </c>
      <c r="AY41" s="84" t="e">
        <f t="shared" si="15"/>
        <v>#VALUE!</v>
      </c>
      <c r="AZ41" t="e">
        <f>BB40*'Scen Hypothetical vaccine model'!$J41*HelperFunctions!$R$28</f>
        <v>#VALUE!</v>
      </c>
      <c r="BA41" t="e">
        <f>BB40*'Scen Hypothetical vaccine model'!$K41</f>
        <v>#VALUE!</v>
      </c>
      <c r="BB41" s="84" t="e">
        <f t="shared" si="16"/>
        <v>#VALUE!</v>
      </c>
      <c r="BC41" t="e">
        <f>BE40*'Scen Hypothetical vaccine model'!$J41*HelperFunctions!$R$28</f>
        <v>#VALUE!</v>
      </c>
      <c r="BD41" t="e">
        <f>BE40*'Scen Hypothetical vaccine model'!$K41</f>
        <v>#VALUE!</v>
      </c>
      <c r="BE41" s="84" t="e">
        <f t="shared" si="17"/>
        <v>#VALUE!</v>
      </c>
      <c r="BF41" t="e">
        <f>BH40*'Scen Hypothetical vaccine model'!$J41*HelperFunctions!$R$28</f>
        <v>#VALUE!</v>
      </c>
      <c r="BG41" t="e">
        <f>BH40*'Scen Hypothetical vaccine model'!$K41</f>
        <v>#VALUE!</v>
      </c>
      <c r="BH41" s="84" t="e">
        <f t="shared" si="18"/>
        <v>#VALUE!</v>
      </c>
      <c r="BI41" t="e">
        <f>BK40*'Scen Hypothetical vaccine model'!$J41*HelperFunctions!$R$28</f>
        <v>#VALUE!</v>
      </c>
      <c r="BJ41" t="e">
        <f>BK40*'Scen Hypothetical vaccine model'!$K41</f>
        <v>#VALUE!</v>
      </c>
      <c r="BK41" s="84" t="e">
        <f t="shared" si="19"/>
        <v>#VALUE!</v>
      </c>
      <c r="BL41" t="e">
        <f>BN40*'Scen Hypothetical vaccine model'!$J41*HelperFunctions!$R$28</f>
        <v>#VALUE!</v>
      </c>
      <c r="BM41" t="e">
        <f>BN40*'Scen Hypothetical vaccine model'!$K41</f>
        <v>#VALUE!</v>
      </c>
      <c r="BN41" s="84" t="e">
        <f t="shared" si="20"/>
        <v>#VALUE!</v>
      </c>
      <c r="BO41" t="e">
        <f>BQ40*'Scen Hypothetical vaccine model'!$J41*HelperFunctions!$R$28</f>
        <v>#VALUE!</v>
      </c>
      <c r="BP41" t="e">
        <f>BQ40*'Scen Hypothetical vaccine model'!$K41</f>
        <v>#VALUE!</v>
      </c>
      <c r="BQ41" s="84" t="e">
        <f t="shared" si="21"/>
        <v>#VALUE!</v>
      </c>
      <c r="BR41" t="e">
        <f>BT40*'Scen Hypothetical vaccine model'!$J41*HelperFunctions!$R$28</f>
        <v>#VALUE!</v>
      </c>
      <c r="BS41" t="e">
        <f>BT40*'Scen Hypothetical vaccine model'!$K41</f>
        <v>#VALUE!</v>
      </c>
      <c r="BT41" s="84" t="e">
        <f t="shared" si="22"/>
        <v>#VALUE!</v>
      </c>
      <c r="BU41" t="e">
        <f>BW40*'Scen Hypothetical vaccine model'!$J41*HelperFunctions!$R$28</f>
        <v>#VALUE!</v>
      </c>
      <c r="BV41" t="e">
        <f>BW40*'Scen Hypothetical vaccine model'!$K41</f>
        <v>#VALUE!</v>
      </c>
      <c r="BW41" s="84" t="e">
        <f t="shared" si="23"/>
        <v>#VALUE!</v>
      </c>
      <c r="BX41" t="e">
        <f>BZ40*'Scen Hypothetical vaccine model'!$J41*HelperFunctions!$R$42</f>
        <v>#VALUE!</v>
      </c>
      <c r="BY41" t="e">
        <f>BZ40*'Scen Hypothetical vaccine model'!$K41</f>
        <v>#VALUE!</v>
      </c>
      <c r="BZ41" s="84" t="e">
        <f t="shared" si="24"/>
        <v>#VALUE!</v>
      </c>
      <c r="CA41" t="e">
        <f>CC40*'Scen Hypothetical vaccine model'!$J41*HelperFunctions!$R$42</f>
        <v>#VALUE!</v>
      </c>
      <c r="CB41" t="e">
        <f>CC40*'Scen Hypothetical vaccine model'!$K41</f>
        <v>#VALUE!</v>
      </c>
      <c r="CC41" s="84" t="e">
        <f t="shared" si="25"/>
        <v>#VALUE!</v>
      </c>
      <c r="CD41" t="e">
        <f>CF40*'Scen Hypothetical vaccine model'!$J41*HelperFunctions!$R41</f>
        <v>#VALUE!</v>
      </c>
      <c r="CE41" t="e">
        <f>CF40*'Scen Hypothetical vaccine model'!$K41</f>
        <v>#VALUE!</v>
      </c>
      <c r="CF41" s="84" t="e">
        <f t="shared" si="26"/>
        <v>#VALUE!</v>
      </c>
      <c r="CG41" t="e">
        <f>CI40*'Scen Hypothetical vaccine model'!$J41*HelperFunctions!$R40</f>
        <v>#VALUE!</v>
      </c>
      <c r="CH41" t="e">
        <f>CI40*'Scen Hypothetical vaccine model'!$K41</f>
        <v>#VALUE!</v>
      </c>
      <c r="CI41" s="84" t="e">
        <f t="shared" si="27"/>
        <v>#VALUE!</v>
      </c>
      <c r="CJ41" t="e">
        <f>CL40*'Scen Hypothetical vaccine model'!$J41*HelperFunctions!$R39</f>
        <v>#VALUE!</v>
      </c>
      <c r="CK41" t="e">
        <f>CL40*'Scen Hypothetical vaccine model'!$K41</f>
        <v>#VALUE!</v>
      </c>
      <c r="CL41" s="84" t="e">
        <f t="shared" si="28"/>
        <v>#VALUE!</v>
      </c>
      <c r="CM41" t="e">
        <f>CO40*'Scen Hypothetical vaccine model'!$J41*HelperFunctions!$R38</f>
        <v>#VALUE!</v>
      </c>
      <c r="CN41" t="e">
        <f>CO40*'Scen Hypothetical vaccine model'!$K41</f>
        <v>#VALUE!</v>
      </c>
      <c r="CO41" s="84" t="e">
        <f t="shared" si="29"/>
        <v>#VALUE!</v>
      </c>
      <c r="CP41" t="e">
        <f>CR40*'Scen Hypothetical vaccine model'!$J41*HelperFunctions!$R37</f>
        <v>#VALUE!</v>
      </c>
      <c r="CQ41" t="e">
        <f>CR40*'Scen Hypothetical vaccine model'!$K41</f>
        <v>#VALUE!</v>
      </c>
      <c r="CR41" s="84" t="e">
        <f t="shared" si="30"/>
        <v>#VALUE!</v>
      </c>
      <c r="CS41" t="e">
        <f>CU40*'Scen Hypothetical vaccine model'!$J41*HelperFunctions!$R36</f>
        <v>#VALUE!</v>
      </c>
      <c r="CT41" t="e">
        <f>CU40*'Scen Hypothetical vaccine model'!$K41</f>
        <v>#VALUE!</v>
      </c>
      <c r="CU41" s="84" t="e">
        <f t="shared" si="31"/>
        <v>#VALUE!</v>
      </c>
      <c r="CV41" t="e">
        <f>CX40*'Scen Hypothetical vaccine model'!$J41*HelperFunctions!$R35</f>
        <v>#VALUE!</v>
      </c>
      <c r="CW41" t="e">
        <f>CX40*'Scen Hypothetical vaccine model'!$K41</f>
        <v>#VALUE!</v>
      </c>
      <c r="CX41" s="84" t="e">
        <f t="shared" si="32"/>
        <v>#VALUE!</v>
      </c>
      <c r="CY41" t="e">
        <f>DA40*'Scen Hypothetical vaccine model'!$J41*HelperFunctions!$R34</f>
        <v>#VALUE!</v>
      </c>
      <c r="CZ41" t="e">
        <f>DA40*'Scen Hypothetical vaccine model'!$K41</f>
        <v>#VALUE!</v>
      </c>
      <c r="DA41" s="84" t="e">
        <f t="shared" si="33"/>
        <v>#VALUE!</v>
      </c>
      <c r="DB41" t="e">
        <f>DD40*'Scen Hypothetical vaccine model'!$J41*HelperFunctions!$R33</f>
        <v>#VALUE!</v>
      </c>
      <c r="DC41" t="e">
        <f>DD40*'Scen Hypothetical vaccine model'!$K41</f>
        <v>#VALUE!</v>
      </c>
      <c r="DD41" s="84" t="e">
        <f t="shared" si="34"/>
        <v>#VALUE!</v>
      </c>
      <c r="DE41" t="e">
        <f>DG40*'Scen Hypothetical vaccine model'!$J41*HelperFunctions!$R32</f>
        <v>#VALUE!</v>
      </c>
      <c r="DF41" t="e">
        <f>DG40*'Scen Hypothetical vaccine model'!$K41</f>
        <v>#VALUE!</v>
      </c>
      <c r="DG41" s="84" t="e">
        <f t="shared" ref="DG41:DG63" si="35">DG40-DE41-DF41</f>
        <v>#VALUE!</v>
      </c>
      <c r="DH41" t="e">
        <f>DJ40*'Scen Hypothetical vaccine model'!$J41*HelperFunctions!$R45</f>
        <v>#VALUE!</v>
      </c>
      <c r="DI41" t="e">
        <f>DJ40*'Scen Hypothetical vaccine model'!$K41</f>
        <v>#VALUE!</v>
      </c>
      <c r="DJ41" s="84" t="e">
        <f>DJ40-DH41-DI41</f>
        <v>#VALUE!</v>
      </c>
      <c r="DK41" s="93"/>
      <c r="DL41" s="93"/>
      <c r="DM41" s="84" t="e">
        <f>Export!$N39*'Scen EffectivelyVax'!$A40*(1-HelperFunctions!$G$45)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35">
      <c r="B42">
        <v>3</v>
      </c>
      <c r="C42" t="str">
        <f>Inputs!I62</f>
        <v/>
      </c>
      <c r="D42" t="e">
        <f>F41*'Scen Hypothetical vaccine model'!J42*HelperFunctions!R$14</f>
        <v>#VALUE!</v>
      </c>
      <c r="E42" t="e">
        <f>F41*'Scen Hypothetical vaccine model'!K42</f>
        <v>#VALUE!</v>
      </c>
      <c r="F42" s="84" t="e">
        <f t="shared" si="0"/>
        <v>#VALUE!</v>
      </c>
      <c r="G42" t="e">
        <f>I41*'Scen Hypothetical vaccine model'!$J42*HelperFunctions!$R$14</f>
        <v>#VALUE!</v>
      </c>
      <c r="H42" t="e">
        <f>I41*'Scen Hypothetical vaccine model'!$K42</f>
        <v>#VALUE!</v>
      </c>
      <c r="I42" s="84" t="e">
        <f t="shared" si="1"/>
        <v>#VALUE!</v>
      </c>
      <c r="J42" t="e">
        <f>L41*'Scen Hypothetical vaccine model'!$J42*HelperFunctions!$R$14</f>
        <v>#VALUE!</v>
      </c>
      <c r="K42" t="e">
        <f>L41*'Scen Hypothetical vaccine model'!$K42</f>
        <v>#VALUE!</v>
      </c>
      <c r="L42" s="84" t="e">
        <f t="shared" si="2"/>
        <v>#VALUE!</v>
      </c>
      <c r="M42" t="e">
        <f>O41*'Scen Hypothetical vaccine model'!$J42*HelperFunctions!$R$14</f>
        <v>#VALUE!</v>
      </c>
      <c r="N42" t="e">
        <f>O41*'Scen Hypothetical vaccine model'!$K42</f>
        <v>#VALUE!</v>
      </c>
      <c r="O42" s="84" t="e">
        <f t="shared" si="3"/>
        <v>#VALUE!</v>
      </c>
      <c r="P42" t="e">
        <f>R41*'Scen Hypothetical vaccine model'!$J42*HelperFunctions!$R$14</f>
        <v>#VALUE!</v>
      </c>
      <c r="Q42" t="e">
        <f>R41*'Scen Hypothetical vaccine model'!$K42</f>
        <v>#VALUE!</v>
      </c>
      <c r="R42" s="84" t="e">
        <f t="shared" si="4"/>
        <v>#VALUE!</v>
      </c>
      <c r="S42" t="e">
        <f>U41*'Scen Hypothetical vaccine model'!$J42*HelperFunctions!$R$14</f>
        <v>#VALUE!</v>
      </c>
      <c r="T42" t="e">
        <f>U41*'Scen Hypothetical vaccine model'!$K42</f>
        <v>#VALUE!</v>
      </c>
      <c r="U42" s="84" t="e">
        <f t="shared" si="5"/>
        <v>#VALUE!</v>
      </c>
      <c r="V42" t="e">
        <f>X41*'Scen Hypothetical vaccine model'!$J42*HelperFunctions!$R$14</f>
        <v>#VALUE!</v>
      </c>
      <c r="W42" t="e">
        <f>X41*'Scen Hypothetical vaccine model'!$K42</f>
        <v>#VALUE!</v>
      </c>
      <c r="X42" s="84" t="e">
        <f t="shared" si="6"/>
        <v>#VALUE!</v>
      </c>
      <c r="Y42" t="e">
        <f>AA41*'Scen Hypothetical vaccine model'!$J42*HelperFunctions!$R$14</f>
        <v>#VALUE!</v>
      </c>
      <c r="Z42" t="e">
        <f>AA41*'Scen Hypothetical vaccine model'!$K42</f>
        <v>#VALUE!</v>
      </c>
      <c r="AA42" s="84" t="e">
        <f t="shared" si="7"/>
        <v>#VALUE!</v>
      </c>
      <c r="AB42" t="e">
        <f>AD41*'Scen Hypothetical vaccine model'!$J42*HelperFunctions!$R$14</f>
        <v>#VALUE!</v>
      </c>
      <c r="AC42" t="e">
        <f>AD41*'Scen Hypothetical vaccine model'!$K42</f>
        <v>#VALUE!</v>
      </c>
      <c r="AD42" s="84" t="e">
        <f t="shared" si="8"/>
        <v>#VALUE!</v>
      </c>
      <c r="AE42" t="e">
        <f>AG41*'Scen Hypothetical vaccine model'!$J42*HelperFunctions!$R$14</f>
        <v>#VALUE!</v>
      </c>
      <c r="AF42" t="e">
        <f>AG41*'Scen Hypothetical vaccine model'!$K42</f>
        <v>#VALUE!</v>
      </c>
      <c r="AG42" s="84" t="e">
        <f t="shared" si="9"/>
        <v>#VALUE!</v>
      </c>
      <c r="AH42" t="e">
        <f>AJ41*'Scen Hypothetical vaccine model'!$J42*HelperFunctions!$R$14</f>
        <v>#VALUE!</v>
      </c>
      <c r="AI42" t="e">
        <f>AJ41*'Scen Hypothetical vaccine model'!$K42</f>
        <v>#VALUE!</v>
      </c>
      <c r="AJ42" s="84" t="e">
        <f t="shared" si="10"/>
        <v>#VALUE!</v>
      </c>
      <c r="AK42" t="e">
        <f>AM41*'Scen Hypothetical vaccine model'!$J42*HelperFunctions!$R$14</f>
        <v>#VALUE!</v>
      </c>
      <c r="AL42" t="e">
        <f>AM41*'Scen Hypothetical vaccine model'!$K42</f>
        <v>#VALUE!</v>
      </c>
      <c r="AM42" s="84" t="e">
        <f t="shared" si="11"/>
        <v>#VALUE!</v>
      </c>
      <c r="AN42" t="e">
        <f>AP41*'Scen Hypothetical vaccine model'!$J42*HelperFunctions!$R$28</f>
        <v>#VALUE!</v>
      </c>
      <c r="AO42" t="e">
        <f>AP41*'Scen Hypothetical vaccine model'!$K42</f>
        <v>#VALUE!</v>
      </c>
      <c r="AP42" s="84" t="e">
        <f t="shared" si="12"/>
        <v>#VALUE!</v>
      </c>
      <c r="AQ42" t="e">
        <f>AS41*'Scen Hypothetical vaccine model'!$J42*HelperFunctions!$R$28</f>
        <v>#VALUE!</v>
      </c>
      <c r="AR42" t="e">
        <f>AS41*'Scen Hypothetical vaccine model'!$K42</f>
        <v>#VALUE!</v>
      </c>
      <c r="AS42" s="84" t="e">
        <f t="shared" si="13"/>
        <v>#VALUE!</v>
      </c>
      <c r="AT42" t="e">
        <f>AV41*'Scen Hypothetical vaccine model'!$J42*HelperFunctions!$R$28</f>
        <v>#VALUE!</v>
      </c>
      <c r="AU42" t="e">
        <f>AV41*'Scen Hypothetical vaccine model'!$K42</f>
        <v>#VALUE!</v>
      </c>
      <c r="AV42" s="84" t="e">
        <f t="shared" si="14"/>
        <v>#VALUE!</v>
      </c>
      <c r="AW42" t="e">
        <f>AY41*'Scen Hypothetical vaccine model'!$J42*HelperFunctions!$R$28</f>
        <v>#VALUE!</v>
      </c>
      <c r="AX42" t="e">
        <f>AY41*'Scen Hypothetical vaccine model'!$K42</f>
        <v>#VALUE!</v>
      </c>
      <c r="AY42" s="84" t="e">
        <f t="shared" si="15"/>
        <v>#VALUE!</v>
      </c>
      <c r="AZ42" t="e">
        <f>BB41*'Scen Hypothetical vaccine model'!$J42*HelperFunctions!$R$28</f>
        <v>#VALUE!</v>
      </c>
      <c r="BA42" t="e">
        <f>BB41*'Scen Hypothetical vaccine model'!$K42</f>
        <v>#VALUE!</v>
      </c>
      <c r="BB42" s="84" t="e">
        <f t="shared" si="16"/>
        <v>#VALUE!</v>
      </c>
      <c r="BC42" t="e">
        <f>BE41*'Scen Hypothetical vaccine model'!$J42*HelperFunctions!$R$28</f>
        <v>#VALUE!</v>
      </c>
      <c r="BD42" t="e">
        <f>BE41*'Scen Hypothetical vaccine model'!$K42</f>
        <v>#VALUE!</v>
      </c>
      <c r="BE42" s="84" t="e">
        <f t="shared" si="17"/>
        <v>#VALUE!</v>
      </c>
      <c r="BF42" t="e">
        <f>BH41*'Scen Hypothetical vaccine model'!$J42*HelperFunctions!$R$28</f>
        <v>#VALUE!</v>
      </c>
      <c r="BG42" t="e">
        <f>BH41*'Scen Hypothetical vaccine model'!$K42</f>
        <v>#VALUE!</v>
      </c>
      <c r="BH42" s="84" t="e">
        <f t="shared" si="18"/>
        <v>#VALUE!</v>
      </c>
      <c r="BI42" t="e">
        <f>BK41*'Scen Hypothetical vaccine model'!$J42*HelperFunctions!$R$28</f>
        <v>#VALUE!</v>
      </c>
      <c r="BJ42" t="e">
        <f>BK41*'Scen Hypothetical vaccine model'!$K42</f>
        <v>#VALUE!</v>
      </c>
      <c r="BK42" s="84" t="e">
        <f t="shared" si="19"/>
        <v>#VALUE!</v>
      </c>
      <c r="BL42" t="e">
        <f>BN41*'Scen Hypothetical vaccine model'!$J42*HelperFunctions!$R$28</f>
        <v>#VALUE!</v>
      </c>
      <c r="BM42" t="e">
        <f>BN41*'Scen Hypothetical vaccine model'!$K42</f>
        <v>#VALUE!</v>
      </c>
      <c r="BN42" s="84" t="e">
        <f t="shared" si="20"/>
        <v>#VALUE!</v>
      </c>
      <c r="BO42" t="e">
        <f>BQ41*'Scen Hypothetical vaccine model'!$J42*HelperFunctions!$R$28</f>
        <v>#VALUE!</v>
      </c>
      <c r="BP42" t="e">
        <f>BQ41*'Scen Hypothetical vaccine model'!$K42</f>
        <v>#VALUE!</v>
      </c>
      <c r="BQ42" s="84" t="e">
        <f t="shared" si="21"/>
        <v>#VALUE!</v>
      </c>
      <c r="BR42" t="e">
        <f>BT41*'Scen Hypothetical vaccine model'!$J42*HelperFunctions!$R$28</f>
        <v>#VALUE!</v>
      </c>
      <c r="BS42" t="e">
        <f>BT41*'Scen Hypothetical vaccine model'!$K42</f>
        <v>#VALUE!</v>
      </c>
      <c r="BT42" s="84" t="e">
        <f t="shared" si="22"/>
        <v>#VALUE!</v>
      </c>
      <c r="BU42" t="e">
        <f>BW41*'Scen Hypothetical vaccine model'!$J42*HelperFunctions!$R$28</f>
        <v>#VALUE!</v>
      </c>
      <c r="BV42" t="e">
        <f>BW41*'Scen Hypothetical vaccine model'!$K42</f>
        <v>#VALUE!</v>
      </c>
      <c r="BW42" s="84" t="e">
        <f t="shared" si="23"/>
        <v>#VALUE!</v>
      </c>
      <c r="BX42" t="e">
        <f>BZ41*'Scen Hypothetical vaccine model'!$J42*HelperFunctions!$R$42</f>
        <v>#VALUE!</v>
      </c>
      <c r="BY42" t="e">
        <f>BZ41*'Scen Hypothetical vaccine model'!$K42</f>
        <v>#VALUE!</v>
      </c>
      <c r="BZ42" s="84" t="e">
        <f t="shared" si="24"/>
        <v>#VALUE!</v>
      </c>
      <c r="CA42" t="e">
        <f>CC41*'Scen Hypothetical vaccine model'!$J42*HelperFunctions!$R$42</f>
        <v>#VALUE!</v>
      </c>
      <c r="CB42" t="e">
        <f>CC41*'Scen Hypothetical vaccine model'!$K42</f>
        <v>#VALUE!</v>
      </c>
      <c r="CC42" s="84" t="e">
        <f t="shared" si="25"/>
        <v>#VALUE!</v>
      </c>
      <c r="CD42" t="e">
        <f>CF41*'Scen Hypothetical vaccine model'!$J42*HelperFunctions!$R$42</f>
        <v>#VALUE!</v>
      </c>
      <c r="CE42" t="e">
        <f>CF41*'Scen Hypothetical vaccine model'!$K42</f>
        <v>#VALUE!</v>
      </c>
      <c r="CF42" s="84" t="e">
        <f t="shared" si="26"/>
        <v>#VALUE!</v>
      </c>
      <c r="CG42" t="e">
        <f>CI41*'Scen Hypothetical vaccine model'!$J42*HelperFunctions!$R41</f>
        <v>#VALUE!</v>
      </c>
      <c r="CH42" t="e">
        <f>CI41*'Scen Hypothetical vaccine model'!$K42</f>
        <v>#VALUE!</v>
      </c>
      <c r="CI42" s="84" t="e">
        <f t="shared" si="27"/>
        <v>#VALUE!</v>
      </c>
      <c r="CJ42" t="e">
        <f>CL41*'Scen Hypothetical vaccine model'!$J42*HelperFunctions!$R40</f>
        <v>#VALUE!</v>
      </c>
      <c r="CK42" t="e">
        <f>CL41*'Scen Hypothetical vaccine model'!$K42</f>
        <v>#VALUE!</v>
      </c>
      <c r="CL42" s="84" t="e">
        <f t="shared" si="28"/>
        <v>#VALUE!</v>
      </c>
      <c r="CM42" t="e">
        <f>CO41*'Scen Hypothetical vaccine model'!$J42*HelperFunctions!$R39</f>
        <v>#VALUE!</v>
      </c>
      <c r="CN42" t="e">
        <f>CO41*'Scen Hypothetical vaccine model'!$K42</f>
        <v>#VALUE!</v>
      </c>
      <c r="CO42" s="84" t="e">
        <f t="shared" si="29"/>
        <v>#VALUE!</v>
      </c>
      <c r="CP42" t="e">
        <f>CR41*'Scen Hypothetical vaccine model'!$J42*HelperFunctions!$R38</f>
        <v>#VALUE!</v>
      </c>
      <c r="CQ42" t="e">
        <f>CR41*'Scen Hypothetical vaccine model'!$K42</f>
        <v>#VALUE!</v>
      </c>
      <c r="CR42" s="84" t="e">
        <f t="shared" si="30"/>
        <v>#VALUE!</v>
      </c>
      <c r="CS42" t="e">
        <f>CU41*'Scen Hypothetical vaccine model'!$J42*HelperFunctions!$R37</f>
        <v>#VALUE!</v>
      </c>
      <c r="CT42" t="e">
        <f>CU41*'Scen Hypothetical vaccine model'!$K42</f>
        <v>#VALUE!</v>
      </c>
      <c r="CU42" s="84" t="e">
        <f t="shared" si="31"/>
        <v>#VALUE!</v>
      </c>
      <c r="CV42" t="e">
        <f>CX41*'Scen Hypothetical vaccine model'!$J42*HelperFunctions!$R36</f>
        <v>#VALUE!</v>
      </c>
      <c r="CW42" t="e">
        <f>CX41*'Scen Hypothetical vaccine model'!$K42</f>
        <v>#VALUE!</v>
      </c>
      <c r="CX42" s="84" t="e">
        <f t="shared" si="32"/>
        <v>#VALUE!</v>
      </c>
      <c r="CY42" t="e">
        <f>DA41*'Scen Hypothetical vaccine model'!$J42*HelperFunctions!$R35</f>
        <v>#VALUE!</v>
      </c>
      <c r="CZ42" t="e">
        <f>DA41*'Scen Hypothetical vaccine model'!$K42</f>
        <v>#VALUE!</v>
      </c>
      <c r="DA42" s="84" t="e">
        <f t="shared" si="33"/>
        <v>#VALUE!</v>
      </c>
      <c r="DB42" t="e">
        <f>DD41*'Scen Hypothetical vaccine model'!$J42*HelperFunctions!$R34</f>
        <v>#VALUE!</v>
      </c>
      <c r="DC42" t="e">
        <f>DD41*'Scen Hypothetical vaccine model'!$K42</f>
        <v>#VALUE!</v>
      </c>
      <c r="DD42" s="84" t="e">
        <f t="shared" si="34"/>
        <v>#VALUE!</v>
      </c>
      <c r="DE42" t="e">
        <f>DG41*'Scen Hypothetical vaccine model'!$J42*HelperFunctions!$R33</f>
        <v>#VALUE!</v>
      </c>
      <c r="DF42" t="e">
        <f>DG41*'Scen Hypothetical vaccine model'!$K42</f>
        <v>#VALUE!</v>
      </c>
      <c r="DG42" s="84" t="e">
        <f t="shared" si="35"/>
        <v>#VALUE!</v>
      </c>
      <c r="DH42" t="e">
        <f>DJ41*'Scen Hypothetical vaccine model'!$J42*HelperFunctions!$R46</f>
        <v>#VALUE!</v>
      </c>
      <c r="DI42" t="e">
        <f>DJ41*'Scen Hypothetical vaccine model'!$K42</f>
        <v>#VALUE!</v>
      </c>
      <c r="DJ42" s="84" t="e">
        <f t="shared" ref="DJ42:DJ63" si="36">DJ41-DH42-DI42</f>
        <v>#VALUE!</v>
      </c>
      <c r="DK42" t="e">
        <f>DM41*'Scen Hypothetical vaccine model'!$J42*HelperFunctions!$R45</f>
        <v>#VALUE!</v>
      </c>
      <c r="DL42" t="e">
        <f>DM41*'Scen Hypothetical vaccine model'!$K42</f>
        <v>#VALUE!</v>
      </c>
      <c r="DM42" s="84" t="e">
        <f>DM41-DK42-DL42</f>
        <v>#VALUE!</v>
      </c>
      <c r="DN42" s="93"/>
      <c r="DO42" s="93"/>
      <c r="DP42" s="84" t="e">
        <f>Export!$N40*'Scen EffectivelyVax'!$A41*(1-HelperFunctions!$G$45)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35">
      <c r="B43">
        <v>3</v>
      </c>
      <c r="C43" t="str">
        <f>Inputs!I63</f>
        <v/>
      </c>
      <c r="D43" t="e">
        <f>F42*'Scen Hypothetical vaccine model'!J43*HelperFunctions!R$14</f>
        <v>#VALUE!</v>
      </c>
      <c r="E43" t="e">
        <f>F42*'Scen Hypothetical vaccine model'!K43</f>
        <v>#VALUE!</v>
      </c>
      <c r="F43" s="84" t="e">
        <f t="shared" si="0"/>
        <v>#VALUE!</v>
      </c>
      <c r="G43" t="e">
        <f>I42*'Scen Hypothetical vaccine model'!$J43*HelperFunctions!$R$14</f>
        <v>#VALUE!</v>
      </c>
      <c r="H43" t="e">
        <f>I42*'Scen Hypothetical vaccine model'!$K43</f>
        <v>#VALUE!</v>
      </c>
      <c r="I43" s="84" t="e">
        <f t="shared" si="1"/>
        <v>#VALUE!</v>
      </c>
      <c r="J43" t="e">
        <f>L42*'Scen Hypothetical vaccine model'!$J43*HelperFunctions!$R$14</f>
        <v>#VALUE!</v>
      </c>
      <c r="K43" t="e">
        <f>L42*'Scen Hypothetical vaccine model'!$K43</f>
        <v>#VALUE!</v>
      </c>
      <c r="L43" s="84" t="e">
        <f t="shared" si="2"/>
        <v>#VALUE!</v>
      </c>
      <c r="M43" t="e">
        <f>O42*'Scen Hypothetical vaccine model'!$J43*HelperFunctions!$R$14</f>
        <v>#VALUE!</v>
      </c>
      <c r="N43" t="e">
        <f>O42*'Scen Hypothetical vaccine model'!$K43</f>
        <v>#VALUE!</v>
      </c>
      <c r="O43" s="84" t="e">
        <f t="shared" si="3"/>
        <v>#VALUE!</v>
      </c>
      <c r="P43" t="e">
        <f>R42*'Scen Hypothetical vaccine model'!$J43*HelperFunctions!$R$14</f>
        <v>#VALUE!</v>
      </c>
      <c r="Q43" t="e">
        <f>R42*'Scen Hypothetical vaccine model'!$K43</f>
        <v>#VALUE!</v>
      </c>
      <c r="R43" s="84" t="e">
        <f t="shared" si="4"/>
        <v>#VALUE!</v>
      </c>
      <c r="S43" t="e">
        <f>U42*'Scen Hypothetical vaccine model'!$J43*HelperFunctions!$R$14</f>
        <v>#VALUE!</v>
      </c>
      <c r="T43" t="e">
        <f>U42*'Scen Hypothetical vaccine model'!$K43</f>
        <v>#VALUE!</v>
      </c>
      <c r="U43" s="84" t="e">
        <f t="shared" si="5"/>
        <v>#VALUE!</v>
      </c>
      <c r="V43" t="e">
        <f>X42*'Scen Hypothetical vaccine model'!$J43*HelperFunctions!$R$14</f>
        <v>#VALUE!</v>
      </c>
      <c r="W43" t="e">
        <f>X42*'Scen Hypothetical vaccine model'!$K43</f>
        <v>#VALUE!</v>
      </c>
      <c r="X43" s="84" t="e">
        <f t="shared" si="6"/>
        <v>#VALUE!</v>
      </c>
      <c r="Y43" t="e">
        <f>AA42*'Scen Hypothetical vaccine model'!$J43*HelperFunctions!$R$14</f>
        <v>#VALUE!</v>
      </c>
      <c r="Z43" t="e">
        <f>AA42*'Scen Hypothetical vaccine model'!$K43</f>
        <v>#VALUE!</v>
      </c>
      <c r="AA43" s="84" t="e">
        <f t="shared" si="7"/>
        <v>#VALUE!</v>
      </c>
      <c r="AB43" t="e">
        <f>AD42*'Scen Hypothetical vaccine model'!$J43*HelperFunctions!$R$14</f>
        <v>#VALUE!</v>
      </c>
      <c r="AC43" t="e">
        <f>AD42*'Scen Hypothetical vaccine model'!$K43</f>
        <v>#VALUE!</v>
      </c>
      <c r="AD43" s="84" t="e">
        <f t="shared" si="8"/>
        <v>#VALUE!</v>
      </c>
      <c r="AE43" t="e">
        <f>AG42*'Scen Hypothetical vaccine model'!$J43*HelperFunctions!$R$14</f>
        <v>#VALUE!</v>
      </c>
      <c r="AF43" t="e">
        <f>AG42*'Scen Hypothetical vaccine model'!$K43</f>
        <v>#VALUE!</v>
      </c>
      <c r="AG43" s="84" t="e">
        <f t="shared" si="9"/>
        <v>#VALUE!</v>
      </c>
      <c r="AH43" t="e">
        <f>AJ42*'Scen Hypothetical vaccine model'!$J43*HelperFunctions!$R$14</f>
        <v>#VALUE!</v>
      </c>
      <c r="AI43" t="e">
        <f>AJ42*'Scen Hypothetical vaccine model'!$K43</f>
        <v>#VALUE!</v>
      </c>
      <c r="AJ43" s="84" t="e">
        <f t="shared" si="10"/>
        <v>#VALUE!</v>
      </c>
      <c r="AK43" t="e">
        <f>AM42*'Scen Hypothetical vaccine model'!$J43*HelperFunctions!$R$14</f>
        <v>#VALUE!</v>
      </c>
      <c r="AL43" t="e">
        <f>AM42*'Scen Hypothetical vaccine model'!$K43</f>
        <v>#VALUE!</v>
      </c>
      <c r="AM43" s="84" t="e">
        <f t="shared" si="11"/>
        <v>#VALUE!</v>
      </c>
      <c r="AN43" t="e">
        <f>AP42*'Scen Hypothetical vaccine model'!$J43*HelperFunctions!$R$28</f>
        <v>#VALUE!</v>
      </c>
      <c r="AO43" t="e">
        <f>AP42*'Scen Hypothetical vaccine model'!$K43</f>
        <v>#VALUE!</v>
      </c>
      <c r="AP43" s="84" t="e">
        <f t="shared" si="12"/>
        <v>#VALUE!</v>
      </c>
      <c r="AQ43" t="e">
        <f>AS42*'Scen Hypothetical vaccine model'!$J43*HelperFunctions!$R$28</f>
        <v>#VALUE!</v>
      </c>
      <c r="AR43" t="e">
        <f>AS42*'Scen Hypothetical vaccine model'!$K43</f>
        <v>#VALUE!</v>
      </c>
      <c r="AS43" s="84" t="e">
        <f t="shared" si="13"/>
        <v>#VALUE!</v>
      </c>
      <c r="AT43" t="e">
        <f>AV42*'Scen Hypothetical vaccine model'!$J43*HelperFunctions!$R$28</f>
        <v>#VALUE!</v>
      </c>
      <c r="AU43" t="e">
        <f>AV42*'Scen Hypothetical vaccine model'!$K43</f>
        <v>#VALUE!</v>
      </c>
      <c r="AV43" s="84" t="e">
        <f t="shared" si="14"/>
        <v>#VALUE!</v>
      </c>
      <c r="AW43" t="e">
        <f>AY42*'Scen Hypothetical vaccine model'!$J43*HelperFunctions!$R$28</f>
        <v>#VALUE!</v>
      </c>
      <c r="AX43" t="e">
        <f>AY42*'Scen Hypothetical vaccine model'!$K43</f>
        <v>#VALUE!</v>
      </c>
      <c r="AY43" s="84" t="e">
        <f t="shared" si="15"/>
        <v>#VALUE!</v>
      </c>
      <c r="AZ43" t="e">
        <f>BB42*'Scen Hypothetical vaccine model'!$J43*HelperFunctions!$R$28</f>
        <v>#VALUE!</v>
      </c>
      <c r="BA43" t="e">
        <f>BB42*'Scen Hypothetical vaccine model'!$K43</f>
        <v>#VALUE!</v>
      </c>
      <c r="BB43" s="84" t="e">
        <f t="shared" si="16"/>
        <v>#VALUE!</v>
      </c>
      <c r="BC43" t="e">
        <f>BE42*'Scen Hypothetical vaccine model'!$J43*HelperFunctions!$R$28</f>
        <v>#VALUE!</v>
      </c>
      <c r="BD43" t="e">
        <f>BE42*'Scen Hypothetical vaccine model'!$K43</f>
        <v>#VALUE!</v>
      </c>
      <c r="BE43" s="84" t="e">
        <f t="shared" si="17"/>
        <v>#VALUE!</v>
      </c>
      <c r="BF43" t="e">
        <f>BH42*'Scen Hypothetical vaccine model'!$J43*HelperFunctions!$R$28</f>
        <v>#VALUE!</v>
      </c>
      <c r="BG43" t="e">
        <f>BH42*'Scen Hypothetical vaccine model'!$K43</f>
        <v>#VALUE!</v>
      </c>
      <c r="BH43" s="84" t="e">
        <f t="shared" si="18"/>
        <v>#VALUE!</v>
      </c>
      <c r="BI43" t="e">
        <f>BK42*'Scen Hypothetical vaccine model'!$J43*HelperFunctions!$R$28</f>
        <v>#VALUE!</v>
      </c>
      <c r="BJ43" t="e">
        <f>BK42*'Scen Hypothetical vaccine model'!$K43</f>
        <v>#VALUE!</v>
      </c>
      <c r="BK43" s="84" t="e">
        <f t="shared" si="19"/>
        <v>#VALUE!</v>
      </c>
      <c r="BL43" t="e">
        <f>BN42*'Scen Hypothetical vaccine model'!$J43*HelperFunctions!$R$28</f>
        <v>#VALUE!</v>
      </c>
      <c r="BM43" t="e">
        <f>BN42*'Scen Hypothetical vaccine model'!$K43</f>
        <v>#VALUE!</v>
      </c>
      <c r="BN43" s="84" t="e">
        <f t="shared" si="20"/>
        <v>#VALUE!</v>
      </c>
      <c r="BO43" t="e">
        <f>BQ42*'Scen Hypothetical vaccine model'!$J43*HelperFunctions!$R$28</f>
        <v>#VALUE!</v>
      </c>
      <c r="BP43" t="e">
        <f>BQ42*'Scen Hypothetical vaccine model'!$K43</f>
        <v>#VALUE!</v>
      </c>
      <c r="BQ43" s="84" t="e">
        <f t="shared" si="21"/>
        <v>#VALUE!</v>
      </c>
      <c r="BR43" t="e">
        <f>BT42*'Scen Hypothetical vaccine model'!$J43*HelperFunctions!$R$28</f>
        <v>#VALUE!</v>
      </c>
      <c r="BS43" t="e">
        <f>BT42*'Scen Hypothetical vaccine model'!$K43</f>
        <v>#VALUE!</v>
      </c>
      <c r="BT43" s="84" t="e">
        <f t="shared" si="22"/>
        <v>#VALUE!</v>
      </c>
      <c r="BU43" t="e">
        <f>BW42*'Scen Hypothetical vaccine model'!$J43*HelperFunctions!$R$28</f>
        <v>#VALUE!</v>
      </c>
      <c r="BV43" t="e">
        <f>BW42*'Scen Hypothetical vaccine model'!$K43</f>
        <v>#VALUE!</v>
      </c>
      <c r="BW43" s="84" t="e">
        <f t="shared" si="23"/>
        <v>#VALUE!</v>
      </c>
      <c r="BX43" t="e">
        <f>BZ42*'Scen Hypothetical vaccine model'!$J43*HelperFunctions!$R$42</f>
        <v>#VALUE!</v>
      </c>
      <c r="BY43" t="e">
        <f>BZ42*'Scen Hypothetical vaccine model'!$K43</f>
        <v>#VALUE!</v>
      </c>
      <c r="BZ43" s="84" t="e">
        <f t="shared" si="24"/>
        <v>#VALUE!</v>
      </c>
      <c r="CA43" t="e">
        <f>CC42*'Scen Hypothetical vaccine model'!$J43*HelperFunctions!$R$42</f>
        <v>#VALUE!</v>
      </c>
      <c r="CB43" t="e">
        <f>CC42*'Scen Hypothetical vaccine model'!$K43</f>
        <v>#VALUE!</v>
      </c>
      <c r="CC43" s="84" t="e">
        <f t="shared" si="25"/>
        <v>#VALUE!</v>
      </c>
      <c r="CD43" t="e">
        <f>CF42*'Scen Hypothetical vaccine model'!$J43*HelperFunctions!$R$42</f>
        <v>#VALUE!</v>
      </c>
      <c r="CE43" t="e">
        <f>CF42*'Scen Hypothetical vaccine model'!$K43</f>
        <v>#VALUE!</v>
      </c>
      <c r="CF43" s="84" t="e">
        <f t="shared" si="26"/>
        <v>#VALUE!</v>
      </c>
      <c r="CG43" t="e">
        <f>CI42*'Scen Hypothetical vaccine model'!$J43*HelperFunctions!$R$42</f>
        <v>#VALUE!</v>
      </c>
      <c r="CH43" t="e">
        <f>CI42*'Scen Hypothetical vaccine model'!$K43</f>
        <v>#VALUE!</v>
      </c>
      <c r="CI43" s="84" t="e">
        <f t="shared" si="27"/>
        <v>#VALUE!</v>
      </c>
      <c r="CJ43" t="e">
        <f>CL42*'Scen Hypothetical vaccine model'!$J43*HelperFunctions!$R41</f>
        <v>#VALUE!</v>
      </c>
      <c r="CK43" t="e">
        <f>CL42*'Scen Hypothetical vaccine model'!$K43</f>
        <v>#VALUE!</v>
      </c>
      <c r="CL43" s="84" t="e">
        <f t="shared" si="28"/>
        <v>#VALUE!</v>
      </c>
      <c r="CM43" t="e">
        <f>CO42*'Scen Hypothetical vaccine model'!$J43*HelperFunctions!$R40</f>
        <v>#VALUE!</v>
      </c>
      <c r="CN43" t="e">
        <f>CO42*'Scen Hypothetical vaccine model'!$K43</f>
        <v>#VALUE!</v>
      </c>
      <c r="CO43" s="84" t="e">
        <f t="shared" si="29"/>
        <v>#VALUE!</v>
      </c>
      <c r="CP43" t="e">
        <f>CR42*'Scen Hypothetical vaccine model'!$J43*HelperFunctions!$R39</f>
        <v>#VALUE!</v>
      </c>
      <c r="CQ43" t="e">
        <f>CR42*'Scen Hypothetical vaccine model'!$K43</f>
        <v>#VALUE!</v>
      </c>
      <c r="CR43" s="84" t="e">
        <f t="shared" si="30"/>
        <v>#VALUE!</v>
      </c>
      <c r="CS43" t="e">
        <f>CU42*'Scen Hypothetical vaccine model'!$J43*HelperFunctions!$R38</f>
        <v>#VALUE!</v>
      </c>
      <c r="CT43" t="e">
        <f>CU42*'Scen Hypothetical vaccine model'!$K43</f>
        <v>#VALUE!</v>
      </c>
      <c r="CU43" s="84" t="e">
        <f t="shared" si="31"/>
        <v>#VALUE!</v>
      </c>
      <c r="CV43" t="e">
        <f>CX42*'Scen Hypothetical vaccine model'!$J43*HelperFunctions!$R37</f>
        <v>#VALUE!</v>
      </c>
      <c r="CW43" t="e">
        <f>CX42*'Scen Hypothetical vaccine model'!$K43</f>
        <v>#VALUE!</v>
      </c>
      <c r="CX43" s="84" t="e">
        <f t="shared" si="32"/>
        <v>#VALUE!</v>
      </c>
      <c r="CY43" t="e">
        <f>DA42*'Scen Hypothetical vaccine model'!$J43*HelperFunctions!$R36</f>
        <v>#VALUE!</v>
      </c>
      <c r="CZ43" t="e">
        <f>DA42*'Scen Hypothetical vaccine model'!$K43</f>
        <v>#VALUE!</v>
      </c>
      <c r="DA43" s="84" t="e">
        <f t="shared" si="33"/>
        <v>#VALUE!</v>
      </c>
      <c r="DB43" t="e">
        <f>DD42*'Scen Hypothetical vaccine model'!$J43*HelperFunctions!$R35</f>
        <v>#VALUE!</v>
      </c>
      <c r="DC43" t="e">
        <f>DD42*'Scen Hypothetical vaccine model'!$K43</f>
        <v>#VALUE!</v>
      </c>
      <c r="DD43" s="84" t="e">
        <f t="shared" si="34"/>
        <v>#VALUE!</v>
      </c>
      <c r="DE43" t="e">
        <f>DG42*'Scen Hypothetical vaccine model'!$J43*HelperFunctions!$R34</f>
        <v>#VALUE!</v>
      </c>
      <c r="DF43" t="e">
        <f>DG42*'Scen Hypothetical vaccine model'!$K43</f>
        <v>#VALUE!</v>
      </c>
      <c r="DG43" s="84" t="e">
        <f t="shared" si="35"/>
        <v>#VALUE!</v>
      </c>
      <c r="DH43" t="e">
        <f>DJ42*'Scen Hypothetical vaccine model'!$J43*HelperFunctions!$R47</f>
        <v>#VALUE!</v>
      </c>
      <c r="DI43" t="e">
        <f>DJ42*'Scen Hypothetical vaccine model'!$K43</f>
        <v>#VALUE!</v>
      </c>
      <c r="DJ43" s="84" t="e">
        <f t="shared" si="36"/>
        <v>#VALUE!</v>
      </c>
      <c r="DK43" t="e">
        <f>DM42*'Scen Hypothetical vaccine model'!$J43*HelperFunctions!$R46</f>
        <v>#VALUE!</v>
      </c>
      <c r="DL43" t="e">
        <f>DM42*'Scen Hypothetical vaccine model'!$K43</f>
        <v>#VALUE!</v>
      </c>
      <c r="DM43" s="84" t="e">
        <f t="shared" ref="DM43:DM63" si="37">DM42-DK43-DL43</f>
        <v>#VALUE!</v>
      </c>
      <c r="DN43" t="e">
        <f>DP42*'Scen Hypothetical vaccine model'!$J43*HelperFunctions!$R45</f>
        <v>#VALUE!</v>
      </c>
      <c r="DO43" t="e">
        <f>DP42*'Scen Hypothetical vaccine model'!$K43</f>
        <v>#VALUE!</v>
      </c>
      <c r="DP43" s="84" t="e">
        <f>DP42-DN43-DO43</f>
        <v>#VALUE!</v>
      </c>
      <c r="DQ43" s="93"/>
      <c r="DR43" s="93"/>
      <c r="DS43" s="84" t="e">
        <f>Export!$N41*'Scen EffectivelyVax'!$A42*(1-HelperFunctions!$G$45)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35">
      <c r="B44">
        <v>3</v>
      </c>
      <c r="C44" t="str">
        <f>Inputs!I64</f>
        <v/>
      </c>
      <c r="D44" t="e">
        <f>F43*'Scen Hypothetical vaccine model'!J44*HelperFunctions!R$14</f>
        <v>#VALUE!</v>
      </c>
      <c r="E44" t="e">
        <f>F43*'Scen Hypothetical vaccine model'!K44</f>
        <v>#VALUE!</v>
      </c>
      <c r="F44" s="84" t="e">
        <f t="shared" si="0"/>
        <v>#VALUE!</v>
      </c>
      <c r="G44" t="e">
        <f>I43*'Scen Hypothetical vaccine model'!$J44*HelperFunctions!$R$14</f>
        <v>#VALUE!</v>
      </c>
      <c r="H44" t="e">
        <f>I43*'Scen Hypothetical vaccine model'!$K44</f>
        <v>#VALUE!</v>
      </c>
      <c r="I44" s="84" t="e">
        <f t="shared" si="1"/>
        <v>#VALUE!</v>
      </c>
      <c r="J44" t="e">
        <f>L43*'Scen Hypothetical vaccine model'!$J44*HelperFunctions!$R$14</f>
        <v>#VALUE!</v>
      </c>
      <c r="K44" t="e">
        <f>L43*'Scen Hypothetical vaccine model'!$K44</f>
        <v>#VALUE!</v>
      </c>
      <c r="L44" s="84" t="e">
        <f t="shared" si="2"/>
        <v>#VALUE!</v>
      </c>
      <c r="M44" t="e">
        <f>O43*'Scen Hypothetical vaccine model'!$J44*HelperFunctions!$R$14</f>
        <v>#VALUE!</v>
      </c>
      <c r="N44" t="e">
        <f>O43*'Scen Hypothetical vaccine model'!$K44</f>
        <v>#VALUE!</v>
      </c>
      <c r="O44" s="84" t="e">
        <f t="shared" si="3"/>
        <v>#VALUE!</v>
      </c>
      <c r="P44" t="e">
        <f>R43*'Scen Hypothetical vaccine model'!$J44*HelperFunctions!$R$14</f>
        <v>#VALUE!</v>
      </c>
      <c r="Q44" t="e">
        <f>R43*'Scen Hypothetical vaccine model'!$K44</f>
        <v>#VALUE!</v>
      </c>
      <c r="R44" s="84" t="e">
        <f t="shared" si="4"/>
        <v>#VALUE!</v>
      </c>
      <c r="S44" t="e">
        <f>U43*'Scen Hypothetical vaccine model'!$J44*HelperFunctions!$R$14</f>
        <v>#VALUE!</v>
      </c>
      <c r="T44" t="e">
        <f>U43*'Scen Hypothetical vaccine model'!$K44</f>
        <v>#VALUE!</v>
      </c>
      <c r="U44" s="84" t="e">
        <f t="shared" si="5"/>
        <v>#VALUE!</v>
      </c>
      <c r="V44" t="e">
        <f>X43*'Scen Hypothetical vaccine model'!$J44*HelperFunctions!$R$14</f>
        <v>#VALUE!</v>
      </c>
      <c r="W44" t="e">
        <f>X43*'Scen Hypothetical vaccine model'!$K44</f>
        <v>#VALUE!</v>
      </c>
      <c r="X44" s="84" t="e">
        <f t="shared" si="6"/>
        <v>#VALUE!</v>
      </c>
      <c r="Y44" t="e">
        <f>AA43*'Scen Hypothetical vaccine model'!$J44*HelperFunctions!$R$14</f>
        <v>#VALUE!</v>
      </c>
      <c r="Z44" t="e">
        <f>AA43*'Scen Hypothetical vaccine model'!$K44</f>
        <v>#VALUE!</v>
      </c>
      <c r="AA44" s="84" t="e">
        <f t="shared" si="7"/>
        <v>#VALUE!</v>
      </c>
      <c r="AB44" t="e">
        <f>AD43*'Scen Hypothetical vaccine model'!$J44*HelperFunctions!$R$14</f>
        <v>#VALUE!</v>
      </c>
      <c r="AC44" t="e">
        <f>AD43*'Scen Hypothetical vaccine model'!$K44</f>
        <v>#VALUE!</v>
      </c>
      <c r="AD44" s="84" t="e">
        <f t="shared" si="8"/>
        <v>#VALUE!</v>
      </c>
      <c r="AE44" t="e">
        <f>AG43*'Scen Hypothetical vaccine model'!$J44*HelperFunctions!$R$14</f>
        <v>#VALUE!</v>
      </c>
      <c r="AF44" t="e">
        <f>AG43*'Scen Hypothetical vaccine model'!$K44</f>
        <v>#VALUE!</v>
      </c>
      <c r="AG44" s="84" t="e">
        <f t="shared" si="9"/>
        <v>#VALUE!</v>
      </c>
      <c r="AH44" t="e">
        <f>AJ43*'Scen Hypothetical vaccine model'!$J44*HelperFunctions!$R$14</f>
        <v>#VALUE!</v>
      </c>
      <c r="AI44" t="e">
        <f>AJ43*'Scen Hypothetical vaccine model'!$K44</f>
        <v>#VALUE!</v>
      </c>
      <c r="AJ44" s="84" t="e">
        <f t="shared" si="10"/>
        <v>#VALUE!</v>
      </c>
      <c r="AK44" t="e">
        <f>AM43*'Scen Hypothetical vaccine model'!$J44*HelperFunctions!$R$14</f>
        <v>#VALUE!</v>
      </c>
      <c r="AL44" t="e">
        <f>AM43*'Scen Hypothetical vaccine model'!$K44</f>
        <v>#VALUE!</v>
      </c>
      <c r="AM44" s="84" t="e">
        <f t="shared" si="11"/>
        <v>#VALUE!</v>
      </c>
      <c r="AN44" t="e">
        <f>AP43*'Scen Hypothetical vaccine model'!$J44*HelperFunctions!$R$28</f>
        <v>#VALUE!</v>
      </c>
      <c r="AO44" t="e">
        <f>AP43*'Scen Hypothetical vaccine model'!$K44</f>
        <v>#VALUE!</v>
      </c>
      <c r="AP44" s="84" t="e">
        <f t="shared" si="12"/>
        <v>#VALUE!</v>
      </c>
      <c r="AQ44" t="e">
        <f>AS43*'Scen Hypothetical vaccine model'!$J44*HelperFunctions!$R$28</f>
        <v>#VALUE!</v>
      </c>
      <c r="AR44" t="e">
        <f>AS43*'Scen Hypothetical vaccine model'!$K44</f>
        <v>#VALUE!</v>
      </c>
      <c r="AS44" s="84" t="e">
        <f t="shared" si="13"/>
        <v>#VALUE!</v>
      </c>
      <c r="AT44" t="e">
        <f>AV43*'Scen Hypothetical vaccine model'!$J44*HelperFunctions!$R$28</f>
        <v>#VALUE!</v>
      </c>
      <c r="AU44" t="e">
        <f>AV43*'Scen Hypothetical vaccine model'!$K44</f>
        <v>#VALUE!</v>
      </c>
      <c r="AV44" s="84" t="e">
        <f t="shared" si="14"/>
        <v>#VALUE!</v>
      </c>
      <c r="AW44" t="e">
        <f>AY43*'Scen Hypothetical vaccine model'!$J44*HelperFunctions!$R$28</f>
        <v>#VALUE!</v>
      </c>
      <c r="AX44" t="e">
        <f>AY43*'Scen Hypothetical vaccine model'!$K44</f>
        <v>#VALUE!</v>
      </c>
      <c r="AY44" s="84" t="e">
        <f t="shared" si="15"/>
        <v>#VALUE!</v>
      </c>
      <c r="AZ44" t="e">
        <f>BB43*'Scen Hypothetical vaccine model'!$J44*HelperFunctions!$R$28</f>
        <v>#VALUE!</v>
      </c>
      <c r="BA44" t="e">
        <f>BB43*'Scen Hypothetical vaccine model'!$K44</f>
        <v>#VALUE!</v>
      </c>
      <c r="BB44" s="84" t="e">
        <f t="shared" si="16"/>
        <v>#VALUE!</v>
      </c>
      <c r="BC44" t="e">
        <f>BE43*'Scen Hypothetical vaccine model'!$J44*HelperFunctions!$R$28</f>
        <v>#VALUE!</v>
      </c>
      <c r="BD44" t="e">
        <f>BE43*'Scen Hypothetical vaccine model'!$K44</f>
        <v>#VALUE!</v>
      </c>
      <c r="BE44" s="84" t="e">
        <f t="shared" si="17"/>
        <v>#VALUE!</v>
      </c>
      <c r="BF44" t="e">
        <f>BH43*'Scen Hypothetical vaccine model'!$J44*HelperFunctions!$R$28</f>
        <v>#VALUE!</v>
      </c>
      <c r="BG44" t="e">
        <f>BH43*'Scen Hypothetical vaccine model'!$K44</f>
        <v>#VALUE!</v>
      </c>
      <c r="BH44" s="84" t="e">
        <f t="shared" si="18"/>
        <v>#VALUE!</v>
      </c>
      <c r="BI44" t="e">
        <f>BK43*'Scen Hypothetical vaccine model'!$J44*HelperFunctions!$R$28</f>
        <v>#VALUE!</v>
      </c>
      <c r="BJ44" t="e">
        <f>BK43*'Scen Hypothetical vaccine model'!$K44</f>
        <v>#VALUE!</v>
      </c>
      <c r="BK44" s="84" t="e">
        <f t="shared" si="19"/>
        <v>#VALUE!</v>
      </c>
      <c r="BL44" t="e">
        <f>BN43*'Scen Hypothetical vaccine model'!$J44*HelperFunctions!$R$28</f>
        <v>#VALUE!</v>
      </c>
      <c r="BM44" t="e">
        <f>BN43*'Scen Hypothetical vaccine model'!$K44</f>
        <v>#VALUE!</v>
      </c>
      <c r="BN44" s="84" t="e">
        <f t="shared" si="20"/>
        <v>#VALUE!</v>
      </c>
      <c r="BO44" t="e">
        <f>BQ43*'Scen Hypothetical vaccine model'!$J44*HelperFunctions!$R$28</f>
        <v>#VALUE!</v>
      </c>
      <c r="BP44" t="e">
        <f>BQ43*'Scen Hypothetical vaccine model'!$K44</f>
        <v>#VALUE!</v>
      </c>
      <c r="BQ44" s="84" t="e">
        <f t="shared" si="21"/>
        <v>#VALUE!</v>
      </c>
      <c r="BR44" t="e">
        <f>BT43*'Scen Hypothetical vaccine model'!$J44*HelperFunctions!$R$28</f>
        <v>#VALUE!</v>
      </c>
      <c r="BS44" t="e">
        <f>BT43*'Scen Hypothetical vaccine model'!$K44</f>
        <v>#VALUE!</v>
      </c>
      <c r="BT44" s="84" t="e">
        <f t="shared" si="22"/>
        <v>#VALUE!</v>
      </c>
      <c r="BU44" t="e">
        <f>BW43*'Scen Hypothetical vaccine model'!$J44*HelperFunctions!$R$28</f>
        <v>#VALUE!</v>
      </c>
      <c r="BV44" t="e">
        <f>BW43*'Scen Hypothetical vaccine model'!$K44</f>
        <v>#VALUE!</v>
      </c>
      <c r="BW44" s="84" t="e">
        <f t="shared" si="23"/>
        <v>#VALUE!</v>
      </c>
      <c r="BX44" t="e">
        <f>BZ43*'Scen Hypothetical vaccine model'!$J44*HelperFunctions!$R$42</f>
        <v>#VALUE!</v>
      </c>
      <c r="BY44" t="e">
        <f>BZ43*'Scen Hypothetical vaccine model'!$K44</f>
        <v>#VALUE!</v>
      </c>
      <c r="BZ44" s="84" t="e">
        <f t="shared" si="24"/>
        <v>#VALUE!</v>
      </c>
      <c r="CA44" t="e">
        <f>CC43*'Scen Hypothetical vaccine model'!$J44*HelperFunctions!$R$42</f>
        <v>#VALUE!</v>
      </c>
      <c r="CB44" t="e">
        <f>CC43*'Scen Hypothetical vaccine model'!$K44</f>
        <v>#VALUE!</v>
      </c>
      <c r="CC44" s="84" t="e">
        <f t="shared" si="25"/>
        <v>#VALUE!</v>
      </c>
      <c r="CD44" t="e">
        <f>CF43*'Scen Hypothetical vaccine model'!$J44*HelperFunctions!$R$42</f>
        <v>#VALUE!</v>
      </c>
      <c r="CE44" t="e">
        <f>CF43*'Scen Hypothetical vaccine model'!$K44</f>
        <v>#VALUE!</v>
      </c>
      <c r="CF44" s="84" t="e">
        <f t="shared" si="26"/>
        <v>#VALUE!</v>
      </c>
      <c r="CG44" t="e">
        <f>CI43*'Scen Hypothetical vaccine model'!$J44*HelperFunctions!$R$42</f>
        <v>#VALUE!</v>
      </c>
      <c r="CH44" t="e">
        <f>CI43*'Scen Hypothetical vaccine model'!$K44</f>
        <v>#VALUE!</v>
      </c>
      <c r="CI44" s="84" t="e">
        <f t="shared" si="27"/>
        <v>#VALUE!</v>
      </c>
      <c r="CJ44" t="e">
        <f>CL43*'Scen Hypothetical vaccine model'!$J44*HelperFunctions!$R$42</f>
        <v>#VALUE!</v>
      </c>
      <c r="CK44" t="e">
        <f>CL43*'Scen Hypothetical vaccine model'!$K44</f>
        <v>#VALUE!</v>
      </c>
      <c r="CL44" s="84" t="e">
        <f t="shared" si="28"/>
        <v>#VALUE!</v>
      </c>
      <c r="CM44" t="e">
        <f>CO43*'Scen Hypothetical vaccine model'!$J44*HelperFunctions!$R41</f>
        <v>#VALUE!</v>
      </c>
      <c r="CN44" t="e">
        <f>CO43*'Scen Hypothetical vaccine model'!$K44</f>
        <v>#VALUE!</v>
      </c>
      <c r="CO44" s="84" t="e">
        <f t="shared" si="29"/>
        <v>#VALUE!</v>
      </c>
      <c r="CP44" t="e">
        <f>CR43*'Scen Hypothetical vaccine model'!$J44*HelperFunctions!$R40</f>
        <v>#VALUE!</v>
      </c>
      <c r="CQ44" t="e">
        <f>CR43*'Scen Hypothetical vaccine model'!$K44</f>
        <v>#VALUE!</v>
      </c>
      <c r="CR44" s="84" t="e">
        <f t="shared" si="30"/>
        <v>#VALUE!</v>
      </c>
      <c r="CS44" t="e">
        <f>CU43*'Scen Hypothetical vaccine model'!$J44*HelperFunctions!$R39</f>
        <v>#VALUE!</v>
      </c>
      <c r="CT44" t="e">
        <f>CU43*'Scen Hypothetical vaccine model'!$K44</f>
        <v>#VALUE!</v>
      </c>
      <c r="CU44" s="84" t="e">
        <f t="shared" si="31"/>
        <v>#VALUE!</v>
      </c>
      <c r="CV44" t="e">
        <f>CX43*'Scen Hypothetical vaccine model'!$J44*HelperFunctions!$R38</f>
        <v>#VALUE!</v>
      </c>
      <c r="CW44" t="e">
        <f>CX43*'Scen Hypothetical vaccine model'!$K44</f>
        <v>#VALUE!</v>
      </c>
      <c r="CX44" s="84" t="e">
        <f t="shared" si="32"/>
        <v>#VALUE!</v>
      </c>
      <c r="CY44" t="e">
        <f>DA43*'Scen Hypothetical vaccine model'!$J44*HelperFunctions!$R37</f>
        <v>#VALUE!</v>
      </c>
      <c r="CZ44" t="e">
        <f>DA43*'Scen Hypothetical vaccine model'!$K44</f>
        <v>#VALUE!</v>
      </c>
      <c r="DA44" s="84" t="e">
        <f t="shared" si="33"/>
        <v>#VALUE!</v>
      </c>
      <c r="DB44" t="e">
        <f>DD43*'Scen Hypothetical vaccine model'!$J44*HelperFunctions!$R36</f>
        <v>#VALUE!</v>
      </c>
      <c r="DC44" t="e">
        <f>DD43*'Scen Hypothetical vaccine model'!$K44</f>
        <v>#VALUE!</v>
      </c>
      <c r="DD44" s="84" t="e">
        <f t="shared" si="34"/>
        <v>#VALUE!</v>
      </c>
      <c r="DE44" t="e">
        <f>DG43*'Scen Hypothetical vaccine model'!$J44*HelperFunctions!$R35</f>
        <v>#VALUE!</v>
      </c>
      <c r="DF44" t="e">
        <f>DG43*'Scen Hypothetical vaccine model'!$K44</f>
        <v>#VALUE!</v>
      </c>
      <c r="DG44" s="84" t="e">
        <f t="shared" si="35"/>
        <v>#VALUE!</v>
      </c>
      <c r="DH44" t="e">
        <f>DJ43*'Scen Hypothetical vaccine model'!$J44*HelperFunctions!$R48</f>
        <v>#VALUE!</v>
      </c>
      <c r="DI44" t="e">
        <f>DJ43*'Scen Hypothetical vaccine model'!$K44</f>
        <v>#VALUE!</v>
      </c>
      <c r="DJ44" s="84" t="e">
        <f t="shared" si="36"/>
        <v>#VALUE!</v>
      </c>
      <c r="DK44" t="e">
        <f>DM43*'Scen Hypothetical vaccine model'!$J44*HelperFunctions!$R47</f>
        <v>#VALUE!</v>
      </c>
      <c r="DL44" t="e">
        <f>DM43*'Scen Hypothetical vaccine model'!$K44</f>
        <v>#VALUE!</v>
      </c>
      <c r="DM44" s="84" t="e">
        <f t="shared" si="37"/>
        <v>#VALUE!</v>
      </c>
      <c r="DN44" t="e">
        <f>DP43*'Scen Hypothetical vaccine model'!$J44*HelperFunctions!$R46</f>
        <v>#VALUE!</v>
      </c>
      <c r="DO44" t="e">
        <f>DP43*'Scen Hypothetical vaccine model'!$K44</f>
        <v>#VALUE!</v>
      </c>
      <c r="DP44" s="84" t="e">
        <f t="shared" ref="DP44:DP63" si="38">DP43-DN44-DO44</f>
        <v>#VALUE!</v>
      </c>
      <c r="DQ44" t="e">
        <f>DS43*'Scen Hypothetical vaccine model'!$J44*HelperFunctions!$R45</f>
        <v>#VALUE!</v>
      </c>
      <c r="DR44" t="e">
        <f>DS43*'Scen Hypothetical vaccine model'!$K44</f>
        <v>#VALUE!</v>
      </c>
      <c r="DS44" s="84" t="e">
        <f>DS43-DQ44-DR44</f>
        <v>#VALUE!</v>
      </c>
      <c r="DT44" s="93"/>
      <c r="DU44" s="93"/>
      <c r="DV44" s="84" t="e">
        <f>Export!$N42*'Scen EffectivelyVax'!$A43*(1-HelperFunctions!$G$45)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35">
      <c r="B45">
        <v>3</v>
      </c>
      <c r="C45" t="str">
        <f>Inputs!I65</f>
        <v/>
      </c>
      <c r="D45" t="e">
        <f>F44*'Scen Hypothetical vaccine model'!J45*HelperFunctions!R$14</f>
        <v>#VALUE!</v>
      </c>
      <c r="E45" t="e">
        <f>F44*'Scen Hypothetical vaccine model'!K45</f>
        <v>#VALUE!</v>
      </c>
      <c r="F45" s="84" t="e">
        <f t="shared" si="0"/>
        <v>#VALUE!</v>
      </c>
      <c r="G45" t="e">
        <f>I44*'Scen Hypothetical vaccine model'!$J45*HelperFunctions!$R$14</f>
        <v>#VALUE!</v>
      </c>
      <c r="H45" t="e">
        <f>I44*'Scen Hypothetical vaccine model'!$K45</f>
        <v>#VALUE!</v>
      </c>
      <c r="I45" s="84" t="e">
        <f t="shared" si="1"/>
        <v>#VALUE!</v>
      </c>
      <c r="J45" t="e">
        <f>L44*'Scen Hypothetical vaccine model'!$J45*HelperFunctions!$R$14</f>
        <v>#VALUE!</v>
      </c>
      <c r="K45" t="e">
        <f>L44*'Scen Hypothetical vaccine model'!$K45</f>
        <v>#VALUE!</v>
      </c>
      <c r="L45" s="84" t="e">
        <f t="shared" si="2"/>
        <v>#VALUE!</v>
      </c>
      <c r="M45" t="e">
        <f>O44*'Scen Hypothetical vaccine model'!$J45*HelperFunctions!$R$14</f>
        <v>#VALUE!</v>
      </c>
      <c r="N45" t="e">
        <f>O44*'Scen Hypothetical vaccine model'!$K45</f>
        <v>#VALUE!</v>
      </c>
      <c r="O45" s="84" t="e">
        <f t="shared" si="3"/>
        <v>#VALUE!</v>
      </c>
      <c r="P45" t="e">
        <f>R44*'Scen Hypothetical vaccine model'!$J45*HelperFunctions!$R$14</f>
        <v>#VALUE!</v>
      </c>
      <c r="Q45" t="e">
        <f>R44*'Scen Hypothetical vaccine model'!$K45</f>
        <v>#VALUE!</v>
      </c>
      <c r="R45" s="84" t="e">
        <f t="shared" si="4"/>
        <v>#VALUE!</v>
      </c>
      <c r="S45" t="e">
        <f>U44*'Scen Hypothetical vaccine model'!$J45*HelperFunctions!$R$14</f>
        <v>#VALUE!</v>
      </c>
      <c r="T45" t="e">
        <f>U44*'Scen Hypothetical vaccine model'!$K45</f>
        <v>#VALUE!</v>
      </c>
      <c r="U45" s="84" t="e">
        <f t="shared" si="5"/>
        <v>#VALUE!</v>
      </c>
      <c r="V45" t="e">
        <f>X44*'Scen Hypothetical vaccine model'!$J45*HelperFunctions!$R$14</f>
        <v>#VALUE!</v>
      </c>
      <c r="W45" t="e">
        <f>X44*'Scen Hypothetical vaccine model'!$K45</f>
        <v>#VALUE!</v>
      </c>
      <c r="X45" s="84" t="e">
        <f t="shared" si="6"/>
        <v>#VALUE!</v>
      </c>
      <c r="Y45" t="e">
        <f>AA44*'Scen Hypothetical vaccine model'!$J45*HelperFunctions!$R$14</f>
        <v>#VALUE!</v>
      </c>
      <c r="Z45" t="e">
        <f>AA44*'Scen Hypothetical vaccine model'!$K45</f>
        <v>#VALUE!</v>
      </c>
      <c r="AA45" s="84" t="e">
        <f t="shared" si="7"/>
        <v>#VALUE!</v>
      </c>
      <c r="AB45" t="e">
        <f>AD44*'Scen Hypothetical vaccine model'!$J45*HelperFunctions!$R$14</f>
        <v>#VALUE!</v>
      </c>
      <c r="AC45" t="e">
        <f>AD44*'Scen Hypothetical vaccine model'!$K45</f>
        <v>#VALUE!</v>
      </c>
      <c r="AD45" s="84" t="e">
        <f t="shared" si="8"/>
        <v>#VALUE!</v>
      </c>
      <c r="AE45" t="e">
        <f>AG44*'Scen Hypothetical vaccine model'!$J45*HelperFunctions!$R$14</f>
        <v>#VALUE!</v>
      </c>
      <c r="AF45" t="e">
        <f>AG44*'Scen Hypothetical vaccine model'!$K45</f>
        <v>#VALUE!</v>
      </c>
      <c r="AG45" s="84" t="e">
        <f t="shared" si="9"/>
        <v>#VALUE!</v>
      </c>
      <c r="AH45" t="e">
        <f>AJ44*'Scen Hypothetical vaccine model'!$J45*HelperFunctions!$R$14</f>
        <v>#VALUE!</v>
      </c>
      <c r="AI45" t="e">
        <f>AJ44*'Scen Hypothetical vaccine model'!$K45</f>
        <v>#VALUE!</v>
      </c>
      <c r="AJ45" s="84" t="e">
        <f t="shared" si="10"/>
        <v>#VALUE!</v>
      </c>
      <c r="AK45" t="e">
        <f>AM44*'Scen Hypothetical vaccine model'!$J45*HelperFunctions!$R$14</f>
        <v>#VALUE!</v>
      </c>
      <c r="AL45" t="e">
        <f>AM44*'Scen Hypothetical vaccine model'!$K45</f>
        <v>#VALUE!</v>
      </c>
      <c r="AM45" s="84" t="e">
        <f t="shared" si="11"/>
        <v>#VALUE!</v>
      </c>
      <c r="AN45" t="e">
        <f>AP44*'Scen Hypothetical vaccine model'!$J45*HelperFunctions!$R$28</f>
        <v>#VALUE!</v>
      </c>
      <c r="AO45" t="e">
        <f>AP44*'Scen Hypothetical vaccine model'!$K45</f>
        <v>#VALUE!</v>
      </c>
      <c r="AP45" s="84" t="e">
        <f t="shared" si="12"/>
        <v>#VALUE!</v>
      </c>
      <c r="AQ45" t="e">
        <f>AS44*'Scen Hypothetical vaccine model'!$J45*HelperFunctions!$R$28</f>
        <v>#VALUE!</v>
      </c>
      <c r="AR45" t="e">
        <f>AS44*'Scen Hypothetical vaccine model'!$K45</f>
        <v>#VALUE!</v>
      </c>
      <c r="AS45" s="84" t="e">
        <f t="shared" si="13"/>
        <v>#VALUE!</v>
      </c>
      <c r="AT45" t="e">
        <f>AV44*'Scen Hypothetical vaccine model'!$J45*HelperFunctions!$R$28</f>
        <v>#VALUE!</v>
      </c>
      <c r="AU45" t="e">
        <f>AV44*'Scen Hypothetical vaccine model'!$K45</f>
        <v>#VALUE!</v>
      </c>
      <c r="AV45" s="84" t="e">
        <f t="shared" si="14"/>
        <v>#VALUE!</v>
      </c>
      <c r="AW45" t="e">
        <f>AY44*'Scen Hypothetical vaccine model'!$J45*HelperFunctions!$R$28</f>
        <v>#VALUE!</v>
      </c>
      <c r="AX45" t="e">
        <f>AY44*'Scen Hypothetical vaccine model'!$K45</f>
        <v>#VALUE!</v>
      </c>
      <c r="AY45" s="84" t="e">
        <f t="shared" si="15"/>
        <v>#VALUE!</v>
      </c>
      <c r="AZ45" t="e">
        <f>BB44*'Scen Hypothetical vaccine model'!$J45*HelperFunctions!$R$28</f>
        <v>#VALUE!</v>
      </c>
      <c r="BA45" t="e">
        <f>BB44*'Scen Hypothetical vaccine model'!$K45</f>
        <v>#VALUE!</v>
      </c>
      <c r="BB45" s="84" t="e">
        <f t="shared" si="16"/>
        <v>#VALUE!</v>
      </c>
      <c r="BC45" t="e">
        <f>BE44*'Scen Hypothetical vaccine model'!$J45*HelperFunctions!$R$28</f>
        <v>#VALUE!</v>
      </c>
      <c r="BD45" t="e">
        <f>BE44*'Scen Hypothetical vaccine model'!$K45</f>
        <v>#VALUE!</v>
      </c>
      <c r="BE45" s="84" t="e">
        <f t="shared" si="17"/>
        <v>#VALUE!</v>
      </c>
      <c r="BF45" t="e">
        <f>BH44*'Scen Hypothetical vaccine model'!$J45*HelperFunctions!$R$28</f>
        <v>#VALUE!</v>
      </c>
      <c r="BG45" t="e">
        <f>BH44*'Scen Hypothetical vaccine model'!$K45</f>
        <v>#VALUE!</v>
      </c>
      <c r="BH45" s="84" t="e">
        <f t="shared" si="18"/>
        <v>#VALUE!</v>
      </c>
      <c r="BI45" t="e">
        <f>BK44*'Scen Hypothetical vaccine model'!$J45*HelperFunctions!$R$28</f>
        <v>#VALUE!</v>
      </c>
      <c r="BJ45" t="e">
        <f>BK44*'Scen Hypothetical vaccine model'!$K45</f>
        <v>#VALUE!</v>
      </c>
      <c r="BK45" s="84" t="e">
        <f t="shared" si="19"/>
        <v>#VALUE!</v>
      </c>
      <c r="BL45" t="e">
        <f>BN44*'Scen Hypothetical vaccine model'!$J45*HelperFunctions!$R$28</f>
        <v>#VALUE!</v>
      </c>
      <c r="BM45" t="e">
        <f>BN44*'Scen Hypothetical vaccine model'!$K45</f>
        <v>#VALUE!</v>
      </c>
      <c r="BN45" s="84" t="e">
        <f t="shared" si="20"/>
        <v>#VALUE!</v>
      </c>
      <c r="BO45" t="e">
        <f>BQ44*'Scen Hypothetical vaccine model'!$J45*HelperFunctions!$R$28</f>
        <v>#VALUE!</v>
      </c>
      <c r="BP45" t="e">
        <f>BQ44*'Scen Hypothetical vaccine model'!$K45</f>
        <v>#VALUE!</v>
      </c>
      <c r="BQ45" s="84" t="e">
        <f t="shared" si="21"/>
        <v>#VALUE!</v>
      </c>
      <c r="BR45" t="e">
        <f>BT44*'Scen Hypothetical vaccine model'!$J45*HelperFunctions!$R$28</f>
        <v>#VALUE!</v>
      </c>
      <c r="BS45" t="e">
        <f>BT44*'Scen Hypothetical vaccine model'!$K45</f>
        <v>#VALUE!</v>
      </c>
      <c r="BT45" s="84" t="e">
        <f t="shared" si="22"/>
        <v>#VALUE!</v>
      </c>
      <c r="BU45" t="e">
        <f>BW44*'Scen Hypothetical vaccine model'!$J45*HelperFunctions!$R$28</f>
        <v>#VALUE!</v>
      </c>
      <c r="BV45" t="e">
        <f>BW44*'Scen Hypothetical vaccine model'!$K45</f>
        <v>#VALUE!</v>
      </c>
      <c r="BW45" s="84" t="e">
        <f t="shared" si="23"/>
        <v>#VALUE!</v>
      </c>
      <c r="BX45" t="e">
        <f>BZ44*'Scen Hypothetical vaccine model'!$J45*HelperFunctions!$R$42</f>
        <v>#VALUE!</v>
      </c>
      <c r="BY45" t="e">
        <f>BZ44*'Scen Hypothetical vaccine model'!$K45</f>
        <v>#VALUE!</v>
      </c>
      <c r="BZ45" s="84" t="e">
        <f t="shared" si="24"/>
        <v>#VALUE!</v>
      </c>
      <c r="CA45" t="e">
        <f>CC44*'Scen Hypothetical vaccine model'!$J45*HelperFunctions!$R$42</f>
        <v>#VALUE!</v>
      </c>
      <c r="CB45" t="e">
        <f>CC44*'Scen Hypothetical vaccine model'!$K45</f>
        <v>#VALUE!</v>
      </c>
      <c r="CC45" s="84" t="e">
        <f t="shared" si="25"/>
        <v>#VALUE!</v>
      </c>
      <c r="CD45" t="e">
        <f>CF44*'Scen Hypothetical vaccine model'!$J45*HelperFunctions!$R$42</f>
        <v>#VALUE!</v>
      </c>
      <c r="CE45" t="e">
        <f>CF44*'Scen Hypothetical vaccine model'!$K45</f>
        <v>#VALUE!</v>
      </c>
      <c r="CF45" s="84" t="e">
        <f t="shared" si="26"/>
        <v>#VALUE!</v>
      </c>
      <c r="CG45" t="e">
        <f>CI44*'Scen Hypothetical vaccine model'!$J45*HelperFunctions!$R$42</f>
        <v>#VALUE!</v>
      </c>
      <c r="CH45" t="e">
        <f>CI44*'Scen Hypothetical vaccine model'!$K45</f>
        <v>#VALUE!</v>
      </c>
      <c r="CI45" s="84" t="e">
        <f t="shared" si="27"/>
        <v>#VALUE!</v>
      </c>
      <c r="CJ45" t="e">
        <f>CL44*'Scen Hypothetical vaccine model'!$J45*HelperFunctions!$R$42</f>
        <v>#VALUE!</v>
      </c>
      <c r="CK45" t="e">
        <f>CL44*'Scen Hypothetical vaccine model'!$K45</f>
        <v>#VALUE!</v>
      </c>
      <c r="CL45" s="84" t="e">
        <f t="shared" si="28"/>
        <v>#VALUE!</v>
      </c>
      <c r="CM45" t="e">
        <f>CO44*'Scen Hypothetical vaccine model'!$J45*HelperFunctions!$R$42</f>
        <v>#VALUE!</v>
      </c>
      <c r="CN45" t="e">
        <f>CO44*'Scen Hypothetical vaccine model'!$K45</f>
        <v>#VALUE!</v>
      </c>
      <c r="CO45" s="84" t="e">
        <f t="shared" si="29"/>
        <v>#VALUE!</v>
      </c>
      <c r="CP45" t="e">
        <f>CR44*'Scen Hypothetical vaccine model'!$J45*HelperFunctions!$R41</f>
        <v>#VALUE!</v>
      </c>
      <c r="CQ45" t="e">
        <f>CR44*'Scen Hypothetical vaccine model'!$K45</f>
        <v>#VALUE!</v>
      </c>
      <c r="CR45" s="84" t="e">
        <f t="shared" si="30"/>
        <v>#VALUE!</v>
      </c>
      <c r="CS45" t="e">
        <f>CU44*'Scen Hypothetical vaccine model'!$J45*HelperFunctions!$R40</f>
        <v>#VALUE!</v>
      </c>
      <c r="CT45" t="e">
        <f>CU44*'Scen Hypothetical vaccine model'!$K45</f>
        <v>#VALUE!</v>
      </c>
      <c r="CU45" s="84" t="e">
        <f t="shared" si="31"/>
        <v>#VALUE!</v>
      </c>
      <c r="CV45" t="e">
        <f>CX44*'Scen Hypothetical vaccine model'!$J45*HelperFunctions!$R39</f>
        <v>#VALUE!</v>
      </c>
      <c r="CW45" t="e">
        <f>CX44*'Scen Hypothetical vaccine model'!$K45</f>
        <v>#VALUE!</v>
      </c>
      <c r="CX45" s="84" t="e">
        <f t="shared" si="32"/>
        <v>#VALUE!</v>
      </c>
      <c r="CY45" t="e">
        <f>DA44*'Scen Hypothetical vaccine model'!$J45*HelperFunctions!$R38</f>
        <v>#VALUE!</v>
      </c>
      <c r="CZ45" t="e">
        <f>DA44*'Scen Hypothetical vaccine model'!$K45</f>
        <v>#VALUE!</v>
      </c>
      <c r="DA45" s="84" t="e">
        <f t="shared" si="33"/>
        <v>#VALUE!</v>
      </c>
      <c r="DB45" t="e">
        <f>DD44*'Scen Hypothetical vaccine model'!$J45*HelperFunctions!$R37</f>
        <v>#VALUE!</v>
      </c>
      <c r="DC45" t="e">
        <f>DD44*'Scen Hypothetical vaccine model'!$K45</f>
        <v>#VALUE!</v>
      </c>
      <c r="DD45" s="84" t="e">
        <f t="shared" si="34"/>
        <v>#VALUE!</v>
      </c>
      <c r="DE45" t="e">
        <f>DG44*'Scen Hypothetical vaccine model'!$J45*HelperFunctions!$R36</f>
        <v>#VALUE!</v>
      </c>
      <c r="DF45" t="e">
        <f>DG44*'Scen Hypothetical vaccine model'!$K45</f>
        <v>#VALUE!</v>
      </c>
      <c r="DG45" s="84" t="e">
        <f t="shared" si="35"/>
        <v>#VALUE!</v>
      </c>
      <c r="DH45" t="e">
        <f>DJ44*'Scen Hypothetical vaccine model'!$J45*HelperFunctions!$R49</f>
        <v>#VALUE!</v>
      </c>
      <c r="DI45" t="e">
        <f>DJ44*'Scen Hypothetical vaccine model'!$K45</f>
        <v>#VALUE!</v>
      </c>
      <c r="DJ45" s="84" t="e">
        <f t="shared" si="36"/>
        <v>#VALUE!</v>
      </c>
      <c r="DK45" t="e">
        <f>DM44*'Scen Hypothetical vaccine model'!$J45*HelperFunctions!$R48</f>
        <v>#VALUE!</v>
      </c>
      <c r="DL45" t="e">
        <f>DM44*'Scen Hypothetical vaccine model'!$K45</f>
        <v>#VALUE!</v>
      </c>
      <c r="DM45" s="84" t="e">
        <f t="shared" si="37"/>
        <v>#VALUE!</v>
      </c>
      <c r="DN45" t="e">
        <f>DP44*'Scen Hypothetical vaccine model'!$J45*HelperFunctions!$R47</f>
        <v>#VALUE!</v>
      </c>
      <c r="DO45" t="e">
        <f>DP44*'Scen Hypothetical vaccine model'!$K45</f>
        <v>#VALUE!</v>
      </c>
      <c r="DP45" s="84" t="e">
        <f t="shared" si="38"/>
        <v>#VALUE!</v>
      </c>
      <c r="DQ45" t="e">
        <f>DS44*'Scen Hypothetical vaccine model'!$J45*HelperFunctions!$R46</f>
        <v>#VALUE!</v>
      </c>
      <c r="DR45" t="e">
        <f>DS44*'Scen Hypothetical vaccine model'!$K45</f>
        <v>#VALUE!</v>
      </c>
      <c r="DS45" s="84" t="e">
        <f t="shared" ref="DS45:DS63" si="39">DS44-DQ45-DR45</f>
        <v>#VALUE!</v>
      </c>
      <c r="DT45" t="e">
        <f>DV44*'Scen Hypothetical vaccine model'!$J45*HelperFunctions!$R45</f>
        <v>#VALUE!</v>
      </c>
      <c r="DU45" t="e">
        <f>DV44*'Scen Hypothetical vaccine model'!$K45</f>
        <v>#VALUE!</v>
      </c>
      <c r="DV45" s="84" t="e">
        <f>DV44-DT45-DU45</f>
        <v>#VALUE!</v>
      </c>
      <c r="DW45" s="93"/>
      <c r="DX45" s="93"/>
      <c r="DY45" s="84" t="e">
        <f>Export!$N43*'Scen EffectivelyVax'!$A44*(1-HelperFunctions!$G$45)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35">
      <c r="B46">
        <v>3</v>
      </c>
      <c r="C46" t="str">
        <f>Inputs!I66</f>
        <v/>
      </c>
      <c r="D46" t="e">
        <f>F45*'Scen Hypothetical vaccine model'!J46*HelperFunctions!R$14</f>
        <v>#VALUE!</v>
      </c>
      <c r="E46" t="e">
        <f>F45*'Scen Hypothetical vaccine model'!K46</f>
        <v>#VALUE!</v>
      </c>
      <c r="F46" s="84" t="e">
        <f t="shared" si="0"/>
        <v>#VALUE!</v>
      </c>
      <c r="G46" t="e">
        <f>I45*'Scen Hypothetical vaccine model'!$J46*HelperFunctions!$R$14</f>
        <v>#VALUE!</v>
      </c>
      <c r="H46" t="e">
        <f>I45*'Scen Hypothetical vaccine model'!$K46</f>
        <v>#VALUE!</v>
      </c>
      <c r="I46" s="84" t="e">
        <f t="shared" si="1"/>
        <v>#VALUE!</v>
      </c>
      <c r="J46" t="e">
        <f>L45*'Scen Hypothetical vaccine model'!$J46*HelperFunctions!$R$14</f>
        <v>#VALUE!</v>
      </c>
      <c r="K46" t="e">
        <f>L45*'Scen Hypothetical vaccine model'!$K46</f>
        <v>#VALUE!</v>
      </c>
      <c r="L46" s="84" t="e">
        <f t="shared" si="2"/>
        <v>#VALUE!</v>
      </c>
      <c r="M46" t="e">
        <f>O45*'Scen Hypothetical vaccine model'!$J46*HelperFunctions!$R$14</f>
        <v>#VALUE!</v>
      </c>
      <c r="N46" t="e">
        <f>O45*'Scen Hypothetical vaccine model'!$K46</f>
        <v>#VALUE!</v>
      </c>
      <c r="O46" s="84" t="e">
        <f t="shared" si="3"/>
        <v>#VALUE!</v>
      </c>
      <c r="P46" t="e">
        <f>R45*'Scen Hypothetical vaccine model'!$J46*HelperFunctions!$R$14</f>
        <v>#VALUE!</v>
      </c>
      <c r="Q46" t="e">
        <f>R45*'Scen Hypothetical vaccine model'!$K46</f>
        <v>#VALUE!</v>
      </c>
      <c r="R46" s="84" t="e">
        <f t="shared" si="4"/>
        <v>#VALUE!</v>
      </c>
      <c r="S46" t="e">
        <f>U45*'Scen Hypothetical vaccine model'!$J46*HelperFunctions!$R$14</f>
        <v>#VALUE!</v>
      </c>
      <c r="T46" t="e">
        <f>U45*'Scen Hypothetical vaccine model'!$K46</f>
        <v>#VALUE!</v>
      </c>
      <c r="U46" s="84" t="e">
        <f t="shared" si="5"/>
        <v>#VALUE!</v>
      </c>
      <c r="V46" t="e">
        <f>X45*'Scen Hypothetical vaccine model'!$J46*HelperFunctions!$R$14</f>
        <v>#VALUE!</v>
      </c>
      <c r="W46" t="e">
        <f>X45*'Scen Hypothetical vaccine model'!$K46</f>
        <v>#VALUE!</v>
      </c>
      <c r="X46" s="84" t="e">
        <f t="shared" si="6"/>
        <v>#VALUE!</v>
      </c>
      <c r="Y46" t="e">
        <f>AA45*'Scen Hypothetical vaccine model'!$J46*HelperFunctions!$R$14</f>
        <v>#VALUE!</v>
      </c>
      <c r="Z46" t="e">
        <f>AA45*'Scen Hypothetical vaccine model'!$K46</f>
        <v>#VALUE!</v>
      </c>
      <c r="AA46" s="84" t="e">
        <f t="shared" si="7"/>
        <v>#VALUE!</v>
      </c>
      <c r="AB46" t="e">
        <f>AD45*'Scen Hypothetical vaccine model'!$J46*HelperFunctions!$R$14</f>
        <v>#VALUE!</v>
      </c>
      <c r="AC46" t="e">
        <f>AD45*'Scen Hypothetical vaccine model'!$K46</f>
        <v>#VALUE!</v>
      </c>
      <c r="AD46" s="84" t="e">
        <f t="shared" si="8"/>
        <v>#VALUE!</v>
      </c>
      <c r="AE46" t="e">
        <f>AG45*'Scen Hypothetical vaccine model'!$J46*HelperFunctions!$R$14</f>
        <v>#VALUE!</v>
      </c>
      <c r="AF46" t="e">
        <f>AG45*'Scen Hypothetical vaccine model'!$K46</f>
        <v>#VALUE!</v>
      </c>
      <c r="AG46" s="84" t="e">
        <f t="shared" si="9"/>
        <v>#VALUE!</v>
      </c>
      <c r="AH46" t="e">
        <f>AJ45*'Scen Hypothetical vaccine model'!$J46*HelperFunctions!$R$14</f>
        <v>#VALUE!</v>
      </c>
      <c r="AI46" t="e">
        <f>AJ45*'Scen Hypothetical vaccine model'!$K46</f>
        <v>#VALUE!</v>
      </c>
      <c r="AJ46" s="84" t="e">
        <f t="shared" si="10"/>
        <v>#VALUE!</v>
      </c>
      <c r="AK46" t="e">
        <f>AM45*'Scen Hypothetical vaccine model'!$J46*HelperFunctions!$R$14</f>
        <v>#VALUE!</v>
      </c>
      <c r="AL46" t="e">
        <f>AM45*'Scen Hypothetical vaccine model'!$K46</f>
        <v>#VALUE!</v>
      </c>
      <c r="AM46" s="84" t="e">
        <f t="shared" si="11"/>
        <v>#VALUE!</v>
      </c>
      <c r="AN46" t="e">
        <f>AP45*'Scen Hypothetical vaccine model'!$J46*HelperFunctions!$R$28</f>
        <v>#VALUE!</v>
      </c>
      <c r="AO46" t="e">
        <f>AP45*'Scen Hypothetical vaccine model'!$K46</f>
        <v>#VALUE!</v>
      </c>
      <c r="AP46" s="84" t="e">
        <f t="shared" si="12"/>
        <v>#VALUE!</v>
      </c>
      <c r="AQ46" t="e">
        <f>AS45*'Scen Hypothetical vaccine model'!$J46*HelperFunctions!$R$28</f>
        <v>#VALUE!</v>
      </c>
      <c r="AR46" t="e">
        <f>AS45*'Scen Hypothetical vaccine model'!$K46</f>
        <v>#VALUE!</v>
      </c>
      <c r="AS46" s="84" t="e">
        <f t="shared" si="13"/>
        <v>#VALUE!</v>
      </c>
      <c r="AT46" t="e">
        <f>AV45*'Scen Hypothetical vaccine model'!$J46*HelperFunctions!$R$28</f>
        <v>#VALUE!</v>
      </c>
      <c r="AU46" t="e">
        <f>AV45*'Scen Hypothetical vaccine model'!$K46</f>
        <v>#VALUE!</v>
      </c>
      <c r="AV46" s="84" t="e">
        <f t="shared" si="14"/>
        <v>#VALUE!</v>
      </c>
      <c r="AW46" t="e">
        <f>AY45*'Scen Hypothetical vaccine model'!$J46*HelperFunctions!$R$28</f>
        <v>#VALUE!</v>
      </c>
      <c r="AX46" t="e">
        <f>AY45*'Scen Hypothetical vaccine model'!$K46</f>
        <v>#VALUE!</v>
      </c>
      <c r="AY46" s="84" t="e">
        <f t="shared" si="15"/>
        <v>#VALUE!</v>
      </c>
      <c r="AZ46" t="e">
        <f>BB45*'Scen Hypothetical vaccine model'!$J46*HelperFunctions!$R$28</f>
        <v>#VALUE!</v>
      </c>
      <c r="BA46" t="e">
        <f>BB45*'Scen Hypothetical vaccine model'!$K46</f>
        <v>#VALUE!</v>
      </c>
      <c r="BB46" s="84" t="e">
        <f t="shared" si="16"/>
        <v>#VALUE!</v>
      </c>
      <c r="BC46" t="e">
        <f>BE45*'Scen Hypothetical vaccine model'!$J46*HelperFunctions!$R$28</f>
        <v>#VALUE!</v>
      </c>
      <c r="BD46" t="e">
        <f>BE45*'Scen Hypothetical vaccine model'!$K46</f>
        <v>#VALUE!</v>
      </c>
      <c r="BE46" s="84" t="e">
        <f t="shared" si="17"/>
        <v>#VALUE!</v>
      </c>
      <c r="BF46" t="e">
        <f>BH45*'Scen Hypothetical vaccine model'!$J46*HelperFunctions!$R$28</f>
        <v>#VALUE!</v>
      </c>
      <c r="BG46" t="e">
        <f>BH45*'Scen Hypothetical vaccine model'!$K46</f>
        <v>#VALUE!</v>
      </c>
      <c r="BH46" s="84" t="e">
        <f t="shared" si="18"/>
        <v>#VALUE!</v>
      </c>
      <c r="BI46" t="e">
        <f>BK45*'Scen Hypothetical vaccine model'!$J46*HelperFunctions!$R$28</f>
        <v>#VALUE!</v>
      </c>
      <c r="BJ46" t="e">
        <f>BK45*'Scen Hypothetical vaccine model'!$K46</f>
        <v>#VALUE!</v>
      </c>
      <c r="BK46" s="84" t="e">
        <f t="shared" si="19"/>
        <v>#VALUE!</v>
      </c>
      <c r="BL46" t="e">
        <f>BN45*'Scen Hypothetical vaccine model'!$J46*HelperFunctions!$R$28</f>
        <v>#VALUE!</v>
      </c>
      <c r="BM46" t="e">
        <f>BN45*'Scen Hypothetical vaccine model'!$K46</f>
        <v>#VALUE!</v>
      </c>
      <c r="BN46" s="84" t="e">
        <f t="shared" si="20"/>
        <v>#VALUE!</v>
      </c>
      <c r="BO46" t="e">
        <f>BQ45*'Scen Hypothetical vaccine model'!$J46*HelperFunctions!$R$28</f>
        <v>#VALUE!</v>
      </c>
      <c r="BP46" t="e">
        <f>BQ45*'Scen Hypothetical vaccine model'!$K46</f>
        <v>#VALUE!</v>
      </c>
      <c r="BQ46" s="84" t="e">
        <f t="shared" si="21"/>
        <v>#VALUE!</v>
      </c>
      <c r="BR46" t="e">
        <f>BT45*'Scen Hypothetical vaccine model'!$J46*HelperFunctions!$R$28</f>
        <v>#VALUE!</v>
      </c>
      <c r="BS46" t="e">
        <f>BT45*'Scen Hypothetical vaccine model'!$K46</f>
        <v>#VALUE!</v>
      </c>
      <c r="BT46" s="84" t="e">
        <f t="shared" si="22"/>
        <v>#VALUE!</v>
      </c>
      <c r="BU46" t="e">
        <f>BW45*'Scen Hypothetical vaccine model'!$J46*HelperFunctions!$R$28</f>
        <v>#VALUE!</v>
      </c>
      <c r="BV46" t="e">
        <f>BW45*'Scen Hypothetical vaccine model'!$K46</f>
        <v>#VALUE!</v>
      </c>
      <c r="BW46" s="84" t="e">
        <f t="shared" si="23"/>
        <v>#VALUE!</v>
      </c>
      <c r="BX46" t="e">
        <f>BZ45*'Scen Hypothetical vaccine model'!$J46*HelperFunctions!$R$42</f>
        <v>#VALUE!</v>
      </c>
      <c r="BY46" t="e">
        <f>BZ45*'Scen Hypothetical vaccine model'!$K46</f>
        <v>#VALUE!</v>
      </c>
      <c r="BZ46" s="84" t="e">
        <f t="shared" si="24"/>
        <v>#VALUE!</v>
      </c>
      <c r="CA46" t="e">
        <f>CC45*'Scen Hypothetical vaccine model'!$J46*HelperFunctions!$R$42</f>
        <v>#VALUE!</v>
      </c>
      <c r="CB46" t="e">
        <f>CC45*'Scen Hypothetical vaccine model'!$K46</f>
        <v>#VALUE!</v>
      </c>
      <c r="CC46" s="84" t="e">
        <f t="shared" si="25"/>
        <v>#VALUE!</v>
      </c>
      <c r="CD46" t="e">
        <f>CF45*'Scen Hypothetical vaccine model'!$J46*HelperFunctions!$R$42</f>
        <v>#VALUE!</v>
      </c>
      <c r="CE46" t="e">
        <f>CF45*'Scen Hypothetical vaccine model'!$K46</f>
        <v>#VALUE!</v>
      </c>
      <c r="CF46" s="84" t="e">
        <f t="shared" si="26"/>
        <v>#VALUE!</v>
      </c>
      <c r="CG46" t="e">
        <f>CI45*'Scen Hypothetical vaccine model'!$J46*HelperFunctions!$R$42</f>
        <v>#VALUE!</v>
      </c>
      <c r="CH46" t="e">
        <f>CI45*'Scen Hypothetical vaccine model'!$K46</f>
        <v>#VALUE!</v>
      </c>
      <c r="CI46" s="84" t="e">
        <f t="shared" si="27"/>
        <v>#VALUE!</v>
      </c>
      <c r="CJ46" t="e">
        <f>CL45*'Scen Hypothetical vaccine model'!$J46*HelperFunctions!$R$42</f>
        <v>#VALUE!</v>
      </c>
      <c r="CK46" t="e">
        <f>CL45*'Scen Hypothetical vaccine model'!$K46</f>
        <v>#VALUE!</v>
      </c>
      <c r="CL46" s="84" t="e">
        <f t="shared" si="28"/>
        <v>#VALUE!</v>
      </c>
      <c r="CM46" t="e">
        <f>CO45*'Scen Hypothetical vaccine model'!$J46*HelperFunctions!$R$42</f>
        <v>#VALUE!</v>
      </c>
      <c r="CN46" t="e">
        <f>CO45*'Scen Hypothetical vaccine model'!$K46</f>
        <v>#VALUE!</v>
      </c>
      <c r="CO46" s="84" t="e">
        <f t="shared" si="29"/>
        <v>#VALUE!</v>
      </c>
      <c r="CP46" t="e">
        <f>CR45*'Scen Hypothetical vaccine model'!$J46*HelperFunctions!$R$42</f>
        <v>#VALUE!</v>
      </c>
      <c r="CQ46" t="e">
        <f>CR45*'Scen Hypothetical vaccine model'!$K46</f>
        <v>#VALUE!</v>
      </c>
      <c r="CR46" s="84" t="e">
        <f t="shared" si="30"/>
        <v>#VALUE!</v>
      </c>
      <c r="CS46" t="e">
        <f>CU45*'Scen Hypothetical vaccine model'!$J46*HelperFunctions!$R41</f>
        <v>#VALUE!</v>
      </c>
      <c r="CT46" t="e">
        <f>CU45*'Scen Hypothetical vaccine model'!$K46</f>
        <v>#VALUE!</v>
      </c>
      <c r="CU46" s="84" t="e">
        <f t="shared" si="31"/>
        <v>#VALUE!</v>
      </c>
      <c r="CV46" t="e">
        <f>CX45*'Scen Hypothetical vaccine model'!$J46*HelperFunctions!$R40</f>
        <v>#VALUE!</v>
      </c>
      <c r="CW46" t="e">
        <f>CX45*'Scen Hypothetical vaccine model'!$K46</f>
        <v>#VALUE!</v>
      </c>
      <c r="CX46" s="84" t="e">
        <f t="shared" si="32"/>
        <v>#VALUE!</v>
      </c>
      <c r="CY46" t="e">
        <f>DA45*'Scen Hypothetical vaccine model'!$J46*HelperFunctions!$R39</f>
        <v>#VALUE!</v>
      </c>
      <c r="CZ46" t="e">
        <f>DA45*'Scen Hypothetical vaccine model'!$K46</f>
        <v>#VALUE!</v>
      </c>
      <c r="DA46" s="84" t="e">
        <f t="shared" si="33"/>
        <v>#VALUE!</v>
      </c>
      <c r="DB46" t="e">
        <f>DD45*'Scen Hypothetical vaccine model'!$J46*HelperFunctions!$R38</f>
        <v>#VALUE!</v>
      </c>
      <c r="DC46" t="e">
        <f>DD45*'Scen Hypothetical vaccine model'!$K46</f>
        <v>#VALUE!</v>
      </c>
      <c r="DD46" s="84" t="e">
        <f t="shared" si="34"/>
        <v>#VALUE!</v>
      </c>
      <c r="DE46" t="e">
        <f>DG45*'Scen Hypothetical vaccine model'!$J46*HelperFunctions!$R37</f>
        <v>#VALUE!</v>
      </c>
      <c r="DF46" t="e">
        <f>DG45*'Scen Hypothetical vaccine model'!$K46</f>
        <v>#VALUE!</v>
      </c>
      <c r="DG46" s="84" t="e">
        <f t="shared" si="35"/>
        <v>#VALUE!</v>
      </c>
      <c r="DH46" t="e">
        <f>DJ45*'Scen Hypothetical vaccine model'!$J46*HelperFunctions!$R50</f>
        <v>#VALUE!</v>
      </c>
      <c r="DI46" t="e">
        <f>DJ45*'Scen Hypothetical vaccine model'!$K46</f>
        <v>#VALUE!</v>
      </c>
      <c r="DJ46" s="84" t="e">
        <f t="shared" si="36"/>
        <v>#VALUE!</v>
      </c>
      <c r="DK46" t="e">
        <f>DM45*'Scen Hypothetical vaccine model'!$J46*HelperFunctions!$R49</f>
        <v>#VALUE!</v>
      </c>
      <c r="DL46" t="e">
        <f>DM45*'Scen Hypothetical vaccine model'!$K46</f>
        <v>#VALUE!</v>
      </c>
      <c r="DM46" s="84" t="e">
        <f t="shared" si="37"/>
        <v>#VALUE!</v>
      </c>
      <c r="DN46" t="e">
        <f>DP45*'Scen Hypothetical vaccine model'!$J46*HelperFunctions!$R48</f>
        <v>#VALUE!</v>
      </c>
      <c r="DO46" t="e">
        <f>DP45*'Scen Hypothetical vaccine model'!$K46</f>
        <v>#VALUE!</v>
      </c>
      <c r="DP46" s="84" t="e">
        <f t="shared" si="38"/>
        <v>#VALUE!</v>
      </c>
      <c r="DQ46" t="e">
        <f>DS45*'Scen Hypothetical vaccine model'!$J46*HelperFunctions!$R47</f>
        <v>#VALUE!</v>
      </c>
      <c r="DR46" t="e">
        <f>DS45*'Scen Hypothetical vaccine model'!$K46</f>
        <v>#VALUE!</v>
      </c>
      <c r="DS46" s="84" t="e">
        <f t="shared" si="39"/>
        <v>#VALUE!</v>
      </c>
      <c r="DT46" t="e">
        <f>DV45*'Scen Hypothetical vaccine model'!$J46*HelperFunctions!$R46</f>
        <v>#VALUE!</v>
      </c>
      <c r="DU46" t="e">
        <f>DV45*'Scen Hypothetical vaccine model'!$K46</f>
        <v>#VALUE!</v>
      </c>
      <c r="DV46" s="84" t="e">
        <f t="shared" ref="DV46:DV63" si="40">DV45-DT46-DU46</f>
        <v>#VALUE!</v>
      </c>
      <c r="DW46" t="e">
        <f>DY45*'Scen Hypothetical vaccine model'!$J46*HelperFunctions!$R45</f>
        <v>#VALUE!</v>
      </c>
      <c r="DX46" t="e">
        <f>DY45*'Scen Hypothetical vaccine model'!$K46</f>
        <v>#VALUE!</v>
      </c>
      <c r="DY46" s="84" t="e">
        <f>DY45-DW46-DX46</f>
        <v>#VALUE!</v>
      </c>
      <c r="DZ46" s="93"/>
      <c r="EA46" s="93"/>
      <c r="EB46" s="84" t="e">
        <f>Export!$N44*'Scen EffectivelyVax'!$A45*(1-HelperFunctions!$G$45)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35">
      <c r="B47">
        <v>3</v>
      </c>
      <c r="C47" t="str">
        <f>Inputs!I67</f>
        <v/>
      </c>
      <c r="D47" t="e">
        <f>F46*'Scen Hypothetical vaccine model'!J47*HelperFunctions!R$14</f>
        <v>#VALUE!</v>
      </c>
      <c r="E47" t="e">
        <f>F46*'Scen Hypothetical vaccine model'!K47</f>
        <v>#VALUE!</v>
      </c>
      <c r="F47" s="84" t="e">
        <f t="shared" si="0"/>
        <v>#VALUE!</v>
      </c>
      <c r="G47" t="e">
        <f>I46*'Scen Hypothetical vaccine model'!$J47*HelperFunctions!$R$14</f>
        <v>#VALUE!</v>
      </c>
      <c r="H47" t="e">
        <f>I46*'Scen Hypothetical vaccine model'!$K47</f>
        <v>#VALUE!</v>
      </c>
      <c r="I47" s="84" t="e">
        <f t="shared" si="1"/>
        <v>#VALUE!</v>
      </c>
      <c r="J47" t="e">
        <f>L46*'Scen Hypothetical vaccine model'!$J47*HelperFunctions!$R$14</f>
        <v>#VALUE!</v>
      </c>
      <c r="K47" t="e">
        <f>L46*'Scen Hypothetical vaccine model'!$K47</f>
        <v>#VALUE!</v>
      </c>
      <c r="L47" s="84" t="e">
        <f t="shared" si="2"/>
        <v>#VALUE!</v>
      </c>
      <c r="M47" t="e">
        <f>O46*'Scen Hypothetical vaccine model'!$J47*HelperFunctions!$R$14</f>
        <v>#VALUE!</v>
      </c>
      <c r="N47" t="e">
        <f>O46*'Scen Hypothetical vaccine model'!$K47</f>
        <v>#VALUE!</v>
      </c>
      <c r="O47" s="84" t="e">
        <f t="shared" si="3"/>
        <v>#VALUE!</v>
      </c>
      <c r="P47" t="e">
        <f>R46*'Scen Hypothetical vaccine model'!$J47*HelperFunctions!$R$14</f>
        <v>#VALUE!</v>
      </c>
      <c r="Q47" t="e">
        <f>R46*'Scen Hypothetical vaccine model'!$K47</f>
        <v>#VALUE!</v>
      </c>
      <c r="R47" s="84" t="e">
        <f t="shared" si="4"/>
        <v>#VALUE!</v>
      </c>
      <c r="S47" t="e">
        <f>U46*'Scen Hypothetical vaccine model'!$J47*HelperFunctions!$R$14</f>
        <v>#VALUE!</v>
      </c>
      <c r="T47" t="e">
        <f>U46*'Scen Hypothetical vaccine model'!$K47</f>
        <v>#VALUE!</v>
      </c>
      <c r="U47" s="84" t="e">
        <f t="shared" si="5"/>
        <v>#VALUE!</v>
      </c>
      <c r="V47" t="e">
        <f>X46*'Scen Hypothetical vaccine model'!$J47*HelperFunctions!$R$14</f>
        <v>#VALUE!</v>
      </c>
      <c r="W47" t="e">
        <f>X46*'Scen Hypothetical vaccine model'!$K47</f>
        <v>#VALUE!</v>
      </c>
      <c r="X47" s="84" t="e">
        <f t="shared" si="6"/>
        <v>#VALUE!</v>
      </c>
      <c r="Y47" t="e">
        <f>AA46*'Scen Hypothetical vaccine model'!$J47*HelperFunctions!$R$14</f>
        <v>#VALUE!</v>
      </c>
      <c r="Z47" t="e">
        <f>AA46*'Scen Hypothetical vaccine model'!$K47</f>
        <v>#VALUE!</v>
      </c>
      <c r="AA47" s="84" t="e">
        <f t="shared" si="7"/>
        <v>#VALUE!</v>
      </c>
      <c r="AB47" t="e">
        <f>AD46*'Scen Hypothetical vaccine model'!$J47*HelperFunctions!$R$14</f>
        <v>#VALUE!</v>
      </c>
      <c r="AC47" t="e">
        <f>AD46*'Scen Hypothetical vaccine model'!$K47</f>
        <v>#VALUE!</v>
      </c>
      <c r="AD47" s="84" t="e">
        <f t="shared" si="8"/>
        <v>#VALUE!</v>
      </c>
      <c r="AE47" t="e">
        <f>AG46*'Scen Hypothetical vaccine model'!$J47*HelperFunctions!$R$14</f>
        <v>#VALUE!</v>
      </c>
      <c r="AF47" t="e">
        <f>AG46*'Scen Hypothetical vaccine model'!$K47</f>
        <v>#VALUE!</v>
      </c>
      <c r="AG47" s="84" t="e">
        <f t="shared" si="9"/>
        <v>#VALUE!</v>
      </c>
      <c r="AH47" t="e">
        <f>AJ46*'Scen Hypothetical vaccine model'!$J47*HelperFunctions!$R$14</f>
        <v>#VALUE!</v>
      </c>
      <c r="AI47" t="e">
        <f>AJ46*'Scen Hypothetical vaccine model'!$K47</f>
        <v>#VALUE!</v>
      </c>
      <c r="AJ47" s="84" t="e">
        <f t="shared" si="10"/>
        <v>#VALUE!</v>
      </c>
      <c r="AK47" t="e">
        <f>AM46*'Scen Hypothetical vaccine model'!$J47*HelperFunctions!$R$14</f>
        <v>#VALUE!</v>
      </c>
      <c r="AL47" t="e">
        <f>AM46*'Scen Hypothetical vaccine model'!$K47</f>
        <v>#VALUE!</v>
      </c>
      <c r="AM47" s="84" t="e">
        <f t="shared" si="11"/>
        <v>#VALUE!</v>
      </c>
      <c r="AN47" t="e">
        <f>AP46*'Scen Hypothetical vaccine model'!$J47*HelperFunctions!$R$28</f>
        <v>#VALUE!</v>
      </c>
      <c r="AO47" t="e">
        <f>AP46*'Scen Hypothetical vaccine model'!$K47</f>
        <v>#VALUE!</v>
      </c>
      <c r="AP47" s="84" t="e">
        <f t="shared" si="12"/>
        <v>#VALUE!</v>
      </c>
      <c r="AQ47" t="e">
        <f>AS46*'Scen Hypothetical vaccine model'!$J47*HelperFunctions!$R$28</f>
        <v>#VALUE!</v>
      </c>
      <c r="AR47" t="e">
        <f>AS46*'Scen Hypothetical vaccine model'!$K47</f>
        <v>#VALUE!</v>
      </c>
      <c r="AS47" s="84" t="e">
        <f t="shared" si="13"/>
        <v>#VALUE!</v>
      </c>
      <c r="AT47" t="e">
        <f>AV46*'Scen Hypothetical vaccine model'!$J47*HelperFunctions!$R$28</f>
        <v>#VALUE!</v>
      </c>
      <c r="AU47" t="e">
        <f>AV46*'Scen Hypothetical vaccine model'!$K47</f>
        <v>#VALUE!</v>
      </c>
      <c r="AV47" s="84" t="e">
        <f t="shared" si="14"/>
        <v>#VALUE!</v>
      </c>
      <c r="AW47" t="e">
        <f>AY46*'Scen Hypothetical vaccine model'!$J47*HelperFunctions!$R$28</f>
        <v>#VALUE!</v>
      </c>
      <c r="AX47" t="e">
        <f>AY46*'Scen Hypothetical vaccine model'!$K47</f>
        <v>#VALUE!</v>
      </c>
      <c r="AY47" s="84" t="e">
        <f t="shared" si="15"/>
        <v>#VALUE!</v>
      </c>
      <c r="AZ47" t="e">
        <f>BB46*'Scen Hypothetical vaccine model'!$J47*HelperFunctions!$R$28</f>
        <v>#VALUE!</v>
      </c>
      <c r="BA47" t="e">
        <f>BB46*'Scen Hypothetical vaccine model'!$K47</f>
        <v>#VALUE!</v>
      </c>
      <c r="BB47" s="84" t="e">
        <f t="shared" si="16"/>
        <v>#VALUE!</v>
      </c>
      <c r="BC47" t="e">
        <f>BE46*'Scen Hypothetical vaccine model'!$J47*HelperFunctions!$R$28</f>
        <v>#VALUE!</v>
      </c>
      <c r="BD47" t="e">
        <f>BE46*'Scen Hypothetical vaccine model'!$K47</f>
        <v>#VALUE!</v>
      </c>
      <c r="BE47" s="84" t="e">
        <f t="shared" si="17"/>
        <v>#VALUE!</v>
      </c>
      <c r="BF47" t="e">
        <f>BH46*'Scen Hypothetical vaccine model'!$J47*HelperFunctions!$R$28</f>
        <v>#VALUE!</v>
      </c>
      <c r="BG47" t="e">
        <f>BH46*'Scen Hypothetical vaccine model'!$K47</f>
        <v>#VALUE!</v>
      </c>
      <c r="BH47" s="84" t="e">
        <f t="shared" si="18"/>
        <v>#VALUE!</v>
      </c>
      <c r="BI47" t="e">
        <f>BK46*'Scen Hypothetical vaccine model'!$J47*HelperFunctions!$R$28</f>
        <v>#VALUE!</v>
      </c>
      <c r="BJ47" t="e">
        <f>BK46*'Scen Hypothetical vaccine model'!$K47</f>
        <v>#VALUE!</v>
      </c>
      <c r="BK47" s="84" t="e">
        <f t="shared" si="19"/>
        <v>#VALUE!</v>
      </c>
      <c r="BL47" t="e">
        <f>BN46*'Scen Hypothetical vaccine model'!$J47*HelperFunctions!$R$28</f>
        <v>#VALUE!</v>
      </c>
      <c r="BM47" t="e">
        <f>BN46*'Scen Hypothetical vaccine model'!$K47</f>
        <v>#VALUE!</v>
      </c>
      <c r="BN47" s="84" t="e">
        <f t="shared" si="20"/>
        <v>#VALUE!</v>
      </c>
      <c r="BO47" t="e">
        <f>BQ46*'Scen Hypothetical vaccine model'!$J47*HelperFunctions!$R$28</f>
        <v>#VALUE!</v>
      </c>
      <c r="BP47" t="e">
        <f>BQ46*'Scen Hypothetical vaccine model'!$K47</f>
        <v>#VALUE!</v>
      </c>
      <c r="BQ47" s="84" t="e">
        <f t="shared" si="21"/>
        <v>#VALUE!</v>
      </c>
      <c r="BR47" t="e">
        <f>BT46*'Scen Hypothetical vaccine model'!$J47*HelperFunctions!$R$28</f>
        <v>#VALUE!</v>
      </c>
      <c r="BS47" t="e">
        <f>BT46*'Scen Hypothetical vaccine model'!$K47</f>
        <v>#VALUE!</v>
      </c>
      <c r="BT47" s="84" t="e">
        <f t="shared" si="22"/>
        <v>#VALUE!</v>
      </c>
      <c r="BU47" t="e">
        <f>BW46*'Scen Hypothetical vaccine model'!$J47*HelperFunctions!$R$28</f>
        <v>#VALUE!</v>
      </c>
      <c r="BV47" t="e">
        <f>BW46*'Scen Hypothetical vaccine model'!$K47</f>
        <v>#VALUE!</v>
      </c>
      <c r="BW47" s="84" t="e">
        <f t="shared" si="23"/>
        <v>#VALUE!</v>
      </c>
      <c r="BX47" t="e">
        <f>BZ46*'Scen Hypothetical vaccine model'!$J47*HelperFunctions!$R$42</f>
        <v>#VALUE!</v>
      </c>
      <c r="BY47" t="e">
        <f>BZ46*'Scen Hypothetical vaccine model'!$K47</f>
        <v>#VALUE!</v>
      </c>
      <c r="BZ47" s="84" t="e">
        <f t="shared" si="24"/>
        <v>#VALUE!</v>
      </c>
      <c r="CA47" t="e">
        <f>CC46*'Scen Hypothetical vaccine model'!$J47*HelperFunctions!$R$42</f>
        <v>#VALUE!</v>
      </c>
      <c r="CB47" t="e">
        <f>CC46*'Scen Hypothetical vaccine model'!$K47</f>
        <v>#VALUE!</v>
      </c>
      <c r="CC47" s="84" t="e">
        <f t="shared" si="25"/>
        <v>#VALUE!</v>
      </c>
      <c r="CD47" t="e">
        <f>CF46*'Scen Hypothetical vaccine model'!$J47*HelperFunctions!$R$42</f>
        <v>#VALUE!</v>
      </c>
      <c r="CE47" t="e">
        <f>CF46*'Scen Hypothetical vaccine model'!$K47</f>
        <v>#VALUE!</v>
      </c>
      <c r="CF47" s="84" t="e">
        <f t="shared" si="26"/>
        <v>#VALUE!</v>
      </c>
      <c r="CG47" t="e">
        <f>CI46*'Scen Hypothetical vaccine model'!$J47*HelperFunctions!$R$42</f>
        <v>#VALUE!</v>
      </c>
      <c r="CH47" t="e">
        <f>CI46*'Scen Hypothetical vaccine model'!$K47</f>
        <v>#VALUE!</v>
      </c>
      <c r="CI47" s="84" t="e">
        <f t="shared" si="27"/>
        <v>#VALUE!</v>
      </c>
      <c r="CJ47" t="e">
        <f>CL46*'Scen Hypothetical vaccine model'!$J47*HelperFunctions!$R$42</f>
        <v>#VALUE!</v>
      </c>
      <c r="CK47" t="e">
        <f>CL46*'Scen Hypothetical vaccine model'!$K47</f>
        <v>#VALUE!</v>
      </c>
      <c r="CL47" s="84" t="e">
        <f t="shared" si="28"/>
        <v>#VALUE!</v>
      </c>
      <c r="CM47" t="e">
        <f>CO46*'Scen Hypothetical vaccine model'!$J47*HelperFunctions!$R$42</f>
        <v>#VALUE!</v>
      </c>
      <c r="CN47" t="e">
        <f>CO46*'Scen Hypothetical vaccine model'!$K47</f>
        <v>#VALUE!</v>
      </c>
      <c r="CO47" s="84" t="e">
        <f t="shared" si="29"/>
        <v>#VALUE!</v>
      </c>
      <c r="CP47" t="e">
        <f>CR46*'Scen Hypothetical vaccine model'!$J47*HelperFunctions!$R$42</f>
        <v>#VALUE!</v>
      </c>
      <c r="CQ47" t="e">
        <f>CR46*'Scen Hypothetical vaccine model'!$K47</f>
        <v>#VALUE!</v>
      </c>
      <c r="CR47" s="84" t="e">
        <f t="shared" si="30"/>
        <v>#VALUE!</v>
      </c>
      <c r="CS47" t="e">
        <f>CU46*'Scen Hypothetical vaccine model'!$J47*HelperFunctions!$R$42</f>
        <v>#VALUE!</v>
      </c>
      <c r="CT47" t="e">
        <f>CU46*'Scen Hypothetical vaccine model'!$K47</f>
        <v>#VALUE!</v>
      </c>
      <c r="CU47" s="84" t="e">
        <f t="shared" si="31"/>
        <v>#VALUE!</v>
      </c>
      <c r="CV47" t="e">
        <f>CX46*'Scen Hypothetical vaccine model'!$J47*HelperFunctions!$R41</f>
        <v>#VALUE!</v>
      </c>
      <c r="CW47" t="e">
        <f>CX46*'Scen Hypothetical vaccine model'!$K47</f>
        <v>#VALUE!</v>
      </c>
      <c r="CX47" s="84" t="e">
        <f t="shared" si="32"/>
        <v>#VALUE!</v>
      </c>
      <c r="CY47" t="e">
        <f>DA46*'Scen Hypothetical vaccine model'!$J47*HelperFunctions!$R40</f>
        <v>#VALUE!</v>
      </c>
      <c r="CZ47" t="e">
        <f>DA46*'Scen Hypothetical vaccine model'!$K47</f>
        <v>#VALUE!</v>
      </c>
      <c r="DA47" s="84" t="e">
        <f t="shared" si="33"/>
        <v>#VALUE!</v>
      </c>
      <c r="DB47" t="e">
        <f>DD46*'Scen Hypothetical vaccine model'!$J47*HelperFunctions!$R39</f>
        <v>#VALUE!</v>
      </c>
      <c r="DC47" t="e">
        <f>DD46*'Scen Hypothetical vaccine model'!$K47</f>
        <v>#VALUE!</v>
      </c>
      <c r="DD47" s="84" t="e">
        <f t="shared" si="34"/>
        <v>#VALUE!</v>
      </c>
      <c r="DE47" t="e">
        <f>DG46*'Scen Hypothetical vaccine model'!$J47*HelperFunctions!$R38</f>
        <v>#VALUE!</v>
      </c>
      <c r="DF47" t="e">
        <f>DG46*'Scen Hypothetical vaccine model'!$K47</f>
        <v>#VALUE!</v>
      </c>
      <c r="DG47" s="84" t="e">
        <f t="shared" si="35"/>
        <v>#VALUE!</v>
      </c>
      <c r="DH47" t="e">
        <f>DJ46*'Scen Hypothetical vaccine model'!$J47*HelperFunctions!$R51</f>
        <v>#VALUE!</v>
      </c>
      <c r="DI47" t="e">
        <f>DJ46*'Scen Hypothetical vaccine model'!$K47</f>
        <v>#VALUE!</v>
      </c>
      <c r="DJ47" s="84" t="e">
        <f t="shared" si="36"/>
        <v>#VALUE!</v>
      </c>
      <c r="DK47" t="e">
        <f>DM46*'Scen Hypothetical vaccine model'!$J47*HelperFunctions!$R50</f>
        <v>#VALUE!</v>
      </c>
      <c r="DL47" t="e">
        <f>DM46*'Scen Hypothetical vaccine model'!$K47</f>
        <v>#VALUE!</v>
      </c>
      <c r="DM47" s="84" t="e">
        <f t="shared" si="37"/>
        <v>#VALUE!</v>
      </c>
      <c r="DN47" t="e">
        <f>DP46*'Scen Hypothetical vaccine model'!$J47*HelperFunctions!$R49</f>
        <v>#VALUE!</v>
      </c>
      <c r="DO47" t="e">
        <f>DP46*'Scen Hypothetical vaccine model'!$K47</f>
        <v>#VALUE!</v>
      </c>
      <c r="DP47" s="84" t="e">
        <f t="shared" si="38"/>
        <v>#VALUE!</v>
      </c>
      <c r="DQ47" t="e">
        <f>DS46*'Scen Hypothetical vaccine model'!$J47*HelperFunctions!$R48</f>
        <v>#VALUE!</v>
      </c>
      <c r="DR47" t="e">
        <f>DS46*'Scen Hypothetical vaccine model'!$K47</f>
        <v>#VALUE!</v>
      </c>
      <c r="DS47" s="84" t="e">
        <f t="shared" si="39"/>
        <v>#VALUE!</v>
      </c>
      <c r="DT47" t="e">
        <f>DV46*'Scen Hypothetical vaccine model'!$J47*HelperFunctions!$R47</f>
        <v>#VALUE!</v>
      </c>
      <c r="DU47" t="e">
        <f>DV46*'Scen Hypothetical vaccine model'!$K47</f>
        <v>#VALUE!</v>
      </c>
      <c r="DV47" s="84" t="e">
        <f t="shared" si="40"/>
        <v>#VALUE!</v>
      </c>
      <c r="DW47" t="e">
        <f>DY46*'Scen Hypothetical vaccine model'!$J47*HelperFunctions!$R46</f>
        <v>#VALUE!</v>
      </c>
      <c r="DX47" t="e">
        <f>DY46*'Scen Hypothetical vaccine model'!$K47</f>
        <v>#VALUE!</v>
      </c>
      <c r="DY47" s="84" t="e">
        <f t="shared" ref="DY47:DY63" si="41">DY46-DW47-DX47</f>
        <v>#VALUE!</v>
      </c>
      <c r="DZ47" t="e">
        <f>EB46*'Scen Hypothetical vaccine model'!$J47*HelperFunctions!$R45</f>
        <v>#VALUE!</v>
      </c>
      <c r="EA47" t="e">
        <f>EB46*'Scen Hypothetical vaccine model'!$K47</f>
        <v>#VALUE!</v>
      </c>
      <c r="EB47" s="84" t="e">
        <f>EB46-DZ47-EA47</f>
        <v>#VALUE!</v>
      </c>
      <c r="EC47" s="93"/>
      <c r="ED47" s="93"/>
      <c r="EE47" s="84" t="e">
        <f>Export!$N45*'Scen EffectivelyVax'!$A46*(1-HelperFunctions!$G$45)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35">
      <c r="B48">
        <v>3</v>
      </c>
      <c r="C48" t="str">
        <f>Inputs!I68</f>
        <v/>
      </c>
      <c r="D48" t="e">
        <f>F47*'Scen Hypothetical vaccine model'!J48*HelperFunctions!R$14</f>
        <v>#VALUE!</v>
      </c>
      <c r="E48" t="e">
        <f>F47*'Scen Hypothetical vaccine model'!K48</f>
        <v>#VALUE!</v>
      </c>
      <c r="F48" s="84" t="e">
        <f t="shared" si="0"/>
        <v>#VALUE!</v>
      </c>
      <c r="G48" t="e">
        <f>I47*'Scen Hypothetical vaccine model'!$J48*HelperFunctions!$R$14</f>
        <v>#VALUE!</v>
      </c>
      <c r="H48" t="e">
        <f>I47*'Scen Hypothetical vaccine model'!$K48</f>
        <v>#VALUE!</v>
      </c>
      <c r="I48" s="84" t="e">
        <f t="shared" si="1"/>
        <v>#VALUE!</v>
      </c>
      <c r="J48" t="e">
        <f>L47*'Scen Hypothetical vaccine model'!$J48*HelperFunctions!$R$14</f>
        <v>#VALUE!</v>
      </c>
      <c r="K48" t="e">
        <f>L47*'Scen Hypothetical vaccine model'!$K48</f>
        <v>#VALUE!</v>
      </c>
      <c r="L48" s="84" t="e">
        <f t="shared" si="2"/>
        <v>#VALUE!</v>
      </c>
      <c r="M48" t="e">
        <f>O47*'Scen Hypothetical vaccine model'!$J48*HelperFunctions!$R$14</f>
        <v>#VALUE!</v>
      </c>
      <c r="N48" t="e">
        <f>O47*'Scen Hypothetical vaccine model'!$K48</f>
        <v>#VALUE!</v>
      </c>
      <c r="O48" s="84" t="e">
        <f t="shared" si="3"/>
        <v>#VALUE!</v>
      </c>
      <c r="P48" t="e">
        <f>R47*'Scen Hypothetical vaccine model'!$J48*HelperFunctions!$R$14</f>
        <v>#VALUE!</v>
      </c>
      <c r="Q48" t="e">
        <f>R47*'Scen Hypothetical vaccine model'!$K48</f>
        <v>#VALUE!</v>
      </c>
      <c r="R48" s="84" t="e">
        <f t="shared" si="4"/>
        <v>#VALUE!</v>
      </c>
      <c r="S48" t="e">
        <f>U47*'Scen Hypothetical vaccine model'!$J48*HelperFunctions!$R$14</f>
        <v>#VALUE!</v>
      </c>
      <c r="T48" t="e">
        <f>U47*'Scen Hypothetical vaccine model'!$K48</f>
        <v>#VALUE!</v>
      </c>
      <c r="U48" s="84" t="e">
        <f t="shared" si="5"/>
        <v>#VALUE!</v>
      </c>
      <c r="V48" t="e">
        <f>X47*'Scen Hypothetical vaccine model'!$J48*HelperFunctions!$R$14</f>
        <v>#VALUE!</v>
      </c>
      <c r="W48" t="e">
        <f>X47*'Scen Hypothetical vaccine model'!$K48</f>
        <v>#VALUE!</v>
      </c>
      <c r="X48" s="84" t="e">
        <f t="shared" si="6"/>
        <v>#VALUE!</v>
      </c>
      <c r="Y48" t="e">
        <f>AA47*'Scen Hypothetical vaccine model'!$J48*HelperFunctions!$R$14</f>
        <v>#VALUE!</v>
      </c>
      <c r="Z48" t="e">
        <f>AA47*'Scen Hypothetical vaccine model'!$K48</f>
        <v>#VALUE!</v>
      </c>
      <c r="AA48" s="84" t="e">
        <f t="shared" si="7"/>
        <v>#VALUE!</v>
      </c>
      <c r="AB48" t="e">
        <f>AD47*'Scen Hypothetical vaccine model'!$J48*HelperFunctions!$R$14</f>
        <v>#VALUE!</v>
      </c>
      <c r="AC48" t="e">
        <f>AD47*'Scen Hypothetical vaccine model'!$K48</f>
        <v>#VALUE!</v>
      </c>
      <c r="AD48" s="84" t="e">
        <f t="shared" si="8"/>
        <v>#VALUE!</v>
      </c>
      <c r="AE48" t="e">
        <f>AG47*'Scen Hypothetical vaccine model'!$J48*HelperFunctions!$R$14</f>
        <v>#VALUE!</v>
      </c>
      <c r="AF48" t="e">
        <f>AG47*'Scen Hypothetical vaccine model'!$K48</f>
        <v>#VALUE!</v>
      </c>
      <c r="AG48" s="84" t="e">
        <f t="shared" si="9"/>
        <v>#VALUE!</v>
      </c>
      <c r="AH48" t="e">
        <f>AJ47*'Scen Hypothetical vaccine model'!$J48*HelperFunctions!$R$14</f>
        <v>#VALUE!</v>
      </c>
      <c r="AI48" t="e">
        <f>AJ47*'Scen Hypothetical vaccine model'!$K48</f>
        <v>#VALUE!</v>
      </c>
      <c r="AJ48" s="84" t="e">
        <f t="shared" si="10"/>
        <v>#VALUE!</v>
      </c>
      <c r="AK48" t="e">
        <f>AM47*'Scen Hypothetical vaccine model'!$J48*HelperFunctions!$R$14</f>
        <v>#VALUE!</v>
      </c>
      <c r="AL48" t="e">
        <f>AM47*'Scen Hypothetical vaccine model'!$K48</f>
        <v>#VALUE!</v>
      </c>
      <c r="AM48" s="84" t="e">
        <f t="shared" si="11"/>
        <v>#VALUE!</v>
      </c>
      <c r="AN48" t="e">
        <f>AP47*'Scen Hypothetical vaccine model'!$J48*HelperFunctions!$R$28</f>
        <v>#VALUE!</v>
      </c>
      <c r="AO48" t="e">
        <f>AP47*'Scen Hypothetical vaccine model'!$K48</f>
        <v>#VALUE!</v>
      </c>
      <c r="AP48" s="84" t="e">
        <f t="shared" si="12"/>
        <v>#VALUE!</v>
      </c>
      <c r="AQ48" t="e">
        <f>AS47*'Scen Hypothetical vaccine model'!$J48*HelperFunctions!$R$28</f>
        <v>#VALUE!</v>
      </c>
      <c r="AR48" t="e">
        <f>AS47*'Scen Hypothetical vaccine model'!$K48</f>
        <v>#VALUE!</v>
      </c>
      <c r="AS48" s="84" t="e">
        <f t="shared" si="13"/>
        <v>#VALUE!</v>
      </c>
      <c r="AT48" t="e">
        <f>AV47*'Scen Hypothetical vaccine model'!$J48*HelperFunctions!$R$28</f>
        <v>#VALUE!</v>
      </c>
      <c r="AU48" t="e">
        <f>AV47*'Scen Hypothetical vaccine model'!$K48</f>
        <v>#VALUE!</v>
      </c>
      <c r="AV48" s="84" t="e">
        <f t="shared" si="14"/>
        <v>#VALUE!</v>
      </c>
      <c r="AW48" t="e">
        <f>AY47*'Scen Hypothetical vaccine model'!$J48*HelperFunctions!$R$28</f>
        <v>#VALUE!</v>
      </c>
      <c r="AX48" t="e">
        <f>AY47*'Scen Hypothetical vaccine model'!$K48</f>
        <v>#VALUE!</v>
      </c>
      <c r="AY48" s="84" t="e">
        <f t="shared" si="15"/>
        <v>#VALUE!</v>
      </c>
      <c r="AZ48" t="e">
        <f>BB47*'Scen Hypothetical vaccine model'!$J48*HelperFunctions!$R$28</f>
        <v>#VALUE!</v>
      </c>
      <c r="BA48" t="e">
        <f>BB47*'Scen Hypothetical vaccine model'!$K48</f>
        <v>#VALUE!</v>
      </c>
      <c r="BB48" s="84" t="e">
        <f t="shared" si="16"/>
        <v>#VALUE!</v>
      </c>
      <c r="BC48" t="e">
        <f>BE47*'Scen Hypothetical vaccine model'!$J48*HelperFunctions!$R$28</f>
        <v>#VALUE!</v>
      </c>
      <c r="BD48" t="e">
        <f>BE47*'Scen Hypothetical vaccine model'!$K48</f>
        <v>#VALUE!</v>
      </c>
      <c r="BE48" s="84" t="e">
        <f t="shared" si="17"/>
        <v>#VALUE!</v>
      </c>
      <c r="BF48" t="e">
        <f>BH47*'Scen Hypothetical vaccine model'!$J48*HelperFunctions!$R$28</f>
        <v>#VALUE!</v>
      </c>
      <c r="BG48" t="e">
        <f>BH47*'Scen Hypothetical vaccine model'!$K48</f>
        <v>#VALUE!</v>
      </c>
      <c r="BH48" s="84" t="e">
        <f t="shared" si="18"/>
        <v>#VALUE!</v>
      </c>
      <c r="BI48" t="e">
        <f>BK47*'Scen Hypothetical vaccine model'!$J48*HelperFunctions!$R$28</f>
        <v>#VALUE!</v>
      </c>
      <c r="BJ48" t="e">
        <f>BK47*'Scen Hypothetical vaccine model'!$K48</f>
        <v>#VALUE!</v>
      </c>
      <c r="BK48" s="84" t="e">
        <f t="shared" si="19"/>
        <v>#VALUE!</v>
      </c>
      <c r="BL48" t="e">
        <f>BN47*'Scen Hypothetical vaccine model'!$J48*HelperFunctions!$R$28</f>
        <v>#VALUE!</v>
      </c>
      <c r="BM48" t="e">
        <f>BN47*'Scen Hypothetical vaccine model'!$K48</f>
        <v>#VALUE!</v>
      </c>
      <c r="BN48" s="84" t="e">
        <f t="shared" si="20"/>
        <v>#VALUE!</v>
      </c>
      <c r="BO48" t="e">
        <f>BQ47*'Scen Hypothetical vaccine model'!$J48*HelperFunctions!$R$28</f>
        <v>#VALUE!</v>
      </c>
      <c r="BP48" t="e">
        <f>BQ47*'Scen Hypothetical vaccine model'!$K48</f>
        <v>#VALUE!</v>
      </c>
      <c r="BQ48" s="84" t="e">
        <f t="shared" si="21"/>
        <v>#VALUE!</v>
      </c>
      <c r="BR48" t="e">
        <f>BT47*'Scen Hypothetical vaccine model'!$J48*HelperFunctions!$R$28</f>
        <v>#VALUE!</v>
      </c>
      <c r="BS48" t="e">
        <f>BT47*'Scen Hypothetical vaccine model'!$K48</f>
        <v>#VALUE!</v>
      </c>
      <c r="BT48" s="84" t="e">
        <f t="shared" si="22"/>
        <v>#VALUE!</v>
      </c>
      <c r="BU48" t="e">
        <f>BW47*'Scen Hypothetical vaccine model'!$J48*HelperFunctions!$R$28</f>
        <v>#VALUE!</v>
      </c>
      <c r="BV48" t="e">
        <f>BW47*'Scen Hypothetical vaccine model'!$K48</f>
        <v>#VALUE!</v>
      </c>
      <c r="BW48" s="84" t="e">
        <f t="shared" si="23"/>
        <v>#VALUE!</v>
      </c>
      <c r="BX48" t="e">
        <f>BZ47*'Scen Hypothetical vaccine model'!$J48*HelperFunctions!$R$42</f>
        <v>#VALUE!</v>
      </c>
      <c r="BY48" t="e">
        <f>BZ47*'Scen Hypothetical vaccine model'!$K48</f>
        <v>#VALUE!</v>
      </c>
      <c r="BZ48" s="84" t="e">
        <f t="shared" si="24"/>
        <v>#VALUE!</v>
      </c>
      <c r="CA48" t="e">
        <f>CC47*'Scen Hypothetical vaccine model'!$J48*HelperFunctions!$R$42</f>
        <v>#VALUE!</v>
      </c>
      <c r="CB48" t="e">
        <f>CC47*'Scen Hypothetical vaccine model'!$K48</f>
        <v>#VALUE!</v>
      </c>
      <c r="CC48" s="84" t="e">
        <f t="shared" si="25"/>
        <v>#VALUE!</v>
      </c>
      <c r="CD48" t="e">
        <f>CF47*'Scen Hypothetical vaccine model'!$J48*HelperFunctions!$R$42</f>
        <v>#VALUE!</v>
      </c>
      <c r="CE48" t="e">
        <f>CF47*'Scen Hypothetical vaccine model'!$K48</f>
        <v>#VALUE!</v>
      </c>
      <c r="CF48" s="84" t="e">
        <f t="shared" si="26"/>
        <v>#VALUE!</v>
      </c>
      <c r="CG48" t="e">
        <f>CI47*'Scen Hypothetical vaccine model'!$J48*HelperFunctions!$R$42</f>
        <v>#VALUE!</v>
      </c>
      <c r="CH48" t="e">
        <f>CI47*'Scen Hypothetical vaccine model'!$K48</f>
        <v>#VALUE!</v>
      </c>
      <c r="CI48" s="84" t="e">
        <f t="shared" si="27"/>
        <v>#VALUE!</v>
      </c>
      <c r="CJ48" t="e">
        <f>CL47*'Scen Hypothetical vaccine model'!$J48*HelperFunctions!$R$42</f>
        <v>#VALUE!</v>
      </c>
      <c r="CK48" t="e">
        <f>CL47*'Scen Hypothetical vaccine model'!$K48</f>
        <v>#VALUE!</v>
      </c>
      <c r="CL48" s="84" t="e">
        <f t="shared" si="28"/>
        <v>#VALUE!</v>
      </c>
      <c r="CM48" t="e">
        <f>CO47*'Scen Hypothetical vaccine model'!$J48*HelperFunctions!$R$42</f>
        <v>#VALUE!</v>
      </c>
      <c r="CN48" t="e">
        <f>CO47*'Scen Hypothetical vaccine model'!$K48</f>
        <v>#VALUE!</v>
      </c>
      <c r="CO48" s="84" t="e">
        <f t="shared" si="29"/>
        <v>#VALUE!</v>
      </c>
      <c r="CP48" t="e">
        <f>CR47*'Scen Hypothetical vaccine model'!$J48*HelperFunctions!$R$42</f>
        <v>#VALUE!</v>
      </c>
      <c r="CQ48" t="e">
        <f>CR47*'Scen Hypothetical vaccine model'!$K48</f>
        <v>#VALUE!</v>
      </c>
      <c r="CR48" s="84" t="e">
        <f t="shared" si="30"/>
        <v>#VALUE!</v>
      </c>
      <c r="CS48" t="e">
        <f>CU47*'Scen Hypothetical vaccine model'!$J48*HelperFunctions!$R$42</f>
        <v>#VALUE!</v>
      </c>
      <c r="CT48" t="e">
        <f>CU47*'Scen Hypothetical vaccine model'!$K48</f>
        <v>#VALUE!</v>
      </c>
      <c r="CU48" s="84" t="e">
        <f t="shared" si="31"/>
        <v>#VALUE!</v>
      </c>
      <c r="CV48" t="e">
        <f>CX47*'Scen Hypothetical vaccine model'!$J48*HelperFunctions!$R$42</f>
        <v>#VALUE!</v>
      </c>
      <c r="CW48" t="e">
        <f>CX47*'Scen Hypothetical vaccine model'!$K48</f>
        <v>#VALUE!</v>
      </c>
      <c r="CX48" s="84" t="e">
        <f t="shared" si="32"/>
        <v>#VALUE!</v>
      </c>
      <c r="CY48" t="e">
        <f>DA47*'Scen Hypothetical vaccine model'!$J48*HelperFunctions!$R41</f>
        <v>#VALUE!</v>
      </c>
      <c r="CZ48" t="e">
        <f>DA47*'Scen Hypothetical vaccine model'!$K48</f>
        <v>#VALUE!</v>
      </c>
      <c r="DA48" s="84" t="e">
        <f t="shared" si="33"/>
        <v>#VALUE!</v>
      </c>
      <c r="DB48" t="e">
        <f>DD47*'Scen Hypothetical vaccine model'!$J48*HelperFunctions!$R40</f>
        <v>#VALUE!</v>
      </c>
      <c r="DC48" t="e">
        <f>DD47*'Scen Hypothetical vaccine model'!$K48</f>
        <v>#VALUE!</v>
      </c>
      <c r="DD48" s="84" t="e">
        <f t="shared" si="34"/>
        <v>#VALUE!</v>
      </c>
      <c r="DE48" t="e">
        <f>DG47*'Scen Hypothetical vaccine model'!$J48*HelperFunctions!$R39</f>
        <v>#VALUE!</v>
      </c>
      <c r="DF48" t="e">
        <f>DG47*'Scen Hypothetical vaccine model'!$K48</f>
        <v>#VALUE!</v>
      </c>
      <c r="DG48" s="84" t="e">
        <f t="shared" si="35"/>
        <v>#VALUE!</v>
      </c>
      <c r="DH48" t="e">
        <f>DJ47*'Scen Hypothetical vaccine model'!$J48*HelperFunctions!$R52</f>
        <v>#VALUE!</v>
      </c>
      <c r="DI48" t="e">
        <f>DJ47*'Scen Hypothetical vaccine model'!$K48</f>
        <v>#VALUE!</v>
      </c>
      <c r="DJ48" s="84" t="e">
        <f t="shared" si="36"/>
        <v>#VALUE!</v>
      </c>
      <c r="DK48" t="e">
        <f>DM47*'Scen Hypothetical vaccine model'!$J48*HelperFunctions!$R51</f>
        <v>#VALUE!</v>
      </c>
      <c r="DL48" t="e">
        <f>DM47*'Scen Hypothetical vaccine model'!$K48</f>
        <v>#VALUE!</v>
      </c>
      <c r="DM48" s="84" t="e">
        <f t="shared" si="37"/>
        <v>#VALUE!</v>
      </c>
      <c r="DN48" t="e">
        <f>DP47*'Scen Hypothetical vaccine model'!$J48*HelperFunctions!$R50</f>
        <v>#VALUE!</v>
      </c>
      <c r="DO48" t="e">
        <f>DP47*'Scen Hypothetical vaccine model'!$K48</f>
        <v>#VALUE!</v>
      </c>
      <c r="DP48" s="84" t="e">
        <f t="shared" si="38"/>
        <v>#VALUE!</v>
      </c>
      <c r="DQ48" t="e">
        <f>DS47*'Scen Hypothetical vaccine model'!$J48*HelperFunctions!$R49</f>
        <v>#VALUE!</v>
      </c>
      <c r="DR48" t="e">
        <f>DS47*'Scen Hypothetical vaccine model'!$K48</f>
        <v>#VALUE!</v>
      </c>
      <c r="DS48" s="84" t="e">
        <f t="shared" si="39"/>
        <v>#VALUE!</v>
      </c>
      <c r="DT48" t="e">
        <f>DV47*'Scen Hypothetical vaccine model'!$J48*HelperFunctions!$R48</f>
        <v>#VALUE!</v>
      </c>
      <c r="DU48" t="e">
        <f>DV47*'Scen Hypothetical vaccine model'!$K48</f>
        <v>#VALUE!</v>
      </c>
      <c r="DV48" s="84" t="e">
        <f t="shared" si="40"/>
        <v>#VALUE!</v>
      </c>
      <c r="DW48" t="e">
        <f>DY47*'Scen Hypothetical vaccine model'!$J48*HelperFunctions!$R47</f>
        <v>#VALUE!</v>
      </c>
      <c r="DX48" t="e">
        <f>DY47*'Scen Hypothetical vaccine model'!$K48</f>
        <v>#VALUE!</v>
      </c>
      <c r="DY48" s="84" t="e">
        <f t="shared" si="41"/>
        <v>#VALUE!</v>
      </c>
      <c r="DZ48" t="e">
        <f>EB47*'Scen Hypothetical vaccine model'!$J48*HelperFunctions!$R46</f>
        <v>#VALUE!</v>
      </c>
      <c r="EA48" t="e">
        <f>EB47*'Scen Hypothetical vaccine model'!$K48</f>
        <v>#VALUE!</v>
      </c>
      <c r="EB48" s="84" t="e">
        <f t="shared" ref="EB48:EB63" si="42">EB47-DZ48-EA48</f>
        <v>#VALUE!</v>
      </c>
      <c r="EC48" t="e">
        <f>EE47*'Scen Hypothetical vaccine model'!$J48*HelperFunctions!$R45</f>
        <v>#VALUE!</v>
      </c>
      <c r="ED48" t="e">
        <f>EE47*'Scen Hypothetical vaccine model'!$K48</f>
        <v>#VALUE!</v>
      </c>
      <c r="EE48" s="84" t="e">
        <f>EE47-EC48-ED48</f>
        <v>#VALUE!</v>
      </c>
      <c r="EF48" s="93"/>
      <c r="EG48" s="93"/>
      <c r="EH48" s="84" t="e">
        <f>Export!$N46*'Scen EffectivelyVax'!$A47*(1-HelperFunctions!$G$45)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35">
      <c r="B49">
        <v>3</v>
      </c>
      <c r="C49" t="str">
        <f>Inputs!I69</f>
        <v/>
      </c>
      <c r="D49" t="e">
        <f>F48*'Scen Hypothetical vaccine model'!J49*HelperFunctions!R$14</f>
        <v>#VALUE!</v>
      </c>
      <c r="E49" t="e">
        <f>F48*'Scen Hypothetical vaccine model'!K49</f>
        <v>#VALUE!</v>
      </c>
      <c r="F49" s="84" t="e">
        <f t="shared" si="0"/>
        <v>#VALUE!</v>
      </c>
      <c r="G49" t="e">
        <f>I48*'Scen Hypothetical vaccine model'!$J49*HelperFunctions!$R$14</f>
        <v>#VALUE!</v>
      </c>
      <c r="H49" t="e">
        <f>I48*'Scen Hypothetical vaccine model'!$K49</f>
        <v>#VALUE!</v>
      </c>
      <c r="I49" s="84" t="e">
        <f t="shared" si="1"/>
        <v>#VALUE!</v>
      </c>
      <c r="J49" t="e">
        <f>L48*'Scen Hypothetical vaccine model'!$J49*HelperFunctions!$R$14</f>
        <v>#VALUE!</v>
      </c>
      <c r="K49" t="e">
        <f>L48*'Scen Hypothetical vaccine model'!$K49</f>
        <v>#VALUE!</v>
      </c>
      <c r="L49" s="84" t="e">
        <f t="shared" si="2"/>
        <v>#VALUE!</v>
      </c>
      <c r="M49" t="e">
        <f>O48*'Scen Hypothetical vaccine model'!$J49*HelperFunctions!$R$14</f>
        <v>#VALUE!</v>
      </c>
      <c r="N49" t="e">
        <f>O48*'Scen Hypothetical vaccine model'!$K49</f>
        <v>#VALUE!</v>
      </c>
      <c r="O49" s="84" t="e">
        <f t="shared" si="3"/>
        <v>#VALUE!</v>
      </c>
      <c r="P49" t="e">
        <f>R48*'Scen Hypothetical vaccine model'!$J49*HelperFunctions!$R$14</f>
        <v>#VALUE!</v>
      </c>
      <c r="Q49" t="e">
        <f>R48*'Scen Hypothetical vaccine model'!$K49</f>
        <v>#VALUE!</v>
      </c>
      <c r="R49" s="84" t="e">
        <f t="shared" si="4"/>
        <v>#VALUE!</v>
      </c>
      <c r="S49" t="e">
        <f>U48*'Scen Hypothetical vaccine model'!$J49*HelperFunctions!$R$14</f>
        <v>#VALUE!</v>
      </c>
      <c r="T49" t="e">
        <f>U48*'Scen Hypothetical vaccine model'!$K49</f>
        <v>#VALUE!</v>
      </c>
      <c r="U49" s="84" t="e">
        <f t="shared" si="5"/>
        <v>#VALUE!</v>
      </c>
      <c r="V49" t="e">
        <f>X48*'Scen Hypothetical vaccine model'!$J49*HelperFunctions!$R$14</f>
        <v>#VALUE!</v>
      </c>
      <c r="W49" t="e">
        <f>X48*'Scen Hypothetical vaccine model'!$K49</f>
        <v>#VALUE!</v>
      </c>
      <c r="X49" s="84" t="e">
        <f t="shared" si="6"/>
        <v>#VALUE!</v>
      </c>
      <c r="Y49" t="e">
        <f>AA48*'Scen Hypothetical vaccine model'!$J49*HelperFunctions!$R$14</f>
        <v>#VALUE!</v>
      </c>
      <c r="Z49" t="e">
        <f>AA48*'Scen Hypothetical vaccine model'!$K49</f>
        <v>#VALUE!</v>
      </c>
      <c r="AA49" s="84" t="e">
        <f t="shared" si="7"/>
        <v>#VALUE!</v>
      </c>
      <c r="AB49" t="e">
        <f>AD48*'Scen Hypothetical vaccine model'!$J49*HelperFunctions!$R$14</f>
        <v>#VALUE!</v>
      </c>
      <c r="AC49" t="e">
        <f>AD48*'Scen Hypothetical vaccine model'!$K49</f>
        <v>#VALUE!</v>
      </c>
      <c r="AD49" s="84" t="e">
        <f t="shared" si="8"/>
        <v>#VALUE!</v>
      </c>
      <c r="AE49" t="e">
        <f>AG48*'Scen Hypothetical vaccine model'!$J49*HelperFunctions!$R$14</f>
        <v>#VALUE!</v>
      </c>
      <c r="AF49" t="e">
        <f>AG48*'Scen Hypothetical vaccine model'!$K49</f>
        <v>#VALUE!</v>
      </c>
      <c r="AG49" s="84" t="e">
        <f t="shared" si="9"/>
        <v>#VALUE!</v>
      </c>
      <c r="AH49" t="e">
        <f>AJ48*'Scen Hypothetical vaccine model'!$J49*HelperFunctions!$R$14</f>
        <v>#VALUE!</v>
      </c>
      <c r="AI49" t="e">
        <f>AJ48*'Scen Hypothetical vaccine model'!$K49</f>
        <v>#VALUE!</v>
      </c>
      <c r="AJ49" s="84" t="e">
        <f t="shared" si="10"/>
        <v>#VALUE!</v>
      </c>
      <c r="AK49" t="e">
        <f>AM48*'Scen Hypothetical vaccine model'!$J49*HelperFunctions!$R$14</f>
        <v>#VALUE!</v>
      </c>
      <c r="AL49" t="e">
        <f>AM48*'Scen Hypothetical vaccine model'!$K49</f>
        <v>#VALUE!</v>
      </c>
      <c r="AM49" s="84" t="e">
        <f t="shared" si="11"/>
        <v>#VALUE!</v>
      </c>
      <c r="AN49" t="e">
        <f>AP48*'Scen Hypothetical vaccine model'!$J49*HelperFunctions!$R$28</f>
        <v>#VALUE!</v>
      </c>
      <c r="AO49" t="e">
        <f>AP48*'Scen Hypothetical vaccine model'!$K49</f>
        <v>#VALUE!</v>
      </c>
      <c r="AP49" s="84" t="e">
        <f t="shared" si="12"/>
        <v>#VALUE!</v>
      </c>
      <c r="AQ49" t="e">
        <f>AS48*'Scen Hypothetical vaccine model'!$J49*HelperFunctions!$R$28</f>
        <v>#VALUE!</v>
      </c>
      <c r="AR49" t="e">
        <f>AS48*'Scen Hypothetical vaccine model'!$K49</f>
        <v>#VALUE!</v>
      </c>
      <c r="AS49" s="84" t="e">
        <f t="shared" si="13"/>
        <v>#VALUE!</v>
      </c>
      <c r="AT49" t="e">
        <f>AV48*'Scen Hypothetical vaccine model'!$J49*HelperFunctions!$R$28</f>
        <v>#VALUE!</v>
      </c>
      <c r="AU49" t="e">
        <f>AV48*'Scen Hypothetical vaccine model'!$K49</f>
        <v>#VALUE!</v>
      </c>
      <c r="AV49" s="84" t="e">
        <f t="shared" si="14"/>
        <v>#VALUE!</v>
      </c>
      <c r="AW49" t="e">
        <f>AY48*'Scen Hypothetical vaccine model'!$J49*HelperFunctions!$R$28</f>
        <v>#VALUE!</v>
      </c>
      <c r="AX49" t="e">
        <f>AY48*'Scen Hypothetical vaccine model'!$K49</f>
        <v>#VALUE!</v>
      </c>
      <c r="AY49" s="84" t="e">
        <f t="shared" si="15"/>
        <v>#VALUE!</v>
      </c>
      <c r="AZ49" t="e">
        <f>BB48*'Scen Hypothetical vaccine model'!$J49*HelperFunctions!$R$28</f>
        <v>#VALUE!</v>
      </c>
      <c r="BA49" t="e">
        <f>BB48*'Scen Hypothetical vaccine model'!$K49</f>
        <v>#VALUE!</v>
      </c>
      <c r="BB49" s="84" t="e">
        <f t="shared" si="16"/>
        <v>#VALUE!</v>
      </c>
      <c r="BC49" t="e">
        <f>BE48*'Scen Hypothetical vaccine model'!$J49*HelperFunctions!$R$28</f>
        <v>#VALUE!</v>
      </c>
      <c r="BD49" t="e">
        <f>BE48*'Scen Hypothetical vaccine model'!$K49</f>
        <v>#VALUE!</v>
      </c>
      <c r="BE49" s="84" t="e">
        <f t="shared" si="17"/>
        <v>#VALUE!</v>
      </c>
      <c r="BF49" t="e">
        <f>BH48*'Scen Hypothetical vaccine model'!$J49*HelperFunctions!$R$28</f>
        <v>#VALUE!</v>
      </c>
      <c r="BG49" t="e">
        <f>BH48*'Scen Hypothetical vaccine model'!$K49</f>
        <v>#VALUE!</v>
      </c>
      <c r="BH49" s="84" t="e">
        <f t="shared" si="18"/>
        <v>#VALUE!</v>
      </c>
      <c r="BI49" t="e">
        <f>BK48*'Scen Hypothetical vaccine model'!$J49*HelperFunctions!$R$28</f>
        <v>#VALUE!</v>
      </c>
      <c r="BJ49" t="e">
        <f>BK48*'Scen Hypothetical vaccine model'!$K49</f>
        <v>#VALUE!</v>
      </c>
      <c r="BK49" s="84" t="e">
        <f t="shared" si="19"/>
        <v>#VALUE!</v>
      </c>
      <c r="BL49" t="e">
        <f>BN48*'Scen Hypothetical vaccine model'!$J49*HelperFunctions!$R$28</f>
        <v>#VALUE!</v>
      </c>
      <c r="BM49" t="e">
        <f>BN48*'Scen Hypothetical vaccine model'!$K49</f>
        <v>#VALUE!</v>
      </c>
      <c r="BN49" s="84" t="e">
        <f t="shared" si="20"/>
        <v>#VALUE!</v>
      </c>
      <c r="BO49" t="e">
        <f>BQ48*'Scen Hypothetical vaccine model'!$J49*HelperFunctions!$R$28</f>
        <v>#VALUE!</v>
      </c>
      <c r="BP49" t="e">
        <f>BQ48*'Scen Hypothetical vaccine model'!$K49</f>
        <v>#VALUE!</v>
      </c>
      <c r="BQ49" s="84" t="e">
        <f t="shared" si="21"/>
        <v>#VALUE!</v>
      </c>
      <c r="BR49" t="e">
        <f>BT48*'Scen Hypothetical vaccine model'!$J49*HelperFunctions!$R$28</f>
        <v>#VALUE!</v>
      </c>
      <c r="BS49" t="e">
        <f>BT48*'Scen Hypothetical vaccine model'!$K49</f>
        <v>#VALUE!</v>
      </c>
      <c r="BT49" s="84" t="e">
        <f t="shared" si="22"/>
        <v>#VALUE!</v>
      </c>
      <c r="BU49" t="e">
        <f>BW48*'Scen Hypothetical vaccine model'!$J49*HelperFunctions!$R$28</f>
        <v>#VALUE!</v>
      </c>
      <c r="BV49" t="e">
        <f>BW48*'Scen Hypothetical vaccine model'!$K49</f>
        <v>#VALUE!</v>
      </c>
      <c r="BW49" s="84" t="e">
        <f t="shared" si="23"/>
        <v>#VALUE!</v>
      </c>
      <c r="BX49" t="e">
        <f>BZ48*'Scen Hypothetical vaccine model'!$J49*HelperFunctions!$R$42</f>
        <v>#VALUE!</v>
      </c>
      <c r="BY49" t="e">
        <f>BZ48*'Scen Hypothetical vaccine model'!$K49</f>
        <v>#VALUE!</v>
      </c>
      <c r="BZ49" s="84" t="e">
        <f t="shared" si="24"/>
        <v>#VALUE!</v>
      </c>
      <c r="CA49" t="e">
        <f>CC48*'Scen Hypothetical vaccine model'!$J49*HelperFunctions!$R$42</f>
        <v>#VALUE!</v>
      </c>
      <c r="CB49" t="e">
        <f>CC48*'Scen Hypothetical vaccine model'!$K49</f>
        <v>#VALUE!</v>
      </c>
      <c r="CC49" s="84" t="e">
        <f t="shared" si="25"/>
        <v>#VALUE!</v>
      </c>
      <c r="CD49" t="e">
        <f>CF48*'Scen Hypothetical vaccine model'!$J49*HelperFunctions!$R$42</f>
        <v>#VALUE!</v>
      </c>
      <c r="CE49" t="e">
        <f>CF48*'Scen Hypothetical vaccine model'!$K49</f>
        <v>#VALUE!</v>
      </c>
      <c r="CF49" s="84" t="e">
        <f t="shared" si="26"/>
        <v>#VALUE!</v>
      </c>
      <c r="CG49" t="e">
        <f>CI48*'Scen Hypothetical vaccine model'!$J49*HelperFunctions!$R$42</f>
        <v>#VALUE!</v>
      </c>
      <c r="CH49" t="e">
        <f>CI48*'Scen Hypothetical vaccine model'!$K49</f>
        <v>#VALUE!</v>
      </c>
      <c r="CI49" s="84" t="e">
        <f t="shared" si="27"/>
        <v>#VALUE!</v>
      </c>
      <c r="CJ49" t="e">
        <f>CL48*'Scen Hypothetical vaccine model'!$J49*HelperFunctions!$R$42</f>
        <v>#VALUE!</v>
      </c>
      <c r="CK49" t="e">
        <f>CL48*'Scen Hypothetical vaccine model'!$K49</f>
        <v>#VALUE!</v>
      </c>
      <c r="CL49" s="84" t="e">
        <f t="shared" si="28"/>
        <v>#VALUE!</v>
      </c>
      <c r="CM49" t="e">
        <f>CO48*'Scen Hypothetical vaccine model'!$J49*HelperFunctions!$R$42</f>
        <v>#VALUE!</v>
      </c>
      <c r="CN49" t="e">
        <f>CO48*'Scen Hypothetical vaccine model'!$K49</f>
        <v>#VALUE!</v>
      </c>
      <c r="CO49" s="84" t="e">
        <f t="shared" si="29"/>
        <v>#VALUE!</v>
      </c>
      <c r="CP49" t="e">
        <f>CR48*'Scen Hypothetical vaccine model'!$J49*HelperFunctions!$R$42</f>
        <v>#VALUE!</v>
      </c>
      <c r="CQ49" t="e">
        <f>CR48*'Scen Hypothetical vaccine model'!$K49</f>
        <v>#VALUE!</v>
      </c>
      <c r="CR49" s="84" t="e">
        <f t="shared" si="30"/>
        <v>#VALUE!</v>
      </c>
      <c r="CS49" t="e">
        <f>CU48*'Scen Hypothetical vaccine model'!$J49*HelperFunctions!$R$42</f>
        <v>#VALUE!</v>
      </c>
      <c r="CT49" t="e">
        <f>CU48*'Scen Hypothetical vaccine model'!$K49</f>
        <v>#VALUE!</v>
      </c>
      <c r="CU49" s="84" t="e">
        <f t="shared" si="31"/>
        <v>#VALUE!</v>
      </c>
      <c r="CV49" t="e">
        <f>CX48*'Scen Hypothetical vaccine model'!$J49*HelperFunctions!$R$42</f>
        <v>#VALUE!</v>
      </c>
      <c r="CW49" t="e">
        <f>CX48*'Scen Hypothetical vaccine model'!$K49</f>
        <v>#VALUE!</v>
      </c>
      <c r="CX49" s="84" t="e">
        <f t="shared" si="32"/>
        <v>#VALUE!</v>
      </c>
      <c r="CY49" t="e">
        <f>DA48*'Scen Hypothetical vaccine model'!$J49*HelperFunctions!$R$42</f>
        <v>#VALUE!</v>
      </c>
      <c r="CZ49" t="e">
        <f>DA48*'Scen Hypothetical vaccine model'!$K49</f>
        <v>#VALUE!</v>
      </c>
      <c r="DA49" s="84" t="e">
        <f t="shared" si="33"/>
        <v>#VALUE!</v>
      </c>
      <c r="DB49" t="e">
        <f>DD48*'Scen Hypothetical vaccine model'!$J49*HelperFunctions!$R41</f>
        <v>#VALUE!</v>
      </c>
      <c r="DC49" t="e">
        <f>DD48*'Scen Hypothetical vaccine model'!$K49</f>
        <v>#VALUE!</v>
      </c>
      <c r="DD49" s="84" t="e">
        <f t="shared" si="34"/>
        <v>#VALUE!</v>
      </c>
      <c r="DE49" t="e">
        <f>DG48*'Scen Hypothetical vaccine model'!$J49*HelperFunctions!$R40</f>
        <v>#VALUE!</v>
      </c>
      <c r="DF49" t="e">
        <f>DG48*'Scen Hypothetical vaccine model'!$K49</f>
        <v>#VALUE!</v>
      </c>
      <c r="DG49" s="84" t="e">
        <f t="shared" si="35"/>
        <v>#VALUE!</v>
      </c>
      <c r="DH49" t="e">
        <f>DJ48*'Scen Hypothetical vaccine model'!$J49*HelperFunctions!$R53</f>
        <v>#VALUE!</v>
      </c>
      <c r="DI49" t="e">
        <f>DJ48*'Scen Hypothetical vaccine model'!$K49</f>
        <v>#VALUE!</v>
      </c>
      <c r="DJ49" s="84" t="e">
        <f t="shared" si="36"/>
        <v>#VALUE!</v>
      </c>
      <c r="DK49" t="e">
        <f>DM48*'Scen Hypothetical vaccine model'!$J49*HelperFunctions!$R52</f>
        <v>#VALUE!</v>
      </c>
      <c r="DL49" t="e">
        <f>DM48*'Scen Hypothetical vaccine model'!$K49</f>
        <v>#VALUE!</v>
      </c>
      <c r="DM49" s="84" t="e">
        <f t="shared" si="37"/>
        <v>#VALUE!</v>
      </c>
      <c r="DN49" t="e">
        <f>DP48*'Scen Hypothetical vaccine model'!$J49*HelperFunctions!$R51</f>
        <v>#VALUE!</v>
      </c>
      <c r="DO49" t="e">
        <f>DP48*'Scen Hypothetical vaccine model'!$K49</f>
        <v>#VALUE!</v>
      </c>
      <c r="DP49" s="84" t="e">
        <f t="shared" si="38"/>
        <v>#VALUE!</v>
      </c>
      <c r="DQ49" t="e">
        <f>DS48*'Scen Hypothetical vaccine model'!$J49*HelperFunctions!$R50</f>
        <v>#VALUE!</v>
      </c>
      <c r="DR49" t="e">
        <f>DS48*'Scen Hypothetical vaccine model'!$K49</f>
        <v>#VALUE!</v>
      </c>
      <c r="DS49" s="84" t="e">
        <f t="shared" si="39"/>
        <v>#VALUE!</v>
      </c>
      <c r="DT49" t="e">
        <f>DV48*'Scen Hypothetical vaccine model'!$J49*HelperFunctions!$R49</f>
        <v>#VALUE!</v>
      </c>
      <c r="DU49" t="e">
        <f>DV48*'Scen Hypothetical vaccine model'!$K49</f>
        <v>#VALUE!</v>
      </c>
      <c r="DV49" s="84" t="e">
        <f t="shared" si="40"/>
        <v>#VALUE!</v>
      </c>
      <c r="DW49" t="e">
        <f>DY48*'Scen Hypothetical vaccine model'!$J49*HelperFunctions!$R48</f>
        <v>#VALUE!</v>
      </c>
      <c r="DX49" t="e">
        <f>DY48*'Scen Hypothetical vaccine model'!$K49</f>
        <v>#VALUE!</v>
      </c>
      <c r="DY49" s="84" t="e">
        <f t="shared" si="41"/>
        <v>#VALUE!</v>
      </c>
      <c r="DZ49" t="e">
        <f>EB48*'Scen Hypothetical vaccine model'!$J49*HelperFunctions!$R47</f>
        <v>#VALUE!</v>
      </c>
      <c r="EA49" t="e">
        <f>EB48*'Scen Hypothetical vaccine model'!$K49</f>
        <v>#VALUE!</v>
      </c>
      <c r="EB49" s="84" t="e">
        <f t="shared" si="42"/>
        <v>#VALUE!</v>
      </c>
      <c r="EC49" t="e">
        <f>EE48*'Scen Hypothetical vaccine model'!$J49*HelperFunctions!$R46</f>
        <v>#VALUE!</v>
      </c>
      <c r="ED49" t="e">
        <f>EE48*'Scen Hypothetical vaccine model'!$K49</f>
        <v>#VALUE!</v>
      </c>
      <c r="EE49" s="84" t="e">
        <f t="shared" ref="EE49:EE63" si="43">EE48-EC49-ED49</f>
        <v>#VALUE!</v>
      </c>
      <c r="EF49" t="e">
        <f>EH48*'Scen Hypothetical vaccine model'!$J49*HelperFunctions!$R45</f>
        <v>#VALUE!</v>
      </c>
      <c r="EG49" t="e">
        <f>EH48*'Scen Hypothetical vaccine model'!$K49</f>
        <v>#VALUE!</v>
      </c>
      <c r="EH49" s="84" t="e">
        <f>EH48-EF49-EG49</f>
        <v>#VALUE!</v>
      </c>
      <c r="EI49" s="93"/>
      <c r="EJ49" s="93"/>
      <c r="EK49" s="84" t="e">
        <f>Export!$N47*'Scen EffectivelyVax'!$A48*(1-HelperFunctions!$G$45)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35">
      <c r="B50">
        <v>3</v>
      </c>
      <c r="C50" t="str">
        <f>Inputs!I70</f>
        <v/>
      </c>
      <c r="D50" t="e">
        <f>F49*'Scen Hypothetical vaccine model'!J50*HelperFunctions!R$14</f>
        <v>#VALUE!</v>
      </c>
      <c r="E50" t="e">
        <f>F49*'Scen Hypothetical vaccine model'!K50</f>
        <v>#VALUE!</v>
      </c>
      <c r="F50" s="84" t="e">
        <f t="shared" si="0"/>
        <v>#VALUE!</v>
      </c>
      <c r="G50" t="e">
        <f>I49*'Scen Hypothetical vaccine model'!$J50*HelperFunctions!$R$14</f>
        <v>#VALUE!</v>
      </c>
      <c r="H50" t="e">
        <f>I49*'Scen Hypothetical vaccine model'!$K50</f>
        <v>#VALUE!</v>
      </c>
      <c r="I50" s="84" t="e">
        <f t="shared" si="1"/>
        <v>#VALUE!</v>
      </c>
      <c r="J50" t="e">
        <f>L49*'Scen Hypothetical vaccine model'!$J50*HelperFunctions!$R$14</f>
        <v>#VALUE!</v>
      </c>
      <c r="K50" t="e">
        <f>L49*'Scen Hypothetical vaccine model'!$K50</f>
        <v>#VALUE!</v>
      </c>
      <c r="L50" s="84" t="e">
        <f t="shared" si="2"/>
        <v>#VALUE!</v>
      </c>
      <c r="M50" t="e">
        <f>O49*'Scen Hypothetical vaccine model'!$J50*HelperFunctions!$R$14</f>
        <v>#VALUE!</v>
      </c>
      <c r="N50" t="e">
        <f>O49*'Scen Hypothetical vaccine model'!$K50</f>
        <v>#VALUE!</v>
      </c>
      <c r="O50" s="84" t="e">
        <f t="shared" si="3"/>
        <v>#VALUE!</v>
      </c>
      <c r="P50" t="e">
        <f>R49*'Scen Hypothetical vaccine model'!$J50*HelperFunctions!$R$14</f>
        <v>#VALUE!</v>
      </c>
      <c r="Q50" t="e">
        <f>R49*'Scen Hypothetical vaccine model'!$K50</f>
        <v>#VALUE!</v>
      </c>
      <c r="R50" s="84" t="e">
        <f t="shared" si="4"/>
        <v>#VALUE!</v>
      </c>
      <c r="S50" t="e">
        <f>U49*'Scen Hypothetical vaccine model'!$J50*HelperFunctions!$R$14</f>
        <v>#VALUE!</v>
      </c>
      <c r="T50" t="e">
        <f>U49*'Scen Hypothetical vaccine model'!$K50</f>
        <v>#VALUE!</v>
      </c>
      <c r="U50" s="84" t="e">
        <f t="shared" si="5"/>
        <v>#VALUE!</v>
      </c>
      <c r="V50" t="e">
        <f>X49*'Scen Hypothetical vaccine model'!$J50*HelperFunctions!$R$14</f>
        <v>#VALUE!</v>
      </c>
      <c r="W50" t="e">
        <f>X49*'Scen Hypothetical vaccine model'!$K50</f>
        <v>#VALUE!</v>
      </c>
      <c r="X50" s="84" t="e">
        <f t="shared" si="6"/>
        <v>#VALUE!</v>
      </c>
      <c r="Y50" t="e">
        <f>AA49*'Scen Hypothetical vaccine model'!$J50*HelperFunctions!$R$14</f>
        <v>#VALUE!</v>
      </c>
      <c r="Z50" t="e">
        <f>AA49*'Scen Hypothetical vaccine model'!$K50</f>
        <v>#VALUE!</v>
      </c>
      <c r="AA50" s="84" t="e">
        <f t="shared" si="7"/>
        <v>#VALUE!</v>
      </c>
      <c r="AB50" t="e">
        <f>AD49*'Scen Hypothetical vaccine model'!$J50*HelperFunctions!$R$14</f>
        <v>#VALUE!</v>
      </c>
      <c r="AC50" t="e">
        <f>AD49*'Scen Hypothetical vaccine model'!$K50</f>
        <v>#VALUE!</v>
      </c>
      <c r="AD50" s="84" t="e">
        <f t="shared" si="8"/>
        <v>#VALUE!</v>
      </c>
      <c r="AE50" t="e">
        <f>AG49*'Scen Hypothetical vaccine model'!$J50*HelperFunctions!$R$14</f>
        <v>#VALUE!</v>
      </c>
      <c r="AF50" t="e">
        <f>AG49*'Scen Hypothetical vaccine model'!$K50</f>
        <v>#VALUE!</v>
      </c>
      <c r="AG50" s="84" t="e">
        <f t="shared" si="9"/>
        <v>#VALUE!</v>
      </c>
      <c r="AH50" t="e">
        <f>AJ49*'Scen Hypothetical vaccine model'!$J50*HelperFunctions!$R$14</f>
        <v>#VALUE!</v>
      </c>
      <c r="AI50" t="e">
        <f>AJ49*'Scen Hypothetical vaccine model'!$K50</f>
        <v>#VALUE!</v>
      </c>
      <c r="AJ50" s="84" t="e">
        <f t="shared" si="10"/>
        <v>#VALUE!</v>
      </c>
      <c r="AK50" t="e">
        <f>AM49*'Scen Hypothetical vaccine model'!$J50*HelperFunctions!$R$14</f>
        <v>#VALUE!</v>
      </c>
      <c r="AL50" t="e">
        <f>AM49*'Scen Hypothetical vaccine model'!$K50</f>
        <v>#VALUE!</v>
      </c>
      <c r="AM50" s="84" t="e">
        <f t="shared" si="11"/>
        <v>#VALUE!</v>
      </c>
      <c r="AN50" t="e">
        <f>AP49*'Scen Hypothetical vaccine model'!$J50*HelperFunctions!$R$28</f>
        <v>#VALUE!</v>
      </c>
      <c r="AO50" t="e">
        <f>AP49*'Scen Hypothetical vaccine model'!$K50</f>
        <v>#VALUE!</v>
      </c>
      <c r="AP50" s="84" t="e">
        <f t="shared" si="12"/>
        <v>#VALUE!</v>
      </c>
      <c r="AQ50" t="e">
        <f>AS49*'Scen Hypothetical vaccine model'!$J50*HelperFunctions!$R$28</f>
        <v>#VALUE!</v>
      </c>
      <c r="AR50" t="e">
        <f>AS49*'Scen Hypothetical vaccine model'!$K50</f>
        <v>#VALUE!</v>
      </c>
      <c r="AS50" s="84" t="e">
        <f t="shared" si="13"/>
        <v>#VALUE!</v>
      </c>
      <c r="AT50" t="e">
        <f>AV49*'Scen Hypothetical vaccine model'!$J50*HelperFunctions!$R$28</f>
        <v>#VALUE!</v>
      </c>
      <c r="AU50" t="e">
        <f>AV49*'Scen Hypothetical vaccine model'!$K50</f>
        <v>#VALUE!</v>
      </c>
      <c r="AV50" s="84" t="e">
        <f t="shared" si="14"/>
        <v>#VALUE!</v>
      </c>
      <c r="AW50" t="e">
        <f>AY49*'Scen Hypothetical vaccine model'!$J50*HelperFunctions!$R$28</f>
        <v>#VALUE!</v>
      </c>
      <c r="AX50" t="e">
        <f>AY49*'Scen Hypothetical vaccine model'!$K50</f>
        <v>#VALUE!</v>
      </c>
      <c r="AY50" s="84" t="e">
        <f t="shared" si="15"/>
        <v>#VALUE!</v>
      </c>
      <c r="AZ50" t="e">
        <f>BB49*'Scen Hypothetical vaccine model'!$J50*HelperFunctions!$R$28</f>
        <v>#VALUE!</v>
      </c>
      <c r="BA50" t="e">
        <f>BB49*'Scen Hypothetical vaccine model'!$K50</f>
        <v>#VALUE!</v>
      </c>
      <c r="BB50" s="84" t="e">
        <f t="shared" si="16"/>
        <v>#VALUE!</v>
      </c>
      <c r="BC50" t="e">
        <f>BE49*'Scen Hypothetical vaccine model'!$J50*HelperFunctions!$R$28</f>
        <v>#VALUE!</v>
      </c>
      <c r="BD50" t="e">
        <f>BE49*'Scen Hypothetical vaccine model'!$K50</f>
        <v>#VALUE!</v>
      </c>
      <c r="BE50" s="84" t="e">
        <f t="shared" si="17"/>
        <v>#VALUE!</v>
      </c>
      <c r="BF50" t="e">
        <f>BH49*'Scen Hypothetical vaccine model'!$J50*HelperFunctions!$R$28</f>
        <v>#VALUE!</v>
      </c>
      <c r="BG50" t="e">
        <f>BH49*'Scen Hypothetical vaccine model'!$K50</f>
        <v>#VALUE!</v>
      </c>
      <c r="BH50" s="84" t="e">
        <f t="shared" si="18"/>
        <v>#VALUE!</v>
      </c>
      <c r="BI50" t="e">
        <f>BK49*'Scen Hypothetical vaccine model'!$J50*HelperFunctions!$R$28</f>
        <v>#VALUE!</v>
      </c>
      <c r="BJ50" t="e">
        <f>BK49*'Scen Hypothetical vaccine model'!$K50</f>
        <v>#VALUE!</v>
      </c>
      <c r="BK50" s="84" t="e">
        <f t="shared" si="19"/>
        <v>#VALUE!</v>
      </c>
      <c r="BL50" t="e">
        <f>BN49*'Scen Hypothetical vaccine model'!$J50*HelperFunctions!$R$28</f>
        <v>#VALUE!</v>
      </c>
      <c r="BM50" t="e">
        <f>BN49*'Scen Hypothetical vaccine model'!$K50</f>
        <v>#VALUE!</v>
      </c>
      <c r="BN50" s="84" t="e">
        <f t="shared" si="20"/>
        <v>#VALUE!</v>
      </c>
      <c r="BO50" t="e">
        <f>BQ49*'Scen Hypothetical vaccine model'!$J50*HelperFunctions!$R$28</f>
        <v>#VALUE!</v>
      </c>
      <c r="BP50" t="e">
        <f>BQ49*'Scen Hypothetical vaccine model'!$K50</f>
        <v>#VALUE!</v>
      </c>
      <c r="BQ50" s="84" t="e">
        <f t="shared" si="21"/>
        <v>#VALUE!</v>
      </c>
      <c r="BR50" t="e">
        <f>BT49*'Scen Hypothetical vaccine model'!$J50*HelperFunctions!$R$28</f>
        <v>#VALUE!</v>
      </c>
      <c r="BS50" t="e">
        <f>BT49*'Scen Hypothetical vaccine model'!$K50</f>
        <v>#VALUE!</v>
      </c>
      <c r="BT50" s="84" t="e">
        <f t="shared" si="22"/>
        <v>#VALUE!</v>
      </c>
      <c r="BU50" t="e">
        <f>BW49*'Scen Hypothetical vaccine model'!$J50*HelperFunctions!$R$28</f>
        <v>#VALUE!</v>
      </c>
      <c r="BV50" t="e">
        <f>BW49*'Scen Hypothetical vaccine model'!$K50</f>
        <v>#VALUE!</v>
      </c>
      <c r="BW50" s="84" t="e">
        <f t="shared" si="23"/>
        <v>#VALUE!</v>
      </c>
      <c r="BX50" t="e">
        <f>BZ49*'Scen Hypothetical vaccine model'!$J50*HelperFunctions!$R$42</f>
        <v>#VALUE!</v>
      </c>
      <c r="BY50" t="e">
        <f>BZ49*'Scen Hypothetical vaccine model'!$K50</f>
        <v>#VALUE!</v>
      </c>
      <c r="BZ50" s="84" t="e">
        <f t="shared" si="24"/>
        <v>#VALUE!</v>
      </c>
      <c r="CA50" t="e">
        <f>CC49*'Scen Hypothetical vaccine model'!$J50*HelperFunctions!$R$42</f>
        <v>#VALUE!</v>
      </c>
      <c r="CB50" t="e">
        <f>CC49*'Scen Hypothetical vaccine model'!$K50</f>
        <v>#VALUE!</v>
      </c>
      <c r="CC50" s="84" t="e">
        <f t="shared" si="25"/>
        <v>#VALUE!</v>
      </c>
      <c r="CD50" t="e">
        <f>CF49*'Scen Hypothetical vaccine model'!$J50*HelperFunctions!$R$42</f>
        <v>#VALUE!</v>
      </c>
      <c r="CE50" t="e">
        <f>CF49*'Scen Hypothetical vaccine model'!$K50</f>
        <v>#VALUE!</v>
      </c>
      <c r="CF50" s="84" t="e">
        <f t="shared" si="26"/>
        <v>#VALUE!</v>
      </c>
      <c r="CG50" t="e">
        <f>CI49*'Scen Hypothetical vaccine model'!$J50*HelperFunctions!$R$42</f>
        <v>#VALUE!</v>
      </c>
      <c r="CH50" t="e">
        <f>CI49*'Scen Hypothetical vaccine model'!$K50</f>
        <v>#VALUE!</v>
      </c>
      <c r="CI50" s="84" t="e">
        <f t="shared" si="27"/>
        <v>#VALUE!</v>
      </c>
      <c r="CJ50" t="e">
        <f>CL49*'Scen Hypothetical vaccine model'!$J50*HelperFunctions!$R$42</f>
        <v>#VALUE!</v>
      </c>
      <c r="CK50" t="e">
        <f>CL49*'Scen Hypothetical vaccine model'!$K50</f>
        <v>#VALUE!</v>
      </c>
      <c r="CL50" s="84" t="e">
        <f t="shared" si="28"/>
        <v>#VALUE!</v>
      </c>
      <c r="CM50" t="e">
        <f>CO49*'Scen Hypothetical vaccine model'!$J50*HelperFunctions!$R$42</f>
        <v>#VALUE!</v>
      </c>
      <c r="CN50" t="e">
        <f>CO49*'Scen Hypothetical vaccine model'!$K50</f>
        <v>#VALUE!</v>
      </c>
      <c r="CO50" s="84" t="e">
        <f t="shared" si="29"/>
        <v>#VALUE!</v>
      </c>
      <c r="CP50" t="e">
        <f>CR49*'Scen Hypothetical vaccine model'!$J50*HelperFunctions!$R$42</f>
        <v>#VALUE!</v>
      </c>
      <c r="CQ50" t="e">
        <f>CR49*'Scen Hypothetical vaccine model'!$K50</f>
        <v>#VALUE!</v>
      </c>
      <c r="CR50" s="84" t="e">
        <f t="shared" si="30"/>
        <v>#VALUE!</v>
      </c>
      <c r="CS50" t="e">
        <f>CU49*'Scen Hypothetical vaccine model'!$J50*HelperFunctions!$R$42</f>
        <v>#VALUE!</v>
      </c>
      <c r="CT50" t="e">
        <f>CU49*'Scen Hypothetical vaccine model'!$K50</f>
        <v>#VALUE!</v>
      </c>
      <c r="CU50" s="84" t="e">
        <f t="shared" si="31"/>
        <v>#VALUE!</v>
      </c>
      <c r="CV50" t="e">
        <f>CX49*'Scen Hypothetical vaccine model'!$J50*HelperFunctions!$R$42</f>
        <v>#VALUE!</v>
      </c>
      <c r="CW50" t="e">
        <f>CX49*'Scen Hypothetical vaccine model'!$K50</f>
        <v>#VALUE!</v>
      </c>
      <c r="CX50" s="84" t="e">
        <f t="shared" si="32"/>
        <v>#VALUE!</v>
      </c>
      <c r="CY50" t="e">
        <f>DA49*'Scen Hypothetical vaccine model'!$J50*HelperFunctions!$R$42</f>
        <v>#VALUE!</v>
      </c>
      <c r="CZ50" t="e">
        <f>DA49*'Scen Hypothetical vaccine model'!$K50</f>
        <v>#VALUE!</v>
      </c>
      <c r="DA50" s="84" t="e">
        <f t="shared" si="33"/>
        <v>#VALUE!</v>
      </c>
      <c r="DB50" t="e">
        <f>DD49*'Scen Hypothetical vaccine model'!$J50*HelperFunctions!$R$42</f>
        <v>#VALUE!</v>
      </c>
      <c r="DC50" t="e">
        <f>DD49*'Scen Hypothetical vaccine model'!$K50</f>
        <v>#VALUE!</v>
      </c>
      <c r="DD50" s="84" t="e">
        <f t="shared" si="34"/>
        <v>#VALUE!</v>
      </c>
      <c r="DE50" t="e">
        <f>DG49*'Scen Hypothetical vaccine model'!$J50*HelperFunctions!$R41</f>
        <v>#VALUE!</v>
      </c>
      <c r="DF50" t="e">
        <f>DG49*'Scen Hypothetical vaccine model'!$K50</f>
        <v>#VALUE!</v>
      </c>
      <c r="DG50" s="84" t="e">
        <f t="shared" si="35"/>
        <v>#VALUE!</v>
      </c>
      <c r="DH50" t="e">
        <f>DJ49*'Scen Hypothetical vaccine model'!$J50*HelperFunctions!$R54</f>
        <v>#VALUE!</v>
      </c>
      <c r="DI50" t="e">
        <f>DJ49*'Scen Hypothetical vaccine model'!$K50</f>
        <v>#VALUE!</v>
      </c>
      <c r="DJ50" s="84" t="e">
        <f t="shared" si="36"/>
        <v>#VALUE!</v>
      </c>
      <c r="DK50" t="e">
        <f>DM49*'Scen Hypothetical vaccine model'!$J50*HelperFunctions!$R53</f>
        <v>#VALUE!</v>
      </c>
      <c r="DL50" t="e">
        <f>DM49*'Scen Hypothetical vaccine model'!$K50</f>
        <v>#VALUE!</v>
      </c>
      <c r="DM50" s="84" t="e">
        <f t="shared" si="37"/>
        <v>#VALUE!</v>
      </c>
      <c r="DN50" t="e">
        <f>DP49*'Scen Hypothetical vaccine model'!$J50*HelperFunctions!$R52</f>
        <v>#VALUE!</v>
      </c>
      <c r="DO50" t="e">
        <f>DP49*'Scen Hypothetical vaccine model'!$K50</f>
        <v>#VALUE!</v>
      </c>
      <c r="DP50" s="84" t="e">
        <f t="shared" si="38"/>
        <v>#VALUE!</v>
      </c>
      <c r="DQ50" t="e">
        <f>DS49*'Scen Hypothetical vaccine model'!$J50*HelperFunctions!$R51</f>
        <v>#VALUE!</v>
      </c>
      <c r="DR50" t="e">
        <f>DS49*'Scen Hypothetical vaccine model'!$K50</f>
        <v>#VALUE!</v>
      </c>
      <c r="DS50" s="84" t="e">
        <f t="shared" si="39"/>
        <v>#VALUE!</v>
      </c>
      <c r="DT50" t="e">
        <f>DV49*'Scen Hypothetical vaccine model'!$J50*HelperFunctions!$R50</f>
        <v>#VALUE!</v>
      </c>
      <c r="DU50" t="e">
        <f>DV49*'Scen Hypothetical vaccine model'!$K50</f>
        <v>#VALUE!</v>
      </c>
      <c r="DV50" s="84" t="e">
        <f t="shared" si="40"/>
        <v>#VALUE!</v>
      </c>
      <c r="DW50" t="e">
        <f>DY49*'Scen Hypothetical vaccine model'!$J50*HelperFunctions!$R49</f>
        <v>#VALUE!</v>
      </c>
      <c r="DX50" t="e">
        <f>DY49*'Scen Hypothetical vaccine model'!$K50</f>
        <v>#VALUE!</v>
      </c>
      <c r="DY50" s="84" t="e">
        <f t="shared" si="41"/>
        <v>#VALUE!</v>
      </c>
      <c r="DZ50" t="e">
        <f>EB49*'Scen Hypothetical vaccine model'!$J50*HelperFunctions!$R48</f>
        <v>#VALUE!</v>
      </c>
      <c r="EA50" t="e">
        <f>EB49*'Scen Hypothetical vaccine model'!$K50</f>
        <v>#VALUE!</v>
      </c>
      <c r="EB50" s="84" t="e">
        <f t="shared" si="42"/>
        <v>#VALUE!</v>
      </c>
      <c r="EC50" t="e">
        <f>EE49*'Scen Hypothetical vaccine model'!$J50*HelperFunctions!$R47</f>
        <v>#VALUE!</v>
      </c>
      <c r="ED50" t="e">
        <f>EE49*'Scen Hypothetical vaccine model'!$K50</f>
        <v>#VALUE!</v>
      </c>
      <c r="EE50" s="84" t="e">
        <f t="shared" si="43"/>
        <v>#VALUE!</v>
      </c>
      <c r="EF50" t="e">
        <f>EH49*'Scen Hypothetical vaccine model'!$J50*HelperFunctions!$R46</f>
        <v>#VALUE!</v>
      </c>
      <c r="EG50" t="e">
        <f>EH49*'Scen Hypothetical vaccine model'!$K50</f>
        <v>#VALUE!</v>
      </c>
      <c r="EH50" s="84" t="e">
        <f t="shared" ref="EH50:EH63" si="44">EH49-EF50-EG50</f>
        <v>#VALUE!</v>
      </c>
      <c r="EI50" t="e">
        <f>EK49*'Scen Hypothetical vaccine model'!$J50*HelperFunctions!$R45</f>
        <v>#VALUE!</v>
      </c>
      <c r="EJ50" t="e">
        <f>EK49*'Scen Hypothetical vaccine model'!$K50</f>
        <v>#VALUE!</v>
      </c>
      <c r="EK50" s="84" t="e">
        <f>EK49-EI50-EJ50</f>
        <v>#VALUE!</v>
      </c>
      <c r="EL50" s="93"/>
      <c r="EM50" s="93"/>
      <c r="EN50" s="84" t="e">
        <f>Export!$N48*'Scen EffectivelyVax'!$A49*(1-HelperFunctions!$G$45)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35">
      <c r="B51">
        <v>3</v>
      </c>
      <c r="C51" t="str">
        <f>Inputs!I71</f>
        <v/>
      </c>
      <c r="D51" t="e">
        <f>F50*'Scen Hypothetical vaccine model'!J51*HelperFunctions!R$14</f>
        <v>#VALUE!</v>
      </c>
      <c r="E51" t="e">
        <f>F50*'Scen Hypothetical vaccine model'!K51</f>
        <v>#VALUE!</v>
      </c>
      <c r="F51" s="84" t="e">
        <f t="shared" si="0"/>
        <v>#VALUE!</v>
      </c>
      <c r="G51" t="e">
        <f>I50*'Scen Hypothetical vaccine model'!$J51*HelperFunctions!$R$14</f>
        <v>#VALUE!</v>
      </c>
      <c r="H51" t="e">
        <f>I50*'Scen Hypothetical vaccine model'!$K51</f>
        <v>#VALUE!</v>
      </c>
      <c r="I51" s="84" t="e">
        <f t="shared" si="1"/>
        <v>#VALUE!</v>
      </c>
      <c r="J51" t="e">
        <f>L50*'Scen Hypothetical vaccine model'!$J51*HelperFunctions!$R$14</f>
        <v>#VALUE!</v>
      </c>
      <c r="K51" t="e">
        <f>L50*'Scen Hypothetical vaccine model'!$K51</f>
        <v>#VALUE!</v>
      </c>
      <c r="L51" s="84" t="e">
        <f t="shared" si="2"/>
        <v>#VALUE!</v>
      </c>
      <c r="M51" t="e">
        <f>O50*'Scen Hypothetical vaccine model'!$J51*HelperFunctions!$R$14</f>
        <v>#VALUE!</v>
      </c>
      <c r="N51" t="e">
        <f>O50*'Scen Hypothetical vaccine model'!$K51</f>
        <v>#VALUE!</v>
      </c>
      <c r="O51" s="84" t="e">
        <f t="shared" si="3"/>
        <v>#VALUE!</v>
      </c>
      <c r="P51" t="e">
        <f>R50*'Scen Hypothetical vaccine model'!$J51*HelperFunctions!$R$14</f>
        <v>#VALUE!</v>
      </c>
      <c r="Q51" t="e">
        <f>R50*'Scen Hypothetical vaccine model'!$K51</f>
        <v>#VALUE!</v>
      </c>
      <c r="R51" s="84" t="e">
        <f t="shared" si="4"/>
        <v>#VALUE!</v>
      </c>
      <c r="S51" t="e">
        <f>U50*'Scen Hypothetical vaccine model'!$J51*HelperFunctions!$R$14</f>
        <v>#VALUE!</v>
      </c>
      <c r="T51" t="e">
        <f>U50*'Scen Hypothetical vaccine model'!$K51</f>
        <v>#VALUE!</v>
      </c>
      <c r="U51" s="84" t="e">
        <f t="shared" si="5"/>
        <v>#VALUE!</v>
      </c>
      <c r="V51" t="e">
        <f>X50*'Scen Hypothetical vaccine model'!$J51*HelperFunctions!$R$14</f>
        <v>#VALUE!</v>
      </c>
      <c r="W51" t="e">
        <f>X50*'Scen Hypothetical vaccine model'!$K51</f>
        <v>#VALUE!</v>
      </c>
      <c r="X51" s="84" t="e">
        <f t="shared" si="6"/>
        <v>#VALUE!</v>
      </c>
      <c r="Y51" t="e">
        <f>AA50*'Scen Hypothetical vaccine model'!$J51*HelperFunctions!$R$14</f>
        <v>#VALUE!</v>
      </c>
      <c r="Z51" t="e">
        <f>AA50*'Scen Hypothetical vaccine model'!$K51</f>
        <v>#VALUE!</v>
      </c>
      <c r="AA51" s="84" t="e">
        <f t="shared" si="7"/>
        <v>#VALUE!</v>
      </c>
      <c r="AB51" t="e">
        <f>AD50*'Scen Hypothetical vaccine model'!$J51*HelperFunctions!$R$14</f>
        <v>#VALUE!</v>
      </c>
      <c r="AC51" t="e">
        <f>AD50*'Scen Hypothetical vaccine model'!$K51</f>
        <v>#VALUE!</v>
      </c>
      <c r="AD51" s="84" t="e">
        <f t="shared" si="8"/>
        <v>#VALUE!</v>
      </c>
      <c r="AE51" t="e">
        <f>AG50*'Scen Hypothetical vaccine model'!$J51*HelperFunctions!$R$14</f>
        <v>#VALUE!</v>
      </c>
      <c r="AF51" t="e">
        <f>AG50*'Scen Hypothetical vaccine model'!$K51</f>
        <v>#VALUE!</v>
      </c>
      <c r="AG51" s="84" t="e">
        <f t="shared" si="9"/>
        <v>#VALUE!</v>
      </c>
      <c r="AH51" t="e">
        <f>AJ50*'Scen Hypothetical vaccine model'!$J51*HelperFunctions!$R$14</f>
        <v>#VALUE!</v>
      </c>
      <c r="AI51" t="e">
        <f>AJ50*'Scen Hypothetical vaccine model'!$K51</f>
        <v>#VALUE!</v>
      </c>
      <c r="AJ51" s="84" t="e">
        <f t="shared" si="10"/>
        <v>#VALUE!</v>
      </c>
      <c r="AK51" t="e">
        <f>AM50*'Scen Hypothetical vaccine model'!$J51*HelperFunctions!$R$14</f>
        <v>#VALUE!</v>
      </c>
      <c r="AL51" t="e">
        <f>AM50*'Scen Hypothetical vaccine model'!$K51</f>
        <v>#VALUE!</v>
      </c>
      <c r="AM51" s="84" t="e">
        <f t="shared" si="11"/>
        <v>#VALUE!</v>
      </c>
      <c r="AN51" t="e">
        <f>AP50*'Scen Hypothetical vaccine model'!$J51*HelperFunctions!$R$28</f>
        <v>#VALUE!</v>
      </c>
      <c r="AO51" t="e">
        <f>AP50*'Scen Hypothetical vaccine model'!$K51</f>
        <v>#VALUE!</v>
      </c>
      <c r="AP51" s="84" t="e">
        <f t="shared" si="12"/>
        <v>#VALUE!</v>
      </c>
      <c r="AQ51" t="e">
        <f>AS50*'Scen Hypothetical vaccine model'!$J51*HelperFunctions!$R$28</f>
        <v>#VALUE!</v>
      </c>
      <c r="AR51" t="e">
        <f>AS50*'Scen Hypothetical vaccine model'!$K51</f>
        <v>#VALUE!</v>
      </c>
      <c r="AS51" s="84" t="e">
        <f t="shared" si="13"/>
        <v>#VALUE!</v>
      </c>
      <c r="AT51" t="e">
        <f>AV50*'Scen Hypothetical vaccine model'!$J51*HelperFunctions!$R$28</f>
        <v>#VALUE!</v>
      </c>
      <c r="AU51" t="e">
        <f>AV50*'Scen Hypothetical vaccine model'!$K51</f>
        <v>#VALUE!</v>
      </c>
      <c r="AV51" s="84" t="e">
        <f t="shared" si="14"/>
        <v>#VALUE!</v>
      </c>
      <c r="AW51" t="e">
        <f>AY50*'Scen Hypothetical vaccine model'!$J51*HelperFunctions!$R$28</f>
        <v>#VALUE!</v>
      </c>
      <c r="AX51" t="e">
        <f>AY50*'Scen Hypothetical vaccine model'!$K51</f>
        <v>#VALUE!</v>
      </c>
      <c r="AY51" s="84" t="e">
        <f t="shared" si="15"/>
        <v>#VALUE!</v>
      </c>
      <c r="AZ51" t="e">
        <f>BB50*'Scen Hypothetical vaccine model'!$J51*HelperFunctions!$R$28</f>
        <v>#VALUE!</v>
      </c>
      <c r="BA51" t="e">
        <f>BB50*'Scen Hypothetical vaccine model'!$K51</f>
        <v>#VALUE!</v>
      </c>
      <c r="BB51" s="84" t="e">
        <f t="shared" si="16"/>
        <v>#VALUE!</v>
      </c>
      <c r="BC51" t="e">
        <f>BE50*'Scen Hypothetical vaccine model'!$J51*HelperFunctions!$R$28</f>
        <v>#VALUE!</v>
      </c>
      <c r="BD51" t="e">
        <f>BE50*'Scen Hypothetical vaccine model'!$K51</f>
        <v>#VALUE!</v>
      </c>
      <c r="BE51" s="84" t="e">
        <f t="shared" si="17"/>
        <v>#VALUE!</v>
      </c>
      <c r="BF51" t="e">
        <f>BH50*'Scen Hypothetical vaccine model'!$J51*HelperFunctions!$R$28</f>
        <v>#VALUE!</v>
      </c>
      <c r="BG51" t="e">
        <f>BH50*'Scen Hypothetical vaccine model'!$K51</f>
        <v>#VALUE!</v>
      </c>
      <c r="BH51" s="84" t="e">
        <f t="shared" si="18"/>
        <v>#VALUE!</v>
      </c>
      <c r="BI51" t="e">
        <f>BK50*'Scen Hypothetical vaccine model'!$J51*HelperFunctions!$R$28</f>
        <v>#VALUE!</v>
      </c>
      <c r="BJ51" t="e">
        <f>BK50*'Scen Hypothetical vaccine model'!$K51</f>
        <v>#VALUE!</v>
      </c>
      <c r="BK51" s="84" t="e">
        <f t="shared" si="19"/>
        <v>#VALUE!</v>
      </c>
      <c r="BL51" t="e">
        <f>BN50*'Scen Hypothetical vaccine model'!$J51*HelperFunctions!$R$28</f>
        <v>#VALUE!</v>
      </c>
      <c r="BM51" t="e">
        <f>BN50*'Scen Hypothetical vaccine model'!$K51</f>
        <v>#VALUE!</v>
      </c>
      <c r="BN51" s="84" t="e">
        <f t="shared" si="20"/>
        <v>#VALUE!</v>
      </c>
      <c r="BO51" t="e">
        <f>BQ50*'Scen Hypothetical vaccine model'!$J51*HelperFunctions!$R$28</f>
        <v>#VALUE!</v>
      </c>
      <c r="BP51" t="e">
        <f>BQ50*'Scen Hypothetical vaccine model'!$K51</f>
        <v>#VALUE!</v>
      </c>
      <c r="BQ51" s="84" t="e">
        <f t="shared" si="21"/>
        <v>#VALUE!</v>
      </c>
      <c r="BR51" t="e">
        <f>BT50*'Scen Hypothetical vaccine model'!$J51*HelperFunctions!$R$28</f>
        <v>#VALUE!</v>
      </c>
      <c r="BS51" t="e">
        <f>BT50*'Scen Hypothetical vaccine model'!$K51</f>
        <v>#VALUE!</v>
      </c>
      <c r="BT51" s="84" t="e">
        <f t="shared" si="22"/>
        <v>#VALUE!</v>
      </c>
      <c r="BU51" t="e">
        <f>BW50*'Scen Hypothetical vaccine model'!$J51*HelperFunctions!$R$28</f>
        <v>#VALUE!</v>
      </c>
      <c r="BV51" t="e">
        <f>BW50*'Scen Hypothetical vaccine model'!$K51</f>
        <v>#VALUE!</v>
      </c>
      <c r="BW51" s="84" t="e">
        <f t="shared" si="23"/>
        <v>#VALUE!</v>
      </c>
      <c r="BX51" t="e">
        <f>BZ50*'Scen Hypothetical vaccine model'!$J51*HelperFunctions!$R$42</f>
        <v>#VALUE!</v>
      </c>
      <c r="BY51" t="e">
        <f>BZ50*'Scen Hypothetical vaccine model'!$K51</f>
        <v>#VALUE!</v>
      </c>
      <c r="BZ51" s="84" t="e">
        <f t="shared" si="24"/>
        <v>#VALUE!</v>
      </c>
      <c r="CA51" t="e">
        <f>CC50*'Scen Hypothetical vaccine model'!$J51*HelperFunctions!$R$42</f>
        <v>#VALUE!</v>
      </c>
      <c r="CB51" t="e">
        <f>CC50*'Scen Hypothetical vaccine model'!$K51</f>
        <v>#VALUE!</v>
      </c>
      <c r="CC51" s="84" t="e">
        <f t="shared" si="25"/>
        <v>#VALUE!</v>
      </c>
      <c r="CD51" t="e">
        <f>CF50*'Scen Hypothetical vaccine model'!$J51*HelperFunctions!$R$42</f>
        <v>#VALUE!</v>
      </c>
      <c r="CE51" t="e">
        <f>CF50*'Scen Hypothetical vaccine model'!$K51</f>
        <v>#VALUE!</v>
      </c>
      <c r="CF51" s="84" t="e">
        <f t="shared" si="26"/>
        <v>#VALUE!</v>
      </c>
      <c r="CG51" t="e">
        <f>CI50*'Scen Hypothetical vaccine model'!$J51*HelperFunctions!$R$42</f>
        <v>#VALUE!</v>
      </c>
      <c r="CH51" t="e">
        <f>CI50*'Scen Hypothetical vaccine model'!$K51</f>
        <v>#VALUE!</v>
      </c>
      <c r="CI51" s="84" t="e">
        <f t="shared" si="27"/>
        <v>#VALUE!</v>
      </c>
      <c r="CJ51" t="e">
        <f>CL50*'Scen Hypothetical vaccine model'!$J51*HelperFunctions!$R$42</f>
        <v>#VALUE!</v>
      </c>
      <c r="CK51" t="e">
        <f>CL50*'Scen Hypothetical vaccine model'!$K51</f>
        <v>#VALUE!</v>
      </c>
      <c r="CL51" s="84" t="e">
        <f t="shared" si="28"/>
        <v>#VALUE!</v>
      </c>
      <c r="CM51" t="e">
        <f>CO50*'Scen Hypothetical vaccine model'!$J51*HelperFunctions!$R$42</f>
        <v>#VALUE!</v>
      </c>
      <c r="CN51" t="e">
        <f>CO50*'Scen Hypothetical vaccine model'!$K51</f>
        <v>#VALUE!</v>
      </c>
      <c r="CO51" s="84" t="e">
        <f t="shared" si="29"/>
        <v>#VALUE!</v>
      </c>
      <c r="CP51" t="e">
        <f>CR50*'Scen Hypothetical vaccine model'!$J51*HelperFunctions!$R$42</f>
        <v>#VALUE!</v>
      </c>
      <c r="CQ51" t="e">
        <f>CR50*'Scen Hypothetical vaccine model'!$K51</f>
        <v>#VALUE!</v>
      </c>
      <c r="CR51" s="84" t="e">
        <f t="shared" si="30"/>
        <v>#VALUE!</v>
      </c>
      <c r="CS51" t="e">
        <f>CU50*'Scen Hypothetical vaccine model'!$J51*HelperFunctions!$R$42</f>
        <v>#VALUE!</v>
      </c>
      <c r="CT51" t="e">
        <f>CU50*'Scen Hypothetical vaccine model'!$K51</f>
        <v>#VALUE!</v>
      </c>
      <c r="CU51" s="84" t="e">
        <f t="shared" si="31"/>
        <v>#VALUE!</v>
      </c>
      <c r="CV51" t="e">
        <f>CX50*'Scen Hypothetical vaccine model'!$J51*HelperFunctions!$R$42</f>
        <v>#VALUE!</v>
      </c>
      <c r="CW51" t="e">
        <f>CX50*'Scen Hypothetical vaccine model'!$K51</f>
        <v>#VALUE!</v>
      </c>
      <c r="CX51" s="84" t="e">
        <f t="shared" si="32"/>
        <v>#VALUE!</v>
      </c>
      <c r="CY51" t="e">
        <f>DA50*'Scen Hypothetical vaccine model'!$J51*HelperFunctions!$R$42</f>
        <v>#VALUE!</v>
      </c>
      <c r="CZ51" t="e">
        <f>DA50*'Scen Hypothetical vaccine model'!$K51</f>
        <v>#VALUE!</v>
      </c>
      <c r="DA51" s="84" t="e">
        <f t="shared" si="33"/>
        <v>#VALUE!</v>
      </c>
      <c r="DB51" t="e">
        <f>DD50*'Scen Hypothetical vaccine model'!$J51*HelperFunctions!$R$42</f>
        <v>#VALUE!</v>
      </c>
      <c r="DC51" t="e">
        <f>DD50*'Scen Hypothetical vaccine model'!$K51</f>
        <v>#VALUE!</v>
      </c>
      <c r="DD51" s="84" t="e">
        <f t="shared" si="34"/>
        <v>#VALUE!</v>
      </c>
      <c r="DE51" t="e">
        <f>DG50*'Scen Hypothetical vaccine model'!$J51*HelperFunctions!$R$42</f>
        <v>#VALUE!</v>
      </c>
      <c r="DF51" t="e">
        <f>DG50*'Scen Hypothetical vaccine model'!$K51</f>
        <v>#VALUE!</v>
      </c>
      <c r="DG51" s="84" t="e">
        <f t="shared" si="35"/>
        <v>#VALUE!</v>
      </c>
      <c r="DH51" t="e">
        <f>DJ50*'Scen Hypothetical vaccine model'!$J51*HelperFunctions!$R55</f>
        <v>#VALUE!</v>
      </c>
      <c r="DI51" t="e">
        <f>DJ50*'Scen Hypothetical vaccine model'!$K51</f>
        <v>#VALUE!</v>
      </c>
      <c r="DJ51" s="84" t="e">
        <f t="shared" si="36"/>
        <v>#VALUE!</v>
      </c>
      <c r="DK51" t="e">
        <f>DM50*'Scen Hypothetical vaccine model'!$J51*HelperFunctions!$R54</f>
        <v>#VALUE!</v>
      </c>
      <c r="DL51" t="e">
        <f>DM50*'Scen Hypothetical vaccine model'!$K51</f>
        <v>#VALUE!</v>
      </c>
      <c r="DM51" s="84" t="e">
        <f t="shared" si="37"/>
        <v>#VALUE!</v>
      </c>
      <c r="DN51" t="e">
        <f>DP50*'Scen Hypothetical vaccine model'!$J51*HelperFunctions!$R53</f>
        <v>#VALUE!</v>
      </c>
      <c r="DO51" t="e">
        <f>DP50*'Scen Hypothetical vaccine model'!$K51</f>
        <v>#VALUE!</v>
      </c>
      <c r="DP51" s="84" t="e">
        <f t="shared" si="38"/>
        <v>#VALUE!</v>
      </c>
      <c r="DQ51" t="e">
        <f>DS50*'Scen Hypothetical vaccine model'!$J51*HelperFunctions!$R52</f>
        <v>#VALUE!</v>
      </c>
      <c r="DR51" t="e">
        <f>DS50*'Scen Hypothetical vaccine model'!$K51</f>
        <v>#VALUE!</v>
      </c>
      <c r="DS51" s="84" t="e">
        <f t="shared" si="39"/>
        <v>#VALUE!</v>
      </c>
      <c r="DT51" t="e">
        <f>DV50*'Scen Hypothetical vaccine model'!$J51*HelperFunctions!$R51</f>
        <v>#VALUE!</v>
      </c>
      <c r="DU51" t="e">
        <f>DV50*'Scen Hypothetical vaccine model'!$K51</f>
        <v>#VALUE!</v>
      </c>
      <c r="DV51" s="84" t="e">
        <f t="shared" si="40"/>
        <v>#VALUE!</v>
      </c>
      <c r="DW51" t="e">
        <f>DY50*'Scen Hypothetical vaccine model'!$J51*HelperFunctions!$R50</f>
        <v>#VALUE!</v>
      </c>
      <c r="DX51" t="e">
        <f>DY50*'Scen Hypothetical vaccine model'!$K51</f>
        <v>#VALUE!</v>
      </c>
      <c r="DY51" s="84" t="e">
        <f t="shared" si="41"/>
        <v>#VALUE!</v>
      </c>
      <c r="DZ51" t="e">
        <f>EB50*'Scen Hypothetical vaccine model'!$J51*HelperFunctions!$R49</f>
        <v>#VALUE!</v>
      </c>
      <c r="EA51" t="e">
        <f>EB50*'Scen Hypothetical vaccine model'!$K51</f>
        <v>#VALUE!</v>
      </c>
      <c r="EB51" s="84" t="e">
        <f t="shared" si="42"/>
        <v>#VALUE!</v>
      </c>
      <c r="EC51" t="e">
        <f>EE50*'Scen Hypothetical vaccine model'!$J51*HelperFunctions!$R48</f>
        <v>#VALUE!</v>
      </c>
      <c r="ED51" t="e">
        <f>EE50*'Scen Hypothetical vaccine model'!$K51</f>
        <v>#VALUE!</v>
      </c>
      <c r="EE51" s="84" t="e">
        <f t="shared" si="43"/>
        <v>#VALUE!</v>
      </c>
      <c r="EF51" t="e">
        <f>EH50*'Scen Hypothetical vaccine model'!$J51*HelperFunctions!$R47</f>
        <v>#VALUE!</v>
      </c>
      <c r="EG51" t="e">
        <f>EH50*'Scen Hypothetical vaccine model'!$K51</f>
        <v>#VALUE!</v>
      </c>
      <c r="EH51" s="84" t="e">
        <f t="shared" si="44"/>
        <v>#VALUE!</v>
      </c>
      <c r="EI51" t="e">
        <f>EK50*'Scen Hypothetical vaccine model'!$J51*HelperFunctions!$R46</f>
        <v>#VALUE!</v>
      </c>
      <c r="EJ51" t="e">
        <f>EK50*'Scen Hypothetical vaccine model'!$K51</f>
        <v>#VALUE!</v>
      </c>
      <c r="EK51" s="84" t="e">
        <f t="shared" ref="EK51:EK63" si="45">EK50-EI51-EJ51</f>
        <v>#VALUE!</v>
      </c>
      <c r="EL51" t="e">
        <f>EN50*'Scen Hypothetical vaccine model'!$J51*HelperFunctions!$R45</f>
        <v>#VALUE!</v>
      </c>
      <c r="EM51" t="e">
        <f>EN50*'Scen Hypothetical vaccine model'!$K51</f>
        <v>#VALUE!</v>
      </c>
      <c r="EN51" s="84" t="e">
        <f>EN50-EL51-EM51</f>
        <v>#VALUE!</v>
      </c>
      <c r="EO51" s="93"/>
      <c r="EP51" s="93"/>
      <c r="EQ51" s="84" t="e">
        <f>Export!$N49*'Scen EffectivelyVax'!$A50*(1-HelperFunctions!$G$45)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35">
      <c r="B52">
        <v>4</v>
      </c>
      <c r="C52" t="str">
        <f>Inputs!I72</f>
        <v/>
      </c>
      <c r="D52" t="e">
        <f>F51*'Scen Hypothetical vaccine model'!J52*HelperFunctions!R$14</f>
        <v>#VALUE!</v>
      </c>
      <c r="E52" t="e">
        <f>F51*'Scen Hypothetical vaccine model'!K52</f>
        <v>#VALUE!</v>
      </c>
      <c r="F52" s="84" t="e">
        <f t="shared" si="0"/>
        <v>#VALUE!</v>
      </c>
      <c r="G52" t="e">
        <f>I51*'Scen Hypothetical vaccine model'!$J52*HelperFunctions!$R$14</f>
        <v>#VALUE!</v>
      </c>
      <c r="H52" t="e">
        <f>I51*'Scen Hypothetical vaccine model'!$K52</f>
        <v>#VALUE!</v>
      </c>
      <c r="I52" s="84" t="e">
        <f t="shared" si="1"/>
        <v>#VALUE!</v>
      </c>
      <c r="J52" t="e">
        <f>L51*'Scen Hypothetical vaccine model'!$J52*HelperFunctions!$R$14</f>
        <v>#VALUE!</v>
      </c>
      <c r="K52" t="e">
        <f>L51*'Scen Hypothetical vaccine model'!$K52</f>
        <v>#VALUE!</v>
      </c>
      <c r="L52" s="84" t="e">
        <f t="shared" si="2"/>
        <v>#VALUE!</v>
      </c>
      <c r="M52" t="e">
        <f>O51*'Scen Hypothetical vaccine model'!$J52*HelperFunctions!$R$14</f>
        <v>#VALUE!</v>
      </c>
      <c r="N52" t="e">
        <f>O51*'Scen Hypothetical vaccine model'!$K52</f>
        <v>#VALUE!</v>
      </c>
      <c r="O52" s="84" t="e">
        <f t="shared" si="3"/>
        <v>#VALUE!</v>
      </c>
      <c r="P52" t="e">
        <f>R51*'Scen Hypothetical vaccine model'!$J52*HelperFunctions!$R$14</f>
        <v>#VALUE!</v>
      </c>
      <c r="Q52" t="e">
        <f>R51*'Scen Hypothetical vaccine model'!$K52</f>
        <v>#VALUE!</v>
      </c>
      <c r="R52" s="84" t="e">
        <f t="shared" si="4"/>
        <v>#VALUE!</v>
      </c>
      <c r="S52" t="e">
        <f>U51*'Scen Hypothetical vaccine model'!$J52*HelperFunctions!$R$14</f>
        <v>#VALUE!</v>
      </c>
      <c r="T52" t="e">
        <f>U51*'Scen Hypothetical vaccine model'!$K52</f>
        <v>#VALUE!</v>
      </c>
      <c r="U52" s="84" t="e">
        <f t="shared" si="5"/>
        <v>#VALUE!</v>
      </c>
      <c r="V52" t="e">
        <f>X51*'Scen Hypothetical vaccine model'!$J52*HelperFunctions!$R$14</f>
        <v>#VALUE!</v>
      </c>
      <c r="W52" t="e">
        <f>X51*'Scen Hypothetical vaccine model'!$K52</f>
        <v>#VALUE!</v>
      </c>
      <c r="X52" s="84" t="e">
        <f t="shared" si="6"/>
        <v>#VALUE!</v>
      </c>
      <c r="Y52" t="e">
        <f>AA51*'Scen Hypothetical vaccine model'!$J52*HelperFunctions!$R$14</f>
        <v>#VALUE!</v>
      </c>
      <c r="Z52" t="e">
        <f>AA51*'Scen Hypothetical vaccine model'!$K52</f>
        <v>#VALUE!</v>
      </c>
      <c r="AA52" s="84" t="e">
        <f t="shared" si="7"/>
        <v>#VALUE!</v>
      </c>
      <c r="AB52" t="e">
        <f>AD51*'Scen Hypothetical vaccine model'!$J52*HelperFunctions!$R$14</f>
        <v>#VALUE!</v>
      </c>
      <c r="AC52" t="e">
        <f>AD51*'Scen Hypothetical vaccine model'!$K52</f>
        <v>#VALUE!</v>
      </c>
      <c r="AD52" s="84" t="e">
        <f t="shared" si="8"/>
        <v>#VALUE!</v>
      </c>
      <c r="AE52" t="e">
        <f>AG51*'Scen Hypothetical vaccine model'!$J52*HelperFunctions!$R$14</f>
        <v>#VALUE!</v>
      </c>
      <c r="AF52" t="e">
        <f>AG51*'Scen Hypothetical vaccine model'!$K52</f>
        <v>#VALUE!</v>
      </c>
      <c r="AG52" s="84" t="e">
        <f t="shared" si="9"/>
        <v>#VALUE!</v>
      </c>
      <c r="AH52" t="e">
        <f>AJ51*'Scen Hypothetical vaccine model'!$J52*HelperFunctions!$R$14</f>
        <v>#VALUE!</v>
      </c>
      <c r="AI52" t="e">
        <f>AJ51*'Scen Hypothetical vaccine model'!$K52</f>
        <v>#VALUE!</v>
      </c>
      <c r="AJ52" s="84" t="e">
        <f t="shared" si="10"/>
        <v>#VALUE!</v>
      </c>
      <c r="AK52" t="e">
        <f>AM51*'Scen Hypothetical vaccine model'!$J52*HelperFunctions!$R$14</f>
        <v>#VALUE!</v>
      </c>
      <c r="AL52" t="e">
        <f>AM51*'Scen Hypothetical vaccine model'!$K52</f>
        <v>#VALUE!</v>
      </c>
      <c r="AM52" s="84" t="e">
        <f t="shared" si="11"/>
        <v>#VALUE!</v>
      </c>
      <c r="AN52" t="e">
        <f>AP51*'Scen Hypothetical vaccine model'!$J52*HelperFunctions!$R$28</f>
        <v>#VALUE!</v>
      </c>
      <c r="AO52" t="e">
        <f>AP51*'Scen Hypothetical vaccine model'!$K52</f>
        <v>#VALUE!</v>
      </c>
      <c r="AP52" s="84" t="e">
        <f t="shared" si="12"/>
        <v>#VALUE!</v>
      </c>
      <c r="AQ52" t="e">
        <f>AS51*'Scen Hypothetical vaccine model'!$J52*HelperFunctions!$R$28</f>
        <v>#VALUE!</v>
      </c>
      <c r="AR52" t="e">
        <f>AS51*'Scen Hypothetical vaccine model'!$K52</f>
        <v>#VALUE!</v>
      </c>
      <c r="AS52" s="84" t="e">
        <f t="shared" si="13"/>
        <v>#VALUE!</v>
      </c>
      <c r="AT52" t="e">
        <f>AV51*'Scen Hypothetical vaccine model'!$J52*HelperFunctions!$R$28</f>
        <v>#VALUE!</v>
      </c>
      <c r="AU52" t="e">
        <f>AV51*'Scen Hypothetical vaccine model'!$K52</f>
        <v>#VALUE!</v>
      </c>
      <c r="AV52" s="84" t="e">
        <f t="shared" si="14"/>
        <v>#VALUE!</v>
      </c>
      <c r="AW52" t="e">
        <f>AY51*'Scen Hypothetical vaccine model'!$J52*HelperFunctions!$R$28</f>
        <v>#VALUE!</v>
      </c>
      <c r="AX52" t="e">
        <f>AY51*'Scen Hypothetical vaccine model'!$K52</f>
        <v>#VALUE!</v>
      </c>
      <c r="AY52" s="84" t="e">
        <f t="shared" si="15"/>
        <v>#VALUE!</v>
      </c>
      <c r="AZ52" t="e">
        <f>BB51*'Scen Hypothetical vaccine model'!$J52*HelperFunctions!$R$28</f>
        <v>#VALUE!</v>
      </c>
      <c r="BA52" t="e">
        <f>BB51*'Scen Hypothetical vaccine model'!$K52</f>
        <v>#VALUE!</v>
      </c>
      <c r="BB52" s="84" t="e">
        <f t="shared" si="16"/>
        <v>#VALUE!</v>
      </c>
      <c r="BC52" t="e">
        <f>BE51*'Scen Hypothetical vaccine model'!$J52*HelperFunctions!$R$28</f>
        <v>#VALUE!</v>
      </c>
      <c r="BD52" t="e">
        <f>BE51*'Scen Hypothetical vaccine model'!$K52</f>
        <v>#VALUE!</v>
      </c>
      <c r="BE52" s="84" t="e">
        <f t="shared" si="17"/>
        <v>#VALUE!</v>
      </c>
      <c r="BF52" t="e">
        <f>BH51*'Scen Hypothetical vaccine model'!$J52*HelperFunctions!$R$28</f>
        <v>#VALUE!</v>
      </c>
      <c r="BG52" t="e">
        <f>BH51*'Scen Hypothetical vaccine model'!$K52</f>
        <v>#VALUE!</v>
      </c>
      <c r="BH52" s="84" t="e">
        <f t="shared" si="18"/>
        <v>#VALUE!</v>
      </c>
      <c r="BI52" t="e">
        <f>BK51*'Scen Hypothetical vaccine model'!$J52*HelperFunctions!$R$28</f>
        <v>#VALUE!</v>
      </c>
      <c r="BJ52" t="e">
        <f>BK51*'Scen Hypothetical vaccine model'!$K52</f>
        <v>#VALUE!</v>
      </c>
      <c r="BK52" s="84" t="e">
        <f t="shared" si="19"/>
        <v>#VALUE!</v>
      </c>
      <c r="BL52" t="e">
        <f>BN51*'Scen Hypothetical vaccine model'!$J52*HelperFunctions!$R$28</f>
        <v>#VALUE!</v>
      </c>
      <c r="BM52" t="e">
        <f>BN51*'Scen Hypothetical vaccine model'!$K52</f>
        <v>#VALUE!</v>
      </c>
      <c r="BN52" s="84" t="e">
        <f t="shared" si="20"/>
        <v>#VALUE!</v>
      </c>
      <c r="BO52" t="e">
        <f>BQ51*'Scen Hypothetical vaccine model'!$J52*HelperFunctions!$R$28</f>
        <v>#VALUE!</v>
      </c>
      <c r="BP52" t="e">
        <f>BQ51*'Scen Hypothetical vaccine model'!$K52</f>
        <v>#VALUE!</v>
      </c>
      <c r="BQ52" s="84" t="e">
        <f t="shared" si="21"/>
        <v>#VALUE!</v>
      </c>
      <c r="BR52" t="e">
        <f>BT51*'Scen Hypothetical vaccine model'!$J52*HelperFunctions!$R$28</f>
        <v>#VALUE!</v>
      </c>
      <c r="BS52" t="e">
        <f>BT51*'Scen Hypothetical vaccine model'!$K52</f>
        <v>#VALUE!</v>
      </c>
      <c r="BT52" s="84" t="e">
        <f t="shared" si="22"/>
        <v>#VALUE!</v>
      </c>
      <c r="BU52" t="e">
        <f>BW51*'Scen Hypothetical vaccine model'!$J52*HelperFunctions!$R$28</f>
        <v>#VALUE!</v>
      </c>
      <c r="BV52" t="e">
        <f>BW51*'Scen Hypothetical vaccine model'!$K52</f>
        <v>#VALUE!</v>
      </c>
      <c r="BW52" s="84" t="e">
        <f t="shared" si="23"/>
        <v>#VALUE!</v>
      </c>
      <c r="BX52" t="e">
        <f>BZ51*'Scen Hypothetical vaccine model'!$J52*HelperFunctions!$R$42</f>
        <v>#VALUE!</v>
      </c>
      <c r="BY52" t="e">
        <f>BZ51*'Scen Hypothetical vaccine model'!$K52</f>
        <v>#VALUE!</v>
      </c>
      <c r="BZ52" s="84" t="e">
        <f t="shared" si="24"/>
        <v>#VALUE!</v>
      </c>
      <c r="CA52" t="e">
        <f>CC51*'Scen Hypothetical vaccine model'!$J52*HelperFunctions!$R$42</f>
        <v>#VALUE!</v>
      </c>
      <c r="CB52" t="e">
        <f>CC51*'Scen Hypothetical vaccine model'!$K52</f>
        <v>#VALUE!</v>
      </c>
      <c r="CC52" s="84" t="e">
        <f t="shared" si="25"/>
        <v>#VALUE!</v>
      </c>
      <c r="CD52" t="e">
        <f>CF51*'Scen Hypothetical vaccine model'!$J52*HelperFunctions!$R$42</f>
        <v>#VALUE!</v>
      </c>
      <c r="CE52" t="e">
        <f>CF51*'Scen Hypothetical vaccine model'!$K52</f>
        <v>#VALUE!</v>
      </c>
      <c r="CF52" s="84" t="e">
        <f t="shared" si="26"/>
        <v>#VALUE!</v>
      </c>
      <c r="CG52" t="e">
        <f>CI51*'Scen Hypothetical vaccine model'!$J52*HelperFunctions!$R$42</f>
        <v>#VALUE!</v>
      </c>
      <c r="CH52" t="e">
        <f>CI51*'Scen Hypothetical vaccine model'!$K52</f>
        <v>#VALUE!</v>
      </c>
      <c r="CI52" s="84" t="e">
        <f t="shared" si="27"/>
        <v>#VALUE!</v>
      </c>
      <c r="CJ52" t="e">
        <f>CL51*'Scen Hypothetical vaccine model'!$J52*HelperFunctions!$R$42</f>
        <v>#VALUE!</v>
      </c>
      <c r="CK52" t="e">
        <f>CL51*'Scen Hypothetical vaccine model'!$K52</f>
        <v>#VALUE!</v>
      </c>
      <c r="CL52" s="84" t="e">
        <f t="shared" si="28"/>
        <v>#VALUE!</v>
      </c>
      <c r="CM52" t="e">
        <f>CO51*'Scen Hypothetical vaccine model'!$J52*HelperFunctions!$R$42</f>
        <v>#VALUE!</v>
      </c>
      <c r="CN52" t="e">
        <f>CO51*'Scen Hypothetical vaccine model'!$K52</f>
        <v>#VALUE!</v>
      </c>
      <c r="CO52" s="84" t="e">
        <f t="shared" si="29"/>
        <v>#VALUE!</v>
      </c>
      <c r="CP52" t="e">
        <f>CR51*'Scen Hypothetical vaccine model'!$J52*HelperFunctions!$R$42</f>
        <v>#VALUE!</v>
      </c>
      <c r="CQ52" t="e">
        <f>CR51*'Scen Hypothetical vaccine model'!$K52</f>
        <v>#VALUE!</v>
      </c>
      <c r="CR52" s="84" t="e">
        <f t="shared" si="30"/>
        <v>#VALUE!</v>
      </c>
      <c r="CS52" t="e">
        <f>CU51*'Scen Hypothetical vaccine model'!$J52*HelperFunctions!$R$42</f>
        <v>#VALUE!</v>
      </c>
      <c r="CT52" t="e">
        <f>CU51*'Scen Hypothetical vaccine model'!$K52</f>
        <v>#VALUE!</v>
      </c>
      <c r="CU52" s="84" t="e">
        <f t="shared" si="31"/>
        <v>#VALUE!</v>
      </c>
      <c r="CV52" t="e">
        <f>CX51*'Scen Hypothetical vaccine model'!$J52*HelperFunctions!$R$42</f>
        <v>#VALUE!</v>
      </c>
      <c r="CW52" t="e">
        <f>CX51*'Scen Hypothetical vaccine model'!$K52</f>
        <v>#VALUE!</v>
      </c>
      <c r="CX52" s="84" t="e">
        <f t="shared" si="32"/>
        <v>#VALUE!</v>
      </c>
      <c r="CY52" t="e">
        <f>DA51*'Scen Hypothetical vaccine model'!$J52*HelperFunctions!$R$42</f>
        <v>#VALUE!</v>
      </c>
      <c r="CZ52" t="e">
        <f>DA51*'Scen Hypothetical vaccine model'!$K52</f>
        <v>#VALUE!</v>
      </c>
      <c r="DA52" s="84" t="e">
        <f t="shared" si="33"/>
        <v>#VALUE!</v>
      </c>
      <c r="DB52" t="e">
        <f>DD51*'Scen Hypothetical vaccine model'!$J52*HelperFunctions!$R$42</f>
        <v>#VALUE!</v>
      </c>
      <c r="DC52" t="e">
        <f>DD51*'Scen Hypothetical vaccine model'!$K52</f>
        <v>#VALUE!</v>
      </c>
      <c r="DD52" s="84" t="e">
        <f t="shared" si="34"/>
        <v>#VALUE!</v>
      </c>
      <c r="DE52" t="e">
        <f>DG51*'Scen Hypothetical vaccine model'!$J52*HelperFunctions!$R$42</f>
        <v>#VALUE!</v>
      </c>
      <c r="DF52" t="e">
        <f>DG51*'Scen Hypothetical vaccine model'!$K52</f>
        <v>#VALUE!</v>
      </c>
      <c r="DG52" s="84" t="e">
        <f t="shared" si="35"/>
        <v>#VALUE!</v>
      </c>
      <c r="DH52" t="e">
        <f>DJ51*'Scen Hypothetical vaccine model'!$J52*HelperFunctions!$R$56</f>
        <v>#VALUE!</v>
      </c>
      <c r="DI52" t="e">
        <f>DJ51*'Scen Hypothetical vaccine model'!$K52</f>
        <v>#VALUE!</v>
      </c>
      <c r="DJ52" s="84" t="e">
        <f t="shared" si="36"/>
        <v>#VALUE!</v>
      </c>
      <c r="DK52" t="e">
        <f>DM51*'Scen Hypothetical vaccine model'!$J52*HelperFunctions!$R55</f>
        <v>#VALUE!</v>
      </c>
      <c r="DL52" t="e">
        <f>DM51*'Scen Hypothetical vaccine model'!$K52</f>
        <v>#VALUE!</v>
      </c>
      <c r="DM52" s="84" t="e">
        <f t="shared" si="37"/>
        <v>#VALUE!</v>
      </c>
      <c r="DN52" t="e">
        <f>DP51*'Scen Hypothetical vaccine model'!$J52*HelperFunctions!$R54</f>
        <v>#VALUE!</v>
      </c>
      <c r="DO52" t="e">
        <f>DP51*'Scen Hypothetical vaccine model'!$K52</f>
        <v>#VALUE!</v>
      </c>
      <c r="DP52" s="84" t="e">
        <f t="shared" si="38"/>
        <v>#VALUE!</v>
      </c>
      <c r="DQ52" t="e">
        <f>DS51*'Scen Hypothetical vaccine model'!$J52*HelperFunctions!$R53</f>
        <v>#VALUE!</v>
      </c>
      <c r="DR52" t="e">
        <f>DS51*'Scen Hypothetical vaccine model'!$K52</f>
        <v>#VALUE!</v>
      </c>
      <c r="DS52" s="84" t="e">
        <f t="shared" si="39"/>
        <v>#VALUE!</v>
      </c>
      <c r="DT52" t="e">
        <f>DV51*'Scen Hypothetical vaccine model'!$J52*HelperFunctions!$R52</f>
        <v>#VALUE!</v>
      </c>
      <c r="DU52" t="e">
        <f>DV51*'Scen Hypothetical vaccine model'!$K52</f>
        <v>#VALUE!</v>
      </c>
      <c r="DV52" s="84" t="e">
        <f t="shared" si="40"/>
        <v>#VALUE!</v>
      </c>
      <c r="DW52" t="e">
        <f>DY51*'Scen Hypothetical vaccine model'!$J52*HelperFunctions!$R51</f>
        <v>#VALUE!</v>
      </c>
      <c r="DX52" t="e">
        <f>DY51*'Scen Hypothetical vaccine model'!$K52</f>
        <v>#VALUE!</v>
      </c>
      <c r="DY52" s="84" t="e">
        <f t="shared" si="41"/>
        <v>#VALUE!</v>
      </c>
      <c r="DZ52" t="e">
        <f>EB51*'Scen Hypothetical vaccine model'!$J52*HelperFunctions!$R50</f>
        <v>#VALUE!</v>
      </c>
      <c r="EA52" t="e">
        <f>EB51*'Scen Hypothetical vaccine model'!$K52</f>
        <v>#VALUE!</v>
      </c>
      <c r="EB52" s="84" t="e">
        <f t="shared" si="42"/>
        <v>#VALUE!</v>
      </c>
      <c r="EC52" t="e">
        <f>EE51*'Scen Hypothetical vaccine model'!$J52*HelperFunctions!$R49</f>
        <v>#VALUE!</v>
      </c>
      <c r="ED52" t="e">
        <f>EE51*'Scen Hypothetical vaccine model'!$K52</f>
        <v>#VALUE!</v>
      </c>
      <c r="EE52" s="84" t="e">
        <f t="shared" si="43"/>
        <v>#VALUE!</v>
      </c>
      <c r="EF52" t="e">
        <f>EH51*'Scen Hypothetical vaccine model'!$J52*HelperFunctions!$R48</f>
        <v>#VALUE!</v>
      </c>
      <c r="EG52" t="e">
        <f>EH51*'Scen Hypothetical vaccine model'!$K52</f>
        <v>#VALUE!</v>
      </c>
      <c r="EH52" s="84" t="e">
        <f t="shared" si="44"/>
        <v>#VALUE!</v>
      </c>
      <c r="EI52" t="e">
        <f>EK51*'Scen Hypothetical vaccine model'!$J52*HelperFunctions!$R47</f>
        <v>#VALUE!</v>
      </c>
      <c r="EJ52" t="e">
        <f>EK51*'Scen Hypothetical vaccine model'!$K52</f>
        <v>#VALUE!</v>
      </c>
      <c r="EK52" s="84" t="e">
        <f t="shared" si="45"/>
        <v>#VALUE!</v>
      </c>
      <c r="EL52" t="e">
        <f>EN51*'Scen Hypothetical vaccine model'!$J52*HelperFunctions!$R46</f>
        <v>#VALUE!</v>
      </c>
      <c r="EM52" t="e">
        <f>EN51*'Scen Hypothetical vaccine model'!$K52</f>
        <v>#VALUE!</v>
      </c>
      <c r="EN52" s="84" t="e">
        <f t="shared" ref="EN52:EN63" si="46">EN51-EL52-EM52</f>
        <v>#VALUE!</v>
      </c>
      <c r="EO52" t="e">
        <f>EQ51*'Scen Hypothetical vaccine model'!$J52*HelperFunctions!$R45</f>
        <v>#VALUE!</v>
      </c>
      <c r="EP52" t="e">
        <f>EQ51*'Scen Hypothetical vaccine model'!$K52</f>
        <v>#VALUE!</v>
      </c>
      <c r="EQ52" s="84" t="e">
        <f>EQ51-EO52-EP52</f>
        <v>#VALUE!</v>
      </c>
      <c r="ER52" s="93"/>
      <c r="ES52" s="93"/>
      <c r="ET52" s="84" t="e">
        <f>Export!$N50*'Scen EffectivelyVax'!$A51*(1-HelperFunctions!$G$59)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35">
      <c r="B53">
        <v>4</v>
      </c>
      <c r="C53" t="str">
        <f>Inputs!I73</f>
        <v/>
      </c>
      <c r="D53" t="e">
        <f>F52*'Scen Hypothetical vaccine model'!J53*HelperFunctions!R$14</f>
        <v>#VALUE!</v>
      </c>
      <c r="E53" t="e">
        <f>F52*'Scen Hypothetical vaccine model'!K53</f>
        <v>#VALUE!</v>
      </c>
      <c r="F53" s="84" t="e">
        <f t="shared" si="0"/>
        <v>#VALUE!</v>
      </c>
      <c r="G53" t="e">
        <f>I52*'Scen Hypothetical vaccine model'!$J53*HelperFunctions!$R$14</f>
        <v>#VALUE!</v>
      </c>
      <c r="H53" t="e">
        <f>I52*'Scen Hypothetical vaccine model'!$K53</f>
        <v>#VALUE!</v>
      </c>
      <c r="I53" s="84" t="e">
        <f t="shared" si="1"/>
        <v>#VALUE!</v>
      </c>
      <c r="J53" t="e">
        <f>L52*'Scen Hypothetical vaccine model'!$J53*HelperFunctions!$R$14</f>
        <v>#VALUE!</v>
      </c>
      <c r="K53" t="e">
        <f>L52*'Scen Hypothetical vaccine model'!$K53</f>
        <v>#VALUE!</v>
      </c>
      <c r="L53" s="84" t="e">
        <f t="shared" si="2"/>
        <v>#VALUE!</v>
      </c>
      <c r="M53" t="e">
        <f>O52*'Scen Hypothetical vaccine model'!$J53*HelperFunctions!$R$14</f>
        <v>#VALUE!</v>
      </c>
      <c r="N53" t="e">
        <f>O52*'Scen Hypothetical vaccine model'!$K53</f>
        <v>#VALUE!</v>
      </c>
      <c r="O53" s="84" t="e">
        <f t="shared" si="3"/>
        <v>#VALUE!</v>
      </c>
      <c r="P53" t="e">
        <f>R52*'Scen Hypothetical vaccine model'!$J53*HelperFunctions!$R$14</f>
        <v>#VALUE!</v>
      </c>
      <c r="Q53" t="e">
        <f>R52*'Scen Hypothetical vaccine model'!$K53</f>
        <v>#VALUE!</v>
      </c>
      <c r="R53" s="84" t="e">
        <f t="shared" si="4"/>
        <v>#VALUE!</v>
      </c>
      <c r="S53" t="e">
        <f>U52*'Scen Hypothetical vaccine model'!$J53*HelperFunctions!$R$14</f>
        <v>#VALUE!</v>
      </c>
      <c r="T53" t="e">
        <f>U52*'Scen Hypothetical vaccine model'!$K53</f>
        <v>#VALUE!</v>
      </c>
      <c r="U53" s="84" t="e">
        <f t="shared" si="5"/>
        <v>#VALUE!</v>
      </c>
      <c r="V53" t="e">
        <f>X52*'Scen Hypothetical vaccine model'!$J53*HelperFunctions!$R$14</f>
        <v>#VALUE!</v>
      </c>
      <c r="W53" t="e">
        <f>X52*'Scen Hypothetical vaccine model'!$K53</f>
        <v>#VALUE!</v>
      </c>
      <c r="X53" s="84" t="e">
        <f t="shared" si="6"/>
        <v>#VALUE!</v>
      </c>
      <c r="Y53" t="e">
        <f>AA52*'Scen Hypothetical vaccine model'!$J53*HelperFunctions!$R$14</f>
        <v>#VALUE!</v>
      </c>
      <c r="Z53" t="e">
        <f>AA52*'Scen Hypothetical vaccine model'!$K53</f>
        <v>#VALUE!</v>
      </c>
      <c r="AA53" s="84" t="e">
        <f t="shared" si="7"/>
        <v>#VALUE!</v>
      </c>
      <c r="AB53" t="e">
        <f>AD52*'Scen Hypothetical vaccine model'!$J53*HelperFunctions!$R$14</f>
        <v>#VALUE!</v>
      </c>
      <c r="AC53" t="e">
        <f>AD52*'Scen Hypothetical vaccine model'!$K53</f>
        <v>#VALUE!</v>
      </c>
      <c r="AD53" s="84" t="e">
        <f t="shared" si="8"/>
        <v>#VALUE!</v>
      </c>
      <c r="AE53" t="e">
        <f>AG52*'Scen Hypothetical vaccine model'!$J53*HelperFunctions!$R$14</f>
        <v>#VALUE!</v>
      </c>
      <c r="AF53" t="e">
        <f>AG52*'Scen Hypothetical vaccine model'!$K53</f>
        <v>#VALUE!</v>
      </c>
      <c r="AG53" s="84" t="e">
        <f t="shared" si="9"/>
        <v>#VALUE!</v>
      </c>
      <c r="AH53" t="e">
        <f>AJ52*'Scen Hypothetical vaccine model'!$J53*HelperFunctions!$R$14</f>
        <v>#VALUE!</v>
      </c>
      <c r="AI53" t="e">
        <f>AJ52*'Scen Hypothetical vaccine model'!$K53</f>
        <v>#VALUE!</v>
      </c>
      <c r="AJ53" s="84" t="e">
        <f t="shared" si="10"/>
        <v>#VALUE!</v>
      </c>
      <c r="AK53" t="e">
        <f>AM52*'Scen Hypothetical vaccine model'!$J53*HelperFunctions!$R$14</f>
        <v>#VALUE!</v>
      </c>
      <c r="AL53" t="e">
        <f>AM52*'Scen Hypothetical vaccine model'!$K53</f>
        <v>#VALUE!</v>
      </c>
      <c r="AM53" s="84" t="e">
        <f t="shared" si="11"/>
        <v>#VALUE!</v>
      </c>
      <c r="AN53" t="e">
        <f>AP52*'Scen Hypothetical vaccine model'!$J53*HelperFunctions!$R$28</f>
        <v>#VALUE!</v>
      </c>
      <c r="AO53" t="e">
        <f>AP52*'Scen Hypothetical vaccine model'!$K53</f>
        <v>#VALUE!</v>
      </c>
      <c r="AP53" s="84" t="e">
        <f t="shared" si="12"/>
        <v>#VALUE!</v>
      </c>
      <c r="AQ53" t="e">
        <f>AS52*'Scen Hypothetical vaccine model'!$J53*HelperFunctions!$R$28</f>
        <v>#VALUE!</v>
      </c>
      <c r="AR53" t="e">
        <f>AS52*'Scen Hypothetical vaccine model'!$K53</f>
        <v>#VALUE!</v>
      </c>
      <c r="AS53" s="84" t="e">
        <f t="shared" si="13"/>
        <v>#VALUE!</v>
      </c>
      <c r="AT53" t="e">
        <f>AV52*'Scen Hypothetical vaccine model'!$J53*HelperFunctions!$R$28</f>
        <v>#VALUE!</v>
      </c>
      <c r="AU53" t="e">
        <f>AV52*'Scen Hypothetical vaccine model'!$K53</f>
        <v>#VALUE!</v>
      </c>
      <c r="AV53" s="84" t="e">
        <f t="shared" si="14"/>
        <v>#VALUE!</v>
      </c>
      <c r="AW53" t="e">
        <f>AY52*'Scen Hypothetical vaccine model'!$J53*HelperFunctions!$R$28</f>
        <v>#VALUE!</v>
      </c>
      <c r="AX53" t="e">
        <f>AY52*'Scen Hypothetical vaccine model'!$K53</f>
        <v>#VALUE!</v>
      </c>
      <c r="AY53" s="84" t="e">
        <f t="shared" si="15"/>
        <v>#VALUE!</v>
      </c>
      <c r="AZ53" t="e">
        <f>BB52*'Scen Hypothetical vaccine model'!$J53*HelperFunctions!$R$28</f>
        <v>#VALUE!</v>
      </c>
      <c r="BA53" t="e">
        <f>BB52*'Scen Hypothetical vaccine model'!$K53</f>
        <v>#VALUE!</v>
      </c>
      <c r="BB53" s="84" t="e">
        <f t="shared" si="16"/>
        <v>#VALUE!</v>
      </c>
      <c r="BC53" t="e">
        <f>BE52*'Scen Hypothetical vaccine model'!$J53*HelperFunctions!$R$28</f>
        <v>#VALUE!</v>
      </c>
      <c r="BD53" t="e">
        <f>BE52*'Scen Hypothetical vaccine model'!$K53</f>
        <v>#VALUE!</v>
      </c>
      <c r="BE53" s="84" t="e">
        <f t="shared" si="17"/>
        <v>#VALUE!</v>
      </c>
      <c r="BF53" t="e">
        <f>BH52*'Scen Hypothetical vaccine model'!$J53*HelperFunctions!$R$28</f>
        <v>#VALUE!</v>
      </c>
      <c r="BG53" t="e">
        <f>BH52*'Scen Hypothetical vaccine model'!$K53</f>
        <v>#VALUE!</v>
      </c>
      <c r="BH53" s="84" t="e">
        <f t="shared" si="18"/>
        <v>#VALUE!</v>
      </c>
      <c r="BI53" t="e">
        <f>BK52*'Scen Hypothetical vaccine model'!$J53*HelperFunctions!$R$28</f>
        <v>#VALUE!</v>
      </c>
      <c r="BJ53" t="e">
        <f>BK52*'Scen Hypothetical vaccine model'!$K53</f>
        <v>#VALUE!</v>
      </c>
      <c r="BK53" s="84" t="e">
        <f t="shared" si="19"/>
        <v>#VALUE!</v>
      </c>
      <c r="BL53" t="e">
        <f>BN52*'Scen Hypothetical vaccine model'!$J53*HelperFunctions!$R$28</f>
        <v>#VALUE!</v>
      </c>
      <c r="BM53" t="e">
        <f>BN52*'Scen Hypothetical vaccine model'!$K53</f>
        <v>#VALUE!</v>
      </c>
      <c r="BN53" s="84" t="e">
        <f t="shared" si="20"/>
        <v>#VALUE!</v>
      </c>
      <c r="BO53" t="e">
        <f>BQ52*'Scen Hypothetical vaccine model'!$J53*HelperFunctions!$R$28</f>
        <v>#VALUE!</v>
      </c>
      <c r="BP53" t="e">
        <f>BQ52*'Scen Hypothetical vaccine model'!$K53</f>
        <v>#VALUE!</v>
      </c>
      <c r="BQ53" s="84" t="e">
        <f t="shared" si="21"/>
        <v>#VALUE!</v>
      </c>
      <c r="BR53" t="e">
        <f>BT52*'Scen Hypothetical vaccine model'!$J53*HelperFunctions!$R$28</f>
        <v>#VALUE!</v>
      </c>
      <c r="BS53" t="e">
        <f>BT52*'Scen Hypothetical vaccine model'!$K53</f>
        <v>#VALUE!</v>
      </c>
      <c r="BT53" s="84" t="e">
        <f t="shared" si="22"/>
        <v>#VALUE!</v>
      </c>
      <c r="BU53" t="e">
        <f>BW52*'Scen Hypothetical vaccine model'!$J53*HelperFunctions!$R$28</f>
        <v>#VALUE!</v>
      </c>
      <c r="BV53" t="e">
        <f>BW52*'Scen Hypothetical vaccine model'!$K53</f>
        <v>#VALUE!</v>
      </c>
      <c r="BW53" s="84" t="e">
        <f t="shared" si="23"/>
        <v>#VALUE!</v>
      </c>
      <c r="BX53" t="e">
        <f>BZ52*'Scen Hypothetical vaccine model'!$J53*HelperFunctions!$R$42</f>
        <v>#VALUE!</v>
      </c>
      <c r="BY53" t="e">
        <f>BZ52*'Scen Hypothetical vaccine model'!$K53</f>
        <v>#VALUE!</v>
      </c>
      <c r="BZ53" s="84" t="e">
        <f t="shared" si="24"/>
        <v>#VALUE!</v>
      </c>
      <c r="CA53" t="e">
        <f>CC52*'Scen Hypothetical vaccine model'!$J53*HelperFunctions!$R$42</f>
        <v>#VALUE!</v>
      </c>
      <c r="CB53" t="e">
        <f>CC52*'Scen Hypothetical vaccine model'!$K53</f>
        <v>#VALUE!</v>
      </c>
      <c r="CC53" s="84" t="e">
        <f t="shared" si="25"/>
        <v>#VALUE!</v>
      </c>
      <c r="CD53" t="e">
        <f>CF52*'Scen Hypothetical vaccine model'!$J53*HelperFunctions!$R$42</f>
        <v>#VALUE!</v>
      </c>
      <c r="CE53" t="e">
        <f>CF52*'Scen Hypothetical vaccine model'!$K53</f>
        <v>#VALUE!</v>
      </c>
      <c r="CF53" s="84" t="e">
        <f t="shared" si="26"/>
        <v>#VALUE!</v>
      </c>
      <c r="CG53" t="e">
        <f>CI52*'Scen Hypothetical vaccine model'!$J53*HelperFunctions!$R$42</f>
        <v>#VALUE!</v>
      </c>
      <c r="CH53" t="e">
        <f>CI52*'Scen Hypothetical vaccine model'!$K53</f>
        <v>#VALUE!</v>
      </c>
      <c r="CI53" s="84" t="e">
        <f t="shared" si="27"/>
        <v>#VALUE!</v>
      </c>
      <c r="CJ53" t="e">
        <f>CL52*'Scen Hypothetical vaccine model'!$J53*HelperFunctions!$R$42</f>
        <v>#VALUE!</v>
      </c>
      <c r="CK53" t="e">
        <f>CL52*'Scen Hypothetical vaccine model'!$K53</f>
        <v>#VALUE!</v>
      </c>
      <c r="CL53" s="84" t="e">
        <f t="shared" si="28"/>
        <v>#VALUE!</v>
      </c>
      <c r="CM53" t="e">
        <f>CO52*'Scen Hypothetical vaccine model'!$J53*HelperFunctions!$R$42</f>
        <v>#VALUE!</v>
      </c>
      <c r="CN53" t="e">
        <f>CO52*'Scen Hypothetical vaccine model'!$K53</f>
        <v>#VALUE!</v>
      </c>
      <c r="CO53" s="84" t="e">
        <f t="shared" si="29"/>
        <v>#VALUE!</v>
      </c>
      <c r="CP53" t="e">
        <f>CR52*'Scen Hypothetical vaccine model'!$J53*HelperFunctions!$R$42</f>
        <v>#VALUE!</v>
      </c>
      <c r="CQ53" t="e">
        <f>CR52*'Scen Hypothetical vaccine model'!$K53</f>
        <v>#VALUE!</v>
      </c>
      <c r="CR53" s="84" t="e">
        <f t="shared" si="30"/>
        <v>#VALUE!</v>
      </c>
      <c r="CS53" t="e">
        <f>CU52*'Scen Hypothetical vaccine model'!$J53*HelperFunctions!$R$42</f>
        <v>#VALUE!</v>
      </c>
      <c r="CT53" t="e">
        <f>CU52*'Scen Hypothetical vaccine model'!$K53</f>
        <v>#VALUE!</v>
      </c>
      <c r="CU53" s="84" t="e">
        <f t="shared" si="31"/>
        <v>#VALUE!</v>
      </c>
      <c r="CV53" t="e">
        <f>CX52*'Scen Hypothetical vaccine model'!$J53*HelperFunctions!$R$42</f>
        <v>#VALUE!</v>
      </c>
      <c r="CW53" t="e">
        <f>CX52*'Scen Hypothetical vaccine model'!$K53</f>
        <v>#VALUE!</v>
      </c>
      <c r="CX53" s="84" t="e">
        <f t="shared" si="32"/>
        <v>#VALUE!</v>
      </c>
      <c r="CY53" t="e">
        <f>DA52*'Scen Hypothetical vaccine model'!$J53*HelperFunctions!$R$42</f>
        <v>#VALUE!</v>
      </c>
      <c r="CZ53" t="e">
        <f>DA52*'Scen Hypothetical vaccine model'!$K53</f>
        <v>#VALUE!</v>
      </c>
      <c r="DA53" s="84" t="e">
        <f t="shared" si="33"/>
        <v>#VALUE!</v>
      </c>
      <c r="DB53" t="e">
        <f>DD52*'Scen Hypothetical vaccine model'!$J53*HelperFunctions!$R$42</f>
        <v>#VALUE!</v>
      </c>
      <c r="DC53" t="e">
        <f>DD52*'Scen Hypothetical vaccine model'!$K53</f>
        <v>#VALUE!</v>
      </c>
      <c r="DD53" s="84" t="e">
        <f t="shared" si="34"/>
        <v>#VALUE!</v>
      </c>
      <c r="DE53" t="e">
        <f>DG52*'Scen Hypothetical vaccine model'!$J53*HelperFunctions!$R$42</f>
        <v>#VALUE!</v>
      </c>
      <c r="DF53" t="e">
        <f>DG52*'Scen Hypothetical vaccine model'!$K53</f>
        <v>#VALUE!</v>
      </c>
      <c r="DG53" s="84" t="e">
        <f t="shared" si="35"/>
        <v>#VALUE!</v>
      </c>
      <c r="DH53" t="e">
        <f>DJ52*'Scen Hypothetical vaccine model'!$J53*HelperFunctions!$R$56</f>
        <v>#VALUE!</v>
      </c>
      <c r="DI53" t="e">
        <f>DJ52*'Scen Hypothetical vaccine model'!$K53</f>
        <v>#VALUE!</v>
      </c>
      <c r="DJ53" s="84" t="e">
        <f t="shared" si="36"/>
        <v>#VALUE!</v>
      </c>
      <c r="DK53" t="e">
        <f>DM52*'Scen Hypothetical vaccine model'!$J53*HelperFunctions!$R$56</f>
        <v>#VALUE!</v>
      </c>
      <c r="DL53" t="e">
        <f>DM52*'Scen Hypothetical vaccine model'!$K53</f>
        <v>#VALUE!</v>
      </c>
      <c r="DM53" s="84" t="e">
        <f t="shared" si="37"/>
        <v>#VALUE!</v>
      </c>
      <c r="DN53" t="e">
        <f>DP52*'Scen Hypothetical vaccine model'!$J53*HelperFunctions!$R55</f>
        <v>#VALUE!</v>
      </c>
      <c r="DO53" t="e">
        <f>DP52*'Scen Hypothetical vaccine model'!$K53</f>
        <v>#VALUE!</v>
      </c>
      <c r="DP53" s="84" t="e">
        <f t="shared" si="38"/>
        <v>#VALUE!</v>
      </c>
      <c r="DQ53" t="e">
        <f>DS52*'Scen Hypothetical vaccine model'!$J53*HelperFunctions!$R54</f>
        <v>#VALUE!</v>
      </c>
      <c r="DR53" t="e">
        <f>DS52*'Scen Hypothetical vaccine model'!$K53</f>
        <v>#VALUE!</v>
      </c>
      <c r="DS53" s="84" t="e">
        <f t="shared" si="39"/>
        <v>#VALUE!</v>
      </c>
      <c r="DT53" t="e">
        <f>DV52*'Scen Hypothetical vaccine model'!$J53*HelperFunctions!$R53</f>
        <v>#VALUE!</v>
      </c>
      <c r="DU53" t="e">
        <f>DV52*'Scen Hypothetical vaccine model'!$K53</f>
        <v>#VALUE!</v>
      </c>
      <c r="DV53" s="84" t="e">
        <f t="shared" si="40"/>
        <v>#VALUE!</v>
      </c>
      <c r="DW53" t="e">
        <f>DY52*'Scen Hypothetical vaccine model'!$J53*HelperFunctions!$R52</f>
        <v>#VALUE!</v>
      </c>
      <c r="DX53" t="e">
        <f>DY52*'Scen Hypothetical vaccine model'!$K53</f>
        <v>#VALUE!</v>
      </c>
      <c r="DY53" s="84" t="e">
        <f t="shared" si="41"/>
        <v>#VALUE!</v>
      </c>
      <c r="DZ53" t="e">
        <f>EB52*'Scen Hypothetical vaccine model'!$J53*HelperFunctions!$R51</f>
        <v>#VALUE!</v>
      </c>
      <c r="EA53" t="e">
        <f>EB52*'Scen Hypothetical vaccine model'!$K53</f>
        <v>#VALUE!</v>
      </c>
      <c r="EB53" s="84" t="e">
        <f t="shared" si="42"/>
        <v>#VALUE!</v>
      </c>
      <c r="EC53" t="e">
        <f>EE52*'Scen Hypothetical vaccine model'!$J53*HelperFunctions!$R50</f>
        <v>#VALUE!</v>
      </c>
      <c r="ED53" t="e">
        <f>EE52*'Scen Hypothetical vaccine model'!$K53</f>
        <v>#VALUE!</v>
      </c>
      <c r="EE53" s="84" t="e">
        <f t="shared" si="43"/>
        <v>#VALUE!</v>
      </c>
      <c r="EF53" t="e">
        <f>EH52*'Scen Hypothetical vaccine model'!$J53*HelperFunctions!$R49</f>
        <v>#VALUE!</v>
      </c>
      <c r="EG53" t="e">
        <f>EH52*'Scen Hypothetical vaccine model'!$K53</f>
        <v>#VALUE!</v>
      </c>
      <c r="EH53" s="84" t="e">
        <f t="shared" si="44"/>
        <v>#VALUE!</v>
      </c>
      <c r="EI53" t="e">
        <f>EK52*'Scen Hypothetical vaccine model'!$J53*HelperFunctions!$R48</f>
        <v>#VALUE!</v>
      </c>
      <c r="EJ53" t="e">
        <f>EK52*'Scen Hypothetical vaccine model'!$K53</f>
        <v>#VALUE!</v>
      </c>
      <c r="EK53" s="84" t="e">
        <f t="shared" si="45"/>
        <v>#VALUE!</v>
      </c>
      <c r="EL53" t="e">
        <f>EN52*'Scen Hypothetical vaccine model'!$J53*HelperFunctions!$R47</f>
        <v>#VALUE!</v>
      </c>
      <c r="EM53" t="e">
        <f>EN52*'Scen Hypothetical vaccine model'!$K53</f>
        <v>#VALUE!</v>
      </c>
      <c r="EN53" s="84" t="e">
        <f t="shared" si="46"/>
        <v>#VALUE!</v>
      </c>
      <c r="EO53" t="e">
        <f>EQ52*'Scen Hypothetical vaccine model'!$J53*HelperFunctions!$R46</f>
        <v>#VALUE!</v>
      </c>
      <c r="EP53" t="e">
        <f>EQ52*'Scen Hypothetical vaccine model'!$K53</f>
        <v>#VALUE!</v>
      </c>
      <c r="EQ53" s="84" t="e">
        <f t="shared" ref="EQ53:EQ63" si="47">EQ52-EO53-EP53</f>
        <v>#VALUE!</v>
      </c>
      <c r="ER53" t="e">
        <f>ET52*'Scen Hypothetical vaccine model'!$J53*HelperFunctions!$R59</f>
        <v>#VALUE!</v>
      </c>
      <c r="ES53" t="e">
        <f>ET52*'Scen Hypothetical vaccine model'!$K53</f>
        <v>#VALUE!</v>
      </c>
      <c r="ET53" s="84" t="e">
        <f>ET52-ER53-ES53</f>
        <v>#VALUE!</v>
      </c>
      <c r="EU53" s="93"/>
      <c r="EV53" s="93"/>
      <c r="EW53" s="84" t="e">
        <f>Export!$N51*'Scen EffectivelyVax'!$A52*(1-HelperFunctions!$G$59)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35">
      <c r="B54">
        <v>4</v>
      </c>
      <c r="C54" t="str">
        <f>Inputs!I74</f>
        <v/>
      </c>
      <c r="D54" t="e">
        <f>F53*'Scen Hypothetical vaccine model'!J54*HelperFunctions!R$14</f>
        <v>#VALUE!</v>
      </c>
      <c r="E54" t="e">
        <f>F53*'Scen Hypothetical vaccine model'!K54</f>
        <v>#VALUE!</v>
      </c>
      <c r="F54" s="84" t="e">
        <f t="shared" si="0"/>
        <v>#VALUE!</v>
      </c>
      <c r="G54" t="e">
        <f>I53*'Scen Hypothetical vaccine model'!$J54*HelperFunctions!$R$14</f>
        <v>#VALUE!</v>
      </c>
      <c r="H54" t="e">
        <f>I53*'Scen Hypothetical vaccine model'!$K54</f>
        <v>#VALUE!</v>
      </c>
      <c r="I54" s="84" t="e">
        <f t="shared" si="1"/>
        <v>#VALUE!</v>
      </c>
      <c r="J54" t="e">
        <f>L53*'Scen Hypothetical vaccine model'!$J54*HelperFunctions!$R$14</f>
        <v>#VALUE!</v>
      </c>
      <c r="K54" t="e">
        <f>L53*'Scen Hypothetical vaccine model'!$K54</f>
        <v>#VALUE!</v>
      </c>
      <c r="L54" s="84" t="e">
        <f t="shared" si="2"/>
        <v>#VALUE!</v>
      </c>
      <c r="M54" t="e">
        <f>O53*'Scen Hypothetical vaccine model'!$J54*HelperFunctions!$R$14</f>
        <v>#VALUE!</v>
      </c>
      <c r="N54" t="e">
        <f>O53*'Scen Hypothetical vaccine model'!$K54</f>
        <v>#VALUE!</v>
      </c>
      <c r="O54" s="84" t="e">
        <f t="shared" si="3"/>
        <v>#VALUE!</v>
      </c>
      <c r="P54" t="e">
        <f>R53*'Scen Hypothetical vaccine model'!$J54*HelperFunctions!$R$14</f>
        <v>#VALUE!</v>
      </c>
      <c r="Q54" t="e">
        <f>R53*'Scen Hypothetical vaccine model'!$K54</f>
        <v>#VALUE!</v>
      </c>
      <c r="R54" s="84" t="e">
        <f t="shared" si="4"/>
        <v>#VALUE!</v>
      </c>
      <c r="S54" t="e">
        <f>U53*'Scen Hypothetical vaccine model'!$J54*HelperFunctions!$R$14</f>
        <v>#VALUE!</v>
      </c>
      <c r="T54" t="e">
        <f>U53*'Scen Hypothetical vaccine model'!$K54</f>
        <v>#VALUE!</v>
      </c>
      <c r="U54" s="84" t="e">
        <f t="shared" si="5"/>
        <v>#VALUE!</v>
      </c>
      <c r="V54" t="e">
        <f>X53*'Scen Hypothetical vaccine model'!$J54*HelperFunctions!$R$14</f>
        <v>#VALUE!</v>
      </c>
      <c r="W54" t="e">
        <f>X53*'Scen Hypothetical vaccine model'!$K54</f>
        <v>#VALUE!</v>
      </c>
      <c r="X54" s="84" t="e">
        <f t="shared" si="6"/>
        <v>#VALUE!</v>
      </c>
      <c r="Y54" t="e">
        <f>AA53*'Scen Hypothetical vaccine model'!$J54*HelperFunctions!$R$14</f>
        <v>#VALUE!</v>
      </c>
      <c r="Z54" t="e">
        <f>AA53*'Scen Hypothetical vaccine model'!$K54</f>
        <v>#VALUE!</v>
      </c>
      <c r="AA54" s="84" t="e">
        <f t="shared" si="7"/>
        <v>#VALUE!</v>
      </c>
      <c r="AB54" t="e">
        <f>AD53*'Scen Hypothetical vaccine model'!$J54*HelperFunctions!$R$14</f>
        <v>#VALUE!</v>
      </c>
      <c r="AC54" t="e">
        <f>AD53*'Scen Hypothetical vaccine model'!$K54</f>
        <v>#VALUE!</v>
      </c>
      <c r="AD54" s="84" t="e">
        <f t="shared" si="8"/>
        <v>#VALUE!</v>
      </c>
      <c r="AE54" t="e">
        <f>AG53*'Scen Hypothetical vaccine model'!$J54*HelperFunctions!$R$14</f>
        <v>#VALUE!</v>
      </c>
      <c r="AF54" t="e">
        <f>AG53*'Scen Hypothetical vaccine model'!$K54</f>
        <v>#VALUE!</v>
      </c>
      <c r="AG54" s="84" t="e">
        <f t="shared" si="9"/>
        <v>#VALUE!</v>
      </c>
      <c r="AH54" t="e">
        <f>AJ53*'Scen Hypothetical vaccine model'!$J54*HelperFunctions!$R$14</f>
        <v>#VALUE!</v>
      </c>
      <c r="AI54" t="e">
        <f>AJ53*'Scen Hypothetical vaccine model'!$K54</f>
        <v>#VALUE!</v>
      </c>
      <c r="AJ54" s="84" t="e">
        <f t="shared" si="10"/>
        <v>#VALUE!</v>
      </c>
      <c r="AK54" t="e">
        <f>AM53*'Scen Hypothetical vaccine model'!$J54*HelperFunctions!$R$14</f>
        <v>#VALUE!</v>
      </c>
      <c r="AL54" t="e">
        <f>AM53*'Scen Hypothetical vaccine model'!$K54</f>
        <v>#VALUE!</v>
      </c>
      <c r="AM54" s="84" t="e">
        <f t="shared" si="11"/>
        <v>#VALUE!</v>
      </c>
      <c r="AN54" t="e">
        <f>AP53*'Scen Hypothetical vaccine model'!$J54*HelperFunctions!$R$28</f>
        <v>#VALUE!</v>
      </c>
      <c r="AO54" t="e">
        <f>AP53*'Scen Hypothetical vaccine model'!$K54</f>
        <v>#VALUE!</v>
      </c>
      <c r="AP54" s="84" t="e">
        <f t="shared" si="12"/>
        <v>#VALUE!</v>
      </c>
      <c r="AQ54" t="e">
        <f>AS53*'Scen Hypothetical vaccine model'!$J54*HelperFunctions!$R$28</f>
        <v>#VALUE!</v>
      </c>
      <c r="AR54" t="e">
        <f>AS53*'Scen Hypothetical vaccine model'!$K54</f>
        <v>#VALUE!</v>
      </c>
      <c r="AS54" s="84" t="e">
        <f t="shared" si="13"/>
        <v>#VALUE!</v>
      </c>
      <c r="AT54" t="e">
        <f>AV53*'Scen Hypothetical vaccine model'!$J54*HelperFunctions!$R$28</f>
        <v>#VALUE!</v>
      </c>
      <c r="AU54" t="e">
        <f>AV53*'Scen Hypothetical vaccine model'!$K54</f>
        <v>#VALUE!</v>
      </c>
      <c r="AV54" s="84" t="e">
        <f t="shared" si="14"/>
        <v>#VALUE!</v>
      </c>
      <c r="AW54" t="e">
        <f>AY53*'Scen Hypothetical vaccine model'!$J54*HelperFunctions!$R$28</f>
        <v>#VALUE!</v>
      </c>
      <c r="AX54" t="e">
        <f>AY53*'Scen Hypothetical vaccine model'!$K54</f>
        <v>#VALUE!</v>
      </c>
      <c r="AY54" s="84" t="e">
        <f t="shared" si="15"/>
        <v>#VALUE!</v>
      </c>
      <c r="AZ54" t="e">
        <f>BB53*'Scen Hypothetical vaccine model'!$J54*HelperFunctions!$R$28</f>
        <v>#VALUE!</v>
      </c>
      <c r="BA54" t="e">
        <f>BB53*'Scen Hypothetical vaccine model'!$K54</f>
        <v>#VALUE!</v>
      </c>
      <c r="BB54" s="84" t="e">
        <f t="shared" si="16"/>
        <v>#VALUE!</v>
      </c>
      <c r="BC54" t="e">
        <f>BE53*'Scen Hypothetical vaccine model'!$J54*HelperFunctions!$R$28</f>
        <v>#VALUE!</v>
      </c>
      <c r="BD54" t="e">
        <f>BE53*'Scen Hypothetical vaccine model'!$K54</f>
        <v>#VALUE!</v>
      </c>
      <c r="BE54" s="84" t="e">
        <f t="shared" si="17"/>
        <v>#VALUE!</v>
      </c>
      <c r="BF54" t="e">
        <f>BH53*'Scen Hypothetical vaccine model'!$J54*HelperFunctions!$R$28</f>
        <v>#VALUE!</v>
      </c>
      <c r="BG54" t="e">
        <f>BH53*'Scen Hypothetical vaccine model'!$K54</f>
        <v>#VALUE!</v>
      </c>
      <c r="BH54" s="84" t="e">
        <f t="shared" si="18"/>
        <v>#VALUE!</v>
      </c>
      <c r="BI54" t="e">
        <f>BK53*'Scen Hypothetical vaccine model'!$J54*HelperFunctions!$R$28</f>
        <v>#VALUE!</v>
      </c>
      <c r="BJ54" t="e">
        <f>BK53*'Scen Hypothetical vaccine model'!$K54</f>
        <v>#VALUE!</v>
      </c>
      <c r="BK54" s="84" t="e">
        <f t="shared" si="19"/>
        <v>#VALUE!</v>
      </c>
      <c r="BL54" t="e">
        <f>BN53*'Scen Hypothetical vaccine model'!$J54*HelperFunctions!$R$28</f>
        <v>#VALUE!</v>
      </c>
      <c r="BM54" t="e">
        <f>BN53*'Scen Hypothetical vaccine model'!$K54</f>
        <v>#VALUE!</v>
      </c>
      <c r="BN54" s="84" t="e">
        <f t="shared" si="20"/>
        <v>#VALUE!</v>
      </c>
      <c r="BO54" t="e">
        <f>BQ53*'Scen Hypothetical vaccine model'!$J54*HelperFunctions!$R$28</f>
        <v>#VALUE!</v>
      </c>
      <c r="BP54" t="e">
        <f>BQ53*'Scen Hypothetical vaccine model'!$K54</f>
        <v>#VALUE!</v>
      </c>
      <c r="BQ54" s="84" t="e">
        <f t="shared" si="21"/>
        <v>#VALUE!</v>
      </c>
      <c r="BR54" t="e">
        <f>BT53*'Scen Hypothetical vaccine model'!$J54*HelperFunctions!$R$28</f>
        <v>#VALUE!</v>
      </c>
      <c r="BS54" t="e">
        <f>BT53*'Scen Hypothetical vaccine model'!$K54</f>
        <v>#VALUE!</v>
      </c>
      <c r="BT54" s="84" t="e">
        <f t="shared" si="22"/>
        <v>#VALUE!</v>
      </c>
      <c r="BU54" t="e">
        <f>BW53*'Scen Hypothetical vaccine model'!$J54*HelperFunctions!$R$28</f>
        <v>#VALUE!</v>
      </c>
      <c r="BV54" t="e">
        <f>BW53*'Scen Hypothetical vaccine model'!$K54</f>
        <v>#VALUE!</v>
      </c>
      <c r="BW54" s="84" t="e">
        <f t="shared" si="23"/>
        <v>#VALUE!</v>
      </c>
      <c r="BX54" t="e">
        <f>BZ53*'Scen Hypothetical vaccine model'!$J54*HelperFunctions!$R$42</f>
        <v>#VALUE!</v>
      </c>
      <c r="BY54" t="e">
        <f>BZ53*'Scen Hypothetical vaccine model'!$K54</f>
        <v>#VALUE!</v>
      </c>
      <c r="BZ54" s="84" t="e">
        <f t="shared" si="24"/>
        <v>#VALUE!</v>
      </c>
      <c r="CA54" t="e">
        <f>CC53*'Scen Hypothetical vaccine model'!$J54*HelperFunctions!$R$42</f>
        <v>#VALUE!</v>
      </c>
      <c r="CB54" t="e">
        <f>CC53*'Scen Hypothetical vaccine model'!$K54</f>
        <v>#VALUE!</v>
      </c>
      <c r="CC54" s="84" t="e">
        <f t="shared" si="25"/>
        <v>#VALUE!</v>
      </c>
      <c r="CD54" t="e">
        <f>CF53*'Scen Hypothetical vaccine model'!$J54*HelperFunctions!$R$42</f>
        <v>#VALUE!</v>
      </c>
      <c r="CE54" t="e">
        <f>CF53*'Scen Hypothetical vaccine model'!$K54</f>
        <v>#VALUE!</v>
      </c>
      <c r="CF54" s="84" t="e">
        <f t="shared" si="26"/>
        <v>#VALUE!</v>
      </c>
      <c r="CG54" t="e">
        <f>CI53*'Scen Hypothetical vaccine model'!$J54*HelperFunctions!$R$42</f>
        <v>#VALUE!</v>
      </c>
      <c r="CH54" t="e">
        <f>CI53*'Scen Hypothetical vaccine model'!$K54</f>
        <v>#VALUE!</v>
      </c>
      <c r="CI54" s="84" t="e">
        <f t="shared" si="27"/>
        <v>#VALUE!</v>
      </c>
      <c r="CJ54" t="e">
        <f>CL53*'Scen Hypothetical vaccine model'!$J54*HelperFunctions!$R$42</f>
        <v>#VALUE!</v>
      </c>
      <c r="CK54" t="e">
        <f>CL53*'Scen Hypothetical vaccine model'!$K54</f>
        <v>#VALUE!</v>
      </c>
      <c r="CL54" s="84" t="e">
        <f t="shared" si="28"/>
        <v>#VALUE!</v>
      </c>
      <c r="CM54" t="e">
        <f>CO53*'Scen Hypothetical vaccine model'!$J54*HelperFunctions!$R$42</f>
        <v>#VALUE!</v>
      </c>
      <c r="CN54" t="e">
        <f>CO53*'Scen Hypothetical vaccine model'!$K54</f>
        <v>#VALUE!</v>
      </c>
      <c r="CO54" s="84" t="e">
        <f t="shared" si="29"/>
        <v>#VALUE!</v>
      </c>
      <c r="CP54" t="e">
        <f>CR53*'Scen Hypothetical vaccine model'!$J54*HelperFunctions!$R$42</f>
        <v>#VALUE!</v>
      </c>
      <c r="CQ54" t="e">
        <f>CR53*'Scen Hypothetical vaccine model'!$K54</f>
        <v>#VALUE!</v>
      </c>
      <c r="CR54" s="84" t="e">
        <f t="shared" si="30"/>
        <v>#VALUE!</v>
      </c>
      <c r="CS54" t="e">
        <f>CU53*'Scen Hypothetical vaccine model'!$J54*HelperFunctions!$R$42</f>
        <v>#VALUE!</v>
      </c>
      <c r="CT54" t="e">
        <f>CU53*'Scen Hypothetical vaccine model'!$K54</f>
        <v>#VALUE!</v>
      </c>
      <c r="CU54" s="84" t="e">
        <f t="shared" si="31"/>
        <v>#VALUE!</v>
      </c>
      <c r="CV54" t="e">
        <f>CX53*'Scen Hypothetical vaccine model'!$J54*HelperFunctions!$R$42</f>
        <v>#VALUE!</v>
      </c>
      <c r="CW54" t="e">
        <f>CX53*'Scen Hypothetical vaccine model'!$K54</f>
        <v>#VALUE!</v>
      </c>
      <c r="CX54" s="84" t="e">
        <f t="shared" si="32"/>
        <v>#VALUE!</v>
      </c>
      <c r="CY54" t="e">
        <f>DA53*'Scen Hypothetical vaccine model'!$J54*HelperFunctions!$R$42</f>
        <v>#VALUE!</v>
      </c>
      <c r="CZ54" t="e">
        <f>DA53*'Scen Hypothetical vaccine model'!$K54</f>
        <v>#VALUE!</v>
      </c>
      <c r="DA54" s="84" t="e">
        <f t="shared" si="33"/>
        <v>#VALUE!</v>
      </c>
      <c r="DB54" t="e">
        <f>DD53*'Scen Hypothetical vaccine model'!$J54*HelperFunctions!$R$42</f>
        <v>#VALUE!</v>
      </c>
      <c r="DC54" t="e">
        <f>DD53*'Scen Hypothetical vaccine model'!$K54</f>
        <v>#VALUE!</v>
      </c>
      <c r="DD54" s="84" t="e">
        <f t="shared" si="34"/>
        <v>#VALUE!</v>
      </c>
      <c r="DE54" t="e">
        <f>DG53*'Scen Hypothetical vaccine model'!$J54*HelperFunctions!$R$42</f>
        <v>#VALUE!</v>
      </c>
      <c r="DF54" t="e">
        <f>DG53*'Scen Hypothetical vaccine model'!$K54</f>
        <v>#VALUE!</v>
      </c>
      <c r="DG54" s="84" t="e">
        <f t="shared" si="35"/>
        <v>#VALUE!</v>
      </c>
      <c r="DH54" t="e">
        <f>DJ53*'Scen Hypothetical vaccine model'!$J54*HelperFunctions!$R$56</f>
        <v>#VALUE!</v>
      </c>
      <c r="DI54" t="e">
        <f>DJ53*'Scen Hypothetical vaccine model'!$K54</f>
        <v>#VALUE!</v>
      </c>
      <c r="DJ54" s="84" t="e">
        <f t="shared" si="36"/>
        <v>#VALUE!</v>
      </c>
      <c r="DK54" t="e">
        <f>DM53*'Scen Hypothetical vaccine model'!$J54*HelperFunctions!$R$56</f>
        <v>#VALUE!</v>
      </c>
      <c r="DL54" t="e">
        <f>DM53*'Scen Hypothetical vaccine model'!$K54</f>
        <v>#VALUE!</v>
      </c>
      <c r="DM54" s="84" t="e">
        <f t="shared" si="37"/>
        <v>#VALUE!</v>
      </c>
      <c r="DN54" t="e">
        <f>DP53*'Scen Hypothetical vaccine model'!$J54*HelperFunctions!$R$56</f>
        <v>#VALUE!</v>
      </c>
      <c r="DO54" t="e">
        <f>DP53*'Scen Hypothetical vaccine model'!$K54</f>
        <v>#VALUE!</v>
      </c>
      <c r="DP54" s="84" t="e">
        <f t="shared" si="38"/>
        <v>#VALUE!</v>
      </c>
      <c r="DQ54" t="e">
        <f>DS53*'Scen Hypothetical vaccine model'!$J54*HelperFunctions!$R55</f>
        <v>#VALUE!</v>
      </c>
      <c r="DR54" t="e">
        <f>DS53*'Scen Hypothetical vaccine model'!$K54</f>
        <v>#VALUE!</v>
      </c>
      <c r="DS54" s="84" t="e">
        <f t="shared" si="39"/>
        <v>#VALUE!</v>
      </c>
      <c r="DT54" t="e">
        <f>DV53*'Scen Hypothetical vaccine model'!$J54*HelperFunctions!$R54</f>
        <v>#VALUE!</v>
      </c>
      <c r="DU54" t="e">
        <f>DV53*'Scen Hypothetical vaccine model'!$K54</f>
        <v>#VALUE!</v>
      </c>
      <c r="DV54" s="84" t="e">
        <f t="shared" si="40"/>
        <v>#VALUE!</v>
      </c>
      <c r="DW54" t="e">
        <f>DY53*'Scen Hypothetical vaccine model'!$J54*HelperFunctions!$R53</f>
        <v>#VALUE!</v>
      </c>
      <c r="DX54" t="e">
        <f>DY53*'Scen Hypothetical vaccine model'!$K54</f>
        <v>#VALUE!</v>
      </c>
      <c r="DY54" s="84" t="e">
        <f t="shared" si="41"/>
        <v>#VALUE!</v>
      </c>
      <c r="DZ54" t="e">
        <f>EB53*'Scen Hypothetical vaccine model'!$J54*HelperFunctions!$R52</f>
        <v>#VALUE!</v>
      </c>
      <c r="EA54" t="e">
        <f>EB53*'Scen Hypothetical vaccine model'!$K54</f>
        <v>#VALUE!</v>
      </c>
      <c r="EB54" s="84" t="e">
        <f t="shared" si="42"/>
        <v>#VALUE!</v>
      </c>
      <c r="EC54" t="e">
        <f>EE53*'Scen Hypothetical vaccine model'!$J54*HelperFunctions!$R51</f>
        <v>#VALUE!</v>
      </c>
      <c r="ED54" t="e">
        <f>EE53*'Scen Hypothetical vaccine model'!$K54</f>
        <v>#VALUE!</v>
      </c>
      <c r="EE54" s="84" t="e">
        <f t="shared" si="43"/>
        <v>#VALUE!</v>
      </c>
      <c r="EF54" t="e">
        <f>EH53*'Scen Hypothetical vaccine model'!$J54*HelperFunctions!$R50</f>
        <v>#VALUE!</v>
      </c>
      <c r="EG54" t="e">
        <f>EH53*'Scen Hypothetical vaccine model'!$K54</f>
        <v>#VALUE!</v>
      </c>
      <c r="EH54" s="84" t="e">
        <f t="shared" si="44"/>
        <v>#VALUE!</v>
      </c>
      <c r="EI54" t="e">
        <f>EK53*'Scen Hypothetical vaccine model'!$J54*HelperFunctions!$R49</f>
        <v>#VALUE!</v>
      </c>
      <c r="EJ54" t="e">
        <f>EK53*'Scen Hypothetical vaccine model'!$K54</f>
        <v>#VALUE!</v>
      </c>
      <c r="EK54" s="84" t="e">
        <f t="shared" si="45"/>
        <v>#VALUE!</v>
      </c>
      <c r="EL54" t="e">
        <f>EN53*'Scen Hypothetical vaccine model'!$J54*HelperFunctions!$R48</f>
        <v>#VALUE!</v>
      </c>
      <c r="EM54" t="e">
        <f>EN53*'Scen Hypothetical vaccine model'!$K54</f>
        <v>#VALUE!</v>
      </c>
      <c r="EN54" s="84" t="e">
        <f t="shared" si="46"/>
        <v>#VALUE!</v>
      </c>
      <c r="EO54" t="e">
        <f>EQ53*'Scen Hypothetical vaccine model'!$J54*HelperFunctions!$R47</f>
        <v>#VALUE!</v>
      </c>
      <c r="EP54" t="e">
        <f>EQ53*'Scen Hypothetical vaccine model'!$K54</f>
        <v>#VALUE!</v>
      </c>
      <c r="EQ54" s="84" t="e">
        <f t="shared" si="47"/>
        <v>#VALUE!</v>
      </c>
      <c r="ER54" t="e">
        <f>ET53*'Scen Hypothetical vaccine model'!$J54*HelperFunctions!$R60</f>
        <v>#VALUE!</v>
      </c>
      <c r="ES54" t="e">
        <f>ET53*'Scen Hypothetical vaccine model'!$K54</f>
        <v>#VALUE!</v>
      </c>
      <c r="ET54" s="84" t="e">
        <f t="shared" ref="ET54:ET63" si="48">ET53-ER54-ES54</f>
        <v>#VALUE!</v>
      </c>
      <c r="EU54" t="e">
        <f>EW53*'Scen Hypothetical vaccine model'!$J54*HelperFunctions!$R59</f>
        <v>#VALUE!</v>
      </c>
      <c r="EV54" t="e">
        <f>EW53*'Scen Hypothetical vaccine model'!$K54</f>
        <v>#VALUE!</v>
      </c>
      <c r="EW54" s="84" t="e">
        <f>EW53-EU54-EV54</f>
        <v>#VALUE!</v>
      </c>
      <c r="EX54" s="93"/>
      <c r="EY54" s="93"/>
      <c r="EZ54" s="84" t="e">
        <f>Export!$N52*'Scen EffectivelyVax'!$A53*(1-HelperFunctions!$G$59)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35">
      <c r="B55">
        <v>4</v>
      </c>
      <c r="C55" t="str">
        <f>Inputs!I75</f>
        <v/>
      </c>
      <c r="D55" t="e">
        <f>F54*'Scen Hypothetical vaccine model'!J55*HelperFunctions!R$14</f>
        <v>#VALUE!</v>
      </c>
      <c r="E55" t="e">
        <f>F54*'Scen Hypothetical vaccine model'!K55</f>
        <v>#VALUE!</v>
      </c>
      <c r="F55" s="84" t="e">
        <f t="shared" si="0"/>
        <v>#VALUE!</v>
      </c>
      <c r="G55" t="e">
        <f>I54*'Scen Hypothetical vaccine model'!$J55*HelperFunctions!$R$14</f>
        <v>#VALUE!</v>
      </c>
      <c r="H55" t="e">
        <f>I54*'Scen Hypothetical vaccine model'!$K55</f>
        <v>#VALUE!</v>
      </c>
      <c r="I55" s="84" t="e">
        <f t="shared" si="1"/>
        <v>#VALUE!</v>
      </c>
      <c r="J55" t="e">
        <f>L54*'Scen Hypothetical vaccine model'!$J55*HelperFunctions!$R$14</f>
        <v>#VALUE!</v>
      </c>
      <c r="K55" t="e">
        <f>L54*'Scen Hypothetical vaccine model'!$K55</f>
        <v>#VALUE!</v>
      </c>
      <c r="L55" s="84" t="e">
        <f t="shared" si="2"/>
        <v>#VALUE!</v>
      </c>
      <c r="M55" t="e">
        <f>O54*'Scen Hypothetical vaccine model'!$J55*HelperFunctions!$R$14</f>
        <v>#VALUE!</v>
      </c>
      <c r="N55" t="e">
        <f>O54*'Scen Hypothetical vaccine model'!$K55</f>
        <v>#VALUE!</v>
      </c>
      <c r="O55" s="84" t="e">
        <f t="shared" si="3"/>
        <v>#VALUE!</v>
      </c>
      <c r="P55" t="e">
        <f>R54*'Scen Hypothetical vaccine model'!$J55*HelperFunctions!$R$14</f>
        <v>#VALUE!</v>
      </c>
      <c r="Q55" t="e">
        <f>R54*'Scen Hypothetical vaccine model'!$K55</f>
        <v>#VALUE!</v>
      </c>
      <c r="R55" s="84" t="e">
        <f t="shared" si="4"/>
        <v>#VALUE!</v>
      </c>
      <c r="S55" t="e">
        <f>U54*'Scen Hypothetical vaccine model'!$J55*HelperFunctions!$R$14</f>
        <v>#VALUE!</v>
      </c>
      <c r="T55" t="e">
        <f>U54*'Scen Hypothetical vaccine model'!$K55</f>
        <v>#VALUE!</v>
      </c>
      <c r="U55" s="84" t="e">
        <f t="shared" si="5"/>
        <v>#VALUE!</v>
      </c>
      <c r="V55" t="e">
        <f>X54*'Scen Hypothetical vaccine model'!$J55*HelperFunctions!$R$14</f>
        <v>#VALUE!</v>
      </c>
      <c r="W55" t="e">
        <f>X54*'Scen Hypothetical vaccine model'!$K55</f>
        <v>#VALUE!</v>
      </c>
      <c r="X55" s="84" t="e">
        <f t="shared" si="6"/>
        <v>#VALUE!</v>
      </c>
      <c r="Y55" t="e">
        <f>AA54*'Scen Hypothetical vaccine model'!$J55*HelperFunctions!$R$14</f>
        <v>#VALUE!</v>
      </c>
      <c r="Z55" t="e">
        <f>AA54*'Scen Hypothetical vaccine model'!$K55</f>
        <v>#VALUE!</v>
      </c>
      <c r="AA55" s="84" t="e">
        <f t="shared" si="7"/>
        <v>#VALUE!</v>
      </c>
      <c r="AB55" t="e">
        <f>AD54*'Scen Hypothetical vaccine model'!$J55*HelperFunctions!$R$14</f>
        <v>#VALUE!</v>
      </c>
      <c r="AC55" t="e">
        <f>AD54*'Scen Hypothetical vaccine model'!$K55</f>
        <v>#VALUE!</v>
      </c>
      <c r="AD55" s="84" t="e">
        <f t="shared" si="8"/>
        <v>#VALUE!</v>
      </c>
      <c r="AE55" t="e">
        <f>AG54*'Scen Hypothetical vaccine model'!$J55*HelperFunctions!$R$14</f>
        <v>#VALUE!</v>
      </c>
      <c r="AF55" t="e">
        <f>AG54*'Scen Hypothetical vaccine model'!$K55</f>
        <v>#VALUE!</v>
      </c>
      <c r="AG55" s="84" t="e">
        <f t="shared" si="9"/>
        <v>#VALUE!</v>
      </c>
      <c r="AH55" t="e">
        <f>AJ54*'Scen Hypothetical vaccine model'!$J55*HelperFunctions!$R$14</f>
        <v>#VALUE!</v>
      </c>
      <c r="AI55" t="e">
        <f>AJ54*'Scen Hypothetical vaccine model'!$K55</f>
        <v>#VALUE!</v>
      </c>
      <c r="AJ55" s="84" t="e">
        <f t="shared" si="10"/>
        <v>#VALUE!</v>
      </c>
      <c r="AK55" t="e">
        <f>AM54*'Scen Hypothetical vaccine model'!$J55*HelperFunctions!$R$14</f>
        <v>#VALUE!</v>
      </c>
      <c r="AL55" t="e">
        <f>AM54*'Scen Hypothetical vaccine model'!$K55</f>
        <v>#VALUE!</v>
      </c>
      <c r="AM55" s="84" t="e">
        <f t="shared" si="11"/>
        <v>#VALUE!</v>
      </c>
      <c r="AN55" t="e">
        <f>AP54*'Scen Hypothetical vaccine model'!$J55*HelperFunctions!$R$28</f>
        <v>#VALUE!</v>
      </c>
      <c r="AO55" t="e">
        <f>AP54*'Scen Hypothetical vaccine model'!$K55</f>
        <v>#VALUE!</v>
      </c>
      <c r="AP55" s="84" t="e">
        <f t="shared" si="12"/>
        <v>#VALUE!</v>
      </c>
      <c r="AQ55" t="e">
        <f>AS54*'Scen Hypothetical vaccine model'!$J55*HelperFunctions!$R$28</f>
        <v>#VALUE!</v>
      </c>
      <c r="AR55" t="e">
        <f>AS54*'Scen Hypothetical vaccine model'!$K55</f>
        <v>#VALUE!</v>
      </c>
      <c r="AS55" s="84" t="e">
        <f t="shared" si="13"/>
        <v>#VALUE!</v>
      </c>
      <c r="AT55" t="e">
        <f>AV54*'Scen Hypothetical vaccine model'!$J55*HelperFunctions!$R$28</f>
        <v>#VALUE!</v>
      </c>
      <c r="AU55" t="e">
        <f>AV54*'Scen Hypothetical vaccine model'!$K55</f>
        <v>#VALUE!</v>
      </c>
      <c r="AV55" s="84" t="e">
        <f t="shared" si="14"/>
        <v>#VALUE!</v>
      </c>
      <c r="AW55" t="e">
        <f>AY54*'Scen Hypothetical vaccine model'!$J55*HelperFunctions!$R$28</f>
        <v>#VALUE!</v>
      </c>
      <c r="AX55" t="e">
        <f>AY54*'Scen Hypothetical vaccine model'!$K55</f>
        <v>#VALUE!</v>
      </c>
      <c r="AY55" s="84" t="e">
        <f t="shared" si="15"/>
        <v>#VALUE!</v>
      </c>
      <c r="AZ55" t="e">
        <f>BB54*'Scen Hypothetical vaccine model'!$J55*HelperFunctions!$R$28</f>
        <v>#VALUE!</v>
      </c>
      <c r="BA55" t="e">
        <f>BB54*'Scen Hypothetical vaccine model'!$K55</f>
        <v>#VALUE!</v>
      </c>
      <c r="BB55" s="84" t="e">
        <f t="shared" si="16"/>
        <v>#VALUE!</v>
      </c>
      <c r="BC55" t="e">
        <f>BE54*'Scen Hypothetical vaccine model'!$J55*HelperFunctions!$R$28</f>
        <v>#VALUE!</v>
      </c>
      <c r="BD55" t="e">
        <f>BE54*'Scen Hypothetical vaccine model'!$K55</f>
        <v>#VALUE!</v>
      </c>
      <c r="BE55" s="84" t="e">
        <f t="shared" si="17"/>
        <v>#VALUE!</v>
      </c>
      <c r="BF55" t="e">
        <f>BH54*'Scen Hypothetical vaccine model'!$J55*HelperFunctions!$R$28</f>
        <v>#VALUE!</v>
      </c>
      <c r="BG55" t="e">
        <f>BH54*'Scen Hypothetical vaccine model'!$K55</f>
        <v>#VALUE!</v>
      </c>
      <c r="BH55" s="84" t="e">
        <f t="shared" si="18"/>
        <v>#VALUE!</v>
      </c>
      <c r="BI55" t="e">
        <f>BK54*'Scen Hypothetical vaccine model'!$J55*HelperFunctions!$R$28</f>
        <v>#VALUE!</v>
      </c>
      <c r="BJ55" t="e">
        <f>BK54*'Scen Hypothetical vaccine model'!$K55</f>
        <v>#VALUE!</v>
      </c>
      <c r="BK55" s="84" t="e">
        <f t="shared" si="19"/>
        <v>#VALUE!</v>
      </c>
      <c r="BL55" t="e">
        <f>BN54*'Scen Hypothetical vaccine model'!$J55*HelperFunctions!$R$28</f>
        <v>#VALUE!</v>
      </c>
      <c r="BM55" t="e">
        <f>BN54*'Scen Hypothetical vaccine model'!$K55</f>
        <v>#VALUE!</v>
      </c>
      <c r="BN55" s="84" t="e">
        <f t="shared" si="20"/>
        <v>#VALUE!</v>
      </c>
      <c r="BO55" t="e">
        <f>BQ54*'Scen Hypothetical vaccine model'!$J55*HelperFunctions!$R$28</f>
        <v>#VALUE!</v>
      </c>
      <c r="BP55" t="e">
        <f>BQ54*'Scen Hypothetical vaccine model'!$K55</f>
        <v>#VALUE!</v>
      </c>
      <c r="BQ55" s="84" t="e">
        <f t="shared" si="21"/>
        <v>#VALUE!</v>
      </c>
      <c r="BR55" t="e">
        <f>BT54*'Scen Hypothetical vaccine model'!$J55*HelperFunctions!$R$28</f>
        <v>#VALUE!</v>
      </c>
      <c r="BS55" t="e">
        <f>BT54*'Scen Hypothetical vaccine model'!$K55</f>
        <v>#VALUE!</v>
      </c>
      <c r="BT55" s="84" t="e">
        <f t="shared" si="22"/>
        <v>#VALUE!</v>
      </c>
      <c r="BU55" t="e">
        <f>BW54*'Scen Hypothetical vaccine model'!$J55*HelperFunctions!$R$28</f>
        <v>#VALUE!</v>
      </c>
      <c r="BV55" t="e">
        <f>BW54*'Scen Hypothetical vaccine model'!$K55</f>
        <v>#VALUE!</v>
      </c>
      <c r="BW55" s="84" t="e">
        <f t="shared" si="23"/>
        <v>#VALUE!</v>
      </c>
      <c r="BX55" t="e">
        <f>BZ54*'Scen Hypothetical vaccine model'!$J55*HelperFunctions!$R$42</f>
        <v>#VALUE!</v>
      </c>
      <c r="BY55" t="e">
        <f>BZ54*'Scen Hypothetical vaccine model'!$K55</f>
        <v>#VALUE!</v>
      </c>
      <c r="BZ55" s="84" t="e">
        <f t="shared" si="24"/>
        <v>#VALUE!</v>
      </c>
      <c r="CA55" t="e">
        <f>CC54*'Scen Hypothetical vaccine model'!$J55*HelperFunctions!$R$42</f>
        <v>#VALUE!</v>
      </c>
      <c r="CB55" t="e">
        <f>CC54*'Scen Hypothetical vaccine model'!$K55</f>
        <v>#VALUE!</v>
      </c>
      <c r="CC55" s="84" t="e">
        <f t="shared" si="25"/>
        <v>#VALUE!</v>
      </c>
      <c r="CD55" t="e">
        <f>CF54*'Scen Hypothetical vaccine model'!$J55*HelperFunctions!$R$42</f>
        <v>#VALUE!</v>
      </c>
      <c r="CE55" t="e">
        <f>CF54*'Scen Hypothetical vaccine model'!$K55</f>
        <v>#VALUE!</v>
      </c>
      <c r="CF55" s="84" t="e">
        <f t="shared" si="26"/>
        <v>#VALUE!</v>
      </c>
      <c r="CG55" t="e">
        <f>CI54*'Scen Hypothetical vaccine model'!$J55*HelperFunctions!$R$42</f>
        <v>#VALUE!</v>
      </c>
      <c r="CH55" t="e">
        <f>CI54*'Scen Hypothetical vaccine model'!$K55</f>
        <v>#VALUE!</v>
      </c>
      <c r="CI55" s="84" t="e">
        <f t="shared" si="27"/>
        <v>#VALUE!</v>
      </c>
      <c r="CJ55" t="e">
        <f>CL54*'Scen Hypothetical vaccine model'!$J55*HelperFunctions!$R$42</f>
        <v>#VALUE!</v>
      </c>
      <c r="CK55" t="e">
        <f>CL54*'Scen Hypothetical vaccine model'!$K55</f>
        <v>#VALUE!</v>
      </c>
      <c r="CL55" s="84" t="e">
        <f t="shared" si="28"/>
        <v>#VALUE!</v>
      </c>
      <c r="CM55" t="e">
        <f>CO54*'Scen Hypothetical vaccine model'!$J55*HelperFunctions!$R$42</f>
        <v>#VALUE!</v>
      </c>
      <c r="CN55" t="e">
        <f>CO54*'Scen Hypothetical vaccine model'!$K55</f>
        <v>#VALUE!</v>
      </c>
      <c r="CO55" s="84" t="e">
        <f t="shared" si="29"/>
        <v>#VALUE!</v>
      </c>
      <c r="CP55" t="e">
        <f>CR54*'Scen Hypothetical vaccine model'!$J55*HelperFunctions!$R$42</f>
        <v>#VALUE!</v>
      </c>
      <c r="CQ55" t="e">
        <f>CR54*'Scen Hypothetical vaccine model'!$K55</f>
        <v>#VALUE!</v>
      </c>
      <c r="CR55" s="84" t="e">
        <f t="shared" si="30"/>
        <v>#VALUE!</v>
      </c>
      <c r="CS55" t="e">
        <f>CU54*'Scen Hypothetical vaccine model'!$J55*HelperFunctions!$R$42</f>
        <v>#VALUE!</v>
      </c>
      <c r="CT55" t="e">
        <f>CU54*'Scen Hypothetical vaccine model'!$K55</f>
        <v>#VALUE!</v>
      </c>
      <c r="CU55" s="84" t="e">
        <f t="shared" si="31"/>
        <v>#VALUE!</v>
      </c>
      <c r="CV55" t="e">
        <f>CX54*'Scen Hypothetical vaccine model'!$J55*HelperFunctions!$R$42</f>
        <v>#VALUE!</v>
      </c>
      <c r="CW55" t="e">
        <f>CX54*'Scen Hypothetical vaccine model'!$K55</f>
        <v>#VALUE!</v>
      </c>
      <c r="CX55" s="84" t="e">
        <f t="shared" si="32"/>
        <v>#VALUE!</v>
      </c>
      <c r="CY55" t="e">
        <f>DA54*'Scen Hypothetical vaccine model'!$J55*HelperFunctions!$R$42</f>
        <v>#VALUE!</v>
      </c>
      <c r="CZ55" t="e">
        <f>DA54*'Scen Hypothetical vaccine model'!$K55</f>
        <v>#VALUE!</v>
      </c>
      <c r="DA55" s="84" t="e">
        <f t="shared" si="33"/>
        <v>#VALUE!</v>
      </c>
      <c r="DB55" t="e">
        <f>DD54*'Scen Hypothetical vaccine model'!$J55*HelperFunctions!$R$42</f>
        <v>#VALUE!</v>
      </c>
      <c r="DC55" t="e">
        <f>DD54*'Scen Hypothetical vaccine model'!$K55</f>
        <v>#VALUE!</v>
      </c>
      <c r="DD55" s="84" t="e">
        <f t="shared" si="34"/>
        <v>#VALUE!</v>
      </c>
      <c r="DE55" t="e">
        <f>DG54*'Scen Hypothetical vaccine model'!$J55*HelperFunctions!$R$42</f>
        <v>#VALUE!</v>
      </c>
      <c r="DF55" t="e">
        <f>DG54*'Scen Hypothetical vaccine model'!$K55</f>
        <v>#VALUE!</v>
      </c>
      <c r="DG55" s="84" t="e">
        <f t="shared" si="35"/>
        <v>#VALUE!</v>
      </c>
      <c r="DH55" t="e">
        <f>DJ54*'Scen Hypothetical vaccine model'!$J55*HelperFunctions!$R$56</f>
        <v>#VALUE!</v>
      </c>
      <c r="DI55" t="e">
        <f>DJ54*'Scen Hypothetical vaccine model'!$K55</f>
        <v>#VALUE!</v>
      </c>
      <c r="DJ55" s="84" t="e">
        <f t="shared" si="36"/>
        <v>#VALUE!</v>
      </c>
      <c r="DK55" t="e">
        <f>DM54*'Scen Hypothetical vaccine model'!$J55*HelperFunctions!$R$56</f>
        <v>#VALUE!</v>
      </c>
      <c r="DL55" t="e">
        <f>DM54*'Scen Hypothetical vaccine model'!$K55</f>
        <v>#VALUE!</v>
      </c>
      <c r="DM55" s="84" t="e">
        <f t="shared" si="37"/>
        <v>#VALUE!</v>
      </c>
      <c r="DN55" t="e">
        <f>DP54*'Scen Hypothetical vaccine model'!$J55*HelperFunctions!$R$56</f>
        <v>#VALUE!</v>
      </c>
      <c r="DO55" t="e">
        <f>DP54*'Scen Hypothetical vaccine model'!$K55</f>
        <v>#VALUE!</v>
      </c>
      <c r="DP55" s="84" t="e">
        <f t="shared" si="38"/>
        <v>#VALUE!</v>
      </c>
      <c r="DQ55" t="e">
        <f>DS54*'Scen Hypothetical vaccine model'!$J55*HelperFunctions!$R$56</f>
        <v>#VALUE!</v>
      </c>
      <c r="DR55" t="e">
        <f>DS54*'Scen Hypothetical vaccine model'!$K55</f>
        <v>#VALUE!</v>
      </c>
      <c r="DS55" s="84" t="e">
        <f t="shared" si="39"/>
        <v>#VALUE!</v>
      </c>
      <c r="DT55" t="e">
        <f>DV54*'Scen Hypothetical vaccine model'!$J55*HelperFunctions!$R55</f>
        <v>#VALUE!</v>
      </c>
      <c r="DU55" t="e">
        <f>DV54*'Scen Hypothetical vaccine model'!$K55</f>
        <v>#VALUE!</v>
      </c>
      <c r="DV55" s="84" t="e">
        <f t="shared" si="40"/>
        <v>#VALUE!</v>
      </c>
      <c r="DW55" t="e">
        <f>DY54*'Scen Hypothetical vaccine model'!$J55*HelperFunctions!$R54</f>
        <v>#VALUE!</v>
      </c>
      <c r="DX55" t="e">
        <f>DY54*'Scen Hypothetical vaccine model'!$K55</f>
        <v>#VALUE!</v>
      </c>
      <c r="DY55" s="84" t="e">
        <f t="shared" si="41"/>
        <v>#VALUE!</v>
      </c>
      <c r="DZ55" t="e">
        <f>EB54*'Scen Hypothetical vaccine model'!$J55*HelperFunctions!$R53</f>
        <v>#VALUE!</v>
      </c>
      <c r="EA55" t="e">
        <f>EB54*'Scen Hypothetical vaccine model'!$K55</f>
        <v>#VALUE!</v>
      </c>
      <c r="EB55" s="84" t="e">
        <f t="shared" si="42"/>
        <v>#VALUE!</v>
      </c>
      <c r="EC55" t="e">
        <f>EE54*'Scen Hypothetical vaccine model'!$J55*HelperFunctions!$R52</f>
        <v>#VALUE!</v>
      </c>
      <c r="ED55" t="e">
        <f>EE54*'Scen Hypothetical vaccine model'!$K55</f>
        <v>#VALUE!</v>
      </c>
      <c r="EE55" s="84" t="e">
        <f t="shared" si="43"/>
        <v>#VALUE!</v>
      </c>
      <c r="EF55" t="e">
        <f>EH54*'Scen Hypothetical vaccine model'!$J55*HelperFunctions!$R51</f>
        <v>#VALUE!</v>
      </c>
      <c r="EG55" t="e">
        <f>EH54*'Scen Hypothetical vaccine model'!$K55</f>
        <v>#VALUE!</v>
      </c>
      <c r="EH55" s="84" t="e">
        <f t="shared" si="44"/>
        <v>#VALUE!</v>
      </c>
      <c r="EI55" t="e">
        <f>EK54*'Scen Hypothetical vaccine model'!$J55*HelperFunctions!$R50</f>
        <v>#VALUE!</v>
      </c>
      <c r="EJ55" t="e">
        <f>EK54*'Scen Hypothetical vaccine model'!$K55</f>
        <v>#VALUE!</v>
      </c>
      <c r="EK55" s="84" t="e">
        <f t="shared" si="45"/>
        <v>#VALUE!</v>
      </c>
      <c r="EL55" t="e">
        <f>EN54*'Scen Hypothetical vaccine model'!$J55*HelperFunctions!$R49</f>
        <v>#VALUE!</v>
      </c>
      <c r="EM55" t="e">
        <f>EN54*'Scen Hypothetical vaccine model'!$K55</f>
        <v>#VALUE!</v>
      </c>
      <c r="EN55" s="84" t="e">
        <f t="shared" si="46"/>
        <v>#VALUE!</v>
      </c>
      <c r="EO55" t="e">
        <f>EQ54*'Scen Hypothetical vaccine model'!$J55*HelperFunctions!$R48</f>
        <v>#VALUE!</v>
      </c>
      <c r="EP55" t="e">
        <f>EQ54*'Scen Hypothetical vaccine model'!$K55</f>
        <v>#VALUE!</v>
      </c>
      <c r="EQ55" s="84" t="e">
        <f t="shared" si="47"/>
        <v>#VALUE!</v>
      </c>
      <c r="ER55" t="e">
        <f>ET54*'Scen Hypothetical vaccine model'!$J55*HelperFunctions!$R61</f>
        <v>#VALUE!</v>
      </c>
      <c r="ES55" t="e">
        <f>ET54*'Scen Hypothetical vaccine model'!$K55</f>
        <v>#VALUE!</v>
      </c>
      <c r="ET55" s="84" t="e">
        <f t="shared" si="48"/>
        <v>#VALUE!</v>
      </c>
      <c r="EU55" t="e">
        <f>EW54*'Scen Hypothetical vaccine model'!$J55*HelperFunctions!$R60</f>
        <v>#VALUE!</v>
      </c>
      <c r="EV55" t="e">
        <f>EW54*'Scen Hypothetical vaccine model'!$K55</f>
        <v>#VALUE!</v>
      </c>
      <c r="EW55" s="84" t="e">
        <f t="shared" ref="EW55:EW63" si="49">EW54-EU55-EV55</f>
        <v>#VALUE!</v>
      </c>
      <c r="EX55" t="e">
        <f>EZ54*'Scen Hypothetical vaccine model'!$J55*HelperFunctions!$R59</f>
        <v>#VALUE!</v>
      </c>
      <c r="EY55" t="e">
        <f>EZ54*'Scen Hypothetical vaccine model'!$K55</f>
        <v>#VALUE!</v>
      </c>
      <c r="EZ55" s="84" t="e">
        <f>EZ54-EX55-EY55</f>
        <v>#VALUE!</v>
      </c>
      <c r="FA55" s="93"/>
      <c r="FB55" s="93"/>
      <c r="FC55" s="84" t="e">
        <f>Export!$N53*'Scen EffectivelyVax'!$A54*(1-HelperFunctions!$G$59)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35">
      <c r="B56">
        <v>4</v>
      </c>
      <c r="C56" t="str">
        <f>Inputs!I76</f>
        <v/>
      </c>
      <c r="D56" t="e">
        <f>F55*'Scen Hypothetical vaccine model'!J56*HelperFunctions!R$14</f>
        <v>#VALUE!</v>
      </c>
      <c r="E56" t="e">
        <f>F55*'Scen Hypothetical vaccine model'!K56</f>
        <v>#VALUE!</v>
      </c>
      <c r="F56" s="84" t="e">
        <f t="shared" si="0"/>
        <v>#VALUE!</v>
      </c>
      <c r="G56" t="e">
        <f>I55*'Scen Hypothetical vaccine model'!$J56*HelperFunctions!$R$14</f>
        <v>#VALUE!</v>
      </c>
      <c r="H56" t="e">
        <f>I55*'Scen Hypothetical vaccine model'!$K56</f>
        <v>#VALUE!</v>
      </c>
      <c r="I56" s="84" t="e">
        <f t="shared" si="1"/>
        <v>#VALUE!</v>
      </c>
      <c r="J56" t="e">
        <f>L55*'Scen Hypothetical vaccine model'!$J56*HelperFunctions!$R$14</f>
        <v>#VALUE!</v>
      </c>
      <c r="K56" t="e">
        <f>L55*'Scen Hypothetical vaccine model'!$K56</f>
        <v>#VALUE!</v>
      </c>
      <c r="L56" s="84" t="e">
        <f t="shared" si="2"/>
        <v>#VALUE!</v>
      </c>
      <c r="M56" t="e">
        <f>O55*'Scen Hypothetical vaccine model'!$J56*HelperFunctions!$R$14</f>
        <v>#VALUE!</v>
      </c>
      <c r="N56" t="e">
        <f>O55*'Scen Hypothetical vaccine model'!$K56</f>
        <v>#VALUE!</v>
      </c>
      <c r="O56" s="84" t="e">
        <f t="shared" si="3"/>
        <v>#VALUE!</v>
      </c>
      <c r="P56" t="e">
        <f>R55*'Scen Hypothetical vaccine model'!$J56*HelperFunctions!$R$14</f>
        <v>#VALUE!</v>
      </c>
      <c r="Q56" t="e">
        <f>R55*'Scen Hypothetical vaccine model'!$K56</f>
        <v>#VALUE!</v>
      </c>
      <c r="R56" s="84" t="e">
        <f t="shared" si="4"/>
        <v>#VALUE!</v>
      </c>
      <c r="S56" t="e">
        <f>U55*'Scen Hypothetical vaccine model'!$J56*HelperFunctions!$R$14</f>
        <v>#VALUE!</v>
      </c>
      <c r="T56" t="e">
        <f>U55*'Scen Hypothetical vaccine model'!$K56</f>
        <v>#VALUE!</v>
      </c>
      <c r="U56" s="84" t="e">
        <f t="shared" si="5"/>
        <v>#VALUE!</v>
      </c>
      <c r="V56" t="e">
        <f>X55*'Scen Hypothetical vaccine model'!$J56*HelperFunctions!$R$14</f>
        <v>#VALUE!</v>
      </c>
      <c r="W56" t="e">
        <f>X55*'Scen Hypothetical vaccine model'!$K56</f>
        <v>#VALUE!</v>
      </c>
      <c r="X56" s="84" t="e">
        <f t="shared" si="6"/>
        <v>#VALUE!</v>
      </c>
      <c r="Y56" t="e">
        <f>AA55*'Scen Hypothetical vaccine model'!$J56*HelperFunctions!$R$14</f>
        <v>#VALUE!</v>
      </c>
      <c r="Z56" t="e">
        <f>AA55*'Scen Hypothetical vaccine model'!$K56</f>
        <v>#VALUE!</v>
      </c>
      <c r="AA56" s="84" t="e">
        <f t="shared" si="7"/>
        <v>#VALUE!</v>
      </c>
      <c r="AB56" t="e">
        <f>AD55*'Scen Hypothetical vaccine model'!$J56*HelperFunctions!$R$14</f>
        <v>#VALUE!</v>
      </c>
      <c r="AC56" t="e">
        <f>AD55*'Scen Hypothetical vaccine model'!$K56</f>
        <v>#VALUE!</v>
      </c>
      <c r="AD56" s="84" t="e">
        <f t="shared" si="8"/>
        <v>#VALUE!</v>
      </c>
      <c r="AE56" t="e">
        <f>AG55*'Scen Hypothetical vaccine model'!$J56*HelperFunctions!$R$14</f>
        <v>#VALUE!</v>
      </c>
      <c r="AF56" t="e">
        <f>AG55*'Scen Hypothetical vaccine model'!$K56</f>
        <v>#VALUE!</v>
      </c>
      <c r="AG56" s="84" t="e">
        <f t="shared" si="9"/>
        <v>#VALUE!</v>
      </c>
      <c r="AH56" t="e">
        <f>AJ55*'Scen Hypothetical vaccine model'!$J56*HelperFunctions!$R$14</f>
        <v>#VALUE!</v>
      </c>
      <c r="AI56" t="e">
        <f>AJ55*'Scen Hypothetical vaccine model'!$K56</f>
        <v>#VALUE!</v>
      </c>
      <c r="AJ56" s="84" t="e">
        <f t="shared" si="10"/>
        <v>#VALUE!</v>
      </c>
      <c r="AK56" t="e">
        <f>AM55*'Scen Hypothetical vaccine model'!$J56*HelperFunctions!$R$14</f>
        <v>#VALUE!</v>
      </c>
      <c r="AL56" t="e">
        <f>AM55*'Scen Hypothetical vaccine model'!$K56</f>
        <v>#VALUE!</v>
      </c>
      <c r="AM56" s="84" t="e">
        <f t="shared" si="11"/>
        <v>#VALUE!</v>
      </c>
      <c r="AN56" t="e">
        <f>AP55*'Scen Hypothetical vaccine model'!$J56*HelperFunctions!$R$28</f>
        <v>#VALUE!</v>
      </c>
      <c r="AO56" t="e">
        <f>AP55*'Scen Hypothetical vaccine model'!$K56</f>
        <v>#VALUE!</v>
      </c>
      <c r="AP56" s="84" t="e">
        <f t="shared" si="12"/>
        <v>#VALUE!</v>
      </c>
      <c r="AQ56" t="e">
        <f>AS55*'Scen Hypothetical vaccine model'!$J56*HelperFunctions!$R$28</f>
        <v>#VALUE!</v>
      </c>
      <c r="AR56" t="e">
        <f>AS55*'Scen Hypothetical vaccine model'!$K56</f>
        <v>#VALUE!</v>
      </c>
      <c r="AS56" s="84" t="e">
        <f t="shared" si="13"/>
        <v>#VALUE!</v>
      </c>
      <c r="AT56" t="e">
        <f>AV55*'Scen Hypothetical vaccine model'!$J56*HelperFunctions!$R$28</f>
        <v>#VALUE!</v>
      </c>
      <c r="AU56" t="e">
        <f>AV55*'Scen Hypothetical vaccine model'!$K56</f>
        <v>#VALUE!</v>
      </c>
      <c r="AV56" s="84" t="e">
        <f t="shared" si="14"/>
        <v>#VALUE!</v>
      </c>
      <c r="AW56" t="e">
        <f>AY55*'Scen Hypothetical vaccine model'!$J56*HelperFunctions!$R$28</f>
        <v>#VALUE!</v>
      </c>
      <c r="AX56" t="e">
        <f>AY55*'Scen Hypothetical vaccine model'!$K56</f>
        <v>#VALUE!</v>
      </c>
      <c r="AY56" s="84" t="e">
        <f t="shared" si="15"/>
        <v>#VALUE!</v>
      </c>
      <c r="AZ56" t="e">
        <f>BB55*'Scen Hypothetical vaccine model'!$J56*HelperFunctions!$R$28</f>
        <v>#VALUE!</v>
      </c>
      <c r="BA56" t="e">
        <f>BB55*'Scen Hypothetical vaccine model'!$K56</f>
        <v>#VALUE!</v>
      </c>
      <c r="BB56" s="84" t="e">
        <f t="shared" si="16"/>
        <v>#VALUE!</v>
      </c>
      <c r="BC56" t="e">
        <f>BE55*'Scen Hypothetical vaccine model'!$J56*HelperFunctions!$R$28</f>
        <v>#VALUE!</v>
      </c>
      <c r="BD56" t="e">
        <f>BE55*'Scen Hypothetical vaccine model'!$K56</f>
        <v>#VALUE!</v>
      </c>
      <c r="BE56" s="84" t="e">
        <f t="shared" si="17"/>
        <v>#VALUE!</v>
      </c>
      <c r="BF56" t="e">
        <f>BH55*'Scen Hypothetical vaccine model'!$J56*HelperFunctions!$R$28</f>
        <v>#VALUE!</v>
      </c>
      <c r="BG56" t="e">
        <f>BH55*'Scen Hypothetical vaccine model'!$K56</f>
        <v>#VALUE!</v>
      </c>
      <c r="BH56" s="84" t="e">
        <f t="shared" si="18"/>
        <v>#VALUE!</v>
      </c>
      <c r="BI56" t="e">
        <f>BK55*'Scen Hypothetical vaccine model'!$J56*HelperFunctions!$R$28</f>
        <v>#VALUE!</v>
      </c>
      <c r="BJ56" t="e">
        <f>BK55*'Scen Hypothetical vaccine model'!$K56</f>
        <v>#VALUE!</v>
      </c>
      <c r="BK56" s="84" t="e">
        <f t="shared" si="19"/>
        <v>#VALUE!</v>
      </c>
      <c r="BL56" t="e">
        <f>BN55*'Scen Hypothetical vaccine model'!$J56*HelperFunctions!$R$28</f>
        <v>#VALUE!</v>
      </c>
      <c r="BM56" t="e">
        <f>BN55*'Scen Hypothetical vaccine model'!$K56</f>
        <v>#VALUE!</v>
      </c>
      <c r="BN56" s="84" t="e">
        <f t="shared" si="20"/>
        <v>#VALUE!</v>
      </c>
      <c r="BO56" t="e">
        <f>BQ55*'Scen Hypothetical vaccine model'!$J56*HelperFunctions!$R$28</f>
        <v>#VALUE!</v>
      </c>
      <c r="BP56" t="e">
        <f>BQ55*'Scen Hypothetical vaccine model'!$K56</f>
        <v>#VALUE!</v>
      </c>
      <c r="BQ56" s="84" t="e">
        <f t="shared" si="21"/>
        <v>#VALUE!</v>
      </c>
      <c r="BR56" t="e">
        <f>BT55*'Scen Hypothetical vaccine model'!$J56*HelperFunctions!$R$28</f>
        <v>#VALUE!</v>
      </c>
      <c r="BS56" t="e">
        <f>BT55*'Scen Hypothetical vaccine model'!$K56</f>
        <v>#VALUE!</v>
      </c>
      <c r="BT56" s="84" t="e">
        <f t="shared" si="22"/>
        <v>#VALUE!</v>
      </c>
      <c r="BU56" t="e">
        <f>BW55*'Scen Hypothetical vaccine model'!$J56*HelperFunctions!$R$28</f>
        <v>#VALUE!</v>
      </c>
      <c r="BV56" t="e">
        <f>BW55*'Scen Hypothetical vaccine model'!$K56</f>
        <v>#VALUE!</v>
      </c>
      <c r="BW56" s="84" t="e">
        <f t="shared" si="23"/>
        <v>#VALUE!</v>
      </c>
      <c r="BX56" t="e">
        <f>BZ55*'Scen Hypothetical vaccine model'!$J56*HelperFunctions!$R$42</f>
        <v>#VALUE!</v>
      </c>
      <c r="BY56" t="e">
        <f>BZ55*'Scen Hypothetical vaccine model'!$K56</f>
        <v>#VALUE!</v>
      </c>
      <c r="BZ56" s="84" t="e">
        <f t="shared" si="24"/>
        <v>#VALUE!</v>
      </c>
      <c r="CA56" t="e">
        <f>CC55*'Scen Hypothetical vaccine model'!$J56*HelperFunctions!$R$42</f>
        <v>#VALUE!</v>
      </c>
      <c r="CB56" t="e">
        <f>CC55*'Scen Hypothetical vaccine model'!$K56</f>
        <v>#VALUE!</v>
      </c>
      <c r="CC56" s="84" t="e">
        <f t="shared" si="25"/>
        <v>#VALUE!</v>
      </c>
      <c r="CD56" t="e">
        <f>CF55*'Scen Hypothetical vaccine model'!$J56*HelperFunctions!$R$42</f>
        <v>#VALUE!</v>
      </c>
      <c r="CE56" t="e">
        <f>CF55*'Scen Hypothetical vaccine model'!$K56</f>
        <v>#VALUE!</v>
      </c>
      <c r="CF56" s="84" t="e">
        <f t="shared" si="26"/>
        <v>#VALUE!</v>
      </c>
      <c r="CG56" t="e">
        <f>CI55*'Scen Hypothetical vaccine model'!$J56*HelperFunctions!$R$42</f>
        <v>#VALUE!</v>
      </c>
      <c r="CH56" t="e">
        <f>CI55*'Scen Hypothetical vaccine model'!$K56</f>
        <v>#VALUE!</v>
      </c>
      <c r="CI56" s="84" t="e">
        <f t="shared" si="27"/>
        <v>#VALUE!</v>
      </c>
      <c r="CJ56" t="e">
        <f>CL55*'Scen Hypothetical vaccine model'!$J56*HelperFunctions!$R$42</f>
        <v>#VALUE!</v>
      </c>
      <c r="CK56" t="e">
        <f>CL55*'Scen Hypothetical vaccine model'!$K56</f>
        <v>#VALUE!</v>
      </c>
      <c r="CL56" s="84" t="e">
        <f t="shared" si="28"/>
        <v>#VALUE!</v>
      </c>
      <c r="CM56" t="e">
        <f>CO55*'Scen Hypothetical vaccine model'!$J56*HelperFunctions!$R$42</f>
        <v>#VALUE!</v>
      </c>
      <c r="CN56" t="e">
        <f>CO55*'Scen Hypothetical vaccine model'!$K56</f>
        <v>#VALUE!</v>
      </c>
      <c r="CO56" s="84" t="e">
        <f t="shared" si="29"/>
        <v>#VALUE!</v>
      </c>
      <c r="CP56" t="e">
        <f>CR55*'Scen Hypothetical vaccine model'!$J56*HelperFunctions!$R$42</f>
        <v>#VALUE!</v>
      </c>
      <c r="CQ56" t="e">
        <f>CR55*'Scen Hypothetical vaccine model'!$K56</f>
        <v>#VALUE!</v>
      </c>
      <c r="CR56" s="84" t="e">
        <f t="shared" si="30"/>
        <v>#VALUE!</v>
      </c>
      <c r="CS56" t="e">
        <f>CU55*'Scen Hypothetical vaccine model'!$J56*HelperFunctions!$R$42</f>
        <v>#VALUE!</v>
      </c>
      <c r="CT56" t="e">
        <f>CU55*'Scen Hypothetical vaccine model'!$K56</f>
        <v>#VALUE!</v>
      </c>
      <c r="CU56" s="84" t="e">
        <f t="shared" si="31"/>
        <v>#VALUE!</v>
      </c>
      <c r="CV56" t="e">
        <f>CX55*'Scen Hypothetical vaccine model'!$J56*HelperFunctions!$R$42</f>
        <v>#VALUE!</v>
      </c>
      <c r="CW56" t="e">
        <f>CX55*'Scen Hypothetical vaccine model'!$K56</f>
        <v>#VALUE!</v>
      </c>
      <c r="CX56" s="84" t="e">
        <f t="shared" si="32"/>
        <v>#VALUE!</v>
      </c>
      <c r="CY56" t="e">
        <f>DA55*'Scen Hypothetical vaccine model'!$J56*HelperFunctions!$R$42</f>
        <v>#VALUE!</v>
      </c>
      <c r="CZ56" t="e">
        <f>DA55*'Scen Hypothetical vaccine model'!$K56</f>
        <v>#VALUE!</v>
      </c>
      <c r="DA56" s="84" t="e">
        <f t="shared" si="33"/>
        <v>#VALUE!</v>
      </c>
      <c r="DB56" t="e">
        <f>DD55*'Scen Hypothetical vaccine model'!$J56*HelperFunctions!$R$42</f>
        <v>#VALUE!</v>
      </c>
      <c r="DC56" t="e">
        <f>DD55*'Scen Hypothetical vaccine model'!$K56</f>
        <v>#VALUE!</v>
      </c>
      <c r="DD56" s="84" t="e">
        <f t="shared" si="34"/>
        <v>#VALUE!</v>
      </c>
      <c r="DE56" t="e">
        <f>DG55*'Scen Hypothetical vaccine model'!$J56*HelperFunctions!$R$42</f>
        <v>#VALUE!</v>
      </c>
      <c r="DF56" t="e">
        <f>DG55*'Scen Hypothetical vaccine model'!$K56</f>
        <v>#VALUE!</v>
      </c>
      <c r="DG56" s="84" t="e">
        <f t="shared" si="35"/>
        <v>#VALUE!</v>
      </c>
      <c r="DH56" t="e">
        <f>DJ55*'Scen Hypothetical vaccine model'!$J56*HelperFunctions!$R$56</f>
        <v>#VALUE!</v>
      </c>
      <c r="DI56" t="e">
        <f>DJ55*'Scen Hypothetical vaccine model'!$K56</f>
        <v>#VALUE!</v>
      </c>
      <c r="DJ56" s="84" t="e">
        <f t="shared" si="36"/>
        <v>#VALUE!</v>
      </c>
      <c r="DK56" t="e">
        <f>DM55*'Scen Hypothetical vaccine model'!$J56*HelperFunctions!$R$56</f>
        <v>#VALUE!</v>
      </c>
      <c r="DL56" t="e">
        <f>DM55*'Scen Hypothetical vaccine model'!$K56</f>
        <v>#VALUE!</v>
      </c>
      <c r="DM56" s="84" t="e">
        <f t="shared" si="37"/>
        <v>#VALUE!</v>
      </c>
      <c r="DN56" t="e">
        <f>DP55*'Scen Hypothetical vaccine model'!$J56*HelperFunctions!$R$56</f>
        <v>#VALUE!</v>
      </c>
      <c r="DO56" t="e">
        <f>DP55*'Scen Hypothetical vaccine model'!$K56</f>
        <v>#VALUE!</v>
      </c>
      <c r="DP56" s="84" t="e">
        <f t="shared" si="38"/>
        <v>#VALUE!</v>
      </c>
      <c r="DQ56" t="e">
        <f>DS55*'Scen Hypothetical vaccine model'!$J56*HelperFunctions!$R$56</f>
        <v>#VALUE!</v>
      </c>
      <c r="DR56" t="e">
        <f>DS55*'Scen Hypothetical vaccine model'!$K56</f>
        <v>#VALUE!</v>
      </c>
      <c r="DS56" s="84" t="e">
        <f t="shared" si="39"/>
        <v>#VALUE!</v>
      </c>
      <c r="DT56" t="e">
        <f>DV55*'Scen Hypothetical vaccine model'!$J56*HelperFunctions!$R$56</f>
        <v>#VALUE!</v>
      </c>
      <c r="DU56" t="e">
        <f>DV55*'Scen Hypothetical vaccine model'!$K56</f>
        <v>#VALUE!</v>
      </c>
      <c r="DV56" s="84" t="e">
        <f t="shared" si="40"/>
        <v>#VALUE!</v>
      </c>
      <c r="DW56" t="e">
        <f>DY55*'Scen Hypothetical vaccine model'!$J56*HelperFunctions!$R55</f>
        <v>#VALUE!</v>
      </c>
      <c r="DX56" t="e">
        <f>DY55*'Scen Hypothetical vaccine model'!$K56</f>
        <v>#VALUE!</v>
      </c>
      <c r="DY56" s="84" t="e">
        <f t="shared" si="41"/>
        <v>#VALUE!</v>
      </c>
      <c r="DZ56" t="e">
        <f>EB55*'Scen Hypothetical vaccine model'!$J56*HelperFunctions!$R54</f>
        <v>#VALUE!</v>
      </c>
      <c r="EA56" t="e">
        <f>EB55*'Scen Hypothetical vaccine model'!$K56</f>
        <v>#VALUE!</v>
      </c>
      <c r="EB56" s="84" t="e">
        <f t="shared" si="42"/>
        <v>#VALUE!</v>
      </c>
      <c r="EC56" t="e">
        <f>EE55*'Scen Hypothetical vaccine model'!$J56*HelperFunctions!$R53</f>
        <v>#VALUE!</v>
      </c>
      <c r="ED56" t="e">
        <f>EE55*'Scen Hypothetical vaccine model'!$K56</f>
        <v>#VALUE!</v>
      </c>
      <c r="EE56" s="84" t="e">
        <f t="shared" si="43"/>
        <v>#VALUE!</v>
      </c>
      <c r="EF56" t="e">
        <f>EH55*'Scen Hypothetical vaccine model'!$J56*HelperFunctions!$R52</f>
        <v>#VALUE!</v>
      </c>
      <c r="EG56" t="e">
        <f>EH55*'Scen Hypothetical vaccine model'!$K56</f>
        <v>#VALUE!</v>
      </c>
      <c r="EH56" s="84" t="e">
        <f t="shared" si="44"/>
        <v>#VALUE!</v>
      </c>
      <c r="EI56" t="e">
        <f>EK55*'Scen Hypothetical vaccine model'!$J56*HelperFunctions!$R51</f>
        <v>#VALUE!</v>
      </c>
      <c r="EJ56" t="e">
        <f>EK55*'Scen Hypothetical vaccine model'!$K56</f>
        <v>#VALUE!</v>
      </c>
      <c r="EK56" s="84" t="e">
        <f t="shared" si="45"/>
        <v>#VALUE!</v>
      </c>
      <c r="EL56" t="e">
        <f>EN55*'Scen Hypothetical vaccine model'!$J56*HelperFunctions!$R50</f>
        <v>#VALUE!</v>
      </c>
      <c r="EM56" t="e">
        <f>EN55*'Scen Hypothetical vaccine model'!$K56</f>
        <v>#VALUE!</v>
      </c>
      <c r="EN56" s="84" t="e">
        <f t="shared" si="46"/>
        <v>#VALUE!</v>
      </c>
      <c r="EO56" t="e">
        <f>EQ55*'Scen Hypothetical vaccine model'!$J56*HelperFunctions!$R49</f>
        <v>#VALUE!</v>
      </c>
      <c r="EP56" t="e">
        <f>EQ55*'Scen Hypothetical vaccine model'!$K56</f>
        <v>#VALUE!</v>
      </c>
      <c r="EQ56" s="84" t="e">
        <f t="shared" si="47"/>
        <v>#VALUE!</v>
      </c>
      <c r="ER56" t="e">
        <f>ET55*'Scen Hypothetical vaccine model'!$J56*HelperFunctions!$R62</f>
        <v>#VALUE!</v>
      </c>
      <c r="ES56" t="e">
        <f>ET55*'Scen Hypothetical vaccine model'!$K56</f>
        <v>#VALUE!</v>
      </c>
      <c r="ET56" s="84" t="e">
        <f t="shared" si="48"/>
        <v>#VALUE!</v>
      </c>
      <c r="EU56" t="e">
        <f>EW55*'Scen Hypothetical vaccine model'!$J56*HelperFunctions!$R61</f>
        <v>#VALUE!</v>
      </c>
      <c r="EV56" t="e">
        <f>EW55*'Scen Hypothetical vaccine model'!$K56</f>
        <v>#VALUE!</v>
      </c>
      <c r="EW56" s="84" t="e">
        <f t="shared" si="49"/>
        <v>#VALUE!</v>
      </c>
      <c r="EX56" t="e">
        <f>EZ55*'Scen Hypothetical vaccine model'!$J56*HelperFunctions!$R60</f>
        <v>#VALUE!</v>
      </c>
      <c r="EY56" t="e">
        <f>EZ55*'Scen Hypothetical vaccine model'!$K56</f>
        <v>#VALUE!</v>
      </c>
      <c r="EZ56" s="84" t="e">
        <f t="shared" ref="EZ56:EZ63" si="50">EZ55-EX56-EY56</f>
        <v>#VALUE!</v>
      </c>
      <c r="FA56" t="e">
        <f>FC55*'Scen Hypothetical vaccine model'!$J56*HelperFunctions!$R59</f>
        <v>#VALUE!</v>
      </c>
      <c r="FB56" t="e">
        <f>FC55*'Scen Hypothetical vaccine model'!$K56</f>
        <v>#VALUE!</v>
      </c>
      <c r="FC56" s="84" t="e">
        <f>FC55-FA56-FB56</f>
        <v>#VALUE!</v>
      </c>
      <c r="FD56" s="93"/>
      <c r="FE56" s="93"/>
      <c r="FF56" s="84" t="e">
        <f>Export!$N54*'Scen EffectivelyVax'!$A55*(1-HelperFunctions!$G$59)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35">
      <c r="B57">
        <v>4</v>
      </c>
      <c r="C57" t="str">
        <f>Inputs!I77</f>
        <v/>
      </c>
      <c r="D57" t="e">
        <f>F56*'Scen Hypothetical vaccine model'!J57*HelperFunctions!R$14</f>
        <v>#VALUE!</v>
      </c>
      <c r="E57" t="e">
        <f>F56*'Scen Hypothetical vaccine model'!K57</f>
        <v>#VALUE!</v>
      </c>
      <c r="F57" s="84" t="e">
        <f t="shared" si="0"/>
        <v>#VALUE!</v>
      </c>
      <c r="G57" t="e">
        <f>I56*'Scen Hypothetical vaccine model'!$J57*HelperFunctions!$R$14</f>
        <v>#VALUE!</v>
      </c>
      <c r="H57" t="e">
        <f>I56*'Scen Hypothetical vaccine model'!$K57</f>
        <v>#VALUE!</v>
      </c>
      <c r="I57" s="84" t="e">
        <f t="shared" si="1"/>
        <v>#VALUE!</v>
      </c>
      <c r="J57" t="e">
        <f>L56*'Scen Hypothetical vaccine model'!$J57*HelperFunctions!$R$14</f>
        <v>#VALUE!</v>
      </c>
      <c r="K57" t="e">
        <f>L56*'Scen Hypothetical vaccine model'!$K57</f>
        <v>#VALUE!</v>
      </c>
      <c r="L57" s="84" t="e">
        <f t="shared" si="2"/>
        <v>#VALUE!</v>
      </c>
      <c r="M57" t="e">
        <f>O56*'Scen Hypothetical vaccine model'!$J57*HelperFunctions!$R$14</f>
        <v>#VALUE!</v>
      </c>
      <c r="N57" t="e">
        <f>O56*'Scen Hypothetical vaccine model'!$K57</f>
        <v>#VALUE!</v>
      </c>
      <c r="O57" s="84" t="e">
        <f t="shared" si="3"/>
        <v>#VALUE!</v>
      </c>
      <c r="P57" t="e">
        <f>R56*'Scen Hypothetical vaccine model'!$J57*HelperFunctions!$R$14</f>
        <v>#VALUE!</v>
      </c>
      <c r="Q57" t="e">
        <f>R56*'Scen Hypothetical vaccine model'!$K57</f>
        <v>#VALUE!</v>
      </c>
      <c r="R57" s="84" t="e">
        <f t="shared" si="4"/>
        <v>#VALUE!</v>
      </c>
      <c r="S57" t="e">
        <f>U56*'Scen Hypothetical vaccine model'!$J57*HelperFunctions!$R$14</f>
        <v>#VALUE!</v>
      </c>
      <c r="T57" t="e">
        <f>U56*'Scen Hypothetical vaccine model'!$K57</f>
        <v>#VALUE!</v>
      </c>
      <c r="U57" s="84" t="e">
        <f t="shared" si="5"/>
        <v>#VALUE!</v>
      </c>
      <c r="V57" t="e">
        <f>X56*'Scen Hypothetical vaccine model'!$J57*HelperFunctions!$R$14</f>
        <v>#VALUE!</v>
      </c>
      <c r="W57" t="e">
        <f>X56*'Scen Hypothetical vaccine model'!$K57</f>
        <v>#VALUE!</v>
      </c>
      <c r="X57" s="84" t="e">
        <f t="shared" si="6"/>
        <v>#VALUE!</v>
      </c>
      <c r="Y57" t="e">
        <f>AA56*'Scen Hypothetical vaccine model'!$J57*HelperFunctions!$R$14</f>
        <v>#VALUE!</v>
      </c>
      <c r="Z57" t="e">
        <f>AA56*'Scen Hypothetical vaccine model'!$K57</f>
        <v>#VALUE!</v>
      </c>
      <c r="AA57" s="84" t="e">
        <f t="shared" si="7"/>
        <v>#VALUE!</v>
      </c>
      <c r="AB57" t="e">
        <f>AD56*'Scen Hypothetical vaccine model'!$J57*HelperFunctions!$R$14</f>
        <v>#VALUE!</v>
      </c>
      <c r="AC57" t="e">
        <f>AD56*'Scen Hypothetical vaccine model'!$K57</f>
        <v>#VALUE!</v>
      </c>
      <c r="AD57" s="84" t="e">
        <f t="shared" si="8"/>
        <v>#VALUE!</v>
      </c>
      <c r="AE57" t="e">
        <f>AG56*'Scen Hypothetical vaccine model'!$J57*HelperFunctions!$R$14</f>
        <v>#VALUE!</v>
      </c>
      <c r="AF57" t="e">
        <f>AG56*'Scen Hypothetical vaccine model'!$K57</f>
        <v>#VALUE!</v>
      </c>
      <c r="AG57" s="84" t="e">
        <f t="shared" si="9"/>
        <v>#VALUE!</v>
      </c>
      <c r="AH57" t="e">
        <f>AJ56*'Scen Hypothetical vaccine model'!$J57*HelperFunctions!$R$14</f>
        <v>#VALUE!</v>
      </c>
      <c r="AI57" t="e">
        <f>AJ56*'Scen Hypothetical vaccine model'!$K57</f>
        <v>#VALUE!</v>
      </c>
      <c r="AJ57" s="84" t="e">
        <f t="shared" si="10"/>
        <v>#VALUE!</v>
      </c>
      <c r="AK57" t="e">
        <f>AM56*'Scen Hypothetical vaccine model'!$J57*HelperFunctions!$R$14</f>
        <v>#VALUE!</v>
      </c>
      <c r="AL57" t="e">
        <f>AM56*'Scen Hypothetical vaccine model'!$K57</f>
        <v>#VALUE!</v>
      </c>
      <c r="AM57" s="84" t="e">
        <f t="shared" si="11"/>
        <v>#VALUE!</v>
      </c>
      <c r="AN57" t="e">
        <f>AP56*'Scen Hypothetical vaccine model'!$J57*HelperFunctions!$R$28</f>
        <v>#VALUE!</v>
      </c>
      <c r="AO57" t="e">
        <f>AP56*'Scen Hypothetical vaccine model'!$K57</f>
        <v>#VALUE!</v>
      </c>
      <c r="AP57" s="84" t="e">
        <f t="shared" si="12"/>
        <v>#VALUE!</v>
      </c>
      <c r="AQ57" t="e">
        <f>AS56*'Scen Hypothetical vaccine model'!$J57*HelperFunctions!$R$28</f>
        <v>#VALUE!</v>
      </c>
      <c r="AR57" t="e">
        <f>AS56*'Scen Hypothetical vaccine model'!$K57</f>
        <v>#VALUE!</v>
      </c>
      <c r="AS57" s="84" t="e">
        <f t="shared" si="13"/>
        <v>#VALUE!</v>
      </c>
      <c r="AT57" t="e">
        <f>AV56*'Scen Hypothetical vaccine model'!$J57*HelperFunctions!$R$28</f>
        <v>#VALUE!</v>
      </c>
      <c r="AU57" t="e">
        <f>AV56*'Scen Hypothetical vaccine model'!$K57</f>
        <v>#VALUE!</v>
      </c>
      <c r="AV57" s="84" t="e">
        <f t="shared" si="14"/>
        <v>#VALUE!</v>
      </c>
      <c r="AW57" t="e">
        <f>AY56*'Scen Hypothetical vaccine model'!$J57*HelperFunctions!$R$28</f>
        <v>#VALUE!</v>
      </c>
      <c r="AX57" t="e">
        <f>AY56*'Scen Hypothetical vaccine model'!$K57</f>
        <v>#VALUE!</v>
      </c>
      <c r="AY57" s="84" t="e">
        <f t="shared" si="15"/>
        <v>#VALUE!</v>
      </c>
      <c r="AZ57" t="e">
        <f>BB56*'Scen Hypothetical vaccine model'!$J57*HelperFunctions!$R$28</f>
        <v>#VALUE!</v>
      </c>
      <c r="BA57" t="e">
        <f>BB56*'Scen Hypothetical vaccine model'!$K57</f>
        <v>#VALUE!</v>
      </c>
      <c r="BB57" s="84" t="e">
        <f t="shared" si="16"/>
        <v>#VALUE!</v>
      </c>
      <c r="BC57" t="e">
        <f>BE56*'Scen Hypothetical vaccine model'!$J57*HelperFunctions!$R$28</f>
        <v>#VALUE!</v>
      </c>
      <c r="BD57" t="e">
        <f>BE56*'Scen Hypothetical vaccine model'!$K57</f>
        <v>#VALUE!</v>
      </c>
      <c r="BE57" s="84" t="e">
        <f t="shared" si="17"/>
        <v>#VALUE!</v>
      </c>
      <c r="BF57" t="e">
        <f>BH56*'Scen Hypothetical vaccine model'!$J57*HelperFunctions!$R$28</f>
        <v>#VALUE!</v>
      </c>
      <c r="BG57" t="e">
        <f>BH56*'Scen Hypothetical vaccine model'!$K57</f>
        <v>#VALUE!</v>
      </c>
      <c r="BH57" s="84" t="e">
        <f t="shared" si="18"/>
        <v>#VALUE!</v>
      </c>
      <c r="BI57" t="e">
        <f>BK56*'Scen Hypothetical vaccine model'!$J57*HelperFunctions!$R$28</f>
        <v>#VALUE!</v>
      </c>
      <c r="BJ57" t="e">
        <f>BK56*'Scen Hypothetical vaccine model'!$K57</f>
        <v>#VALUE!</v>
      </c>
      <c r="BK57" s="84" t="e">
        <f t="shared" si="19"/>
        <v>#VALUE!</v>
      </c>
      <c r="BL57" t="e">
        <f>BN56*'Scen Hypothetical vaccine model'!$J57*HelperFunctions!$R$28</f>
        <v>#VALUE!</v>
      </c>
      <c r="BM57" t="e">
        <f>BN56*'Scen Hypothetical vaccine model'!$K57</f>
        <v>#VALUE!</v>
      </c>
      <c r="BN57" s="84" t="e">
        <f t="shared" si="20"/>
        <v>#VALUE!</v>
      </c>
      <c r="BO57" t="e">
        <f>BQ56*'Scen Hypothetical vaccine model'!$J57*HelperFunctions!$R$28</f>
        <v>#VALUE!</v>
      </c>
      <c r="BP57" t="e">
        <f>BQ56*'Scen Hypothetical vaccine model'!$K57</f>
        <v>#VALUE!</v>
      </c>
      <c r="BQ57" s="84" t="e">
        <f t="shared" si="21"/>
        <v>#VALUE!</v>
      </c>
      <c r="BR57" t="e">
        <f>BT56*'Scen Hypothetical vaccine model'!$J57*HelperFunctions!$R$28</f>
        <v>#VALUE!</v>
      </c>
      <c r="BS57" t="e">
        <f>BT56*'Scen Hypothetical vaccine model'!$K57</f>
        <v>#VALUE!</v>
      </c>
      <c r="BT57" s="84" t="e">
        <f t="shared" si="22"/>
        <v>#VALUE!</v>
      </c>
      <c r="BU57" t="e">
        <f>BW56*'Scen Hypothetical vaccine model'!$J57*HelperFunctions!$R$28</f>
        <v>#VALUE!</v>
      </c>
      <c r="BV57" t="e">
        <f>BW56*'Scen Hypothetical vaccine model'!$K57</f>
        <v>#VALUE!</v>
      </c>
      <c r="BW57" s="84" t="e">
        <f t="shared" si="23"/>
        <v>#VALUE!</v>
      </c>
      <c r="BX57" t="e">
        <f>BZ56*'Scen Hypothetical vaccine model'!$J57*HelperFunctions!$R$42</f>
        <v>#VALUE!</v>
      </c>
      <c r="BY57" t="e">
        <f>BZ56*'Scen Hypothetical vaccine model'!$K57</f>
        <v>#VALUE!</v>
      </c>
      <c r="BZ57" s="84" t="e">
        <f t="shared" si="24"/>
        <v>#VALUE!</v>
      </c>
      <c r="CA57" t="e">
        <f>CC56*'Scen Hypothetical vaccine model'!$J57*HelperFunctions!$R$42</f>
        <v>#VALUE!</v>
      </c>
      <c r="CB57" t="e">
        <f>CC56*'Scen Hypothetical vaccine model'!$K57</f>
        <v>#VALUE!</v>
      </c>
      <c r="CC57" s="84" t="e">
        <f t="shared" si="25"/>
        <v>#VALUE!</v>
      </c>
      <c r="CD57" t="e">
        <f>CF56*'Scen Hypothetical vaccine model'!$J57*HelperFunctions!$R$42</f>
        <v>#VALUE!</v>
      </c>
      <c r="CE57" t="e">
        <f>CF56*'Scen Hypothetical vaccine model'!$K57</f>
        <v>#VALUE!</v>
      </c>
      <c r="CF57" s="84" t="e">
        <f t="shared" si="26"/>
        <v>#VALUE!</v>
      </c>
      <c r="CG57" t="e">
        <f>CI56*'Scen Hypothetical vaccine model'!$J57*HelperFunctions!$R$42</f>
        <v>#VALUE!</v>
      </c>
      <c r="CH57" t="e">
        <f>CI56*'Scen Hypothetical vaccine model'!$K57</f>
        <v>#VALUE!</v>
      </c>
      <c r="CI57" s="84" t="e">
        <f t="shared" si="27"/>
        <v>#VALUE!</v>
      </c>
      <c r="CJ57" t="e">
        <f>CL56*'Scen Hypothetical vaccine model'!$J57*HelperFunctions!$R$42</f>
        <v>#VALUE!</v>
      </c>
      <c r="CK57" t="e">
        <f>CL56*'Scen Hypothetical vaccine model'!$K57</f>
        <v>#VALUE!</v>
      </c>
      <c r="CL57" s="84" t="e">
        <f t="shared" si="28"/>
        <v>#VALUE!</v>
      </c>
      <c r="CM57" t="e">
        <f>CO56*'Scen Hypothetical vaccine model'!$J57*HelperFunctions!$R$42</f>
        <v>#VALUE!</v>
      </c>
      <c r="CN57" t="e">
        <f>CO56*'Scen Hypothetical vaccine model'!$K57</f>
        <v>#VALUE!</v>
      </c>
      <c r="CO57" s="84" t="e">
        <f t="shared" si="29"/>
        <v>#VALUE!</v>
      </c>
      <c r="CP57" t="e">
        <f>CR56*'Scen Hypothetical vaccine model'!$J57*HelperFunctions!$R$42</f>
        <v>#VALUE!</v>
      </c>
      <c r="CQ57" t="e">
        <f>CR56*'Scen Hypothetical vaccine model'!$K57</f>
        <v>#VALUE!</v>
      </c>
      <c r="CR57" s="84" t="e">
        <f t="shared" si="30"/>
        <v>#VALUE!</v>
      </c>
      <c r="CS57" t="e">
        <f>CU56*'Scen Hypothetical vaccine model'!$J57*HelperFunctions!$R$42</f>
        <v>#VALUE!</v>
      </c>
      <c r="CT57" t="e">
        <f>CU56*'Scen Hypothetical vaccine model'!$K57</f>
        <v>#VALUE!</v>
      </c>
      <c r="CU57" s="84" t="e">
        <f t="shared" si="31"/>
        <v>#VALUE!</v>
      </c>
      <c r="CV57" t="e">
        <f>CX56*'Scen Hypothetical vaccine model'!$J57*HelperFunctions!$R$42</f>
        <v>#VALUE!</v>
      </c>
      <c r="CW57" t="e">
        <f>CX56*'Scen Hypothetical vaccine model'!$K57</f>
        <v>#VALUE!</v>
      </c>
      <c r="CX57" s="84" t="e">
        <f t="shared" si="32"/>
        <v>#VALUE!</v>
      </c>
      <c r="CY57" t="e">
        <f>DA56*'Scen Hypothetical vaccine model'!$J57*HelperFunctions!$R$42</f>
        <v>#VALUE!</v>
      </c>
      <c r="CZ57" t="e">
        <f>DA56*'Scen Hypothetical vaccine model'!$K57</f>
        <v>#VALUE!</v>
      </c>
      <c r="DA57" s="84" t="e">
        <f t="shared" si="33"/>
        <v>#VALUE!</v>
      </c>
      <c r="DB57" t="e">
        <f>DD56*'Scen Hypothetical vaccine model'!$J57*HelperFunctions!$R$42</f>
        <v>#VALUE!</v>
      </c>
      <c r="DC57" t="e">
        <f>DD56*'Scen Hypothetical vaccine model'!$K57</f>
        <v>#VALUE!</v>
      </c>
      <c r="DD57" s="84" t="e">
        <f t="shared" si="34"/>
        <v>#VALUE!</v>
      </c>
      <c r="DE57" t="e">
        <f>DG56*'Scen Hypothetical vaccine model'!$J57*HelperFunctions!$R$42</f>
        <v>#VALUE!</v>
      </c>
      <c r="DF57" t="e">
        <f>DG56*'Scen Hypothetical vaccine model'!$K57</f>
        <v>#VALUE!</v>
      </c>
      <c r="DG57" s="84" t="e">
        <f t="shared" si="35"/>
        <v>#VALUE!</v>
      </c>
      <c r="DH57" t="e">
        <f>DJ56*'Scen Hypothetical vaccine model'!$J57*HelperFunctions!$R$56</f>
        <v>#VALUE!</v>
      </c>
      <c r="DI57" t="e">
        <f>DJ56*'Scen Hypothetical vaccine model'!$K57</f>
        <v>#VALUE!</v>
      </c>
      <c r="DJ57" s="84" t="e">
        <f t="shared" si="36"/>
        <v>#VALUE!</v>
      </c>
      <c r="DK57" t="e">
        <f>DM56*'Scen Hypothetical vaccine model'!$J57*HelperFunctions!$R$56</f>
        <v>#VALUE!</v>
      </c>
      <c r="DL57" t="e">
        <f>DM56*'Scen Hypothetical vaccine model'!$K57</f>
        <v>#VALUE!</v>
      </c>
      <c r="DM57" s="84" t="e">
        <f t="shared" si="37"/>
        <v>#VALUE!</v>
      </c>
      <c r="DN57" t="e">
        <f>DP56*'Scen Hypothetical vaccine model'!$J57*HelperFunctions!$R$56</f>
        <v>#VALUE!</v>
      </c>
      <c r="DO57" t="e">
        <f>DP56*'Scen Hypothetical vaccine model'!$K57</f>
        <v>#VALUE!</v>
      </c>
      <c r="DP57" s="84" t="e">
        <f t="shared" si="38"/>
        <v>#VALUE!</v>
      </c>
      <c r="DQ57" t="e">
        <f>DS56*'Scen Hypothetical vaccine model'!$J57*HelperFunctions!$R$56</f>
        <v>#VALUE!</v>
      </c>
      <c r="DR57" t="e">
        <f>DS56*'Scen Hypothetical vaccine model'!$K57</f>
        <v>#VALUE!</v>
      </c>
      <c r="DS57" s="84" t="e">
        <f t="shared" si="39"/>
        <v>#VALUE!</v>
      </c>
      <c r="DT57" t="e">
        <f>DV56*'Scen Hypothetical vaccine model'!$J57*HelperFunctions!$R$56</f>
        <v>#VALUE!</v>
      </c>
      <c r="DU57" t="e">
        <f>DV56*'Scen Hypothetical vaccine model'!$K57</f>
        <v>#VALUE!</v>
      </c>
      <c r="DV57" s="84" t="e">
        <f t="shared" si="40"/>
        <v>#VALUE!</v>
      </c>
      <c r="DW57" t="e">
        <f>DY56*'Scen Hypothetical vaccine model'!$J57*HelperFunctions!$R$56</f>
        <v>#VALUE!</v>
      </c>
      <c r="DX57" t="e">
        <f>DY56*'Scen Hypothetical vaccine model'!$K57</f>
        <v>#VALUE!</v>
      </c>
      <c r="DY57" s="84" t="e">
        <f t="shared" si="41"/>
        <v>#VALUE!</v>
      </c>
      <c r="DZ57" t="e">
        <f>EB56*'Scen Hypothetical vaccine model'!$J57*HelperFunctions!$R55</f>
        <v>#VALUE!</v>
      </c>
      <c r="EA57" t="e">
        <f>EB56*'Scen Hypothetical vaccine model'!$K57</f>
        <v>#VALUE!</v>
      </c>
      <c r="EB57" s="84" t="e">
        <f t="shared" si="42"/>
        <v>#VALUE!</v>
      </c>
      <c r="EC57" t="e">
        <f>EE56*'Scen Hypothetical vaccine model'!$J57*HelperFunctions!$R54</f>
        <v>#VALUE!</v>
      </c>
      <c r="ED57" t="e">
        <f>EE56*'Scen Hypothetical vaccine model'!$K57</f>
        <v>#VALUE!</v>
      </c>
      <c r="EE57" s="84" t="e">
        <f t="shared" si="43"/>
        <v>#VALUE!</v>
      </c>
      <c r="EF57" t="e">
        <f>EH56*'Scen Hypothetical vaccine model'!$J57*HelperFunctions!$R53</f>
        <v>#VALUE!</v>
      </c>
      <c r="EG57" t="e">
        <f>EH56*'Scen Hypothetical vaccine model'!$K57</f>
        <v>#VALUE!</v>
      </c>
      <c r="EH57" s="84" t="e">
        <f t="shared" si="44"/>
        <v>#VALUE!</v>
      </c>
      <c r="EI57" t="e">
        <f>EK56*'Scen Hypothetical vaccine model'!$J57*HelperFunctions!$R52</f>
        <v>#VALUE!</v>
      </c>
      <c r="EJ57" t="e">
        <f>EK56*'Scen Hypothetical vaccine model'!$K57</f>
        <v>#VALUE!</v>
      </c>
      <c r="EK57" s="84" t="e">
        <f t="shared" si="45"/>
        <v>#VALUE!</v>
      </c>
      <c r="EL57" t="e">
        <f>EN56*'Scen Hypothetical vaccine model'!$J57*HelperFunctions!$R51</f>
        <v>#VALUE!</v>
      </c>
      <c r="EM57" t="e">
        <f>EN56*'Scen Hypothetical vaccine model'!$K57</f>
        <v>#VALUE!</v>
      </c>
      <c r="EN57" s="84" t="e">
        <f t="shared" si="46"/>
        <v>#VALUE!</v>
      </c>
      <c r="EO57" t="e">
        <f>EQ56*'Scen Hypothetical vaccine model'!$J57*HelperFunctions!$R50</f>
        <v>#VALUE!</v>
      </c>
      <c r="EP57" t="e">
        <f>EQ56*'Scen Hypothetical vaccine model'!$K57</f>
        <v>#VALUE!</v>
      </c>
      <c r="EQ57" s="84" t="e">
        <f t="shared" si="47"/>
        <v>#VALUE!</v>
      </c>
      <c r="ER57" t="e">
        <f>ET56*'Scen Hypothetical vaccine model'!$J57*HelperFunctions!$R63</f>
        <v>#VALUE!</v>
      </c>
      <c r="ES57" t="e">
        <f>ET56*'Scen Hypothetical vaccine model'!$K57</f>
        <v>#VALUE!</v>
      </c>
      <c r="ET57" s="84" t="e">
        <f t="shared" si="48"/>
        <v>#VALUE!</v>
      </c>
      <c r="EU57" t="e">
        <f>EW56*'Scen Hypothetical vaccine model'!$J57*HelperFunctions!$R62</f>
        <v>#VALUE!</v>
      </c>
      <c r="EV57" t="e">
        <f>EW56*'Scen Hypothetical vaccine model'!$K57</f>
        <v>#VALUE!</v>
      </c>
      <c r="EW57" s="84" t="e">
        <f t="shared" si="49"/>
        <v>#VALUE!</v>
      </c>
      <c r="EX57" t="e">
        <f>EZ56*'Scen Hypothetical vaccine model'!$J57*HelperFunctions!$R61</f>
        <v>#VALUE!</v>
      </c>
      <c r="EY57" t="e">
        <f>EZ56*'Scen Hypothetical vaccine model'!$K57</f>
        <v>#VALUE!</v>
      </c>
      <c r="EZ57" s="84" t="e">
        <f t="shared" si="50"/>
        <v>#VALUE!</v>
      </c>
      <c r="FA57" t="e">
        <f>FC56*'Scen Hypothetical vaccine model'!$J57*HelperFunctions!$R60</f>
        <v>#VALUE!</v>
      </c>
      <c r="FB57" t="e">
        <f>FC56*'Scen Hypothetical vaccine model'!$K57</f>
        <v>#VALUE!</v>
      </c>
      <c r="FC57" s="84" t="e">
        <f t="shared" ref="FC57:FC63" si="51">FC56-FA57-FB57</f>
        <v>#VALUE!</v>
      </c>
      <c r="FD57" t="e">
        <f>FF56*'Scen Hypothetical vaccine model'!$J57*HelperFunctions!$R59</f>
        <v>#VALUE!</v>
      </c>
      <c r="FE57" t="e">
        <f>FF56*'Scen Hypothetical vaccine model'!$K57</f>
        <v>#VALUE!</v>
      </c>
      <c r="FF57" s="84" t="e">
        <f>FF56-FD57-FE57</f>
        <v>#VALUE!</v>
      </c>
      <c r="FG57" s="93"/>
      <c r="FH57" s="93"/>
      <c r="FI57" s="84" t="e">
        <f>Export!$N55*'Scen EffectivelyVax'!$A56*(1-HelperFunctions!$G$59)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35">
      <c r="B58">
        <v>4</v>
      </c>
      <c r="C58" t="str">
        <f>Inputs!I78</f>
        <v/>
      </c>
      <c r="D58" t="e">
        <f>F57*'Scen Hypothetical vaccine model'!J58*HelperFunctions!R$14</f>
        <v>#VALUE!</v>
      </c>
      <c r="E58" t="e">
        <f>F57*'Scen Hypothetical vaccine model'!K58</f>
        <v>#VALUE!</v>
      </c>
      <c r="F58" s="84" t="e">
        <f t="shared" si="0"/>
        <v>#VALUE!</v>
      </c>
      <c r="G58" t="e">
        <f>I57*'Scen Hypothetical vaccine model'!$J58*HelperFunctions!$R$14</f>
        <v>#VALUE!</v>
      </c>
      <c r="H58" t="e">
        <f>I57*'Scen Hypothetical vaccine model'!$K58</f>
        <v>#VALUE!</v>
      </c>
      <c r="I58" s="84" t="e">
        <f t="shared" si="1"/>
        <v>#VALUE!</v>
      </c>
      <c r="J58" t="e">
        <f>L57*'Scen Hypothetical vaccine model'!$J58*HelperFunctions!$R$14</f>
        <v>#VALUE!</v>
      </c>
      <c r="K58" t="e">
        <f>L57*'Scen Hypothetical vaccine model'!$K58</f>
        <v>#VALUE!</v>
      </c>
      <c r="L58" s="84" t="e">
        <f t="shared" si="2"/>
        <v>#VALUE!</v>
      </c>
      <c r="M58" t="e">
        <f>O57*'Scen Hypothetical vaccine model'!$J58*HelperFunctions!$R$14</f>
        <v>#VALUE!</v>
      </c>
      <c r="N58" t="e">
        <f>O57*'Scen Hypothetical vaccine model'!$K58</f>
        <v>#VALUE!</v>
      </c>
      <c r="O58" s="84" t="e">
        <f t="shared" si="3"/>
        <v>#VALUE!</v>
      </c>
      <c r="P58" t="e">
        <f>R57*'Scen Hypothetical vaccine model'!$J58*HelperFunctions!$R$14</f>
        <v>#VALUE!</v>
      </c>
      <c r="Q58" t="e">
        <f>R57*'Scen Hypothetical vaccine model'!$K58</f>
        <v>#VALUE!</v>
      </c>
      <c r="R58" s="84" t="e">
        <f t="shared" si="4"/>
        <v>#VALUE!</v>
      </c>
      <c r="S58" t="e">
        <f>U57*'Scen Hypothetical vaccine model'!$J58*HelperFunctions!$R$14</f>
        <v>#VALUE!</v>
      </c>
      <c r="T58" t="e">
        <f>U57*'Scen Hypothetical vaccine model'!$K58</f>
        <v>#VALUE!</v>
      </c>
      <c r="U58" s="84" t="e">
        <f t="shared" si="5"/>
        <v>#VALUE!</v>
      </c>
      <c r="V58" t="e">
        <f>X57*'Scen Hypothetical vaccine model'!$J58*HelperFunctions!$R$14</f>
        <v>#VALUE!</v>
      </c>
      <c r="W58" t="e">
        <f>X57*'Scen Hypothetical vaccine model'!$K58</f>
        <v>#VALUE!</v>
      </c>
      <c r="X58" s="84" t="e">
        <f t="shared" si="6"/>
        <v>#VALUE!</v>
      </c>
      <c r="Y58" t="e">
        <f>AA57*'Scen Hypothetical vaccine model'!$J58*HelperFunctions!$R$14</f>
        <v>#VALUE!</v>
      </c>
      <c r="Z58" t="e">
        <f>AA57*'Scen Hypothetical vaccine model'!$K58</f>
        <v>#VALUE!</v>
      </c>
      <c r="AA58" s="84" t="e">
        <f t="shared" si="7"/>
        <v>#VALUE!</v>
      </c>
      <c r="AB58" t="e">
        <f>AD57*'Scen Hypothetical vaccine model'!$J58*HelperFunctions!$R$14</f>
        <v>#VALUE!</v>
      </c>
      <c r="AC58" t="e">
        <f>AD57*'Scen Hypothetical vaccine model'!$K58</f>
        <v>#VALUE!</v>
      </c>
      <c r="AD58" s="84" t="e">
        <f t="shared" si="8"/>
        <v>#VALUE!</v>
      </c>
      <c r="AE58" t="e">
        <f>AG57*'Scen Hypothetical vaccine model'!$J58*HelperFunctions!$R$14</f>
        <v>#VALUE!</v>
      </c>
      <c r="AF58" t="e">
        <f>AG57*'Scen Hypothetical vaccine model'!$K58</f>
        <v>#VALUE!</v>
      </c>
      <c r="AG58" s="84" t="e">
        <f t="shared" si="9"/>
        <v>#VALUE!</v>
      </c>
      <c r="AH58" t="e">
        <f>AJ57*'Scen Hypothetical vaccine model'!$J58*HelperFunctions!$R$14</f>
        <v>#VALUE!</v>
      </c>
      <c r="AI58" t="e">
        <f>AJ57*'Scen Hypothetical vaccine model'!$K58</f>
        <v>#VALUE!</v>
      </c>
      <c r="AJ58" s="84" t="e">
        <f t="shared" si="10"/>
        <v>#VALUE!</v>
      </c>
      <c r="AK58" t="e">
        <f>AM57*'Scen Hypothetical vaccine model'!$J58*HelperFunctions!$R$14</f>
        <v>#VALUE!</v>
      </c>
      <c r="AL58" t="e">
        <f>AM57*'Scen Hypothetical vaccine model'!$K58</f>
        <v>#VALUE!</v>
      </c>
      <c r="AM58" s="84" t="e">
        <f t="shared" si="11"/>
        <v>#VALUE!</v>
      </c>
      <c r="AN58" t="e">
        <f>AP57*'Scen Hypothetical vaccine model'!$J58*HelperFunctions!$R$28</f>
        <v>#VALUE!</v>
      </c>
      <c r="AO58" t="e">
        <f>AP57*'Scen Hypothetical vaccine model'!$K58</f>
        <v>#VALUE!</v>
      </c>
      <c r="AP58" s="84" t="e">
        <f t="shared" si="12"/>
        <v>#VALUE!</v>
      </c>
      <c r="AQ58" t="e">
        <f>AS57*'Scen Hypothetical vaccine model'!$J58*HelperFunctions!$R$28</f>
        <v>#VALUE!</v>
      </c>
      <c r="AR58" t="e">
        <f>AS57*'Scen Hypothetical vaccine model'!$K58</f>
        <v>#VALUE!</v>
      </c>
      <c r="AS58" s="84" t="e">
        <f t="shared" si="13"/>
        <v>#VALUE!</v>
      </c>
      <c r="AT58" t="e">
        <f>AV57*'Scen Hypothetical vaccine model'!$J58*HelperFunctions!$R$28</f>
        <v>#VALUE!</v>
      </c>
      <c r="AU58" t="e">
        <f>AV57*'Scen Hypothetical vaccine model'!$K58</f>
        <v>#VALUE!</v>
      </c>
      <c r="AV58" s="84" t="e">
        <f t="shared" si="14"/>
        <v>#VALUE!</v>
      </c>
      <c r="AW58" t="e">
        <f>AY57*'Scen Hypothetical vaccine model'!$J58*HelperFunctions!$R$28</f>
        <v>#VALUE!</v>
      </c>
      <c r="AX58" t="e">
        <f>AY57*'Scen Hypothetical vaccine model'!$K58</f>
        <v>#VALUE!</v>
      </c>
      <c r="AY58" s="84" t="e">
        <f t="shared" si="15"/>
        <v>#VALUE!</v>
      </c>
      <c r="AZ58" t="e">
        <f>BB57*'Scen Hypothetical vaccine model'!$J58*HelperFunctions!$R$28</f>
        <v>#VALUE!</v>
      </c>
      <c r="BA58" t="e">
        <f>BB57*'Scen Hypothetical vaccine model'!$K58</f>
        <v>#VALUE!</v>
      </c>
      <c r="BB58" s="84" t="e">
        <f t="shared" si="16"/>
        <v>#VALUE!</v>
      </c>
      <c r="BC58" t="e">
        <f>BE57*'Scen Hypothetical vaccine model'!$J58*HelperFunctions!$R$28</f>
        <v>#VALUE!</v>
      </c>
      <c r="BD58" t="e">
        <f>BE57*'Scen Hypothetical vaccine model'!$K58</f>
        <v>#VALUE!</v>
      </c>
      <c r="BE58" s="84" t="e">
        <f t="shared" si="17"/>
        <v>#VALUE!</v>
      </c>
      <c r="BF58" t="e">
        <f>BH57*'Scen Hypothetical vaccine model'!$J58*HelperFunctions!$R$28</f>
        <v>#VALUE!</v>
      </c>
      <c r="BG58" t="e">
        <f>BH57*'Scen Hypothetical vaccine model'!$K58</f>
        <v>#VALUE!</v>
      </c>
      <c r="BH58" s="84" t="e">
        <f t="shared" si="18"/>
        <v>#VALUE!</v>
      </c>
      <c r="BI58" t="e">
        <f>BK57*'Scen Hypothetical vaccine model'!$J58*HelperFunctions!$R$28</f>
        <v>#VALUE!</v>
      </c>
      <c r="BJ58" t="e">
        <f>BK57*'Scen Hypothetical vaccine model'!$K58</f>
        <v>#VALUE!</v>
      </c>
      <c r="BK58" s="84" t="e">
        <f t="shared" si="19"/>
        <v>#VALUE!</v>
      </c>
      <c r="BL58" t="e">
        <f>BN57*'Scen Hypothetical vaccine model'!$J58*HelperFunctions!$R$28</f>
        <v>#VALUE!</v>
      </c>
      <c r="BM58" t="e">
        <f>BN57*'Scen Hypothetical vaccine model'!$K58</f>
        <v>#VALUE!</v>
      </c>
      <c r="BN58" s="84" t="e">
        <f t="shared" si="20"/>
        <v>#VALUE!</v>
      </c>
      <c r="BO58" t="e">
        <f>BQ57*'Scen Hypothetical vaccine model'!$J58*HelperFunctions!$R$28</f>
        <v>#VALUE!</v>
      </c>
      <c r="BP58" t="e">
        <f>BQ57*'Scen Hypothetical vaccine model'!$K58</f>
        <v>#VALUE!</v>
      </c>
      <c r="BQ58" s="84" t="e">
        <f t="shared" si="21"/>
        <v>#VALUE!</v>
      </c>
      <c r="BR58" t="e">
        <f>BT57*'Scen Hypothetical vaccine model'!$J58*HelperFunctions!$R$28</f>
        <v>#VALUE!</v>
      </c>
      <c r="BS58" t="e">
        <f>BT57*'Scen Hypothetical vaccine model'!$K58</f>
        <v>#VALUE!</v>
      </c>
      <c r="BT58" s="84" t="e">
        <f t="shared" si="22"/>
        <v>#VALUE!</v>
      </c>
      <c r="BU58" t="e">
        <f>BW57*'Scen Hypothetical vaccine model'!$J58*HelperFunctions!$R$28</f>
        <v>#VALUE!</v>
      </c>
      <c r="BV58" t="e">
        <f>BW57*'Scen Hypothetical vaccine model'!$K58</f>
        <v>#VALUE!</v>
      </c>
      <c r="BW58" s="84" t="e">
        <f t="shared" si="23"/>
        <v>#VALUE!</v>
      </c>
      <c r="BX58" t="e">
        <f>BZ57*'Scen Hypothetical vaccine model'!$J58*HelperFunctions!$R$42</f>
        <v>#VALUE!</v>
      </c>
      <c r="BY58" t="e">
        <f>BZ57*'Scen Hypothetical vaccine model'!$K58</f>
        <v>#VALUE!</v>
      </c>
      <c r="BZ58" s="84" t="e">
        <f t="shared" si="24"/>
        <v>#VALUE!</v>
      </c>
      <c r="CA58" t="e">
        <f>CC57*'Scen Hypothetical vaccine model'!$J58*HelperFunctions!$R$42</f>
        <v>#VALUE!</v>
      </c>
      <c r="CB58" t="e">
        <f>CC57*'Scen Hypothetical vaccine model'!$K58</f>
        <v>#VALUE!</v>
      </c>
      <c r="CC58" s="84" t="e">
        <f t="shared" si="25"/>
        <v>#VALUE!</v>
      </c>
      <c r="CD58" t="e">
        <f>CF57*'Scen Hypothetical vaccine model'!$J58*HelperFunctions!$R$42</f>
        <v>#VALUE!</v>
      </c>
      <c r="CE58" t="e">
        <f>CF57*'Scen Hypothetical vaccine model'!$K58</f>
        <v>#VALUE!</v>
      </c>
      <c r="CF58" s="84" t="e">
        <f t="shared" si="26"/>
        <v>#VALUE!</v>
      </c>
      <c r="CG58" t="e">
        <f>CI57*'Scen Hypothetical vaccine model'!$J58*HelperFunctions!$R$42</f>
        <v>#VALUE!</v>
      </c>
      <c r="CH58" t="e">
        <f>CI57*'Scen Hypothetical vaccine model'!$K58</f>
        <v>#VALUE!</v>
      </c>
      <c r="CI58" s="84" t="e">
        <f t="shared" si="27"/>
        <v>#VALUE!</v>
      </c>
      <c r="CJ58" t="e">
        <f>CL57*'Scen Hypothetical vaccine model'!$J58*HelperFunctions!$R$42</f>
        <v>#VALUE!</v>
      </c>
      <c r="CK58" t="e">
        <f>CL57*'Scen Hypothetical vaccine model'!$K58</f>
        <v>#VALUE!</v>
      </c>
      <c r="CL58" s="84" t="e">
        <f t="shared" si="28"/>
        <v>#VALUE!</v>
      </c>
      <c r="CM58" t="e">
        <f>CO57*'Scen Hypothetical vaccine model'!$J58*HelperFunctions!$R$42</f>
        <v>#VALUE!</v>
      </c>
      <c r="CN58" t="e">
        <f>CO57*'Scen Hypothetical vaccine model'!$K58</f>
        <v>#VALUE!</v>
      </c>
      <c r="CO58" s="84" t="e">
        <f t="shared" si="29"/>
        <v>#VALUE!</v>
      </c>
      <c r="CP58" t="e">
        <f>CR57*'Scen Hypothetical vaccine model'!$J58*HelperFunctions!$R$42</f>
        <v>#VALUE!</v>
      </c>
      <c r="CQ58" t="e">
        <f>CR57*'Scen Hypothetical vaccine model'!$K58</f>
        <v>#VALUE!</v>
      </c>
      <c r="CR58" s="84" t="e">
        <f t="shared" si="30"/>
        <v>#VALUE!</v>
      </c>
      <c r="CS58" t="e">
        <f>CU57*'Scen Hypothetical vaccine model'!$J58*HelperFunctions!$R$42</f>
        <v>#VALUE!</v>
      </c>
      <c r="CT58" t="e">
        <f>CU57*'Scen Hypothetical vaccine model'!$K58</f>
        <v>#VALUE!</v>
      </c>
      <c r="CU58" s="84" t="e">
        <f t="shared" si="31"/>
        <v>#VALUE!</v>
      </c>
      <c r="CV58" t="e">
        <f>CX57*'Scen Hypothetical vaccine model'!$J58*HelperFunctions!$R$42</f>
        <v>#VALUE!</v>
      </c>
      <c r="CW58" t="e">
        <f>CX57*'Scen Hypothetical vaccine model'!$K58</f>
        <v>#VALUE!</v>
      </c>
      <c r="CX58" s="84" t="e">
        <f t="shared" si="32"/>
        <v>#VALUE!</v>
      </c>
      <c r="CY58" t="e">
        <f>DA57*'Scen Hypothetical vaccine model'!$J58*HelperFunctions!$R$42</f>
        <v>#VALUE!</v>
      </c>
      <c r="CZ58" t="e">
        <f>DA57*'Scen Hypothetical vaccine model'!$K58</f>
        <v>#VALUE!</v>
      </c>
      <c r="DA58" s="84" t="e">
        <f t="shared" si="33"/>
        <v>#VALUE!</v>
      </c>
      <c r="DB58" t="e">
        <f>DD57*'Scen Hypothetical vaccine model'!$J58*HelperFunctions!$R$42</f>
        <v>#VALUE!</v>
      </c>
      <c r="DC58" t="e">
        <f>DD57*'Scen Hypothetical vaccine model'!$K58</f>
        <v>#VALUE!</v>
      </c>
      <c r="DD58" s="84" t="e">
        <f t="shared" si="34"/>
        <v>#VALUE!</v>
      </c>
      <c r="DE58" t="e">
        <f>DG57*'Scen Hypothetical vaccine model'!$J58*HelperFunctions!$R$42</f>
        <v>#VALUE!</v>
      </c>
      <c r="DF58" t="e">
        <f>DG57*'Scen Hypothetical vaccine model'!$K58</f>
        <v>#VALUE!</v>
      </c>
      <c r="DG58" s="84" t="e">
        <f t="shared" si="35"/>
        <v>#VALUE!</v>
      </c>
      <c r="DH58" t="e">
        <f>DJ57*'Scen Hypothetical vaccine model'!$J58*HelperFunctions!$R$56</f>
        <v>#VALUE!</v>
      </c>
      <c r="DI58" t="e">
        <f>DJ57*'Scen Hypothetical vaccine model'!$K58</f>
        <v>#VALUE!</v>
      </c>
      <c r="DJ58" s="84" t="e">
        <f t="shared" si="36"/>
        <v>#VALUE!</v>
      </c>
      <c r="DK58" t="e">
        <f>DM57*'Scen Hypothetical vaccine model'!$J58*HelperFunctions!$R$56</f>
        <v>#VALUE!</v>
      </c>
      <c r="DL58" t="e">
        <f>DM57*'Scen Hypothetical vaccine model'!$K58</f>
        <v>#VALUE!</v>
      </c>
      <c r="DM58" s="84" t="e">
        <f t="shared" si="37"/>
        <v>#VALUE!</v>
      </c>
      <c r="DN58" t="e">
        <f>DP57*'Scen Hypothetical vaccine model'!$J58*HelperFunctions!$R$56</f>
        <v>#VALUE!</v>
      </c>
      <c r="DO58" t="e">
        <f>DP57*'Scen Hypothetical vaccine model'!$K58</f>
        <v>#VALUE!</v>
      </c>
      <c r="DP58" s="84" t="e">
        <f t="shared" si="38"/>
        <v>#VALUE!</v>
      </c>
      <c r="DQ58" t="e">
        <f>DS57*'Scen Hypothetical vaccine model'!$J58*HelperFunctions!$R$56</f>
        <v>#VALUE!</v>
      </c>
      <c r="DR58" t="e">
        <f>DS57*'Scen Hypothetical vaccine model'!$K58</f>
        <v>#VALUE!</v>
      </c>
      <c r="DS58" s="84" t="e">
        <f t="shared" si="39"/>
        <v>#VALUE!</v>
      </c>
      <c r="DT58" t="e">
        <f>DV57*'Scen Hypothetical vaccine model'!$J58*HelperFunctions!$R$56</f>
        <v>#VALUE!</v>
      </c>
      <c r="DU58" t="e">
        <f>DV57*'Scen Hypothetical vaccine model'!$K58</f>
        <v>#VALUE!</v>
      </c>
      <c r="DV58" s="84" t="e">
        <f t="shared" si="40"/>
        <v>#VALUE!</v>
      </c>
      <c r="DW58" t="e">
        <f>DY57*'Scen Hypothetical vaccine model'!$J58*HelperFunctions!$R$56</f>
        <v>#VALUE!</v>
      </c>
      <c r="DX58" t="e">
        <f>DY57*'Scen Hypothetical vaccine model'!$K58</f>
        <v>#VALUE!</v>
      </c>
      <c r="DY58" s="84" t="e">
        <f t="shared" si="41"/>
        <v>#VALUE!</v>
      </c>
      <c r="DZ58" t="e">
        <f>EB57*'Scen Hypothetical vaccine model'!$J58*HelperFunctions!$R$56</f>
        <v>#VALUE!</v>
      </c>
      <c r="EA58" t="e">
        <f>EB57*'Scen Hypothetical vaccine model'!$K58</f>
        <v>#VALUE!</v>
      </c>
      <c r="EB58" s="84" t="e">
        <f t="shared" si="42"/>
        <v>#VALUE!</v>
      </c>
      <c r="EC58" t="e">
        <f>EE57*'Scen Hypothetical vaccine model'!$J58*HelperFunctions!$R55</f>
        <v>#VALUE!</v>
      </c>
      <c r="ED58" t="e">
        <f>EE57*'Scen Hypothetical vaccine model'!$K58</f>
        <v>#VALUE!</v>
      </c>
      <c r="EE58" s="84" t="e">
        <f t="shared" si="43"/>
        <v>#VALUE!</v>
      </c>
      <c r="EF58" t="e">
        <f>EH57*'Scen Hypothetical vaccine model'!$J58*HelperFunctions!$R54</f>
        <v>#VALUE!</v>
      </c>
      <c r="EG58" t="e">
        <f>EH57*'Scen Hypothetical vaccine model'!$K58</f>
        <v>#VALUE!</v>
      </c>
      <c r="EH58" s="84" t="e">
        <f t="shared" si="44"/>
        <v>#VALUE!</v>
      </c>
      <c r="EI58" t="e">
        <f>EK57*'Scen Hypothetical vaccine model'!$J58*HelperFunctions!$R53</f>
        <v>#VALUE!</v>
      </c>
      <c r="EJ58" t="e">
        <f>EK57*'Scen Hypothetical vaccine model'!$K58</f>
        <v>#VALUE!</v>
      </c>
      <c r="EK58" s="84" t="e">
        <f t="shared" si="45"/>
        <v>#VALUE!</v>
      </c>
      <c r="EL58" t="e">
        <f>EN57*'Scen Hypothetical vaccine model'!$J58*HelperFunctions!$R52</f>
        <v>#VALUE!</v>
      </c>
      <c r="EM58" t="e">
        <f>EN57*'Scen Hypothetical vaccine model'!$K58</f>
        <v>#VALUE!</v>
      </c>
      <c r="EN58" s="84" t="e">
        <f t="shared" si="46"/>
        <v>#VALUE!</v>
      </c>
      <c r="EO58" t="e">
        <f>EQ57*'Scen Hypothetical vaccine model'!$J58*HelperFunctions!$R51</f>
        <v>#VALUE!</v>
      </c>
      <c r="EP58" t="e">
        <f>EQ57*'Scen Hypothetical vaccine model'!$K58</f>
        <v>#VALUE!</v>
      </c>
      <c r="EQ58" s="84" t="e">
        <f t="shared" si="47"/>
        <v>#VALUE!</v>
      </c>
      <c r="ER58" t="e">
        <f>ET57*'Scen Hypothetical vaccine model'!$J58*HelperFunctions!$R64</f>
        <v>#VALUE!</v>
      </c>
      <c r="ES58" t="e">
        <f>ET57*'Scen Hypothetical vaccine model'!$K58</f>
        <v>#VALUE!</v>
      </c>
      <c r="ET58" s="84" t="e">
        <f t="shared" si="48"/>
        <v>#VALUE!</v>
      </c>
      <c r="EU58" t="e">
        <f>EW57*'Scen Hypothetical vaccine model'!$J58*HelperFunctions!$R63</f>
        <v>#VALUE!</v>
      </c>
      <c r="EV58" t="e">
        <f>EW57*'Scen Hypothetical vaccine model'!$K58</f>
        <v>#VALUE!</v>
      </c>
      <c r="EW58" s="84" t="e">
        <f t="shared" si="49"/>
        <v>#VALUE!</v>
      </c>
      <c r="EX58" t="e">
        <f>EZ57*'Scen Hypothetical vaccine model'!$J58*HelperFunctions!$R62</f>
        <v>#VALUE!</v>
      </c>
      <c r="EY58" t="e">
        <f>EZ57*'Scen Hypothetical vaccine model'!$K58</f>
        <v>#VALUE!</v>
      </c>
      <c r="EZ58" s="84" t="e">
        <f t="shared" si="50"/>
        <v>#VALUE!</v>
      </c>
      <c r="FA58" t="e">
        <f>FC57*'Scen Hypothetical vaccine model'!$J58*HelperFunctions!$R61</f>
        <v>#VALUE!</v>
      </c>
      <c r="FB58" t="e">
        <f>FC57*'Scen Hypothetical vaccine model'!$K58</f>
        <v>#VALUE!</v>
      </c>
      <c r="FC58" s="84" t="e">
        <f t="shared" si="51"/>
        <v>#VALUE!</v>
      </c>
      <c r="FD58" t="e">
        <f>FF57*'Scen Hypothetical vaccine model'!$J58*HelperFunctions!$R60</f>
        <v>#VALUE!</v>
      </c>
      <c r="FE58" t="e">
        <f>FF57*'Scen Hypothetical vaccine model'!$K58</f>
        <v>#VALUE!</v>
      </c>
      <c r="FF58" s="84" t="e">
        <f t="shared" ref="FF58:FF63" si="52">FF57-FD58-FE58</f>
        <v>#VALUE!</v>
      </c>
      <c r="FG58" t="e">
        <f>FI57*'Scen Hypothetical vaccine model'!$J58*HelperFunctions!$R59</f>
        <v>#VALUE!</v>
      </c>
      <c r="FH58" t="e">
        <f>FI57*'Scen Hypothetical vaccine model'!$K58</f>
        <v>#VALUE!</v>
      </c>
      <c r="FI58" s="84" t="e">
        <f>FI57-FG58-FH58</f>
        <v>#VALUE!</v>
      </c>
      <c r="FJ58" s="93"/>
      <c r="FK58" s="93"/>
      <c r="FL58" s="84" t="e">
        <f>Export!$N56*'Scen EffectivelyVax'!$A57*(1-HelperFunctions!$G$59)</f>
        <v>#VALUE!</v>
      </c>
      <c r="FM58" s="93"/>
      <c r="FN58" s="93"/>
      <c r="FO58" s="93"/>
      <c r="FP58" s="93"/>
      <c r="FQ58" s="93"/>
      <c r="FR58" s="93"/>
      <c r="FS58" s="93"/>
      <c r="FT58" s="93"/>
      <c r="FU58" s="93"/>
      <c r="FV58" s="93"/>
      <c r="FW58" s="93"/>
      <c r="FX58" s="93"/>
      <c r="FY58" s="93"/>
      <c r="FZ58" s="93"/>
      <c r="GA58" s="93"/>
    </row>
    <row r="59" spans="2:183" x14ac:dyDescent="0.35">
      <c r="B59">
        <v>4</v>
      </c>
      <c r="C59" t="str">
        <f>Inputs!I79</f>
        <v/>
      </c>
      <c r="D59" t="e">
        <f>F58*'Scen Hypothetical vaccine model'!J59*HelperFunctions!R$14</f>
        <v>#VALUE!</v>
      </c>
      <c r="E59" t="e">
        <f>F58*'Scen Hypothetical vaccine model'!K59</f>
        <v>#VALUE!</v>
      </c>
      <c r="F59" s="84" t="e">
        <f t="shared" si="0"/>
        <v>#VALUE!</v>
      </c>
      <c r="G59" t="e">
        <f>I58*'Scen Hypothetical vaccine model'!$J59*HelperFunctions!$R$14</f>
        <v>#VALUE!</v>
      </c>
      <c r="H59" t="e">
        <f>I58*'Scen Hypothetical vaccine model'!$K59</f>
        <v>#VALUE!</v>
      </c>
      <c r="I59" s="84" t="e">
        <f t="shared" si="1"/>
        <v>#VALUE!</v>
      </c>
      <c r="J59" t="e">
        <f>L58*'Scen Hypothetical vaccine model'!$J59*HelperFunctions!$R$14</f>
        <v>#VALUE!</v>
      </c>
      <c r="K59" t="e">
        <f>L58*'Scen Hypothetical vaccine model'!$K59</f>
        <v>#VALUE!</v>
      </c>
      <c r="L59" s="84" t="e">
        <f t="shared" si="2"/>
        <v>#VALUE!</v>
      </c>
      <c r="M59" t="e">
        <f>O58*'Scen Hypothetical vaccine model'!$J59*HelperFunctions!$R$14</f>
        <v>#VALUE!</v>
      </c>
      <c r="N59" t="e">
        <f>O58*'Scen Hypothetical vaccine model'!$K59</f>
        <v>#VALUE!</v>
      </c>
      <c r="O59" s="84" t="e">
        <f t="shared" si="3"/>
        <v>#VALUE!</v>
      </c>
      <c r="P59" t="e">
        <f>R58*'Scen Hypothetical vaccine model'!$J59*HelperFunctions!$R$14</f>
        <v>#VALUE!</v>
      </c>
      <c r="Q59" t="e">
        <f>R58*'Scen Hypothetical vaccine model'!$K59</f>
        <v>#VALUE!</v>
      </c>
      <c r="R59" s="84" t="e">
        <f t="shared" si="4"/>
        <v>#VALUE!</v>
      </c>
      <c r="S59" t="e">
        <f>U58*'Scen Hypothetical vaccine model'!$J59*HelperFunctions!$R$14</f>
        <v>#VALUE!</v>
      </c>
      <c r="T59" t="e">
        <f>U58*'Scen Hypothetical vaccine model'!$K59</f>
        <v>#VALUE!</v>
      </c>
      <c r="U59" s="84" t="e">
        <f t="shared" si="5"/>
        <v>#VALUE!</v>
      </c>
      <c r="V59" t="e">
        <f>X58*'Scen Hypothetical vaccine model'!$J59*HelperFunctions!$R$14</f>
        <v>#VALUE!</v>
      </c>
      <c r="W59" t="e">
        <f>X58*'Scen Hypothetical vaccine model'!$K59</f>
        <v>#VALUE!</v>
      </c>
      <c r="X59" s="84" t="e">
        <f t="shared" si="6"/>
        <v>#VALUE!</v>
      </c>
      <c r="Y59" t="e">
        <f>AA58*'Scen Hypothetical vaccine model'!$J59*HelperFunctions!$R$14</f>
        <v>#VALUE!</v>
      </c>
      <c r="Z59" t="e">
        <f>AA58*'Scen Hypothetical vaccine model'!$K59</f>
        <v>#VALUE!</v>
      </c>
      <c r="AA59" s="84" t="e">
        <f t="shared" si="7"/>
        <v>#VALUE!</v>
      </c>
      <c r="AB59" t="e">
        <f>AD58*'Scen Hypothetical vaccine model'!$J59*HelperFunctions!$R$14</f>
        <v>#VALUE!</v>
      </c>
      <c r="AC59" t="e">
        <f>AD58*'Scen Hypothetical vaccine model'!$K59</f>
        <v>#VALUE!</v>
      </c>
      <c r="AD59" s="84" t="e">
        <f t="shared" si="8"/>
        <v>#VALUE!</v>
      </c>
      <c r="AE59" t="e">
        <f>AG58*'Scen Hypothetical vaccine model'!$J59*HelperFunctions!$R$14</f>
        <v>#VALUE!</v>
      </c>
      <c r="AF59" t="e">
        <f>AG58*'Scen Hypothetical vaccine model'!$K59</f>
        <v>#VALUE!</v>
      </c>
      <c r="AG59" s="84" t="e">
        <f t="shared" si="9"/>
        <v>#VALUE!</v>
      </c>
      <c r="AH59" t="e">
        <f>AJ58*'Scen Hypothetical vaccine model'!$J59*HelperFunctions!$R$14</f>
        <v>#VALUE!</v>
      </c>
      <c r="AI59" t="e">
        <f>AJ58*'Scen Hypothetical vaccine model'!$K59</f>
        <v>#VALUE!</v>
      </c>
      <c r="AJ59" s="84" t="e">
        <f t="shared" si="10"/>
        <v>#VALUE!</v>
      </c>
      <c r="AK59" t="e">
        <f>AM58*'Scen Hypothetical vaccine model'!$J59*HelperFunctions!$R$14</f>
        <v>#VALUE!</v>
      </c>
      <c r="AL59" t="e">
        <f>AM58*'Scen Hypothetical vaccine model'!$K59</f>
        <v>#VALUE!</v>
      </c>
      <c r="AM59" s="84" t="e">
        <f t="shared" si="11"/>
        <v>#VALUE!</v>
      </c>
      <c r="AN59" t="e">
        <f>AP58*'Scen Hypothetical vaccine model'!$J59*HelperFunctions!$R$28</f>
        <v>#VALUE!</v>
      </c>
      <c r="AO59" t="e">
        <f>AP58*'Scen Hypothetical vaccine model'!$K59</f>
        <v>#VALUE!</v>
      </c>
      <c r="AP59" s="84" t="e">
        <f t="shared" si="12"/>
        <v>#VALUE!</v>
      </c>
      <c r="AQ59" t="e">
        <f>AS58*'Scen Hypothetical vaccine model'!$J59*HelperFunctions!$R$28</f>
        <v>#VALUE!</v>
      </c>
      <c r="AR59" t="e">
        <f>AS58*'Scen Hypothetical vaccine model'!$K59</f>
        <v>#VALUE!</v>
      </c>
      <c r="AS59" s="84" t="e">
        <f t="shared" si="13"/>
        <v>#VALUE!</v>
      </c>
      <c r="AT59" t="e">
        <f>AV58*'Scen Hypothetical vaccine model'!$J59*HelperFunctions!$R$28</f>
        <v>#VALUE!</v>
      </c>
      <c r="AU59" t="e">
        <f>AV58*'Scen Hypothetical vaccine model'!$K59</f>
        <v>#VALUE!</v>
      </c>
      <c r="AV59" s="84" t="e">
        <f t="shared" si="14"/>
        <v>#VALUE!</v>
      </c>
      <c r="AW59" t="e">
        <f>AY58*'Scen Hypothetical vaccine model'!$J59*HelperFunctions!$R$28</f>
        <v>#VALUE!</v>
      </c>
      <c r="AX59" t="e">
        <f>AY58*'Scen Hypothetical vaccine model'!$K59</f>
        <v>#VALUE!</v>
      </c>
      <c r="AY59" s="84" t="e">
        <f t="shared" si="15"/>
        <v>#VALUE!</v>
      </c>
      <c r="AZ59" t="e">
        <f>BB58*'Scen Hypothetical vaccine model'!$J59*HelperFunctions!$R$28</f>
        <v>#VALUE!</v>
      </c>
      <c r="BA59" t="e">
        <f>BB58*'Scen Hypothetical vaccine model'!$K59</f>
        <v>#VALUE!</v>
      </c>
      <c r="BB59" s="84" t="e">
        <f t="shared" si="16"/>
        <v>#VALUE!</v>
      </c>
      <c r="BC59" t="e">
        <f>BE58*'Scen Hypothetical vaccine model'!$J59*HelperFunctions!$R$28</f>
        <v>#VALUE!</v>
      </c>
      <c r="BD59" t="e">
        <f>BE58*'Scen Hypothetical vaccine model'!$K59</f>
        <v>#VALUE!</v>
      </c>
      <c r="BE59" s="84" t="e">
        <f t="shared" si="17"/>
        <v>#VALUE!</v>
      </c>
      <c r="BF59" t="e">
        <f>BH58*'Scen Hypothetical vaccine model'!$J59*HelperFunctions!$R$28</f>
        <v>#VALUE!</v>
      </c>
      <c r="BG59" t="e">
        <f>BH58*'Scen Hypothetical vaccine model'!$K59</f>
        <v>#VALUE!</v>
      </c>
      <c r="BH59" s="84" t="e">
        <f t="shared" si="18"/>
        <v>#VALUE!</v>
      </c>
      <c r="BI59" t="e">
        <f>BK58*'Scen Hypothetical vaccine model'!$J59*HelperFunctions!$R$28</f>
        <v>#VALUE!</v>
      </c>
      <c r="BJ59" t="e">
        <f>BK58*'Scen Hypothetical vaccine model'!$K59</f>
        <v>#VALUE!</v>
      </c>
      <c r="BK59" s="84" t="e">
        <f t="shared" si="19"/>
        <v>#VALUE!</v>
      </c>
      <c r="BL59" t="e">
        <f>BN58*'Scen Hypothetical vaccine model'!$J59*HelperFunctions!$R$28</f>
        <v>#VALUE!</v>
      </c>
      <c r="BM59" t="e">
        <f>BN58*'Scen Hypothetical vaccine model'!$K59</f>
        <v>#VALUE!</v>
      </c>
      <c r="BN59" s="84" t="e">
        <f t="shared" si="20"/>
        <v>#VALUE!</v>
      </c>
      <c r="BO59" t="e">
        <f>BQ58*'Scen Hypothetical vaccine model'!$J59*HelperFunctions!$R$28</f>
        <v>#VALUE!</v>
      </c>
      <c r="BP59" t="e">
        <f>BQ58*'Scen Hypothetical vaccine model'!$K59</f>
        <v>#VALUE!</v>
      </c>
      <c r="BQ59" s="84" t="e">
        <f t="shared" si="21"/>
        <v>#VALUE!</v>
      </c>
      <c r="BR59" t="e">
        <f>BT58*'Scen Hypothetical vaccine model'!$J59*HelperFunctions!$R$28</f>
        <v>#VALUE!</v>
      </c>
      <c r="BS59" t="e">
        <f>BT58*'Scen Hypothetical vaccine model'!$K59</f>
        <v>#VALUE!</v>
      </c>
      <c r="BT59" s="84" t="e">
        <f t="shared" si="22"/>
        <v>#VALUE!</v>
      </c>
      <c r="BU59" t="e">
        <f>BW58*'Scen Hypothetical vaccine model'!$J59*HelperFunctions!$R$28</f>
        <v>#VALUE!</v>
      </c>
      <c r="BV59" t="e">
        <f>BW58*'Scen Hypothetical vaccine model'!$K59</f>
        <v>#VALUE!</v>
      </c>
      <c r="BW59" s="84" t="e">
        <f t="shared" si="23"/>
        <v>#VALUE!</v>
      </c>
      <c r="BX59" t="e">
        <f>BZ58*'Scen Hypothetical vaccine model'!$J59*HelperFunctions!$R$42</f>
        <v>#VALUE!</v>
      </c>
      <c r="BY59" t="e">
        <f>BZ58*'Scen Hypothetical vaccine model'!$K59</f>
        <v>#VALUE!</v>
      </c>
      <c r="BZ59" s="84" t="e">
        <f t="shared" si="24"/>
        <v>#VALUE!</v>
      </c>
      <c r="CA59" t="e">
        <f>CC58*'Scen Hypothetical vaccine model'!$J59*HelperFunctions!$R$42</f>
        <v>#VALUE!</v>
      </c>
      <c r="CB59" t="e">
        <f>CC58*'Scen Hypothetical vaccine model'!$K59</f>
        <v>#VALUE!</v>
      </c>
      <c r="CC59" s="84" t="e">
        <f t="shared" si="25"/>
        <v>#VALUE!</v>
      </c>
      <c r="CD59" t="e">
        <f>CF58*'Scen Hypothetical vaccine model'!$J59*HelperFunctions!$R$42</f>
        <v>#VALUE!</v>
      </c>
      <c r="CE59" t="e">
        <f>CF58*'Scen Hypothetical vaccine model'!$K59</f>
        <v>#VALUE!</v>
      </c>
      <c r="CF59" s="84" t="e">
        <f t="shared" si="26"/>
        <v>#VALUE!</v>
      </c>
      <c r="CG59" t="e">
        <f>CI58*'Scen Hypothetical vaccine model'!$J59*HelperFunctions!$R$42</f>
        <v>#VALUE!</v>
      </c>
      <c r="CH59" t="e">
        <f>CI58*'Scen Hypothetical vaccine model'!$K59</f>
        <v>#VALUE!</v>
      </c>
      <c r="CI59" s="84" t="e">
        <f t="shared" si="27"/>
        <v>#VALUE!</v>
      </c>
      <c r="CJ59" t="e">
        <f>CL58*'Scen Hypothetical vaccine model'!$J59*HelperFunctions!$R$42</f>
        <v>#VALUE!</v>
      </c>
      <c r="CK59" t="e">
        <f>CL58*'Scen Hypothetical vaccine model'!$K59</f>
        <v>#VALUE!</v>
      </c>
      <c r="CL59" s="84" t="e">
        <f t="shared" si="28"/>
        <v>#VALUE!</v>
      </c>
      <c r="CM59" t="e">
        <f>CO58*'Scen Hypothetical vaccine model'!$J59*HelperFunctions!$R$42</f>
        <v>#VALUE!</v>
      </c>
      <c r="CN59" t="e">
        <f>CO58*'Scen Hypothetical vaccine model'!$K59</f>
        <v>#VALUE!</v>
      </c>
      <c r="CO59" s="84" t="e">
        <f t="shared" si="29"/>
        <v>#VALUE!</v>
      </c>
      <c r="CP59" t="e">
        <f>CR58*'Scen Hypothetical vaccine model'!$J59*HelperFunctions!$R$42</f>
        <v>#VALUE!</v>
      </c>
      <c r="CQ59" t="e">
        <f>CR58*'Scen Hypothetical vaccine model'!$K59</f>
        <v>#VALUE!</v>
      </c>
      <c r="CR59" s="84" t="e">
        <f t="shared" si="30"/>
        <v>#VALUE!</v>
      </c>
      <c r="CS59" t="e">
        <f>CU58*'Scen Hypothetical vaccine model'!$J59*HelperFunctions!$R$42</f>
        <v>#VALUE!</v>
      </c>
      <c r="CT59" t="e">
        <f>CU58*'Scen Hypothetical vaccine model'!$K59</f>
        <v>#VALUE!</v>
      </c>
      <c r="CU59" s="84" t="e">
        <f t="shared" si="31"/>
        <v>#VALUE!</v>
      </c>
      <c r="CV59" t="e">
        <f>CX58*'Scen Hypothetical vaccine model'!$J59*HelperFunctions!$R$42</f>
        <v>#VALUE!</v>
      </c>
      <c r="CW59" t="e">
        <f>CX58*'Scen Hypothetical vaccine model'!$K59</f>
        <v>#VALUE!</v>
      </c>
      <c r="CX59" s="84" t="e">
        <f t="shared" si="32"/>
        <v>#VALUE!</v>
      </c>
      <c r="CY59" t="e">
        <f>DA58*'Scen Hypothetical vaccine model'!$J59*HelperFunctions!$R$42</f>
        <v>#VALUE!</v>
      </c>
      <c r="CZ59" t="e">
        <f>DA58*'Scen Hypothetical vaccine model'!$K59</f>
        <v>#VALUE!</v>
      </c>
      <c r="DA59" s="84" t="e">
        <f t="shared" si="33"/>
        <v>#VALUE!</v>
      </c>
      <c r="DB59" t="e">
        <f>DD58*'Scen Hypothetical vaccine model'!$J59*HelperFunctions!$R$42</f>
        <v>#VALUE!</v>
      </c>
      <c r="DC59" t="e">
        <f>DD58*'Scen Hypothetical vaccine model'!$K59</f>
        <v>#VALUE!</v>
      </c>
      <c r="DD59" s="84" t="e">
        <f t="shared" si="34"/>
        <v>#VALUE!</v>
      </c>
      <c r="DE59" t="e">
        <f>DG58*'Scen Hypothetical vaccine model'!$J59*HelperFunctions!$R$42</f>
        <v>#VALUE!</v>
      </c>
      <c r="DF59" t="e">
        <f>DG58*'Scen Hypothetical vaccine model'!$K59</f>
        <v>#VALUE!</v>
      </c>
      <c r="DG59" s="84" t="e">
        <f t="shared" si="35"/>
        <v>#VALUE!</v>
      </c>
      <c r="DH59" t="e">
        <f>DJ58*'Scen Hypothetical vaccine model'!$J59*HelperFunctions!$R$56</f>
        <v>#VALUE!</v>
      </c>
      <c r="DI59" t="e">
        <f>DJ58*'Scen Hypothetical vaccine model'!$K59</f>
        <v>#VALUE!</v>
      </c>
      <c r="DJ59" s="84" t="e">
        <f t="shared" si="36"/>
        <v>#VALUE!</v>
      </c>
      <c r="DK59" t="e">
        <f>DM58*'Scen Hypothetical vaccine model'!$J59*HelperFunctions!$R$56</f>
        <v>#VALUE!</v>
      </c>
      <c r="DL59" t="e">
        <f>DM58*'Scen Hypothetical vaccine model'!$K59</f>
        <v>#VALUE!</v>
      </c>
      <c r="DM59" s="84" t="e">
        <f t="shared" si="37"/>
        <v>#VALUE!</v>
      </c>
      <c r="DN59" t="e">
        <f>DP58*'Scen Hypothetical vaccine model'!$J59*HelperFunctions!$R$56</f>
        <v>#VALUE!</v>
      </c>
      <c r="DO59" t="e">
        <f>DP58*'Scen Hypothetical vaccine model'!$K59</f>
        <v>#VALUE!</v>
      </c>
      <c r="DP59" s="84" t="e">
        <f t="shared" si="38"/>
        <v>#VALUE!</v>
      </c>
      <c r="DQ59" t="e">
        <f>DS58*'Scen Hypothetical vaccine model'!$J59*HelperFunctions!$R$56</f>
        <v>#VALUE!</v>
      </c>
      <c r="DR59" t="e">
        <f>DS58*'Scen Hypothetical vaccine model'!$K59</f>
        <v>#VALUE!</v>
      </c>
      <c r="DS59" s="84" t="e">
        <f t="shared" si="39"/>
        <v>#VALUE!</v>
      </c>
      <c r="DT59" t="e">
        <f>DV58*'Scen Hypothetical vaccine model'!$J59*HelperFunctions!$R$56</f>
        <v>#VALUE!</v>
      </c>
      <c r="DU59" t="e">
        <f>DV58*'Scen Hypothetical vaccine model'!$K59</f>
        <v>#VALUE!</v>
      </c>
      <c r="DV59" s="84" t="e">
        <f t="shared" si="40"/>
        <v>#VALUE!</v>
      </c>
      <c r="DW59" t="e">
        <f>DY58*'Scen Hypothetical vaccine model'!$J59*HelperFunctions!$R$56</f>
        <v>#VALUE!</v>
      </c>
      <c r="DX59" t="e">
        <f>DY58*'Scen Hypothetical vaccine model'!$K59</f>
        <v>#VALUE!</v>
      </c>
      <c r="DY59" s="84" t="e">
        <f t="shared" si="41"/>
        <v>#VALUE!</v>
      </c>
      <c r="DZ59" t="e">
        <f>EB58*'Scen Hypothetical vaccine model'!$J59*HelperFunctions!$R$56</f>
        <v>#VALUE!</v>
      </c>
      <c r="EA59" t="e">
        <f>EB58*'Scen Hypothetical vaccine model'!$K59</f>
        <v>#VALUE!</v>
      </c>
      <c r="EB59" s="84" t="e">
        <f t="shared" si="42"/>
        <v>#VALUE!</v>
      </c>
      <c r="EC59" t="e">
        <f>EE58*'Scen Hypothetical vaccine model'!$J59*HelperFunctions!$R$56</f>
        <v>#VALUE!</v>
      </c>
      <c r="ED59" t="e">
        <f>EE58*'Scen Hypothetical vaccine model'!$K59</f>
        <v>#VALUE!</v>
      </c>
      <c r="EE59" s="84" t="e">
        <f t="shared" si="43"/>
        <v>#VALUE!</v>
      </c>
      <c r="EF59" t="e">
        <f>EH58*'Scen Hypothetical vaccine model'!$J59*HelperFunctions!$R55</f>
        <v>#VALUE!</v>
      </c>
      <c r="EG59" t="e">
        <f>EH58*'Scen Hypothetical vaccine model'!$K59</f>
        <v>#VALUE!</v>
      </c>
      <c r="EH59" s="84" t="e">
        <f t="shared" si="44"/>
        <v>#VALUE!</v>
      </c>
      <c r="EI59" t="e">
        <f>EK58*'Scen Hypothetical vaccine model'!$J59*HelperFunctions!$R54</f>
        <v>#VALUE!</v>
      </c>
      <c r="EJ59" t="e">
        <f>EK58*'Scen Hypothetical vaccine model'!$K59</f>
        <v>#VALUE!</v>
      </c>
      <c r="EK59" s="84" t="e">
        <f t="shared" si="45"/>
        <v>#VALUE!</v>
      </c>
      <c r="EL59" t="e">
        <f>EN58*'Scen Hypothetical vaccine model'!$J59*HelperFunctions!$R53</f>
        <v>#VALUE!</v>
      </c>
      <c r="EM59" t="e">
        <f>EN58*'Scen Hypothetical vaccine model'!$K59</f>
        <v>#VALUE!</v>
      </c>
      <c r="EN59" s="84" t="e">
        <f t="shared" si="46"/>
        <v>#VALUE!</v>
      </c>
      <c r="EO59" t="e">
        <f>EQ58*'Scen Hypothetical vaccine model'!$J59*HelperFunctions!$R52</f>
        <v>#VALUE!</v>
      </c>
      <c r="EP59" t="e">
        <f>EQ58*'Scen Hypothetical vaccine model'!$K59</f>
        <v>#VALUE!</v>
      </c>
      <c r="EQ59" s="84" t="e">
        <f t="shared" si="47"/>
        <v>#VALUE!</v>
      </c>
      <c r="ER59" t="e">
        <f>ET58*'Scen Hypothetical vaccine model'!$J59*HelperFunctions!$R65</f>
        <v>#VALUE!</v>
      </c>
      <c r="ES59" t="e">
        <f>ET58*'Scen Hypothetical vaccine model'!$K59</f>
        <v>#VALUE!</v>
      </c>
      <c r="ET59" s="84" t="e">
        <f t="shared" si="48"/>
        <v>#VALUE!</v>
      </c>
      <c r="EU59" t="e">
        <f>EW58*'Scen Hypothetical vaccine model'!$J59*HelperFunctions!$R64</f>
        <v>#VALUE!</v>
      </c>
      <c r="EV59" t="e">
        <f>EW58*'Scen Hypothetical vaccine model'!$K59</f>
        <v>#VALUE!</v>
      </c>
      <c r="EW59" s="84" t="e">
        <f t="shared" si="49"/>
        <v>#VALUE!</v>
      </c>
      <c r="EX59" t="e">
        <f>EZ58*'Scen Hypothetical vaccine model'!$J59*HelperFunctions!$R63</f>
        <v>#VALUE!</v>
      </c>
      <c r="EY59" t="e">
        <f>EZ58*'Scen Hypothetical vaccine model'!$K59</f>
        <v>#VALUE!</v>
      </c>
      <c r="EZ59" s="84" t="e">
        <f t="shared" si="50"/>
        <v>#VALUE!</v>
      </c>
      <c r="FA59" t="e">
        <f>FC58*'Scen Hypothetical vaccine model'!$J59*HelperFunctions!$R62</f>
        <v>#VALUE!</v>
      </c>
      <c r="FB59" t="e">
        <f>FC58*'Scen Hypothetical vaccine model'!$K59</f>
        <v>#VALUE!</v>
      </c>
      <c r="FC59" s="84" t="e">
        <f t="shared" si="51"/>
        <v>#VALUE!</v>
      </c>
      <c r="FD59" t="e">
        <f>FF58*'Scen Hypothetical vaccine model'!$J59*HelperFunctions!$R61</f>
        <v>#VALUE!</v>
      </c>
      <c r="FE59" t="e">
        <f>FF58*'Scen Hypothetical vaccine model'!$K59</f>
        <v>#VALUE!</v>
      </c>
      <c r="FF59" s="84" t="e">
        <f t="shared" si="52"/>
        <v>#VALUE!</v>
      </c>
      <c r="FG59" t="e">
        <f>FI58*'Scen Hypothetical vaccine model'!$J59*HelperFunctions!$R60</f>
        <v>#VALUE!</v>
      </c>
      <c r="FH59" t="e">
        <f>FI58*'Scen Hypothetical vaccine model'!$K59</f>
        <v>#VALUE!</v>
      </c>
      <c r="FI59" s="84" t="e">
        <f t="shared" ref="FI59:FI63" si="53">FI58-FG59-FH59</f>
        <v>#VALUE!</v>
      </c>
      <c r="FJ59" t="e">
        <f>FL58*'Scen Hypothetical vaccine model'!$J59*HelperFunctions!$R59</f>
        <v>#VALUE!</v>
      </c>
      <c r="FK59" t="e">
        <f>FL58*'Scen Hypothetical vaccine model'!$K59</f>
        <v>#VALUE!</v>
      </c>
      <c r="FL59" s="84" t="e">
        <f>FL58-FJ59-FK59</f>
        <v>#VALUE!</v>
      </c>
      <c r="FM59" s="93"/>
      <c r="FN59" s="93"/>
      <c r="FO59" s="84" t="e">
        <f>Export!$N57*'Scen EffectivelyVax'!$A58*(1-HelperFunctions!$G$59)</f>
        <v>#VALUE!</v>
      </c>
      <c r="FP59" s="93"/>
      <c r="FQ59" s="93"/>
      <c r="FR59" s="93"/>
      <c r="FS59" s="93"/>
      <c r="FT59" s="93"/>
      <c r="FU59" s="93"/>
      <c r="FV59" s="93"/>
      <c r="FW59" s="93"/>
      <c r="FX59" s="93"/>
      <c r="FY59" s="93"/>
      <c r="FZ59" s="93"/>
      <c r="GA59" s="93"/>
    </row>
    <row r="60" spans="2:183" x14ac:dyDescent="0.35">
      <c r="B60">
        <v>4</v>
      </c>
      <c r="C60" t="str">
        <f>Inputs!I80</f>
        <v/>
      </c>
      <c r="D60" t="e">
        <f>F59*'Scen Hypothetical vaccine model'!J60*HelperFunctions!R$14</f>
        <v>#VALUE!</v>
      </c>
      <c r="E60" t="e">
        <f>F59*'Scen Hypothetical vaccine model'!K60</f>
        <v>#VALUE!</v>
      </c>
      <c r="F60" s="84" t="e">
        <f t="shared" si="0"/>
        <v>#VALUE!</v>
      </c>
      <c r="G60" t="e">
        <f>I59*'Scen Hypothetical vaccine model'!$J60*HelperFunctions!$R$14</f>
        <v>#VALUE!</v>
      </c>
      <c r="H60" t="e">
        <f>I59*'Scen Hypothetical vaccine model'!$K60</f>
        <v>#VALUE!</v>
      </c>
      <c r="I60" s="84" t="e">
        <f t="shared" si="1"/>
        <v>#VALUE!</v>
      </c>
      <c r="J60" t="e">
        <f>L59*'Scen Hypothetical vaccine model'!$J60*HelperFunctions!$R$14</f>
        <v>#VALUE!</v>
      </c>
      <c r="K60" t="e">
        <f>L59*'Scen Hypothetical vaccine model'!$K60</f>
        <v>#VALUE!</v>
      </c>
      <c r="L60" s="84" t="e">
        <f t="shared" si="2"/>
        <v>#VALUE!</v>
      </c>
      <c r="M60" t="e">
        <f>O59*'Scen Hypothetical vaccine model'!$J60*HelperFunctions!$R$14</f>
        <v>#VALUE!</v>
      </c>
      <c r="N60" t="e">
        <f>O59*'Scen Hypothetical vaccine model'!$K60</f>
        <v>#VALUE!</v>
      </c>
      <c r="O60" s="84" t="e">
        <f t="shared" si="3"/>
        <v>#VALUE!</v>
      </c>
      <c r="P60" t="e">
        <f>R59*'Scen Hypothetical vaccine model'!$J60*HelperFunctions!$R$14</f>
        <v>#VALUE!</v>
      </c>
      <c r="Q60" t="e">
        <f>R59*'Scen Hypothetical vaccine model'!$K60</f>
        <v>#VALUE!</v>
      </c>
      <c r="R60" s="84" t="e">
        <f t="shared" si="4"/>
        <v>#VALUE!</v>
      </c>
      <c r="S60" t="e">
        <f>U59*'Scen Hypothetical vaccine model'!$J60*HelperFunctions!$R$14</f>
        <v>#VALUE!</v>
      </c>
      <c r="T60" t="e">
        <f>U59*'Scen Hypothetical vaccine model'!$K60</f>
        <v>#VALUE!</v>
      </c>
      <c r="U60" s="84" t="e">
        <f t="shared" si="5"/>
        <v>#VALUE!</v>
      </c>
      <c r="V60" t="e">
        <f>X59*'Scen Hypothetical vaccine model'!$J60*HelperFunctions!$R$14</f>
        <v>#VALUE!</v>
      </c>
      <c r="W60" t="e">
        <f>X59*'Scen Hypothetical vaccine model'!$K60</f>
        <v>#VALUE!</v>
      </c>
      <c r="X60" s="84" t="e">
        <f t="shared" si="6"/>
        <v>#VALUE!</v>
      </c>
      <c r="Y60" t="e">
        <f>AA59*'Scen Hypothetical vaccine model'!$J60*HelperFunctions!$R$14</f>
        <v>#VALUE!</v>
      </c>
      <c r="Z60" t="e">
        <f>AA59*'Scen Hypothetical vaccine model'!$K60</f>
        <v>#VALUE!</v>
      </c>
      <c r="AA60" s="84" t="e">
        <f t="shared" si="7"/>
        <v>#VALUE!</v>
      </c>
      <c r="AB60" t="e">
        <f>AD59*'Scen Hypothetical vaccine model'!$J60*HelperFunctions!$R$14</f>
        <v>#VALUE!</v>
      </c>
      <c r="AC60" t="e">
        <f>AD59*'Scen Hypothetical vaccine model'!$K60</f>
        <v>#VALUE!</v>
      </c>
      <c r="AD60" s="84" t="e">
        <f t="shared" si="8"/>
        <v>#VALUE!</v>
      </c>
      <c r="AE60" t="e">
        <f>AG59*'Scen Hypothetical vaccine model'!$J60*HelperFunctions!$R$14</f>
        <v>#VALUE!</v>
      </c>
      <c r="AF60" t="e">
        <f>AG59*'Scen Hypothetical vaccine model'!$K60</f>
        <v>#VALUE!</v>
      </c>
      <c r="AG60" s="84" t="e">
        <f t="shared" si="9"/>
        <v>#VALUE!</v>
      </c>
      <c r="AH60" t="e">
        <f>AJ59*'Scen Hypothetical vaccine model'!$J60*HelperFunctions!$R$14</f>
        <v>#VALUE!</v>
      </c>
      <c r="AI60" t="e">
        <f>AJ59*'Scen Hypothetical vaccine model'!$K60</f>
        <v>#VALUE!</v>
      </c>
      <c r="AJ60" s="84" t="e">
        <f t="shared" si="10"/>
        <v>#VALUE!</v>
      </c>
      <c r="AK60" t="e">
        <f>AM59*'Scen Hypothetical vaccine model'!$J60*HelperFunctions!$R$14</f>
        <v>#VALUE!</v>
      </c>
      <c r="AL60" t="e">
        <f>AM59*'Scen Hypothetical vaccine model'!$K60</f>
        <v>#VALUE!</v>
      </c>
      <c r="AM60" s="84" t="e">
        <f t="shared" si="11"/>
        <v>#VALUE!</v>
      </c>
      <c r="AN60" t="e">
        <f>AP59*'Scen Hypothetical vaccine model'!$J60*HelperFunctions!$R$28</f>
        <v>#VALUE!</v>
      </c>
      <c r="AO60" t="e">
        <f>AP59*'Scen Hypothetical vaccine model'!$K60</f>
        <v>#VALUE!</v>
      </c>
      <c r="AP60" s="84" t="e">
        <f t="shared" si="12"/>
        <v>#VALUE!</v>
      </c>
      <c r="AQ60" t="e">
        <f>AS59*'Scen Hypothetical vaccine model'!$J60*HelperFunctions!$R$28</f>
        <v>#VALUE!</v>
      </c>
      <c r="AR60" t="e">
        <f>AS59*'Scen Hypothetical vaccine model'!$K60</f>
        <v>#VALUE!</v>
      </c>
      <c r="AS60" s="84" t="e">
        <f t="shared" si="13"/>
        <v>#VALUE!</v>
      </c>
      <c r="AT60" t="e">
        <f>AV59*'Scen Hypothetical vaccine model'!$J60*HelperFunctions!$R$28</f>
        <v>#VALUE!</v>
      </c>
      <c r="AU60" t="e">
        <f>AV59*'Scen Hypothetical vaccine model'!$K60</f>
        <v>#VALUE!</v>
      </c>
      <c r="AV60" s="84" t="e">
        <f t="shared" si="14"/>
        <v>#VALUE!</v>
      </c>
      <c r="AW60" t="e">
        <f>AY59*'Scen Hypothetical vaccine model'!$J60*HelperFunctions!$R$28</f>
        <v>#VALUE!</v>
      </c>
      <c r="AX60" t="e">
        <f>AY59*'Scen Hypothetical vaccine model'!$K60</f>
        <v>#VALUE!</v>
      </c>
      <c r="AY60" s="84" t="e">
        <f t="shared" si="15"/>
        <v>#VALUE!</v>
      </c>
      <c r="AZ60" t="e">
        <f>BB59*'Scen Hypothetical vaccine model'!$J60*HelperFunctions!$R$28</f>
        <v>#VALUE!</v>
      </c>
      <c r="BA60" t="e">
        <f>BB59*'Scen Hypothetical vaccine model'!$K60</f>
        <v>#VALUE!</v>
      </c>
      <c r="BB60" s="84" t="e">
        <f t="shared" si="16"/>
        <v>#VALUE!</v>
      </c>
      <c r="BC60" t="e">
        <f>BE59*'Scen Hypothetical vaccine model'!$J60*HelperFunctions!$R$28</f>
        <v>#VALUE!</v>
      </c>
      <c r="BD60" t="e">
        <f>BE59*'Scen Hypothetical vaccine model'!$K60</f>
        <v>#VALUE!</v>
      </c>
      <c r="BE60" s="84" t="e">
        <f t="shared" si="17"/>
        <v>#VALUE!</v>
      </c>
      <c r="BF60" t="e">
        <f>BH59*'Scen Hypothetical vaccine model'!$J60*HelperFunctions!$R$28</f>
        <v>#VALUE!</v>
      </c>
      <c r="BG60" t="e">
        <f>BH59*'Scen Hypothetical vaccine model'!$K60</f>
        <v>#VALUE!</v>
      </c>
      <c r="BH60" s="84" t="e">
        <f t="shared" si="18"/>
        <v>#VALUE!</v>
      </c>
      <c r="BI60" t="e">
        <f>BK59*'Scen Hypothetical vaccine model'!$J60*HelperFunctions!$R$28</f>
        <v>#VALUE!</v>
      </c>
      <c r="BJ60" t="e">
        <f>BK59*'Scen Hypothetical vaccine model'!$K60</f>
        <v>#VALUE!</v>
      </c>
      <c r="BK60" s="84" t="e">
        <f t="shared" si="19"/>
        <v>#VALUE!</v>
      </c>
      <c r="BL60" t="e">
        <f>BN59*'Scen Hypothetical vaccine model'!$J60*HelperFunctions!$R$28</f>
        <v>#VALUE!</v>
      </c>
      <c r="BM60" t="e">
        <f>BN59*'Scen Hypothetical vaccine model'!$K60</f>
        <v>#VALUE!</v>
      </c>
      <c r="BN60" s="84" t="e">
        <f t="shared" si="20"/>
        <v>#VALUE!</v>
      </c>
      <c r="BO60" t="e">
        <f>BQ59*'Scen Hypothetical vaccine model'!$J60*HelperFunctions!$R$28</f>
        <v>#VALUE!</v>
      </c>
      <c r="BP60" t="e">
        <f>BQ59*'Scen Hypothetical vaccine model'!$K60</f>
        <v>#VALUE!</v>
      </c>
      <c r="BQ60" s="84" t="e">
        <f t="shared" si="21"/>
        <v>#VALUE!</v>
      </c>
      <c r="BR60" t="e">
        <f>BT59*'Scen Hypothetical vaccine model'!$J60*HelperFunctions!$R$28</f>
        <v>#VALUE!</v>
      </c>
      <c r="BS60" t="e">
        <f>BT59*'Scen Hypothetical vaccine model'!$K60</f>
        <v>#VALUE!</v>
      </c>
      <c r="BT60" s="84" t="e">
        <f t="shared" si="22"/>
        <v>#VALUE!</v>
      </c>
      <c r="BU60" t="e">
        <f>BW59*'Scen Hypothetical vaccine model'!$J60*HelperFunctions!$R$28</f>
        <v>#VALUE!</v>
      </c>
      <c r="BV60" t="e">
        <f>BW59*'Scen Hypothetical vaccine model'!$K60</f>
        <v>#VALUE!</v>
      </c>
      <c r="BW60" s="84" t="e">
        <f t="shared" si="23"/>
        <v>#VALUE!</v>
      </c>
      <c r="BX60" t="e">
        <f>BZ59*'Scen Hypothetical vaccine model'!$J60*HelperFunctions!$R$42</f>
        <v>#VALUE!</v>
      </c>
      <c r="BY60" t="e">
        <f>BZ59*'Scen Hypothetical vaccine model'!$K60</f>
        <v>#VALUE!</v>
      </c>
      <c r="BZ60" s="84" t="e">
        <f t="shared" si="24"/>
        <v>#VALUE!</v>
      </c>
      <c r="CA60" t="e">
        <f>CC59*'Scen Hypothetical vaccine model'!$J60*HelperFunctions!$R$42</f>
        <v>#VALUE!</v>
      </c>
      <c r="CB60" t="e">
        <f>CC59*'Scen Hypothetical vaccine model'!$K60</f>
        <v>#VALUE!</v>
      </c>
      <c r="CC60" s="84" t="e">
        <f t="shared" si="25"/>
        <v>#VALUE!</v>
      </c>
      <c r="CD60" t="e">
        <f>CF59*'Scen Hypothetical vaccine model'!$J60*HelperFunctions!$R$42</f>
        <v>#VALUE!</v>
      </c>
      <c r="CE60" t="e">
        <f>CF59*'Scen Hypothetical vaccine model'!$K60</f>
        <v>#VALUE!</v>
      </c>
      <c r="CF60" s="84" t="e">
        <f t="shared" si="26"/>
        <v>#VALUE!</v>
      </c>
      <c r="CG60" t="e">
        <f>CI59*'Scen Hypothetical vaccine model'!$J60*HelperFunctions!$R$42</f>
        <v>#VALUE!</v>
      </c>
      <c r="CH60" t="e">
        <f>CI59*'Scen Hypothetical vaccine model'!$K60</f>
        <v>#VALUE!</v>
      </c>
      <c r="CI60" s="84" t="e">
        <f t="shared" si="27"/>
        <v>#VALUE!</v>
      </c>
      <c r="CJ60" t="e">
        <f>CL59*'Scen Hypothetical vaccine model'!$J60*HelperFunctions!$R$42</f>
        <v>#VALUE!</v>
      </c>
      <c r="CK60" t="e">
        <f>CL59*'Scen Hypothetical vaccine model'!$K60</f>
        <v>#VALUE!</v>
      </c>
      <c r="CL60" s="84" t="e">
        <f t="shared" si="28"/>
        <v>#VALUE!</v>
      </c>
      <c r="CM60" t="e">
        <f>CO59*'Scen Hypothetical vaccine model'!$J60*HelperFunctions!$R$42</f>
        <v>#VALUE!</v>
      </c>
      <c r="CN60" t="e">
        <f>CO59*'Scen Hypothetical vaccine model'!$K60</f>
        <v>#VALUE!</v>
      </c>
      <c r="CO60" s="84" t="e">
        <f t="shared" si="29"/>
        <v>#VALUE!</v>
      </c>
      <c r="CP60" t="e">
        <f>CR59*'Scen Hypothetical vaccine model'!$J60*HelperFunctions!$R$42</f>
        <v>#VALUE!</v>
      </c>
      <c r="CQ60" t="e">
        <f>CR59*'Scen Hypothetical vaccine model'!$K60</f>
        <v>#VALUE!</v>
      </c>
      <c r="CR60" s="84" t="e">
        <f t="shared" si="30"/>
        <v>#VALUE!</v>
      </c>
      <c r="CS60" t="e">
        <f>CU59*'Scen Hypothetical vaccine model'!$J60*HelperFunctions!$R$42</f>
        <v>#VALUE!</v>
      </c>
      <c r="CT60" t="e">
        <f>CU59*'Scen Hypothetical vaccine model'!$K60</f>
        <v>#VALUE!</v>
      </c>
      <c r="CU60" s="84" t="e">
        <f t="shared" si="31"/>
        <v>#VALUE!</v>
      </c>
      <c r="CV60" t="e">
        <f>CX59*'Scen Hypothetical vaccine model'!$J60*HelperFunctions!$R$42</f>
        <v>#VALUE!</v>
      </c>
      <c r="CW60" t="e">
        <f>CX59*'Scen Hypothetical vaccine model'!$K60</f>
        <v>#VALUE!</v>
      </c>
      <c r="CX60" s="84" t="e">
        <f t="shared" si="32"/>
        <v>#VALUE!</v>
      </c>
      <c r="CY60" t="e">
        <f>DA59*'Scen Hypothetical vaccine model'!$J60*HelperFunctions!$R$42</f>
        <v>#VALUE!</v>
      </c>
      <c r="CZ60" t="e">
        <f>DA59*'Scen Hypothetical vaccine model'!$K60</f>
        <v>#VALUE!</v>
      </c>
      <c r="DA60" s="84" t="e">
        <f t="shared" si="33"/>
        <v>#VALUE!</v>
      </c>
      <c r="DB60" t="e">
        <f>DD59*'Scen Hypothetical vaccine model'!$J60*HelperFunctions!$R$42</f>
        <v>#VALUE!</v>
      </c>
      <c r="DC60" t="e">
        <f>DD59*'Scen Hypothetical vaccine model'!$K60</f>
        <v>#VALUE!</v>
      </c>
      <c r="DD60" s="84" t="e">
        <f t="shared" si="34"/>
        <v>#VALUE!</v>
      </c>
      <c r="DE60" t="e">
        <f>DG59*'Scen Hypothetical vaccine model'!$J60*HelperFunctions!$R$42</f>
        <v>#VALUE!</v>
      </c>
      <c r="DF60" t="e">
        <f>DG59*'Scen Hypothetical vaccine model'!$K60</f>
        <v>#VALUE!</v>
      </c>
      <c r="DG60" s="84" t="e">
        <f t="shared" si="35"/>
        <v>#VALUE!</v>
      </c>
      <c r="DH60" t="e">
        <f>DJ59*'Scen Hypothetical vaccine model'!$J60*HelperFunctions!$R$56</f>
        <v>#VALUE!</v>
      </c>
      <c r="DI60" t="e">
        <f>DJ59*'Scen Hypothetical vaccine model'!$K60</f>
        <v>#VALUE!</v>
      </c>
      <c r="DJ60" s="84" t="e">
        <f t="shared" si="36"/>
        <v>#VALUE!</v>
      </c>
      <c r="DK60" t="e">
        <f>DM59*'Scen Hypothetical vaccine model'!$J60*HelperFunctions!$R$56</f>
        <v>#VALUE!</v>
      </c>
      <c r="DL60" t="e">
        <f>DM59*'Scen Hypothetical vaccine model'!$K60</f>
        <v>#VALUE!</v>
      </c>
      <c r="DM60" s="84" t="e">
        <f t="shared" si="37"/>
        <v>#VALUE!</v>
      </c>
      <c r="DN60" t="e">
        <f>DP59*'Scen Hypothetical vaccine model'!$J60*HelperFunctions!$R$56</f>
        <v>#VALUE!</v>
      </c>
      <c r="DO60" t="e">
        <f>DP59*'Scen Hypothetical vaccine model'!$K60</f>
        <v>#VALUE!</v>
      </c>
      <c r="DP60" s="84" t="e">
        <f t="shared" si="38"/>
        <v>#VALUE!</v>
      </c>
      <c r="DQ60" t="e">
        <f>DS59*'Scen Hypothetical vaccine model'!$J60*HelperFunctions!$R$56</f>
        <v>#VALUE!</v>
      </c>
      <c r="DR60" t="e">
        <f>DS59*'Scen Hypothetical vaccine model'!$K60</f>
        <v>#VALUE!</v>
      </c>
      <c r="DS60" s="84" t="e">
        <f t="shared" si="39"/>
        <v>#VALUE!</v>
      </c>
      <c r="DT60" t="e">
        <f>DV59*'Scen Hypothetical vaccine model'!$J60*HelperFunctions!$R$56</f>
        <v>#VALUE!</v>
      </c>
      <c r="DU60" t="e">
        <f>DV59*'Scen Hypothetical vaccine model'!$K60</f>
        <v>#VALUE!</v>
      </c>
      <c r="DV60" s="84" t="e">
        <f t="shared" si="40"/>
        <v>#VALUE!</v>
      </c>
      <c r="DW60" t="e">
        <f>DY59*'Scen Hypothetical vaccine model'!$J60*HelperFunctions!$R$56</f>
        <v>#VALUE!</v>
      </c>
      <c r="DX60" t="e">
        <f>DY59*'Scen Hypothetical vaccine model'!$K60</f>
        <v>#VALUE!</v>
      </c>
      <c r="DY60" s="84" t="e">
        <f t="shared" si="41"/>
        <v>#VALUE!</v>
      </c>
      <c r="DZ60" t="e">
        <f>EB59*'Scen Hypothetical vaccine model'!$J60*HelperFunctions!$R$56</f>
        <v>#VALUE!</v>
      </c>
      <c r="EA60" t="e">
        <f>EB59*'Scen Hypothetical vaccine model'!$K60</f>
        <v>#VALUE!</v>
      </c>
      <c r="EB60" s="84" t="e">
        <f t="shared" si="42"/>
        <v>#VALUE!</v>
      </c>
      <c r="EC60" t="e">
        <f>EE59*'Scen Hypothetical vaccine model'!$J60*HelperFunctions!$R$56</f>
        <v>#VALUE!</v>
      </c>
      <c r="ED60" t="e">
        <f>EE59*'Scen Hypothetical vaccine model'!$K60</f>
        <v>#VALUE!</v>
      </c>
      <c r="EE60" s="84" t="e">
        <f t="shared" si="43"/>
        <v>#VALUE!</v>
      </c>
      <c r="EF60" t="e">
        <f>EH59*'Scen Hypothetical vaccine model'!$J60*HelperFunctions!$R$56</f>
        <v>#VALUE!</v>
      </c>
      <c r="EG60" t="e">
        <f>EH59*'Scen Hypothetical vaccine model'!$K60</f>
        <v>#VALUE!</v>
      </c>
      <c r="EH60" s="84" t="e">
        <f t="shared" si="44"/>
        <v>#VALUE!</v>
      </c>
      <c r="EI60" t="e">
        <f>EK59*'Scen Hypothetical vaccine model'!$J60*HelperFunctions!$R55</f>
        <v>#VALUE!</v>
      </c>
      <c r="EJ60" t="e">
        <f>EK59*'Scen Hypothetical vaccine model'!$K60</f>
        <v>#VALUE!</v>
      </c>
      <c r="EK60" s="84" t="e">
        <f t="shared" si="45"/>
        <v>#VALUE!</v>
      </c>
      <c r="EL60" t="e">
        <f>EN59*'Scen Hypothetical vaccine model'!$J60*HelperFunctions!$R54</f>
        <v>#VALUE!</v>
      </c>
      <c r="EM60" t="e">
        <f>EN59*'Scen Hypothetical vaccine model'!$K60</f>
        <v>#VALUE!</v>
      </c>
      <c r="EN60" s="84" t="e">
        <f t="shared" si="46"/>
        <v>#VALUE!</v>
      </c>
      <c r="EO60" t="e">
        <f>EQ59*'Scen Hypothetical vaccine model'!$J60*HelperFunctions!$R53</f>
        <v>#VALUE!</v>
      </c>
      <c r="EP60" t="e">
        <f>EQ59*'Scen Hypothetical vaccine model'!$K60</f>
        <v>#VALUE!</v>
      </c>
      <c r="EQ60" s="84" t="e">
        <f t="shared" si="47"/>
        <v>#VALUE!</v>
      </c>
      <c r="ER60" t="e">
        <f>ET59*'Scen Hypothetical vaccine model'!$J60*HelperFunctions!$R66</f>
        <v>#VALUE!</v>
      </c>
      <c r="ES60" t="e">
        <f>ET59*'Scen Hypothetical vaccine model'!$K60</f>
        <v>#VALUE!</v>
      </c>
      <c r="ET60" s="84" t="e">
        <f t="shared" si="48"/>
        <v>#VALUE!</v>
      </c>
      <c r="EU60" t="e">
        <f>EW59*'Scen Hypothetical vaccine model'!$J60*HelperFunctions!$R65</f>
        <v>#VALUE!</v>
      </c>
      <c r="EV60" t="e">
        <f>EW59*'Scen Hypothetical vaccine model'!$K60</f>
        <v>#VALUE!</v>
      </c>
      <c r="EW60" s="84" t="e">
        <f t="shared" si="49"/>
        <v>#VALUE!</v>
      </c>
      <c r="EX60" t="e">
        <f>EZ59*'Scen Hypothetical vaccine model'!$J60*HelperFunctions!$R64</f>
        <v>#VALUE!</v>
      </c>
      <c r="EY60" t="e">
        <f>EZ59*'Scen Hypothetical vaccine model'!$K60</f>
        <v>#VALUE!</v>
      </c>
      <c r="EZ60" s="84" t="e">
        <f t="shared" si="50"/>
        <v>#VALUE!</v>
      </c>
      <c r="FA60" t="e">
        <f>FC59*'Scen Hypothetical vaccine model'!$J60*HelperFunctions!$R63</f>
        <v>#VALUE!</v>
      </c>
      <c r="FB60" t="e">
        <f>FC59*'Scen Hypothetical vaccine model'!$K60</f>
        <v>#VALUE!</v>
      </c>
      <c r="FC60" s="84" t="e">
        <f t="shared" si="51"/>
        <v>#VALUE!</v>
      </c>
      <c r="FD60" t="e">
        <f>FF59*'Scen Hypothetical vaccine model'!$J60*HelperFunctions!$R62</f>
        <v>#VALUE!</v>
      </c>
      <c r="FE60" t="e">
        <f>FF59*'Scen Hypothetical vaccine model'!$K60</f>
        <v>#VALUE!</v>
      </c>
      <c r="FF60" s="84" t="e">
        <f t="shared" si="52"/>
        <v>#VALUE!</v>
      </c>
      <c r="FG60" t="e">
        <f>FI59*'Scen Hypothetical vaccine model'!$J60*HelperFunctions!$R61</f>
        <v>#VALUE!</v>
      </c>
      <c r="FH60" t="e">
        <f>FI59*'Scen Hypothetical vaccine model'!$K60</f>
        <v>#VALUE!</v>
      </c>
      <c r="FI60" s="84" t="e">
        <f t="shared" si="53"/>
        <v>#VALUE!</v>
      </c>
      <c r="FJ60" t="e">
        <f>FL59*'Scen Hypothetical vaccine model'!$J60*HelperFunctions!$R60</f>
        <v>#VALUE!</v>
      </c>
      <c r="FK60" t="e">
        <f>FL59*'Scen Hypothetical vaccine model'!$K60</f>
        <v>#VALUE!</v>
      </c>
      <c r="FL60" s="84" t="e">
        <f t="shared" ref="FL60:FL63" si="54">FL59-FJ60-FK60</f>
        <v>#VALUE!</v>
      </c>
      <c r="FM60" t="e">
        <f>FO59*'Scen Hypothetical vaccine model'!$J60*HelperFunctions!$R59</f>
        <v>#VALUE!</v>
      </c>
      <c r="FN60" t="e">
        <f>FO59*'Scen Hypothetical vaccine model'!$K60</f>
        <v>#VALUE!</v>
      </c>
      <c r="FO60" s="84" t="e">
        <f>FO59-FM60-FN60</f>
        <v>#VALUE!</v>
      </c>
      <c r="FP60" s="93"/>
      <c r="FQ60" s="93"/>
      <c r="FR60" s="84" t="e">
        <f>Export!$N58*'Scen EffectivelyVax'!$A59*(1-HelperFunctions!$G$59)</f>
        <v>#VALUE!</v>
      </c>
      <c r="FS60" s="93"/>
      <c r="FT60" s="93"/>
      <c r="FU60" s="93"/>
      <c r="FV60" s="93"/>
      <c r="FW60" s="93"/>
      <c r="FX60" s="93"/>
      <c r="FY60" s="93"/>
      <c r="FZ60" s="93"/>
      <c r="GA60" s="93"/>
    </row>
    <row r="61" spans="2:183" x14ac:dyDescent="0.35">
      <c r="B61">
        <v>4</v>
      </c>
      <c r="C61" t="str">
        <f>Inputs!I81</f>
        <v/>
      </c>
      <c r="D61" t="e">
        <f>F60*'Scen Hypothetical vaccine model'!J61*HelperFunctions!R$14</f>
        <v>#VALUE!</v>
      </c>
      <c r="E61" t="e">
        <f>F60*'Scen Hypothetical vaccine model'!K61</f>
        <v>#VALUE!</v>
      </c>
      <c r="F61" s="84" t="e">
        <f t="shared" si="0"/>
        <v>#VALUE!</v>
      </c>
      <c r="G61" t="e">
        <f>I60*'Scen Hypothetical vaccine model'!$J61*HelperFunctions!$R$14</f>
        <v>#VALUE!</v>
      </c>
      <c r="H61" t="e">
        <f>I60*'Scen Hypothetical vaccine model'!$K61</f>
        <v>#VALUE!</v>
      </c>
      <c r="I61" s="84" t="e">
        <f t="shared" si="1"/>
        <v>#VALUE!</v>
      </c>
      <c r="J61" t="e">
        <f>L60*'Scen Hypothetical vaccine model'!$J61*HelperFunctions!$R$14</f>
        <v>#VALUE!</v>
      </c>
      <c r="K61" t="e">
        <f>L60*'Scen Hypothetical vaccine model'!$K61</f>
        <v>#VALUE!</v>
      </c>
      <c r="L61" s="84" t="e">
        <f t="shared" si="2"/>
        <v>#VALUE!</v>
      </c>
      <c r="M61" t="e">
        <f>O60*'Scen Hypothetical vaccine model'!$J61*HelperFunctions!$R$14</f>
        <v>#VALUE!</v>
      </c>
      <c r="N61" t="e">
        <f>O60*'Scen Hypothetical vaccine model'!$K61</f>
        <v>#VALUE!</v>
      </c>
      <c r="O61" s="84" t="e">
        <f t="shared" si="3"/>
        <v>#VALUE!</v>
      </c>
      <c r="P61" t="e">
        <f>R60*'Scen Hypothetical vaccine model'!$J61*HelperFunctions!$R$14</f>
        <v>#VALUE!</v>
      </c>
      <c r="Q61" t="e">
        <f>R60*'Scen Hypothetical vaccine model'!$K61</f>
        <v>#VALUE!</v>
      </c>
      <c r="R61" s="84" t="e">
        <f t="shared" si="4"/>
        <v>#VALUE!</v>
      </c>
      <c r="S61" t="e">
        <f>U60*'Scen Hypothetical vaccine model'!$J61*HelperFunctions!$R$14</f>
        <v>#VALUE!</v>
      </c>
      <c r="T61" t="e">
        <f>U60*'Scen Hypothetical vaccine model'!$K61</f>
        <v>#VALUE!</v>
      </c>
      <c r="U61" s="84" t="e">
        <f t="shared" si="5"/>
        <v>#VALUE!</v>
      </c>
      <c r="V61" t="e">
        <f>X60*'Scen Hypothetical vaccine model'!$J61*HelperFunctions!$R$14</f>
        <v>#VALUE!</v>
      </c>
      <c r="W61" t="e">
        <f>X60*'Scen Hypothetical vaccine model'!$K61</f>
        <v>#VALUE!</v>
      </c>
      <c r="X61" s="84" t="e">
        <f t="shared" si="6"/>
        <v>#VALUE!</v>
      </c>
      <c r="Y61" t="e">
        <f>AA60*'Scen Hypothetical vaccine model'!$J61*HelperFunctions!$R$14</f>
        <v>#VALUE!</v>
      </c>
      <c r="Z61" t="e">
        <f>AA60*'Scen Hypothetical vaccine model'!$K61</f>
        <v>#VALUE!</v>
      </c>
      <c r="AA61" s="84" t="e">
        <f t="shared" si="7"/>
        <v>#VALUE!</v>
      </c>
      <c r="AB61" t="e">
        <f>AD60*'Scen Hypothetical vaccine model'!$J61*HelperFunctions!$R$14</f>
        <v>#VALUE!</v>
      </c>
      <c r="AC61" t="e">
        <f>AD60*'Scen Hypothetical vaccine model'!$K61</f>
        <v>#VALUE!</v>
      </c>
      <c r="AD61" s="84" t="e">
        <f t="shared" si="8"/>
        <v>#VALUE!</v>
      </c>
      <c r="AE61" t="e">
        <f>AG60*'Scen Hypothetical vaccine model'!$J61*HelperFunctions!$R$14</f>
        <v>#VALUE!</v>
      </c>
      <c r="AF61" t="e">
        <f>AG60*'Scen Hypothetical vaccine model'!$K61</f>
        <v>#VALUE!</v>
      </c>
      <c r="AG61" s="84" t="e">
        <f t="shared" si="9"/>
        <v>#VALUE!</v>
      </c>
      <c r="AH61" t="e">
        <f>AJ60*'Scen Hypothetical vaccine model'!$J61*HelperFunctions!$R$14</f>
        <v>#VALUE!</v>
      </c>
      <c r="AI61" t="e">
        <f>AJ60*'Scen Hypothetical vaccine model'!$K61</f>
        <v>#VALUE!</v>
      </c>
      <c r="AJ61" s="84" t="e">
        <f t="shared" si="10"/>
        <v>#VALUE!</v>
      </c>
      <c r="AK61" t="e">
        <f>AM60*'Scen Hypothetical vaccine model'!$J61*HelperFunctions!$R$14</f>
        <v>#VALUE!</v>
      </c>
      <c r="AL61" t="e">
        <f>AM60*'Scen Hypothetical vaccine model'!$K61</f>
        <v>#VALUE!</v>
      </c>
      <c r="AM61" s="84" t="e">
        <f t="shared" si="11"/>
        <v>#VALUE!</v>
      </c>
      <c r="AN61" t="e">
        <f>AP60*'Scen Hypothetical vaccine model'!$J61*HelperFunctions!$R$28</f>
        <v>#VALUE!</v>
      </c>
      <c r="AO61" t="e">
        <f>AP60*'Scen Hypothetical vaccine model'!$K61</f>
        <v>#VALUE!</v>
      </c>
      <c r="AP61" s="84" t="e">
        <f t="shared" si="12"/>
        <v>#VALUE!</v>
      </c>
      <c r="AQ61" t="e">
        <f>AS60*'Scen Hypothetical vaccine model'!$J61*HelperFunctions!$R$28</f>
        <v>#VALUE!</v>
      </c>
      <c r="AR61" t="e">
        <f>AS60*'Scen Hypothetical vaccine model'!$K61</f>
        <v>#VALUE!</v>
      </c>
      <c r="AS61" s="84" t="e">
        <f t="shared" si="13"/>
        <v>#VALUE!</v>
      </c>
      <c r="AT61" t="e">
        <f>AV60*'Scen Hypothetical vaccine model'!$J61*HelperFunctions!$R$28</f>
        <v>#VALUE!</v>
      </c>
      <c r="AU61" t="e">
        <f>AV60*'Scen Hypothetical vaccine model'!$K61</f>
        <v>#VALUE!</v>
      </c>
      <c r="AV61" s="84" t="e">
        <f t="shared" si="14"/>
        <v>#VALUE!</v>
      </c>
      <c r="AW61" t="e">
        <f>AY60*'Scen Hypothetical vaccine model'!$J61*HelperFunctions!$R$28</f>
        <v>#VALUE!</v>
      </c>
      <c r="AX61" t="e">
        <f>AY60*'Scen Hypothetical vaccine model'!$K61</f>
        <v>#VALUE!</v>
      </c>
      <c r="AY61" s="84" t="e">
        <f t="shared" si="15"/>
        <v>#VALUE!</v>
      </c>
      <c r="AZ61" t="e">
        <f>BB60*'Scen Hypothetical vaccine model'!$J61*HelperFunctions!$R$28</f>
        <v>#VALUE!</v>
      </c>
      <c r="BA61" t="e">
        <f>BB60*'Scen Hypothetical vaccine model'!$K61</f>
        <v>#VALUE!</v>
      </c>
      <c r="BB61" s="84" t="e">
        <f t="shared" si="16"/>
        <v>#VALUE!</v>
      </c>
      <c r="BC61" t="e">
        <f>BE60*'Scen Hypothetical vaccine model'!$J61*HelperFunctions!$R$28</f>
        <v>#VALUE!</v>
      </c>
      <c r="BD61" t="e">
        <f>BE60*'Scen Hypothetical vaccine model'!$K61</f>
        <v>#VALUE!</v>
      </c>
      <c r="BE61" s="84" t="e">
        <f t="shared" si="17"/>
        <v>#VALUE!</v>
      </c>
      <c r="BF61" t="e">
        <f>BH60*'Scen Hypothetical vaccine model'!$J61*HelperFunctions!$R$28</f>
        <v>#VALUE!</v>
      </c>
      <c r="BG61" t="e">
        <f>BH60*'Scen Hypothetical vaccine model'!$K61</f>
        <v>#VALUE!</v>
      </c>
      <c r="BH61" s="84" t="e">
        <f t="shared" si="18"/>
        <v>#VALUE!</v>
      </c>
      <c r="BI61" t="e">
        <f>BK60*'Scen Hypothetical vaccine model'!$J61*HelperFunctions!$R$28</f>
        <v>#VALUE!</v>
      </c>
      <c r="BJ61" t="e">
        <f>BK60*'Scen Hypothetical vaccine model'!$K61</f>
        <v>#VALUE!</v>
      </c>
      <c r="BK61" s="84" t="e">
        <f t="shared" si="19"/>
        <v>#VALUE!</v>
      </c>
      <c r="BL61" t="e">
        <f>BN60*'Scen Hypothetical vaccine model'!$J61*HelperFunctions!$R$28</f>
        <v>#VALUE!</v>
      </c>
      <c r="BM61" t="e">
        <f>BN60*'Scen Hypothetical vaccine model'!$K61</f>
        <v>#VALUE!</v>
      </c>
      <c r="BN61" s="84" t="e">
        <f t="shared" si="20"/>
        <v>#VALUE!</v>
      </c>
      <c r="BO61" t="e">
        <f>BQ60*'Scen Hypothetical vaccine model'!$J61*HelperFunctions!$R$28</f>
        <v>#VALUE!</v>
      </c>
      <c r="BP61" t="e">
        <f>BQ60*'Scen Hypothetical vaccine model'!$K61</f>
        <v>#VALUE!</v>
      </c>
      <c r="BQ61" s="84" t="e">
        <f t="shared" si="21"/>
        <v>#VALUE!</v>
      </c>
      <c r="BR61" t="e">
        <f>BT60*'Scen Hypothetical vaccine model'!$J61*HelperFunctions!$R$28</f>
        <v>#VALUE!</v>
      </c>
      <c r="BS61" t="e">
        <f>BT60*'Scen Hypothetical vaccine model'!$K61</f>
        <v>#VALUE!</v>
      </c>
      <c r="BT61" s="84" t="e">
        <f t="shared" si="22"/>
        <v>#VALUE!</v>
      </c>
      <c r="BU61" t="e">
        <f>BW60*'Scen Hypothetical vaccine model'!$J61*HelperFunctions!$R$28</f>
        <v>#VALUE!</v>
      </c>
      <c r="BV61" t="e">
        <f>BW60*'Scen Hypothetical vaccine model'!$K61</f>
        <v>#VALUE!</v>
      </c>
      <c r="BW61" s="84" t="e">
        <f t="shared" si="23"/>
        <v>#VALUE!</v>
      </c>
      <c r="BX61" t="e">
        <f>BZ60*'Scen Hypothetical vaccine model'!$J61*HelperFunctions!$R$42</f>
        <v>#VALUE!</v>
      </c>
      <c r="BY61" t="e">
        <f>BZ60*'Scen Hypothetical vaccine model'!$K61</f>
        <v>#VALUE!</v>
      </c>
      <c r="BZ61" s="84" t="e">
        <f t="shared" si="24"/>
        <v>#VALUE!</v>
      </c>
      <c r="CA61" t="e">
        <f>CC60*'Scen Hypothetical vaccine model'!$J61*HelperFunctions!$R$42</f>
        <v>#VALUE!</v>
      </c>
      <c r="CB61" t="e">
        <f>CC60*'Scen Hypothetical vaccine model'!$K61</f>
        <v>#VALUE!</v>
      </c>
      <c r="CC61" s="84" t="e">
        <f t="shared" si="25"/>
        <v>#VALUE!</v>
      </c>
      <c r="CD61" t="e">
        <f>CF60*'Scen Hypothetical vaccine model'!$J61*HelperFunctions!$R$42</f>
        <v>#VALUE!</v>
      </c>
      <c r="CE61" t="e">
        <f>CF60*'Scen Hypothetical vaccine model'!$K61</f>
        <v>#VALUE!</v>
      </c>
      <c r="CF61" s="84" t="e">
        <f t="shared" si="26"/>
        <v>#VALUE!</v>
      </c>
      <c r="CG61" t="e">
        <f>CI60*'Scen Hypothetical vaccine model'!$J61*HelperFunctions!$R$42</f>
        <v>#VALUE!</v>
      </c>
      <c r="CH61" t="e">
        <f>CI60*'Scen Hypothetical vaccine model'!$K61</f>
        <v>#VALUE!</v>
      </c>
      <c r="CI61" s="84" t="e">
        <f t="shared" si="27"/>
        <v>#VALUE!</v>
      </c>
      <c r="CJ61" t="e">
        <f>CL60*'Scen Hypothetical vaccine model'!$J61*HelperFunctions!$R$42</f>
        <v>#VALUE!</v>
      </c>
      <c r="CK61" t="e">
        <f>CL60*'Scen Hypothetical vaccine model'!$K61</f>
        <v>#VALUE!</v>
      </c>
      <c r="CL61" s="84" t="e">
        <f t="shared" si="28"/>
        <v>#VALUE!</v>
      </c>
      <c r="CM61" t="e">
        <f>CO60*'Scen Hypothetical vaccine model'!$J61*HelperFunctions!$R$42</f>
        <v>#VALUE!</v>
      </c>
      <c r="CN61" t="e">
        <f>CO60*'Scen Hypothetical vaccine model'!$K61</f>
        <v>#VALUE!</v>
      </c>
      <c r="CO61" s="84" t="e">
        <f t="shared" si="29"/>
        <v>#VALUE!</v>
      </c>
      <c r="CP61" t="e">
        <f>CR60*'Scen Hypothetical vaccine model'!$J61*HelperFunctions!$R$42</f>
        <v>#VALUE!</v>
      </c>
      <c r="CQ61" t="e">
        <f>CR60*'Scen Hypothetical vaccine model'!$K61</f>
        <v>#VALUE!</v>
      </c>
      <c r="CR61" s="84" t="e">
        <f t="shared" si="30"/>
        <v>#VALUE!</v>
      </c>
      <c r="CS61" t="e">
        <f>CU60*'Scen Hypothetical vaccine model'!$J61*HelperFunctions!$R$42</f>
        <v>#VALUE!</v>
      </c>
      <c r="CT61" t="e">
        <f>CU60*'Scen Hypothetical vaccine model'!$K61</f>
        <v>#VALUE!</v>
      </c>
      <c r="CU61" s="84" t="e">
        <f t="shared" si="31"/>
        <v>#VALUE!</v>
      </c>
      <c r="CV61" t="e">
        <f>CX60*'Scen Hypothetical vaccine model'!$J61*HelperFunctions!$R$42</f>
        <v>#VALUE!</v>
      </c>
      <c r="CW61" t="e">
        <f>CX60*'Scen Hypothetical vaccine model'!$K61</f>
        <v>#VALUE!</v>
      </c>
      <c r="CX61" s="84" t="e">
        <f t="shared" si="32"/>
        <v>#VALUE!</v>
      </c>
      <c r="CY61" t="e">
        <f>DA60*'Scen Hypothetical vaccine model'!$J61*HelperFunctions!$R$42</f>
        <v>#VALUE!</v>
      </c>
      <c r="CZ61" t="e">
        <f>DA60*'Scen Hypothetical vaccine model'!$K61</f>
        <v>#VALUE!</v>
      </c>
      <c r="DA61" s="84" t="e">
        <f t="shared" si="33"/>
        <v>#VALUE!</v>
      </c>
      <c r="DB61" t="e">
        <f>DD60*'Scen Hypothetical vaccine model'!$J61*HelperFunctions!$R$42</f>
        <v>#VALUE!</v>
      </c>
      <c r="DC61" t="e">
        <f>DD60*'Scen Hypothetical vaccine model'!$K61</f>
        <v>#VALUE!</v>
      </c>
      <c r="DD61" s="84" t="e">
        <f t="shared" si="34"/>
        <v>#VALUE!</v>
      </c>
      <c r="DE61" t="e">
        <f>DG60*'Scen Hypothetical vaccine model'!$J61*HelperFunctions!$R$42</f>
        <v>#VALUE!</v>
      </c>
      <c r="DF61" t="e">
        <f>DG60*'Scen Hypothetical vaccine model'!$K61</f>
        <v>#VALUE!</v>
      </c>
      <c r="DG61" s="84" t="e">
        <f t="shared" si="35"/>
        <v>#VALUE!</v>
      </c>
      <c r="DH61" t="e">
        <f>DJ60*'Scen Hypothetical vaccine model'!$J61*HelperFunctions!$R$56</f>
        <v>#VALUE!</v>
      </c>
      <c r="DI61" t="e">
        <f>DJ60*'Scen Hypothetical vaccine model'!$K61</f>
        <v>#VALUE!</v>
      </c>
      <c r="DJ61" s="84" t="e">
        <f t="shared" si="36"/>
        <v>#VALUE!</v>
      </c>
      <c r="DK61" t="e">
        <f>DM60*'Scen Hypothetical vaccine model'!$J61*HelperFunctions!$R$56</f>
        <v>#VALUE!</v>
      </c>
      <c r="DL61" t="e">
        <f>DM60*'Scen Hypothetical vaccine model'!$K61</f>
        <v>#VALUE!</v>
      </c>
      <c r="DM61" s="84" t="e">
        <f t="shared" si="37"/>
        <v>#VALUE!</v>
      </c>
      <c r="DN61" t="e">
        <f>DP60*'Scen Hypothetical vaccine model'!$J61*HelperFunctions!$R$56</f>
        <v>#VALUE!</v>
      </c>
      <c r="DO61" t="e">
        <f>DP60*'Scen Hypothetical vaccine model'!$K61</f>
        <v>#VALUE!</v>
      </c>
      <c r="DP61" s="84" t="e">
        <f t="shared" si="38"/>
        <v>#VALUE!</v>
      </c>
      <c r="DQ61" t="e">
        <f>DS60*'Scen Hypothetical vaccine model'!$J61*HelperFunctions!$R$56</f>
        <v>#VALUE!</v>
      </c>
      <c r="DR61" t="e">
        <f>DS60*'Scen Hypothetical vaccine model'!$K61</f>
        <v>#VALUE!</v>
      </c>
      <c r="DS61" s="84" t="e">
        <f t="shared" si="39"/>
        <v>#VALUE!</v>
      </c>
      <c r="DT61" t="e">
        <f>DV60*'Scen Hypothetical vaccine model'!$J61*HelperFunctions!$R$56</f>
        <v>#VALUE!</v>
      </c>
      <c r="DU61" t="e">
        <f>DV60*'Scen Hypothetical vaccine model'!$K61</f>
        <v>#VALUE!</v>
      </c>
      <c r="DV61" s="84" t="e">
        <f t="shared" si="40"/>
        <v>#VALUE!</v>
      </c>
      <c r="DW61" t="e">
        <f>DY60*'Scen Hypothetical vaccine model'!$J61*HelperFunctions!$R$56</f>
        <v>#VALUE!</v>
      </c>
      <c r="DX61" t="e">
        <f>DY60*'Scen Hypothetical vaccine model'!$K61</f>
        <v>#VALUE!</v>
      </c>
      <c r="DY61" s="84" t="e">
        <f t="shared" si="41"/>
        <v>#VALUE!</v>
      </c>
      <c r="DZ61" t="e">
        <f>EB60*'Scen Hypothetical vaccine model'!$J61*HelperFunctions!$R$56</f>
        <v>#VALUE!</v>
      </c>
      <c r="EA61" t="e">
        <f>EB60*'Scen Hypothetical vaccine model'!$K61</f>
        <v>#VALUE!</v>
      </c>
      <c r="EB61" s="84" t="e">
        <f t="shared" si="42"/>
        <v>#VALUE!</v>
      </c>
      <c r="EC61" t="e">
        <f>EE60*'Scen Hypothetical vaccine model'!$J61*HelperFunctions!$R$56</f>
        <v>#VALUE!</v>
      </c>
      <c r="ED61" t="e">
        <f>EE60*'Scen Hypothetical vaccine model'!$K61</f>
        <v>#VALUE!</v>
      </c>
      <c r="EE61" s="84" t="e">
        <f t="shared" si="43"/>
        <v>#VALUE!</v>
      </c>
      <c r="EF61" t="e">
        <f>EH60*'Scen Hypothetical vaccine model'!$J61*HelperFunctions!$R$56</f>
        <v>#VALUE!</v>
      </c>
      <c r="EG61" t="e">
        <f>EH60*'Scen Hypothetical vaccine model'!$K61</f>
        <v>#VALUE!</v>
      </c>
      <c r="EH61" s="84" t="e">
        <f t="shared" si="44"/>
        <v>#VALUE!</v>
      </c>
      <c r="EI61" t="e">
        <f>EK60*'Scen Hypothetical vaccine model'!$J61*HelperFunctions!$R$56</f>
        <v>#VALUE!</v>
      </c>
      <c r="EJ61" t="e">
        <f>EK60*'Scen Hypothetical vaccine model'!$K61</f>
        <v>#VALUE!</v>
      </c>
      <c r="EK61" s="84" t="e">
        <f t="shared" si="45"/>
        <v>#VALUE!</v>
      </c>
      <c r="EL61" t="e">
        <f>EN60*'Scen Hypothetical vaccine model'!$J61*HelperFunctions!$R55</f>
        <v>#VALUE!</v>
      </c>
      <c r="EM61" t="e">
        <f>EN60*'Scen Hypothetical vaccine model'!$K61</f>
        <v>#VALUE!</v>
      </c>
      <c r="EN61" s="84" t="e">
        <f t="shared" si="46"/>
        <v>#VALUE!</v>
      </c>
      <c r="EO61" t="e">
        <f>EQ60*'Scen Hypothetical vaccine model'!$J61*HelperFunctions!$R54</f>
        <v>#VALUE!</v>
      </c>
      <c r="EP61" t="e">
        <f>EQ60*'Scen Hypothetical vaccine model'!$K61</f>
        <v>#VALUE!</v>
      </c>
      <c r="EQ61" s="84" t="e">
        <f t="shared" si="47"/>
        <v>#VALUE!</v>
      </c>
      <c r="ER61" t="e">
        <f>ET60*'Scen Hypothetical vaccine model'!$J61*HelperFunctions!$R67</f>
        <v>#VALUE!</v>
      </c>
      <c r="ES61" t="e">
        <f>ET60*'Scen Hypothetical vaccine model'!$K61</f>
        <v>#VALUE!</v>
      </c>
      <c r="ET61" s="84" t="e">
        <f t="shared" si="48"/>
        <v>#VALUE!</v>
      </c>
      <c r="EU61" t="e">
        <f>EW60*'Scen Hypothetical vaccine model'!$J61*HelperFunctions!$R66</f>
        <v>#VALUE!</v>
      </c>
      <c r="EV61" t="e">
        <f>EW60*'Scen Hypothetical vaccine model'!$K61</f>
        <v>#VALUE!</v>
      </c>
      <c r="EW61" s="84" t="e">
        <f t="shared" si="49"/>
        <v>#VALUE!</v>
      </c>
      <c r="EX61" t="e">
        <f>EZ60*'Scen Hypothetical vaccine model'!$J61*HelperFunctions!$R65</f>
        <v>#VALUE!</v>
      </c>
      <c r="EY61" t="e">
        <f>EZ60*'Scen Hypothetical vaccine model'!$K61</f>
        <v>#VALUE!</v>
      </c>
      <c r="EZ61" s="84" t="e">
        <f t="shared" si="50"/>
        <v>#VALUE!</v>
      </c>
      <c r="FA61" t="e">
        <f>FC60*'Scen Hypothetical vaccine model'!$J61*HelperFunctions!$R64</f>
        <v>#VALUE!</v>
      </c>
      <c r="FB61" t="e">
        <f>FC60*'Scen Hypothetical vaccine model'!$K61</f>
        <v>#VALUE!</v>
      </c>
      <c r="FC61" s="84" t="e">
        <f t="shared" si="51"/>
        <v>#VALUE!</v>
      </c>
      <c r="FD61" t="e">
        <f>FF60*'Scen Hypothetical vaccine model'!$J61*HelperFunctions!$R63</f>
        <v>#VALUE!</v>
      </c>
      <c r="FE61" t="e">
        <f>FF60*'Scen Hypothetical vaccine model'!$K61</f>
        <v>#VALUE!</v>
      </c>
      <c r="FF61" s="84" t="e">
        <f t="shared" si="52"/>
        <v>#VALUE!</v>
      </c>
      <c r="FG61" t="e">
        <f>FI60*'Scen Hypothetical vaccine model'!$J61*HelperFunctions!$R62</f>
        <v>#VALUE!</v>
      </c>
      <c r="FH61" t="e">
        <f>FI60*'Scen Hypothetical vaccine model'!$K61</f>
        <v>#VALUE!</v>
      </c>
      <c r="FI61" s="84" t="e">
        <f t="shared" si="53"/>
        <v>#VALUE!</v>
      </c>
      <c r="FJ61" t="e">
        <f>FL60*'Scen Hypothetical vaccine model'!$J61*HelperFunctions!$R61</f>
        <v>#VALUE!</v>
      </c>
      <c r="FK61" t="e">
        <f>FL60*'Scen Hypothetical vaccine model'!$K61</f>
        <v>#VALUE!</v>
      </c>
      <c r="FL61" s="84" t="e">
        <f t="shared" si="54"/>
        <v>#VALUE!</v>
      </c>
      <c r="FM61" t="e">
        <f>FO60*'Scen Hypothetical vaccine model'!$J61*HelperFunctions!$R60</f>
        <v>#VALUE!</v>
      </c>
      <c r="FN61" t="e">
        <f>FO60*'Scen Hypothetical vaccine model'!$K61</f>
        <v>#VALUE!</v>
      </c>
      <c r="FO61" s="84" t="e">
        <f t="shared" ref="FO61:FO63" si="55">FO60-FM61-FN61</f>
        <v>#VALUE!</v>
      </c>
      <c r="FP61" t="e">
        <f>FR60*'Scen Hypothetical vaccine model'!$J61*HelperFunctions!$R59</f>
        <v>#VALUE!</v>
      </c>
      <c r="FQ61" t="e">
        <f>FR60*'Scen Hypothetical vaccine model'!$K61</f>
        <v>#VALUE!</v>
      </c>
      <c r="FR61" s="84" t="e">
        <f>FR60-FP61-FQ61</f>
        <v>#VALUE!</v>
      </c>
      <c r="FS61" s="93"/>
      <c r="FT61" s="93"/>
      <c r="FU61" s="84" t="e">
        <f>Export!$N59*'Scen EffectivelyVax'!$A60*(1-HelperFunctions!$G$59)</f>
        <v>#VALUE!</v>
      </c>
      <c r="FV61" s="93"/>
      <c r="FW61" s="93"/>
      <c r="FX61" s="93"/>
      <c r="FY61" s="93"/>
      <c r="FZ61" s="93"/>
      <c r="GA61" s="93"/>
    </row>
    <row r="62" spans="2:183" x14ac:dyDescent="0.35">
      <c r="B62">
        <v>4</v>
      </c>
      <c r="C62" t="str">
        <f>Inputs!I82</f>
        <v/>
      </c>
      <c r="D62" t="e">
        <f>F61*'Scen Hypothetical vaccine model'!J62*HelperFunctions!R$14</f>
        <v>#VALUE!</v>
      </c>
      <c r="E62" t="e">
        <f>F61*'Scen Hypothetical vaccine model'!K62</f>
        <v>#VALUE!</v>
      </c>
      <c r="F62" s="84" t="e">
        <f t="shared" si="0"/>
        <v>#VALUE!</v>
      </c>
      <c r="G62" t="e">
        <f>I61*'Scen Hypothetical vaccine model'!$J62*HelperFunctions!$R$14</f>
        <v>#VALUE!</v>
      </c>
      <c r="H62" t="e">
        <f>I61*'Scen Hypothetical vaccine model'!$K62</f>
        <v>#VALUE!</v>
      </c>
      <c r="I62" s="84" t="e">
        <f t="shared" si="1"/>
        <v>#VALUE!</v>
      </c>
      <c r="J62" t="e">
        <f>L61*'Scen Hypothetical vaccine model'!$J62*HelperFunctions!$R$14</f>
        <v>#VALUE!</v>
      </c>
      <c r="K62" t="e">
        <f>L61*'Scen Hypothetical vaccine model'!$K62</f>
        <v>#VALUE!</v>
      </c>
      <c r="L62" s="84" t="e">
        <f t="shared" si="2"/>
        <v>#VALUE!</v>
      </c>
      <c r="M62" t="e">
        <f>O61*'Scen Hypothetical vaccine model'!$J62*HelperFunctions!$R$14</f>
        <v>#VALUE!</v>
      </c>
      <c r="N62" t="e">
        <f>O61*'Scen Hypothetical vaccine model'!$K62</f>
        <v>#VALUE!</v>
      </c>
      <c r="O62" s="84" t="e">
        <f t="shared" si="3"/>
        <v>#VALUE!</v>
      </c>
      <c r="P62" t="e">
        <f>R61*'Scen Hypothetical vaccine model'!$J62*HelperFunctions!$R$14</f>
        <v>#VALUE!</v>
      </c>
      <c r="Q62" t="e">
        <f>R61*'Scen Hypothetical vaccine model'!$K62</f>
        <v>#VALUE!</v>
      </c>
      <c r="R62" s="84" t="e">
        <f t="shared" si="4"/>
        <v>#VALUE!</v>
      </c>
      <c r="S62" t="e">
        <f>U61*'Scen Hypothetical vaccine model'!$J62*HelperFunctions!$R$14</f>
        <v>#VALUE!</v>
      </c>
      <c r="T62" t="e">
        <f>U61*'Scen Hypothetical vaccine model'!$K62</f>
        <v>#VALUE!</v>
      </c>
      <c r="U62" s="84" t="e">
        <f t="shared" si="5"/>
        <v>#VALUE!</v>
      </c>
      <c r="V62" t="e">
        <f>X61*'Scen Hypothetical vaccine model'!$J62*HelperFunctions!$R$14</f>
        <v>#VALUE!</v>
      </c>
      <c r="W62" t="e">
        <f>X61*'Scen Hypothetical vaccine model'!$K62</f>
        <v>#VALUE!</v>
      </c>
      <c r="X62" s="84" t="e">
        <f t="shared" si="6"/>
        <v>#VALUE!</v>
      </c>
      <c r="Y62" t="e">
        <f>AA61*'Scen Hypothetical vaccine model'!$J62*HelperFunctions!$R$14</f>
        <v>#VALUE!</v>
      </c>
      <c r="Z62" t="e">
        <f>AA61*'Scen Hypothetical vaccine model'!$K62</f>
        <v>#VALUE!</v>
      </c>
      <c r="AA62" s="84" t="e">
        <f t="shared" si="7"/>
        <v>#VALUE!</v>
      </c>
      <c r="AB62" t="e">
        <f>AD61*'Scen Hypothetical vaccine model'!$J62*HelperFunctions!$R$14</f>
        <v>#VALUE!</v>
      </c>
      <c r="AC62" t="e">
        <f>AD61*'Scen Hypothetical vaccine model'!$K62</f>
        <v>#VALUE!</v>
      </c>
      <c r="AD62" s="84" t="e">
        <f t="shared" si="8"/>
        <v>#VALUE!</v>
      </c>
      <c r="AE62" t="e">
        <f>AG61*'Scen Hypothetical vaccine model'!$J62*HelperFunctions!$R$14</f>
        <v>#VALUE!</v>
      </c>
      <c r="AF62" t="e">
        <f>AG61*'Scen Hypothetical vaccine model'!$K62</f>
        <v>#VALUE!</v>
      </c>
      <c r="AG62" s="84" t="e">
        <f t="shared" si="9"/>
        <v>#VALUE!</v>
      </c>
      <c r="AH62" t="e">
        <f>AJ61*'Scen Hypothetical vaccine model'!$J62*HelperFunctions!$R$14</f>
        <v>#VALUE!</v>
      </c>
      <c r="AI62" t="e">
        <f>AJ61*'Scen Hypothetical vaccine model'!$K62</f>
        <v>#VALUE!</v>
      </c>
      <c r="AJ62" s="84" t="e">
        <f t="shared" si="10"/>
        <v>#VALUE!</v>
      </c>
      <c r="AK62" t="e">
        <f>AM61*'Scen Hypothetical vaccine model'!$J62*HelperFunctions!$R$14</f>
        <v>#VALUE!</v>
      </c>
      <c r="AL62" t="e">
        <f>AM61*'Scen Hypothetical vaccine model'!$K62</f>
        <v>#VALUE!</v>
      </c>
      <c r="AM62" s="84" t="e">
        <f t="shared" si="11"/>
        <v>#VALUE!</v>
      </c>
      <c r="AN62" t="e">
        <f>AP61*'Scen Hypothetical vaccine model'!$J62*HelperFunctions!$R$28</f>
        <v>#VALUE!</v>
      </c>
      <c r="AO62" t="e">
        <f>AP61*'Scen Hypothetical vaccine model'!$K62</f>
        <v>#VALUE!</v>
      </c>
      <c r="AP62" s="84" t="e">
        <f t="shared" si="12"/>
        <v>#VALUE!</v>
      </c>
      <c r="AQ62" t="e">
        <f>AS61*'Scen Hypothetical vaccine model'!$J62*HelperFunctions!$R$28</f>
        <v>#VALUE!</v>
      </c>
      <c r="AR62" t="e">
        <f>AS61*'Scen Hypothetical vaccine model'!$K62</f>
        <v>#VALUE!</v>
      </c>
      <c r="AS62" s="84" t="e">
        <f t="shared" si="13"/>
        <v>#VALUE!</v>
      </c>
      <c r="AT62" t="e">
        <f>AV61*'Scen Hypothetical vaccine model'!$J62*HelperFunctions!$R$28</f>
        <v>#VALUE!</v>
      </c>
      <c r="AU62" t="e">
        <f>AV61*'Scen Hypothetical vaccine model'!$K62</f>
        <v>#VALUE!</v>
      </c>
      <c r="AV62" s="84" t="e">
        <f t="shared" si="14"/>
        <v>#VALUE!</v>
      </c>
      <c r="AW62" t="e">
        <f>AY61*'Scen Hypothetical vaccine model'!$J62*HelperFunctions!$R$28</f>
        <v>#VALUE!</v>
      </c>
      <c r="AX62" t="e">
        <f>AY61*'Scen Hypothetical vaccine model'!$K62</f>
        <v>#VALUE!</v>
      </c>
      <c r="AY62" s="84" t="e">
        <f t="shared" si="15"/>
        <v>#VALUE!</v>
      </c>
      <c r="AZ62" t="e">
        <f>BB61*'Scen Hypothetical vaccine model'!$J62*HelperFunctions!$R$28</f>
        <v>#VALUE!</v>
      </c>
      <c r="BA62" t="e">
        <f>BB61*'Scen Hypothetical vaccine model'!$K62</f>
        <v>#VALUE!</v>
      </c>
      <c r="BB62" s="84" t="e">
        <f t="shared" si="16"/>
        <v>#VALUE!</v>
      </c>
      <c r="BC62" t="e">
        <f>BE61*'Scen Hypothetical vaccine model'!$J62*HelperFunctions!$R$28</f>
        <v>#VALUE!</v>
      </c>
      <c r="BD62" t="e">
        <f>BE61*'Scen Hypothetical vaccine model'!$K62</f>
        <v>#VALUE!</v>
      </c>
      <c r="BE62" s="84" t="e">
        <f t="shared" si="17"/>
        <v>#VALUE!</v>
      </c>
      <c r="BF62" t="e">
        <f>BH61*'Scen Hypothetical vaccine model'!$J62*HelperFunctions!$R$28</f>
        <v>#VALUE!</v>
      </c>
      <c r="BG62" t="e">
        <f>BH61*'Scen Hypothetical vaccine model'!$K62</f>
        <v>#VALUE!</v>
      </c>
      <c r="BH62" s="84" t="e">
        <f t="shared" si="18"/>
        <v>#VALUE!</v>
      </c>
      <c r="BI62" t="e">
        <f>BK61*'Scen Hypothetical vaccine model'!$J62*HelperFunctions!$R$28</f>
        <v>#VALUE!</v>
      </c>
      <c r="BJ62" t="e">
        <f>BK61*'Scen Hypothetical vaccine model'!$K62</f>
        <v>#VALUE!</v>
      </c>
      <c r="BK62" s="84" t="e">
        <f t="shared" si="19"/>
        <v>#VALUE!</v>
      </c>
      <c r="BL62" t="e">
        <f>BN61*'Scen Hypothetical vaccine model'!$J62*HelperFunctions!$R$28</f>
        <v>#VALUE!</v>
      </c>
      <c r="BM62" t="e">
        <f>BN61*'Scen Hypothetical vaccine model'!$K62</f>
        <v>#VALUE!</v>
      </c>
      <c r="BN62" s="84" t="e">
        <f t="shared" si="20"/>
        <v>#VALUE!</v>
      </c>
      <c r="BO62" t="e">
        <f>BQ61*'Scen Hypothetical vaccine model'!$J62*HelperFunctions!$R$28</f>
        <v>#VALUE!</v>
      </c>
      <c r="BP62" t="e">
        <f>BQ61*'Scen Hypothetical vaccine model'!$K62</f>
        <v>#VALUE!</v>
      </c>
      <c r="BQ62" s="84" t="e">
        <f t="shared" si="21"/>
        <v>#VALUE!</v>
      </c>
      <c r="BR62" t="e">
        <f>BT61*'Scen Hypothetical vaccine model'!$J62*HelperFunctions!$R$28</f>
        <v>#VALUE!</v>
      </c>
      <c r="BS62" t="e">
        <f>BT61*'Scen Hypothetical vaccine model'!$K62</f>
        <v>#VALUE!</v>
      </c>
      <c r="BT62" s="84" t="e">
        <f t="shared" si="22"/>
        <v>#VALUE!</v>
      </c>
      <c r="BU62" t="e">
        <f>BW61*'Scen Hypothetical vaccine model'!$J62*HelperFunctions!$R$28</f>
        <v>#VALUE!</v>
      </c>
      <c r="BV62" t="e">
        <f>BW61*'Scen Hypothetical vaccine model'!$K62</f>
        <v>#VALUE!</v>
      </c>
      <c r="BW62" s="84" t="e">
        <f t="shared" si="23"/>
        <v>#VALUE!</v>
      </c>
      <c r="BX62" t="e">
        <f>BZ61*'Scen Hypothetical vaccine model'!$J62*HelperFunctions!$R$42</f>
        <v>#VALUE!</v>
      </c>
      <c r="BY62" t="e">
        <f>BZ61*'Scen Hypothetical vaccine model'!$K62</f>
        <v>#VALUE!</v>
      </c>
      <c r="BZ62" s="84" t="e">
        <f t="shared" si="24"/>
        <v>#VALUE!</v>
      </c>
      <c r="CA62" t="e">
        <f>CC61*'Scen Hypothetical vaccine model'!$J62*HelperFunctions!$R$42</f>
        <v>#VALUE!</v>
      </c>
      <c r="CB62" t="e">
        <f>CC61*'Scen Hypothetical vaccine model'!$K62</f>
        <v>#VALUE!</v>
      </c>
      <c r="CC62" s="84" t="e">
        <f t="shared" si="25"/>
        <v>#VALUE!</v>
      </c>
      <c r="CD62" t="e">
        <f>CF61*'Scen Hypothetical vaccine model'!$J62*HelperFunctions!$R$42</f>
        <v>#VALUE!</v>
      </c>
      <c r="CE62" t="e">
        <f>CF61*'Scen Hypothetical vaccine model'!$K62</f>
        <v>#VALUE!</v>
      </c>
      <c r="CF62" s="84" t="e">
        <f t="shared" si="26"/>
        <v>#VALUE!</v>
      </c>
      <c r="CG62" t="e">
        <f>CI61*'Scen Hypothetical vaccine model'!$J62*HelperFunctions!$R$42</f>
        <v>#VALUE!</v>
      </c>
      <c r="CH62" t="e">
        <f>CI61*'Scen Hypothetical vaccine model'!$K62</f>
        <v>#VALUE!</v>
      </c>
      <c r="CI62" s="84" t="e">
        <f t="shared" si="27"/>
        <v>#VALUE!</v>
      </c>
      <c r="CJ62" t="e">
        <f>CL61*'Scen Hypothetical vaccine model'!$J62*HelperFunctions!$R$42</f>
        <v>#VALUE!</v>
      </c>
      <c r="CK62" t="e">
        <f>CL61*'Scen Hypothetical vaccine model'!$K62</f>
        <v>#VALUE!</v>
      </c>
      <c r="CL62" s="84" t="e">
        <f t="shared" si="28"/>
        <v>#VALUE!</v>
      </c>
      <c r="CM62" t="e">
        <f>CO61*'Scen Hypothetical vaccine model'!$J62*HelperFunctions!$R$42</f>
        <v>#VALUE!</v>
      </c>
      <c r="CN62" t="e">
        <f>CO61*'Scen Hypothetical vaccine model'!$K62</f>
        <v>#VALUE!</v>
      </c>
      <c r="CO62" s="84" t="e">
        <f t="shared" si="29"/>
        <v>#VALUE!</v>
      </c>
      <c r="CP62" t="e">
        <f>CR61*'Scen Hypothetical vaccine model'!$J62*HelperFunctions!$R$42</f>
        <v>#VALUE!</v>
      </c>
      <c r="CQ62" t="e">
        <f>CR61*'Scen Hypothetical vaccine model'!$K62</f>
        <v>#VALUE!</v>
      </c>
      <c r="CR62" s="84" t="e">
        <f t="shared" si="30"/>
        <v>#VALUE!</v>
      </c>
      <c r="CS62" t="e">
        <f>CU61*'Scen Hypothetical vaccine model'!$J62*HelperFunctions!$R$42</f>
        <v>#VALUE!</v>
      </c>
      <c r="CT62" t="e">
        <f>CU61*'Scen Hypothetical vaccine model'!$K62</f>
        <v>#VALUE!</v>
      </c>
      <c r="CU62" s="84" t="e">
        <f t="shared" si="31"/>
        <v>#VALUE!</v>
      </c>
      <c r="CV62" t="e">
        <f>CX61*'Scen Hypothetical vaccine model'!$J62*HelperFunctions!$R$42</f>
        <v>#VALUE!</v>
      </c>
      <c r="CW62" t="e">
        <f>CX61*'Scen Hypothetical vaccine model'!$K62</f>
        <v>#VALUE!</v>
      </c>
      <c r="CX62" s="84" t="e">
        <f t="shared" si="32"/>
        <v>#VALUE!</v>
      </c>
      <c r="CY62" t="e">
        <f>DA61*'Scen Hypothetical vaccine model'!$J62*HelperFunctions!$R$42</f>
        <v>#VALUE!</v>
      </c>
      <c r="CZ62" t="e">
        <f>DA61*'Scen Hypothetical vaccine model'!$K62</f>
        <v>#VALUE!</v>
      </c>
      <c r="DA62" s="84" t="e">
        <f t="shared" si="33"/>
        <v>#VALUE!</v>
      </c>
      <c r="DB62" t="e">
        <f>DD61*'Scen Hypothetical vaccine model'!$J62*HelperFunctions!$R$42</f>
        <v>#VALUE!</v>
      </c>
      <c r="DC62" t="e">
        <f>DD61*'Scen Hypothetical vaccine model'!$K62</f>
        <v>#VALUE!</v>
      </c>
      <c r="DD62" s="84" t="e">
        <f t="shared" si="34"/>
        <v>#VALUE!</v>
      </c>
      <c r="DE62" t="e">
        <f>DG61*'Scen Hypothetical vaccine model'!$J62*HelperFunctions!$R$42</f>
        <v>#VALUE!</v>
      </c>
      <c r="DF62" t="e">
        <f>DG61*'Scen Hypothetical vaccine model'!$K62</f>
        <v>#VALUE!</v>
      </c>
      <c r="DG62" s="84" t="e">
        <f t="shared" si="35"/>
        <v>#VALUE!</v>
      </c>
      <c r="DH62" t="e">
        <f>DJ61*'Scen Hypothetical vaccine model'!$J62*HelperFunctions!$R$56</f>
        <v>#VALUE!</v>
      </c>
      <c r="DI62" t="e">
        <f>DJ61*'Scen Hypothetical vaccine model'!$K62</f>
        <v>#VALUE!</v>
      </c>
      <c r="DJ62" s="84" t="e">
        <f t="shared" si="36"/>
        <v>#VALUE!</v>
      </c>
      <c r="DK62" t="e">
        <f>DM61*'Scen Hypothetical vaccine model'!$J62*HelperFunctions!$R$56</f>
        <v>#VALUE!</v>
      </c>
      <c r="DL62" t="e">
        <f>DM61*'Scen Hypothetical vaccine model'!$K62</f>
        <v>#VALUE!</v>
      </c>
      <c r="DM62" s="84" t="e">
        <f t="shared" si="37"/>
        <v>#VALUE!</v>
      </c>
      <c r="DN62" t="e">
        <f>DP61*'Scen Hypothetical vaccine model'!$J62*HelperFunctions!$R$56</f>
        <v>#VALUE!</v>
      </c>
      <c r="DO62" t="e">
        <f>DP61*'Scen Hypothetical vaccine model'!$K62</f>
        <v>#VALUE!</v>
      </c>
      <c r="DP62" s="84" t="e">
        <f t="shared" si="38"/>
        <v>#VALUE!</v>
      </c>
      <c r="DQ62" t="e">
        <f>DS61*'Scen Hypothetical vaccine model'!$J62*HelperFunctions!$R$56</f>
        <v>#VALUE!</v>
      </c>
      <c r="DR62" t="e">
        <f>DS61*'Scen Hypothetical vaccine model'!$K62</f>
        <v>#VALUE!</v>
      </c>
      <c r="DS62" s="84" t="e">
        <f t="shared" si="39"/>
        <v>#VALUE!</v>
      </c>
      <c r="DT62" t="e">
        <f>DV61*'Scen Hypothetical vaccine model'!$J62*HelperFunctions!$R$56</f>
        <v>#VALUE!</v>
      </c>
      <c r="DU62" t="e">
        <f>DV61*'Scen Hypothetical vaccine model'!$K62</f>
        <v>#VALUE!</v>
      </c>
      <c r="DV62" s="84" t="e">
        <f t="shared" si="40"/>
        <v>#VALUE!</v>
      </c>
      <c r="DW62" t="e">
        <f>DY61*'Scen Hypothetical vaccine model'!$J62*HelperFunctions!$R$56</f>
        <v>#VALUE!</v>
      </c>
      <c r="DX62" t="e">
        <f>DY61*'Scen Hypothetical vaccine model'!$K62</f>
        <v>#VALUE!</v>
      </c>
      <c r="DY62" s="84" t="e">
        <f t="shared" si="41"/>
        <v>#VALUE!</v>
      </c>
      <c r="DZ62" t="e">
        <f>EB61*'Scen Hypothetical vaccine model'!$J62*HelperFunctions!$R$56</f>
        <v>#VALUE!</v>
      </c>
      <c r="EA62" t="e">
        <f>EB61*'Scen Hypothetical vaccine model'!$K62</f>
        <v>#VALUE!</v>
      </c>
      <c r="EB62" s="84" t="e">
        <f t="shared" si="42"/>
        <v>#VALUE!</v>
      </c>
      <c r="EC62" t="e">
        <f>EE61*'Scen Hypothetical vaccine model'!$J62*HelperFunctions!$R$56</f>
        <v>#VALUE!</v>
      </c>
      <c r="ED62" t="e">
        <f>EE61*'Scen Hypothetical vaccine model'!$K62</f>
        <v>#VALUE!</v>
      </c>
      <c r="EE62" s="84" t="e">
        <f t="shared" si="43"/>
        <v>#VALUE!</v>
      </c>
      <c r="EF62" t="e">
        <f>EH61*'Scen Hypothetical vaccine model'!$J62*HelperFunctions!$R$56</f>
        <v>#VALUE!</v>
      </c>
      <c r="EG62" t="e">
        <f>EH61*'Scen Hypothetical vaccine model'!$K62</f>
        <v>#VALUE!</v>
      </c>
      <c r="EH62" s="84" t="e">
        <f t="shared" si="44"/>
        <v>#VALUE!</v>
      </c>
      <c r="EI62" t="e">
        <f>EK61*'Scen Hypothetical vaccine model'!$J62*HelperFunctions!$R$56</f>
        <v>#VALUE!</v>
      </c>
      <c r="EJ62" t="e">
        <f>EK61*'Scen Hypothetical vaccine model'!$K62</f>
        <v>#VALUE!</v>
      </c>
      <c r="EK62" s="84" t="e">
        <f t="shared" si="45"/>
        <v>#VALUE!</v>
      </c>
      <c r="EL62" t="e">
        <f>EN61*'Scen Hypothetical vaccine model'!$J62*HelperFunctions!$R$56</f>
        <v>#VALUE!</v>
      </c>
      <c r="EM62" t="e">
        <f>EN61*'Scen Hypothetical vaccine model'!$K62</f>
        <v>#VALUE!</v>
      </c>
      <c r="EN62" s="84" t="e">
        <f t="shared" si="46"/>
        <v>#VALUE!</v>
      </c>
      <c r="EO62" t="e">
        <f>EQ61*'Scen Hypothetical vaccine model'!$J62*HelperFunctions!$R55</f>
        <v>#VALUE!</v>
      </c>
      <c r="EP62" t="e">
        <f>EQ61*'Scen Hypothetical vaccine model'!$K62</f>
        <v>#VALUE!</v>
      </c>
      <c r="EQ62" s="84" t="e">
        <f t="shared" si="47"/>
        <v>#VALUE!</v>
      </c>
      <c r="ER62" t="e">
        <f>ET61*'Scen Hypothetical vaccine model'!$J62*HelperFunctions!$R68</f>
        <v>#VALUE!</v>
      </c>
      <c r="ES62" t="e">
        <f>ET61*'Scen Hypothetical vaccine model'!$K62</f>
        <v>#VALUE!</v>
      </c>
      <c r="ET62" s="84" t="e">
        <f t="shared" si="48"/>
        <v>#VALUE!</v>
      </c>
      <c r="EU62" t="e">
        <f>EW61*'Scen Hypothetical vaccine model'!$J62*HelperFunctions!$R67</f>
        <v>#VALUE!</v>
      </c>
      <c r="EV62" t="e">
        <f>EW61*'Scen Hypothetical vaccine model'!$K62</f>
        <v>#VALUE!</v>
      </c>
      <c r="EW62" s="84" t="e">
        <f t="shared" si="49"/>
        <v>#VALUE!</v>
      </c>
      <c r="EX62" t="e">
        <f>EZ61*'Scen Hypothetical vaccine model'!$J62*HelperFunctions!$R66</f>
        <v>#VALUE!</v>
      </c>
      <c r="EY62" t="e">
        <f>EZ61*'Scen Hypothetical vaccine model'!$K62</f>
        <v>#VALUE!</v>
      </c>
      <c r="EZ62" s="84" t="e">
        <f t="shared" si="50"/>
        <v>#VALUE!</v>
      </c>
      <c r="FA62" t="e">
        <f>FC61*'Scen Hypothetical vaccine model'!$J62*HelperFunctions!$R65</f>
        <v>#VALUE!</v>
      </c>
      <c r="FB62" t="e">
        <f>FC61*'Scen Hypothetical vaccine model'!$K62</f>
        <v>#VALUE!</v>
      </c>
      <c r="FC62" s="84" t="e">
        <f t="shared" si="51"/>
        <v>#VALUE!</v>
      </c>
      <c r="FD62" t="e">
        <f>FF61*'Scen Hypothetical vaccine model'!$J62*HelperFunctions!$R64</f>
        <v>#VALUE!</v>
      </c>
      <c r="FE62" t="e">
        <f>FF61*'Scen Hypothetical vaccine model'!$K62</f>
        <v>#VALUE!</v>
      </c>
      <c r="FF62" s="84" t="e">
        <f t="shared" si="52"/>
        <v>#VALUE!</v>
      </c>
      <c r="FG62" t="e">
        <f>FI61*'Scen Hypothetical vaccine model'!$J62*HelperFunctions!$R63</f>
        <v>#VALUE!</v>
      </c>
      <c r="FH62" t="e">
        <f>FI61*'Scen Hypothetical vaccine model'!$K62</f>
        <v>#VALUE!</v>
      </c>
      <c r="FI62" s="84" t="e">
        <f t="shared" si="53"/>
        <v>#VALUE!</v>
      </c>
      <c r="FJ62" t="e">
        <f>FL61*'Scen Hypothetical vaccine model'!$J62*HelperFunctions!$R62</f>
        <v>#VALUE!</v>
      </c>
      <c r="FK62" t="e">
        <f>FL61*'Scen Hypothetical vaccine model'!$K62</f>
        <v>#VALUE!</v>
      </c>
      <c r="FL62" s="84" t="e">
        <f t="shared" si="54"/>
        <v>#VALUE!</v>
      </c>
      <c r="FM62" t="e">
        <f>FO61*'Scen Hypothetical vaccine model'!$J62*HelperFunctions!$R61</f>
        <v>#VALUE!</v>
      </c>
      <c r="FN62" t="e">
        <f>FO61*'Scen Hypothetical vaccine model'!$K62</f>
        <v>#VALUE!</v>
      </c>
      <c r="FO62" s="84" t="e">
        <f t="shared" si="55"/>
        <v>#VALUE!</v>
      </c>
      <c r="FP62" t="e">
        <f>FR61*'Scen Hypothetical vaccine model'!$J62*HelperFunctions!$R60</f>
        <v>#VALUE!</v>
      </c>
      <c r="FQ62" t="e">
        <f>FR61*'Scen Hypothetical vaccine model'!$K62</f>
        <v>#VALUE!</v>
      </c>
      <c r="FR62" s="84" t="e">
        <f t="shared" ref="FR62:FR63" si="56">FR61-FP62-FQ62</f>
        <v>#VALUE!</v>
      </c>
      <c r="FS62" t="e">
        <f>FU61*'Scen Hypothetical vaccine model'!$J62*HelperFunctions!$R59</f>
        <v>#VALUE!</v>
      </c>
      <c r="FT62" t="e">
        <f>FU61*'Scen Hypothetical vaccine model'!$K62</f>
        <v>#VALUE!</v>
      </c>
      <c r="FU62" s="84" t="e">
        <f>FU61-FS62-FT62</f>
        <v>#VALUE!</v>
      </c>
      <c r="FV62" s="93"/>
      <c r="FW62" s="93"/>
      <c r="FX62" s="84" t="e">
        <f>Export!$N60*'Scen EffectivelyVax'!$A61*(1-HelperFunctions!$G$59)</f>
        <v>#VALUE!</v>
      </c>
      <c r="FY62" s="93"/>
      <c r="FZ62" s="93"/>
      <c r="GA62" s="93"/>
    </row>
    <row r="63" spans="2:183" x14ac:dyDescent="0.35">
      <c r="B63">
        <v>4</v>
      </c>
      <c r="C63" t="str">
        <f>Inputs!I83</f>
        <v/>
      </c>
      <c r="D63" t="e">
        <f>F62*'Scen Hypothetical vaccine model'!J63*HelperFunctions!R$14</f>
        <v>#VALUE!</v>
      </c>
      <c r="E63" t="e">
        <f>F62*'Scen Hypothetical vaccine model'!K63</f>
        <v>#VALUE!</v>
      </c>
      <c r="F63" s="84" t="e">
        <f t="shared" si="0"/>
        <v>#VALUE!</v>
      </c>
      <c r="G63" t="e">
        <f>I62*'Scen Hypothetical vaccine model'!$J63*HelperFunctions!$R$14</f>
        <v>#VALUE!</v>
      </c>
      <c r="H63" t="e">
        <f>I62*'Scen Hypothetical vaccine model'!$K63</f>
        <v>#VALUE!</v>
      </c>
      <c r="I63" s="84" t="e">
        <f t="shared" si="1"/>
        <v>#VALUE!</v>
      </c>
      <c r="J63" t="e">
        <f>L62*'Scen Hypothetical vaccine model'!$J63*HelperFunctions!$R$14</f>
        <v>#VALUE!</v>
      </c>
      <c r="K63" t="e">
        <f>L62*'Scen Hypothetical vaccine model'!$K63</f>
        <v>#VALUE!</v>
      </c>
      <c r="L63" s="84" t="e">
        <f t="shared" si="2"/>
        <v>#VALUE!</v>
      </c>
      <c r="M63" t="e">
        <f>O62*'Scen Hypothetical vaccine model'!$J63*HelperFunctions!$R$14</f>
        <v>#VALUE!</v>
      </c>
      <c r="N63" t="e">
        <f>O62*'Scen Hypothetical vaccine model'!$K63</f>
        <v>#VALUE!</v>
      </c>
      <c r="O63" s="84" t="e">
        <f t="shared" si="3"/>
        <v>#VALUE!</v>
      </c>
      <c r="P63" t="e">
        <f>R62*'Scen Hypothetical vaccine model'!$J63*HelperFunctions!$R$14</f>
        <v>#VALUE!</v>
      </c>
      <c r="Q63" t="e">
        <f>R62*'Scen Hypothetical vaccine model'!$K63</f>
        <v>#VALUE!</v>
      </c>
      <c r="R63" s="84" t="e">
        <f t="shared" si="4"/>
        <v>#VALUE!</v>
      </c>
      <c r="S63" t="e">
        <f>U62*'Scen Hypothetical vaccine model'!$J63*HelperFunctions!$R$14</f>
        <v>#VALUE!</v>
      </c>
      <c r="T63" t="e">
        <f>U62*'Scen Hypothetical vaccine model'!$K63</f>
        <v>#VALUE!</v>
      </c>
      <c r="U63" s="84" t="e">
        <f t="shared" si="5"/>
        <v>#VALUE!</v>
      </c>
      <c r="V63" t="e">
        <f>X62*'Scen Hypothetical vaccine model'!$J63*HelperFunctions!$R$14</f>
        <v>#VALUE!</v>
      </c>
      <c r="W63" t="e">
        <f>X62*'Scen Hypothetical vaccine model'!$K63</f>
        <v>#VALUE!</v>
      </c>
      <c r="X63" s="84" t="e">
        <f t="shared" si="6"/>
        <v>#VALUE!</v>
      </c>
      <c r="Y63" t="e">
        <f>AA62*'Scen Hypothetical vaccine model'!$J63*HelperFunctions!$R$14</f>
        <v>#VALUE!</v>
      </c>
      <c r="Z63" t="e">
        <f>AA62*'Scen Hypothetical vaccine model'!$K63</f>
        <v>#VALUE!</v>
      </c>
      <c r="AA63" s="84" t="e">
        <f t="shared" si="7"/>
        <v>#VALUE!</v>
      </c>
      <c r="AB63" t="e">
        <f>AD62*'Scen Hypothetical vaccine model'!$J63*HelperFunctions!$R$14</f>
        <v>#VALUE!</v>
      </c>
      <c r="AC63" t="e">
        <f>AD62*'Scen Hypothetical vaccine model'!$K63</f>
        <v>#VALUE!</v>
      </c>
      <c r="AD63" s="84" t="e">
        <f t="shared" si="8"/>
        <v>#VALUE!</v>
      </c>
      <c r="AE63" t="e">
        <f>AG62*'Scen Hypothetical vaccine model'!$J63*HelperFunctions!$R$14</f>
        <v>#VALUE!</v>
      </c>
      <c r="AF63" t="e">
        <f>AG62*'Scen Hypothetical vaccine model'!$K63</f>
        <v>#VALUE!</v>
      </c>
      <c r="AG63" s="84" t="e">
        <f t="shared" si="9"/>
        <v>#VALUE!</v>
      </c>
      <c r="AH63" t="e">
        <f>AJ62*'Scen Hypothetical vaccine model'!$J63*HelperFunctions!$R$14</f>
        <v>#VALUE!</v>
      </c>
      <c r="AI63" t="e">
        <f>AJ62*'Scen Hypothetical vaccine model'!$K63</f>
        <v>#VALUE!</v>
      </c>
      <c r="AJ63" s="84" t="e">
        <f t="shared" si="10"/>
        <v>#VALUE!</v>
      </c>
      <c r="AK63" t="e">
        <f>AM62*'Scen Hypothetical vaccine model'!$J63*HelperFunctions!$R$14</f>
        <v>#VALUE!</v>
      </c>
      <c r="AL63" t="e">
        <f>AM62*'Scen Hypothetical vaccine model'!$K63</f>
        <v>#VALUE!</v>
      </c>
      <c r="AM63" s="84" t="e">
        <f t="shared" si="11"/>
        <v>#VALUE!</v>
      </c>
      <c r="AN63" t="e">
        <f>AP62*'Scen Hypothetical vaccine model'!$J63*HelperFunctions!$R$28</f>
        <v>#VALUE!</v>
      </c>
      <c r="AO63" t="e">
        <f>AP62*'Scen Hypothetical vaccine model'!$K63</f>
        <v>#VALUE!</v>
      </c>
      <c r="AP63" s="84" t="e">
        <f t="shared" si="12"/>
        <v>#VALUE!</v>
      </c>
      <c r="AQ63" t="e">
        <f>AS62*'Scen Hypothetical vaccine model'!$J63*HelperFunctions!$R$28</f>
        <v>#VALUE!</v>
      </c>
      <c r="AR63" t="e">
        <f>AS62*'Scen Hypothetical vaccine model'!$K63</f>
        <v>#VALUE!</v>
      </c>
      <c r="AS63" s="84" t="e">
        <f t="shared" si="13"/>
        <v>#VALUE!</v>
      </c>
      <c r="AT63" t="e">
        <f>AV62*'Scen Hypothetical vaccine model'!$J63*HelperFunctions!$R$28</f>
        <v>#VALUE!</v>
      </c>
      <c r="AU63" t="e">
        <f>AV62*'Scen Hypothetical vaccine model'!$K63</f>
        <v>#VALUE!</v>
      </c>
      <c r="AV63" s="84" t="e">
        <f t="shared" si="14"/>
        <v>#VALUE!</v>
      </c>
      <c r="AW63" t="e">
        <f>AY62*'Scen Hypothetical vaccine model'!$J63*HelperFunctions!$R$28</f>
        <v>#VALUE!</v>
      </c>
      <c r="AX63" t="e">
        <f>AY62*'Scen Hypothetical vaccine model'!$K63</f>
        <v>#VALUE!</v>
      </c>
      <c r="AY63" s="84" t="e">
        <f t="shared" si="15"/>
        <v>#VALUE!</v>
      </c>
      <c r="AZ63" t="e">
        <f>BB62*'Scen Hypothetical vaccine model'!$J63*HelperFunctions!$R$28</f>
        <v>#VALUE!</v>
      </c>
      <c r="BA63" t="e">
        <f>BB62*'Scen Hypothetical vaccine model'!$K63</f>
        <v>#VALUE!</v>
      </c>
      <c r="BB63" s="84" t="e">
        <f t="shared" si="16"/>
        <v>#VALUE!</v>
      </c>
      <c r="BC63" t="e">
        <f>BE62*'Scen Hypothetical vaccine model'!$J63*HelperFunctions!$R$28</f>
        <v>#VALUE!</v>
      </c>
      <c r="BD63" t="e">
        <f>BE62*'Scen Hypothetical vaccine model'!$K63</f>
        <v>#VALUE!</v>
      </c>
      <c r="BE63" s="84" t="e">
        <f t="shared" si="17"/>
        <v>#VALUE!</v>
      </c>
      <c r="BF63" t="e">
        <f>BH62*'Scen Hypothetical vaccine model'!$J63*HelperFunctions!$R$28</f>
        <v>#VALUE!</v>
      </c>
      <c r="BG63" t="e">
        <f>BH62*'Scen Hypothetical vaccine model'!$K63</f>
        <v>#VALUE!</v>
      </c>
      <c r="BH63" s="84" t="e">
        <f t="shared" si="18"/>
        <v>#VALUE!</v>
      </c>
      <c r="BI63" t="e">
        <f>BK62*'Scen Hypothetical vaccine model'!$J63*HelperFunctions!$R$28</f>
        <v>#VALUE!</v>
      </c>
      <c r="BJ63" t="e">
        <f>BK62*'Scen Hypothetical vaccine model'!$K63</f>
        <v>#VALUE!</v>
      </c>
      <c r="BK63" s="84" t="e">
        <f t="shared" si="19"/>
        <v>#VALUE!</v>
      </c>
      <c r="BL63" t="e">
        <f>BN62*'Scen Hypothetical vaccine model'!$J63*HelperFunctions!$R$28</f>
        <v>#VALUE!</v>
      </c>
      <c r="BM63" t="e">
        <f>BN62*'Scen Hypothetical vaccine model'!$K63</f>
        <v>#VALUE!</v>
      </c>
      <c r="BN63" s="84" t="e">
        <f t="shared" si="20"/>
        <v>#VALUE!</v>
      </c>
      <c r="BO63" t="e">
        <f>BQ62*'Scen Hypothetical vaccine model'!$J63*HelperFunctions!$R$28</f>
        <v>#VALUE!</v>
      </c>
      <c r="BP63" t="e">
        <f>BQ62*'Scen Hypothetical vaccine model'!$K63</f>
        <v>#VALUE!</v>
      </c>
      <c r="BQ63" s="84" t="e">
        <f t="shared" si="21"/>
        <v>#VALUE!</v>
      </c>
      <c r="BR63" t="e">
        <f>BT62*'Scen Hypothetical vaccine model'!$J63*HelperFunctions!$R$28</f>
        <v>#VALUE!</v>
      </c>
      <c r="BS63" t="e">
        <f>BT62*'Scen Hypothetical vaccine model'!$K63</f>
        <v>#VALUE!</v>
      </c>
      <c r="BT63" s="84" t="e">
        <f t="shared" si="22"/>
        <v>#VALUE!</v>
      </c>
      <c r="BU63" t="e">
        <f>BW62*'Scen Hypothetical vaccine model'!$J63*HelperFunctions!$R$28</f>
        <v>#VALUE!</v>
      </c>
      <c r="BV63" t="e">
        <f>BW62*'Scen Hypothetical vaccine model'!$K63</f>
        <v>#VALUE!</v>
      </c>
      <c r="BW63" s="84" t="e">
        <f t="shared" si="23"/>
        <v>#VALUE!</v>
      </c>
      <c r="BX63" t="e">
        <f>BZ62*'Scen Hypothetical vaccine model'!$J63*HelperFunctions!$R$42</f>
        <v>#VALUE!</v>
      </c>
      <c r="BY63" t="e">
        <f>BZ62*'Scen Hypothetical vaccine model'!$K63</f>
        <v>#VALUE!</v>
      </c>
      <c r="BZ63" s="84" t="e">
        <f t="shared" si="24"/>
        <v>#VALUE!</v>
      </c>
      <c r="CA63" t="e">
        <f>CC62*'Scen Hypothetical vaccine model'!$J63*HelperFunctions!$R$42</f>
        <v>#VALUE!</v>
      </c>
      <c r="CB63" t="e">
        <f>CC62*'Scen Hypothetical vaccine model'!$K63</f>
        <v>#VALUE!</v>
      </c>
      <c r="CC63" s="84" t="e">
        <f t="shared" si="25"/>
        <v>#VALUE!</v>
      </c>
      <c r="CD63" t="e">
        <f>CF62*'Scen Hypothetical vaccine model'!$J63*HelperFunctions!$R$42</f>
        <v>#VALUE!</v>
      </c>
      <c r="CE63" t="e">
        <f>CF62*'Scen Hypothetical vaccine model'!$K63</f>
        <v>#VALUE!</v>
      </c>
      <c r="CF63" s="84" t="e">
        <f t="shared" si="26"/>
        <v>#VALUE!</v>
      </c>
      <c r="CG63" t="e">
        <f>CI62*'Scen Hypothetical vaccine model'!$J63*HelperFunctions!$R$42</f>
        <v>#VALUE!</v>
      </c>
      <c r="CH63" t="e">
        <f>CI62*'Scen Hypothetical vaccine model'!$K63</f>
        <v>#VALUE!</v>
      </c>
      <c r="CI63" s="84" t="e">
        <f t="shared" si="27"/>
        <v>#VALUE!</v>
      </c>
      <c r="CJ63" t="e">
        <f>CL62*'Scen Hypothetical vaccine model'!$J63*HelperFunctions!$R$42</f>
        <v>#VALUE!</v>
      </c>
      <c r="CK63" t="e">
        <f>CL62*'Scen Hypothetical vaccine model'!$K63</f>
        <v>#VALUE!</v>
      </c>
      <c r="CL63" s="84" t="e">
        <f t="shared" si="28"/>
        <v>#VALUE!</v>
      </c>
      <c r="CM63" t="e">
        <f>CO62*'Scen Hypothetical vaccine model'!$J63*HelperFunctions!$R$42</f>
        <v>#VALUE!</v>
      </c>
      <c r="CN63" t="e">
        <f>CO62*'Scen Hypothetical vaccine model'!$K63</f>
        <v>#VALUE!</v>
      </c>
      <c r="CO63" s="84" t="e">
        <f t="shared" si="29"/>
        <v>#VALUE!</v>
      </c>
      <c r="CP63" t="e">
        <f>CR62*'Scen Hypothetical vaccine model'!$J63*HelperFunctions!$R$42</f>
        <v>#VALUE!</v>
      </c>
      <c r="CQ63" t="e">
        <f>CR62*'Scen Hypothetical vaccine model'!$K63</f>
        <v>#VALUE!</v>
      </c>
      <c r="CR63" s="84" t="e">
        <f t="shared" si="30"/>
        <v>#VALUE!</v>
      </c>
      <c r="CS63" t="e">
        <f>CU62*'Scen Hypothetical vaccine model'!$J63*HelperFunctions!$R$42</f>
        <v>#VALUE!</v>
      </c>
      <c r="CT63" t="e">
        <f>CU62*'Scen Hypothetical vaccine model'!$K63</f>
        <v>#VALUE!</v>
      </c>
      <c r="CU63" s="84" t="e">
        <f t="shared" si="31"/>
        <v>#VALUE!</v>
      </c>
      <c r="CV63" t="e">
        <f>CX62*'Scen Hypothetical vaccine model'!$J63*HelperFunctions!$R$42</f>
        <v>#VALUE!</v>
      </c>
      <c r="CW63" t="e">
        <f>CX62*'Scen Hypothetical vaccine model'!$K63</f>
        <v>#VALUE!</v>
      </c>
      <c r="CX63" s="84" t="e">
        <f t="shared" si="32"/>
        <v>#VALUE!</v>
      </c>
      <c r="CY63" t="e">
        <f>DA62*'Scen Hypothetical vaccine model'!$J63*HelperFunctions!$R$42</f>
        <v>#VALUE!</v>
      </c>
      <c r="CZ63" t="e">
        <f>DA62*'Scen Hypothetical vaccine model'!$K63</f>
        <v>#VALUE!</v>
      </c>
      <c r="DA63" s="84" t="e">
        <f t="shared" si="33"/>
        <v>#VALUE!</v>
      </c>
      <c r="DB63" t="e">
        <f>DD62*'Scen Hypothetical vaccine model'!$J63*HelperFunctions!$R$42</f>
        <v>#VALUE!</v>
      </c>
      <c r="DC63" t="e">
        <f>DD62*'Scen Hypothetical vaccine model'!$K63</f>
        <v>#VALUE!</v>
      </c>
      <c r="DD63" s="84" t="e">
        <f t="shared" si="34"/>
        <v>#VALUE!</v>
      </c>
      <c r="DE63" t="e">
        <f>DG62*'Scen Hypothetical vaccine model'!$J63*HelperFunctions!$R$42</f>
        <v>#VALUE!</v>
      </c>
      <c r="DF63" t="e">
        <f>DG62*'Scen Hypothetical vaccine model'!$K63</f>
        <v>#VALUE!</v>
      </c>
      <c r="DG63" s="84" t="e">
        <f t="shared" si="35"/>
        <v>#VALUE!</v>
      </c>
      <c r="DH63" t="e">
        <f>DJ62*'Scen Hypothetical vaccine model'!$J63*HelperFunctions!$R$56</f>
        <v>#VALUE!</v>
      </c>
      <c r="DI63" t="e">
        <f>DJ62*'Scen Hypothetical vaccine model'!$K63</f>
        <v>#VALUE!</v>
      </c>
      <c r="DJ63" s="84" t="e">
        <f t="shared" si="36"/>
        <v>#VALUE!</v>
      </c>
      <c r="DK63" t="e">
        <f>DM62*'Scen Hypothetical vaccine model'!$J63*HelperFunctions!$R$56</f>
        <v>#VALUE!</v>
      </c>
      <c r="DL63" t="e">
        <f>DM62*'Scen Hypothetical vaccine model'!$K63</f>
        <v>#VALUE!</v>
      </c>
      <c r="DM63" s="84" t="e">
        <f t="shared" si="37"/>
        <v>#VALUE!</v>
      </c>
      <c r="DN63" t="e">
        <f>DP62*'Scen Hypothetical vaccine model'!$J63*HelperFunctions!$R$56</f>
        <v>#VALUE!</v>
      </c>
      <c r="DO63" t="e">
        <f>DP62*'Scen Hypothetical vaccine model'!$K63</f>
        <v>#VALUE!</v>
      </c>
      <c r="DP63" s="84" t="e">
        <f t="shared" si="38"/>
        <v>#VALUE!</v>
      </c>
      <c r="DQ63" t="e">
        <f>DS62*'Scen Hypothetical vaccine model'!$J63*HelperFunctions!$R$56</f>
        <v>#VALUE!</v>
      </c>
      <c r="DR63" t="e">
        <f>DS62*'Scen Hypothetical vaccine model'!$K63</f>
        <v>#VALUE!</v>
      </c>
      <c r="DS63" s="84" t="e">
        <f t="shared" si="39"/>
        <v>#VALUE!</v>
      </c>
      <c r="DT63" t="e">
        <f>DV62*'Scen Hypothetical vaccine model'!$J63*HelperFunctions!$R$56</f>
        <v>#VALUE!</v>
      </c>
      <c r="DU63" t="e">
        <f>DV62*'Scen Hypothetical vaccine model'!$K63</f>
        <v>#VALUE!</v>
      </c>
      <c r="DV63" s="84" t="e">
        <f t="shared" si="40"/>
        <v>#VALUE!</v>
      </c>
      <c r="DW63" t="e">
        <f>DY62*'Scen Hypothetical vaccine model'!$J63*HelperFunctions!$R$56</f>
        <v>#VALUE!</v>
      </c>
      <c r="DX63" t="e">
        <f>DY62*'Scen Hypothetical vaccine model'!$K63</f>
        <v>#VALUE!</v>
      </c>
      <c r="DY63" s="84" t="e">
        <f t="shared" si="41"/>
        <v>#VALUE!</v>
      </c>
      <c r="DZ63" t="e">
        <f>EB62*'Scen Hypothetical vaccine model'!$J63*HelperFunctions!$R$56</f>
        <v>#VALUE!</v>
      </c>
      <c r="EA63" t="e">
        <f>EB62*'Scen Hypothetical vaccine model'!$K63</f>
        <v>#VALUE!</v>
      </c>
      <c r="EB63" s="84" t="e">
        <f t="shared" si="42"/>
        <v>#VALUE!</v>
      </c>
      <c r="EC63" t="e">
        <f>EE62*'Scen Hypothetical vaccine model'!$J63*HelperFunctions!$R$56</f>
        <v>#VALUE!</v>
      </c>
      <c r="ED63" t="e">
        <f>EE62*'Scen Hypothetical vaccine model'!$K63</f>
        <v>#VALUE!</v>
      </c>
      <c r="EE63" s="84" t="e">
        <f t="shared" si="43"/>
        <v>#VALUE!</v>
      </c>
      <c r="EF63" t="e">
        <f>EH62*'Scen Hypothetical vaccine model'!$J63*HelperFunctions!$R$56</f>
        <v>#VALUE!</v>
      </c>
      <c r="EG63" t="e">
        <f>EH62*'Scen Hypothetical vaccine model'!$K63</f>
        <v>#VALUE!</v>
      </c>
      <c r="EH63" s="84" t="e">
        <f t="shared" si="44"/>
        <v>#VALUE!</v>
      </c>
      <c r="EI63" t="e">
        <f>EK62*'Scen Hypothetical vaccine model'!$J63*HelperFunctions!$R$56</f>
        <v>#VALUE!</v>
      </c>
      <c r="EJ63" t="e">
        <f>EK62*'Scen Hypothetical vaccine model'!$K63</f>
        <v>#VALUE!</v>
      </c>
      <c r="EK63" s="84" t="e">
        <f t="shared" si="45"/>
        <v>#VALUE!</v>
      </c>
      <c r="EL63" t="e">
        <f>EN62*'Scen Hypothetical vaccine model'!$J63*HelperFunctions!$R$56</f>
        <v>#VALUE!</v>
      </c>
      <c r="EM63" t="e">
        <f>EN62*'Scen Hypothetical vaccine model'!$K63</f>
        <v>#VALUE!</v>
      </c>
      <c r="EN63" s="84" t="e">
        <f t="shared" si="46"/>
        <v>#VALUE!</v>
      </c>
      <c r="EO63" t="e">
        <f>EQ62*'Scen Hypothetical vaccine model'!$J63*HelperFunctions!$R56</f>
        <v>#VALUE!</v>
      </c>
      <c r="EP63" t="e">
        <f>EQ62*'Scen Hypothetical vaccine model'!$K63</f>
        <v>#VALUE!</v>
      </c>
      <c r="EQ63" s="84" t="e">
        <f t="shared" si="47"/>
        <v>#VALUE!</v>
      </c>
      <c r="ER63" t="e">
        <f>ET62*'Scen Hypothetical vaccine model'!$J63*HelperFunctions!$R69</f>
        <v>#VALUE!</v>
      </c>
      <c r="ES63" t="e">
        <f>ET62*'Scen Hypothetical vaccine model'!$K63</f>
        <v>#VALUE!</v>
      </c>
      <c r="ET63" s="84" t="e">
        <f t="shared" si="48"/>
        <v>#VALUE!</v>
      </c>
      <c r="EU63" t="e">
        <f>EW62*'Scen Hypothetical vaccine model'!$J63*HelperFunctions!$R68</f>
        <v>#VALUE!</v>
      </c>
      <c r="EV63" t="e">
        <f>EW62*'Scen Hypothetical vaccine model'!$K63</f>
        <v>#VALUE!</v>
      </c>
      <c r="EW63" s="84" t="e">
        <f t="shared" si="49"/>
        <v>#VALUE!</v>
      </c>
      <c r="EX63" t="e">
        <f>EZ62*'Scen Hypothetical vaccine model'!$J63*HelperFunctions!$R67</f>
        <v>#VALUE!</v>
      </c>
      <c r="EY63" t="e">
        <f>EZ62*'Scen Hypothetical vaccine model'!$K63</f>
        <v>#VALUE!</v>
      </c>
      <c r="EZ63" s="84" t="e">
        <f t="shared" si="50"/>
        <v>#VALUE!</v>
      </c>
      <c r="FA63" t="e">
        <f>FC62*'Scen Hypothetical vaccine model'!$J63*HelperFunctions!$R66</f>
        <v>#VALUE!</v>
      </c>
      <c r="FB63" t="e">
        <f>FC62*'Scen Hypothetical vaccine model'!$K63</f>
        <v>#VALUE!</v>
      </c>
      <c r="FC63" s="84" t="e">
        <f t="shared" si="51"/>
        <v>#VALUE!</v>
      </c>
      <c r="FD63" t="e">
        <f>FF62*'Scen Hypothetical vaccine model'!$J63*HelperFunctions!$R65</f>
        <v>#VALUE!</v>
      </c>
      <c r="FE63" t="e">
        <f>FF62*'Scen Hypothetical vaccine model'!$K63</f>
        <v>#VALUE!</v>
      </c>
      <c r="FF63" s="84" t="e">
        <f t="shared" si="52"/>
        <v>#VALUE!</v>
      </c>
      <c r="FG63" t="e">
        <f>FI62*'Scen Hypothetical vaccine model'!$J63*HelperFunctions!$R64</f>
        <v>#VALUE!</v>
      </c>
      <c r="FH63" t="e">
        <f>FI62*'Scen Hypothetical vaccine model'!$K63</f>
        <v>#VALUE!</v>
      </c>
      <c r="FI63" s="84" t="e">
        <f t="shared" si="53"/>
        <v>#VALUE!</v>
      </c>
      <c r="FJ63" t="e">
        <f>FL62*'Scen Hypothetical vaccine model'!$J63*HelperFunctions!$R63</f>
        <v>#VALUE!</v>
      </c>
      <c r="FK63" t="e">
        <f>FL62*'Scen Hypothetical vaccine model'!$K63</f>
        <v>#VALUE!</v>
      </c>
      <c r="FL63" s="84" t="e">
        <f t="shared" si="54"/>
        <v>#VALUE!</v>
      </c>
      <c r="FM63" t="e">
        <f>FO62*'Scen Hypothetical vaccine model'!$J63*HelperFunctions!$R62</f>
        <v>#VALUE!</v>
      </c>
      <c r="FN63" t="e">
        <f>FO62*'Scen Hypothetical vaccine model'!$K63</f>
        <v>#VALUE!</v>
      </c>
      <c r="FO63" s="84" t="e">
        <f t="shared" si="55"/>
        <v>#VALUE!</v>
      </c>
      <c r="FP63" t="e">
        <f>FR62*'Scen Hypothetical vaccine model'!$J63*HelperFunctions!$R61</f>
        <v>#VALUE!</v>
      </c>
      <c r="FQ63" t="e">
        <f>FR62*'Scen Hypothetical vaccine model'!$K63</f>
        <v>#VALUE!</v>
      </c>
      <c r="FR63" s="84" t="e">
        <f t="shared" si="56"/>
        <v>#VALUE!</v>
      </c>
      <c r="FS63" t="e">
        <f>FU62*'Scen Hypothetical vaccine model'!$J63*HelperFunctions!$R60</f>
        <v>#VALUE!</v>
      </c>
      <c r="FT63" t="e">
        <f>FU62*'Scen Hypothetical vaccine model'!$K63</f>
        <v>#VALUE!</v>
      </c>
      <c r="FU63" s="84" t="e">
        <f>FU62-FS63-FT63</f>
        <v>#VALUE!</v>
      </c>
      <c r="FV63" t="e">
        <f>FX62*'Scen Hypothetical vaccine model'!$J63*HelperFunctions!$R59</f>
        <v>#VALUE!</v>
      </c>
      <c r="FW63" t="e">
        <f>FX62*'Scen Hypothetical vaccine model'!$K63</f>
        <v>#VALUE!</v>
      </c>
      <c r="FX63" s="84" t="e">
        <f>FX62-FV63-FW63</f>
        <v>#VALUE!</v>
      </c>
      <c r="FY63" s="93"/>
      <c r="FZ63" s="93"/>
      <c r="GA63" s="84" t="e">
        <f>Export!$N61*'Scen EffectivelyVax'!$A62*(1-HelperFunctions!$G$59)</f>
        <v>#VALUE!</v>
      </c>
    </row>
  </sheetData>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4" tint="-0.249977111117893"/>
  </sheetPr>
  <dimension ref="A1:AX66"/>
  <sheetViews>
    <sheetView topLeftCell="I1" zoomScale="85" zoomScaleNormal="85" workbookViewId="0">
      <selection activeCell="L19" sqref="L19"/>
    </sheetView>
  </sheetViews>
  <sheetFormatPr defaultColWidth="10.90625" defaultRowHeight="14.5" x14ac:dyDescent="0.35"/>
  <cols>
    <col min="2" max="2" width="15.54296875" customWidth="1"/>
    <col min="3" max="14" width="20.1796875" customWidth="1"/>
    <col min="15" max="26" width="19.54296875" customWidth="1"/>
    <col min="27" max="86" width="20.1796875" customWidth="1"/>
  </cols>
  <sheetData>
    <row r="1" spans="1:48" ht="15.75" customHeight="1" x14ac:dyDescent="0.35">
      <c r="AI1" s="144"/>
    </row>
    <row r="2" spans="1:48" ht="25.4" customHeight="1" x14ac:dyDescent="0.5">
      <c r="A2" s="344"/>
      <c r="B2" s="345"/>
      <c r="C2" s="346" t="s">
        <v>279</v>
      </c>
      <c r="D2" s="347"/>
      <c r="E2" s="347"/>
      <c r="F2" s="347"/>
      <c r="G2" s="347"/>
      <c r="H2" s="347"/>
      <c r="I2" s="347"/>
      <c r="J2" s="347"/>
      <c r="K2" s="348"/>
      <c r="L2" s="349" t="s">
        <v>280</v>
      </c>
      <c r="M2" s="350"/>
      <c r="N2" s="351"/>
      <c r="O2" s="352" t="s">
        <v>281</v>
      </c>
      <c r="P2" s="353"/>
      <c r="Q2" s="353"/>
      <c r="R2" s="353"/>
      <c r="S2" s="353"/>
      <c r="T2" s="353"/>
      <c r="U2" s="353"/>
      <c r="V2" s="353"/>
      <c r="W2" s="353"/>
      <c r="X2" s="353"/>
      <c r="Y2" s="353"/>
      <c r="Z2" s="353"/>
      <c r="AA2" s="354"/>
      <c r="AC2" s="355" t="s">
        <v>282</v>
      </c>
      <c r="AD2" s="340"/>
      <c r="AE2" s="340"/>
      <c r="AF2" s="340"/>
      <c r="AG2" s="356"/>
      <c r="AH2" s="355" t="s">
        <v>282</v>
      </c>
      <c r="AI2" s="340"/>
      <c r="AJ2" s="340"/>
      <c r="AK2" s="340"/>
      <c r="AL2" s="356"/>
      <c r="AM2" s="339" t="s">
        <v>283</v>
      </c>
      <c r="AN2" s="340"/>
      <c r="AO2" s="340"/>
      <c r="AP2" s="340"/>
      <c r="AQ2" s="341"/>
      <c r="AR2" s="339" t="s">
        <v>284</v>
      </c>
      <c r="AS2" s="340"/>
      <c r="AT2" s="340"/>
      <c r="AU2" s="340"/>
      <c r="AV2" s="341"/>
    </row>
    <row r="3" spans="1:48" ht="61.5" customHeight="1" x14ac:dyDescent="0.35">
      <c r="A3" s="118" t="s">
        <v>153</v>
      </c>
      <c r="B3" s="118" t="s">
        <v>64</v>
      </c>
      <c r="C3" s="119" t="s">
        <v>285</v>
      </c>
      <c r="D3" s="120" t="s">
        <v>215</v>
      </c>
      <c r="E3" s="120" t="s">
        <v>286</v>
      </c>
      <c r="F3" s="120" t="s">
        <v>287</v>
      </c>
      <c r="G3" s="120" t="s">
        <v>288</v>
      </c>
      <c r="H3" s="120" t="s">
        <v>289</v>
      </c>
      <c r="I3" s="120" t="s">
        <v>290</v>
      </c>
      <c r="J3" s="120" t="s">
        <v>291</v>
      </c>
      <c r="K3" s="121" t="s">
        <v>292</v>
      </c>
      <c r="L3" s="122" t="s">
        <v>28</v>
      </c>
      <c r="M3" s="123" t="s">
        <v>293</v>
      </c>
      <c r="N3" s="124" t="s">
        <v>294</v>
      </c>
      <c r="O3" s="125" t="s">
        <v>295</v>
      </c>
      <c r="P3" s="126" t="s">
        <v>296</v>
      </c>
      <c r="Q3" s="126" t="s">
        <v>297</v>
      </c>
      <c r="R3" s="126" t="s">
        <v>298</v>
      </c>
      <c r="S3" s="126" t="s">
        <v>299</v>
      </c>
      <c r="T3" s="126" t="s">
        <v>300</v>
      </c>
      <c r="U3" s="127" t="s">
        <v>301</v>
      </c>
      <c r="V3" s="125" t="s">
        <v>302</v>
      </c>
      <c r="W3" s="126" t="s">
        <v>303</v>
      </c>
      <c r="X3" s="126" t="s">
        <v>304</v>
      </c>
      <c r="Y3" s="126" t="s">
        <v>305</v>
      </c>
      <c r="Z3" s="126" t="s">
        <v>306</v>
      </c>
      <c r="AA3" s="127" t="s">
        <v>307</v>
      </c>
      <c r="AC3" s="128" t="s">
        <v>215</v>
      </c>
      <c r="AD3" s="129" t="s">
        <v>286</v>
      </c>
      <c r="AE3" s="129" t="s">
        <v>308</v>
      </c>
      <c r="AF3" s="129" t="s">
        <v>289</v>
      </c>
      <c r="AG3" s="129" t="s">
        <v>309</v>
      </c>
      <c r="AH3" s="128" t="s">
        <v>215</v>
      </c>
      <c r="AI3" s="129" t="s">
        <v>286</v>
      </c>
      <c r="AJ3" s="129" t="s">
        <v>308</v>
      </c>
      <c r="AK3" s="129" t="s">
        <v>289</v>
      </c>
      <c r="AL3" s="129" t="s">
        <v>309</v>
      </c>
      <c r="AM3" s="128" t="s">
        <v>215</v>
      </c>
      <c r="AN3" s="129" t="s">
        <v>286</v>
      </c>
      <c r="AO3" s="129" t="s">
        <v>308</v>
      </c>
      <c r="AP3" s="129" t="s">
        <v>289</v>
      </c>
      <c r="AQ3" s="129" t="s">
        <v>309</v>
      </c>
      <c r="AR3" s="128" t="s">
        <v>215</v>
      </c>
      <c r="AS3" s="129" t="s">
        <v>286</v>
      </c>
      <c r="AT3" s="129" t="s">
        <v>308</v>
      </c>
      <c r="AU3" s="129" t="s">
        <v>289</v>
      </c>
      <c r="AV3" s="129" t="s">
        <v>309</v>
      </c>
    </row>
    <row r="4" spans="1:48" x14ac:dyDescent="0.35">
      <c r="A4" s="130">
        <f>EffectivelyVax!B3</f>
        <v>0</v>
      </c>
      <c r="B4" s="131">
        <f>EffectivelyVax!C3</f>
        <v>0</v>
      </c>
      <c r="C4" s="132">
        <f>Export!N2</f>
        <v>0</v>
      </c>
      <c r="D4" s="133">
        <f>IF(Inputs!$F$10="1. Actual program", 'Current vaccine model'!W4, Export!C2)</f>
        <v>0</v>
      </c>
      <c r="E4" s="133" t="e">
        <f>D4*Export!L2</f>
        <v>#VALUE!</v>
      </c>
      <c r="F4" s="133" t="e">
        <f>D4+E4</f>
        <v>#VALUE!</v>
      </c>
      <c r="G4" s="133" t="e">
        <f>IF(Export!M2&lt;&gt;"",D4*Export!K2*(1/Export!M2),D4*Export!K2)</f>
        <v>#VALUE!</v>
      </c>
      <c r="H4" s="133" t="e">
        <f>F4*Export!J2</f>
        <v>#VALUE!</v>
      </c>
      <c r="I4" s="133" t="e">
        <f>C4-F4</f>
        <v>#VALUE!</v>
      </c>
      <c r="J4" s="134" t="e">
        <f>D4/C4</f>
        <v>#DIV/0!</v>
      </c>
      <c r="K4" s="135" t="e">
        <f>E4/C4</f>
        <v>#VALUE!</v>
      </c>
      <c r="L4" s="117">
        <f>'Scen EffectivelyVax'!A3</f>
        <v>0</v>
      </c>
      <c r="M4" s="115">
        <f>C4*L4*HelperFunctions!G$3</f>
        <v>0</v>
      </c>
      <c r="N4" s="116">
        <f>C4*L4*(1-HelperFunctions!G$3)</f>
        <v>0</v>
      </c>
      <c r="O4" s="136" t="e">
        <f>C4-S4-M4-N4+P4</f>
        <v>#DIV/0!</v>
      </c>
      <c r="P4" s="137">
        <f>SUM('Scen EffectivelyVax'!D3:BK3)</f>
        <v>0</v>
      </c>
      <c r="Q4" s="138" t="e">
        <f>J4*C4</f>
        <v>#DIV/0!</v>
      </c>
      <c r="R4" s="138" t="e">
        <f>K4*C4</f>
        <v>#VALUE!</v>
      </c>
      <c r="S4" s="137" t="e">
        <f>Q4+R4</f>
        <v>#DIV/0!</v>
      </c>
      <c r="T4" s="138" t="e">
        <f>IF(Export!M2&lt;&gt;"",Q4*Export!K2*(1/Export!M2),Q4*Export!K2)</f>
        <v>#DIV/0!</v>
      </c>
      <c r="U4" s="139" t="e">
        <f>S4*Export!J2</f>
        <v>#DIV/0!</v>
      </c>
      <c r="V4" s="140">
        <f>SUM('Scen NotEffectivelyVax (hypo)'!F4,'Scen NotEffectivelyVax (hypo)'!I4,'Scen NotEffectivelyVax (hypo)'!L4,'Scen NotEffectivelyVax (hypo)'!O4,'Scen NotEffectivelyVax (hypo)'!R4,'Scen NotEffectivelyVax (hypo)'!U4,'Scen NotEffectivelyVax (hypo)'!X4,'Scen NotEffectivelyVax (hypo)'!AA4,'Scen NotEffectivelyVax (hypo)'!AD4,'Scen NotEffectivelyVax (hypo)'!AG4,'Scen NotEffectivelyVax (hypo)'!AJ4,'Scen NotEffectivelyVax (hypo)'!AM4,'Scen NotEffectivelyVax (hypo)'!AP4,'Scen NotEffectivelyVax (hypo)'!AS4,'Scen NotEffectivelyVax (hypo)'!AV4,'Scen NotEffectivelyVax (hypo)'!AY4,'Scen NotEffectivelyVax (hypo)'!BB4,'Scen NotEffectivelyVax (hypo)'!BE4,'Scen NotEffectivelyVax (hypo)'!BH4,'Scen NotEffectivelyVax (hypo)'!BK4,'Scen NotEffectivelyVax (hypo)'!BN4,'Scen NotEffectivelyVax (hypo)'!BQ4,'Scen NotEffectivelyVax (hypo)'!BT4,'Scen NotEffectivelyVax (hypo)'!BW4,'Scen NotEffectivelyVax (hypo)'!BZ4,'Scen NotEffectivelyVax (hypo)'!CC4,'Scen NotEffectivelyVax (hypo)'!CF4,'Scen NotEffectivelyVax (hypo)'!CI4,'Scen NotEffectivelyVax (hypo)'!CL4,'Scen NotEffectivelyVax (hypo)'!CO4,'Scen NotEffectivelyVax (hypo)'!CR4,'Scen NotEffectivelyVax (hypo)'!CU4,'Scen NotEffectivelyVax (hypo)'!CX4,'Scen NotEffectivelyVax (hypo)'!DA4,'Scen NotEffectivelyVax (hypo)'!DD4,'Scen NotEffectivelyVax (hypo)'!DG4,'Scen NotEffectivelyVax (hypo)'!DJ4,'Scen NotEffectivelyVax (hypo)'!DM4,'Scen NotEffectivelyVax (hypo)'!DQ4,'Scen NotEffectivelyVax (hypo)'!DP4,'Scen NotEffectivelyVax (hypo)'!DS4,'Scen NotEffectivelyVax (hypo)'!DV4,'Scen NotEffectivelyVax (hypo)'!DY4,'Scen NotEffectivelyVax (hypo)'!EB4,'Scen NotEffectivelyVax (hypo)'!EE4,'Scen NotEffectivelyVax (hypo)'!EH4,'Scen NotEffectivelyVax (hypo)'!EK4,'Scen NotEffectivelyVax (hypo)'!EN4,'Scen NotEffectivelyVax (hypo)'!EQ4,'Scen NotEffectivelyVax (hypo)'!ET4,'Scen NotEffectivelyVax (hypo)'!EW4,'Scen NotEffectivelyVax (hypo)'!EZ4,'Scen NotEffectivelyVax (hypo)'!FC4,'Scen NotEffectivelyVax (hypo)'!FF4,'Scen NotEffectivelyVax (hypo)'!FI4,'Scen NotEffectivelyVax (hypo)'!FL4,'Scen NotEffectivelyVax (hypo)'!FO4,'Scen NotEffectivelyVax (hypo)'!FR4,'Scen NotEffectivelyVax (hypo)'!FU4,'Scen NotEffectivelyVax (hypo)'!FX4,'Scen NotEffectivelyVax (hypo)'!GA4)</f>
        <v>0</v>
      </c>
      <c r="W4" s="141">
        <f>SUM('Scen NotEffectivelyVax (hypo)'!D4,'Scen NotEffectivelyVax (hypo)'!G4,'Scen NotEffectivelyVax (hypo)'!J4,'Scen NotEffectivelyVax (hypo)'!M4,'Scen NotEffectivelyVax (hypo)'!P4,'Scen NotEffectivelyVax (hypo)'!S4,'Scen NotEffectivelyVax (hypo)'!V4,'Scen NotEffectivelyVax (hypo)'!Y4,'Scen NotEffectivelyVax (hypo)'!AB4,'Scen NotEffectivelyVax (hypo)'!AE4,'Scen NotEffectivelyVax (hypo)'!AH4,'Scen NotEffectivelyVax (hypo)'!AK4,'Scen NotEffectivelyVax (hypo)'!AN4,'Scen NotEffectivelyVax (hypo)'!AQ4,'Scen NotEffectivelyVax (hypo)'!AT4,'Scen NotEffectivelyVax (hypo)'!AW4,'Scen NotEffectivelyVax (hypo)'!AZ4,'Scen NotEffectivelyVax (hypo)'!BC4,'Scen NotEffectivelyVax (hypo)'!BF4,'Scen NotEffectivelyVax (hypo)'!BI4,'Scen NotEffectivelyVax (hypo)'!BL4,'Scen NotEffectivelyVax (hypo)'!BO4,'Scen NotEffectivelyVax (hypo)'!BR4,'Scen NotEffectivelyVax (hypo)'!BU4,'Scen NotEffectivelyVax (hypo)'!BX4,'Scen NotEffectivelyVax (hypo)'!CA4,'Scen NotEffectivelyVax (hypo)'!CD4,'Scen NotEffectivelyVax (hypo)'!CG4,'Scen NotEffectivelyVax (hypo)'!CJ4,'Scen NotEffectivelyVax (hypo)'!CM4,'Scen NotEffectivelyVax (hypo)'!CP4,'Scen NotEffectivelyVax (hypo)'!CS4,'Scen NotEffectivelyVax (hypo)'!CV4,'Scen NotEffectivelyVax (hypo)'!CY4,'Scen NotEffectivelyVax (hypo)'!DB4,'Scen NotEffectivelyVax (hypo)'!DE4,'Scen NotEffectivelyVax (hypo)'!DH4,'Scen NotEffectivelyVax (hypo)'!DK4,'Scen NotEffectivelyVax (hypo)'!DN4,'Scen NotEffectivelyVax (hypo)'!DQ4,'Scen NotEffectivelyVax (hypo)'!DT4,'Scen NotEffectivelyVax (hypo)'!DW4,'Scen NotEffectivelyVax (hypo)'!DZ4,'Scen NotEffectivelyVax (hypo)'!EC4,'Scen NotEffectivelyVax (hypo)'!EF4,'Scen NotEffectivelyVax (hypo)'!EI4,'Scen NotEffectivelyVax (hypo)'!EL4,'Scen NotEffectivelyVax (hypo)'!EO4,'Scen NotEffectivelyVax (hypo)'!ER4,'Scen NotEffectivelyVax (hypo)'!EU4,'Scen NotEffectivelyVax (hypo)'!EX4,'Scen NotEffectivelyVax (hypo)'!FA4,'Scen NotEffectivelyVax (hypo)'!FD4,'Scen NotEffectivelyVax (hypo)'!FG4,'Scen NotEffectivelyVax (hypo)'!FJ4,'Scen NotEffectivelyVax (hypo)'!FM4,'Scen NotEffectivelyVax (hypo)'!FP4,'Scen NotEffectivelyVax (hypo)'!FS4,'Scen NotEffectivelyVax (hypo)'!FV4,'Scen NotEffectivelyVax (hypo)'!FY4)</f>
        <v>0</v>
      </c>
      <c r="X4" s="141">
        <f>SUM('Scen NotEffectivelyVax (hypo)'!E4,'Scen NotEffectivelyVax (hypo)'!H4,'Scen NotEffectivelyVax (hypo)'!K4,'Scen NotEffectivelyVax (hypo)'!N4,'Scen NotEffectivelyVax (hypo)'!Q4,'Scen NotEffectivelyVax (hypo)'!T4,'Scen NotEffectivelyVax (hypo)'!Z4,'Scen NotEffectivelyVax (hypo)'!W4,'Scen NotEffectivelyVax (hypo)'!AC4,'Scen NotEffectivelyVax (hypo)'!AF4,'Scen NotEffectivelyVax (hypo)'!AI4,'Scen NotEffectivelyVax (hypo)'!AL4,'Scen NotEffectivelyVax (hypo)'!AO4,'Scen NotEffectivelyVax (hypo)'!AR4,'Scen NotEffectivelyVax (hypo)'!AU4,'Scen NotEffectivelyVax (hypo)'!AX4,'Scen NotEffectivelyVax (hypo)'!BA4,'Scen NotEffectivelyVax (hypo)'!BD4,'Scen NotEffectivelyVax (hypo)'!BG4,'Scen NotEffectivelyVax (hypo)'!BJ4,'Scen NotEffectivelyVax (hypo)'!BM4,'Scen NotEffectivelyVax (hypo)'!BP4,'Scen NotEffectivelyVax (hypo)'!BS4,'Scen NotEffectivelyVax (hypo)'!BV4,'Scen NotEffectivelyVax (hypo)'!BY4,'Scen NotEffectivelyVax (hypo)'!CB4,'Scen NotEffectivelyVax (hypo)'!CE4,'Scen NotEffectivelyVax (hypo)'!CH4,'Scen NotEffectivelyVax (hypo)'!CK4,'Scen NotEffectivelyVax (hypo)'!CN4,'Scen NotEffectivelyVax (hypo)'!CQ4,'Scen NotEffectivelyVax (hypo)'!CT4,'Scen NotEffectivelyVax (hypo)'!CW4,'Scen NotEffectivelyVax (hypo)'!CZ4,'Scen NotEffectivelyVax (hypo)'!DC4,'Scen NotEffectivelyVax (hypo)'!DF4,'Scen NotEffectivelyVax (hypo)'!DI4,'Scen NotEffectivelyVax (hypo)'!DL4,'Scen NotEffectivelyVax (hypo)'!DO4,'Scen NotEffectivelyVax (hypo)'!DR4,'Scen NotEffectivelyVax (hypo)'!DU4,'Scen NotEffectivelyVax (hypo)'!DX4,'Scen NotEffectivelyVax (hypo)'!EA4,'Scen NotEffectivelyVax (hypo)'!ED4,'Scen NotEffectivelyVax (hypo)'!EG4,'Scen NotEffectivelyVax (hypo)'!EJ4,'Scen NotEffectivelyVax (hypo)'!EM4,'Scen NotEffectivelyVax (hypo)'!EP4,'Scen NotEffectivelyVax (hypo)'!ES4,'Scen NotEffectivelyVax (hypo)'!EV4,'Scen NotEffectivelyVax (hypo)'!EY4,'Scen NotEffectivelyVax (hypo)'!FB4,'Scen NotEffectivelyVax (hypo)'!FE4,'Scen NotEffectivelyVax (hypo)'!FH4,'Scen NotEffectivelyVax (hypo)'!FK4,'Scen NotEffectivelyVax (hypo)'!FN4,'Scen NotEffectivelyVax (hypo)'!FQ4,'Scen NotEffectivelyVax (hypo)'!FT4,'Scen NotEffectivelyVax (hypo)'!FW4,'Scen 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c r="AR4" s="145"/>
      <c r="AS4" s="145"/>
      <c r="AT4" s="145"/>
      <c r="AU4" s="145"/>
      <c r="AV4" s="146"/>
    </row>
    <row r="5" spans="1:48" x14ac:dyDescent="0.35">
      <c r="A5" s="130">
        <f>EffectivelyVax!B4</f>
        <v>0</v>
      </c>
      <c r="B5" s="131">
        <f>EffectivelyVax!C4</f>
        <v>0</v>
      </c>
      <c r="C5" s="132">
        <f>Export!N3</f>
        <v>0</v>
      </c>
      <c r="D5" s="133">
        <f>IF(Inputs!$F$10="1. Actual program", 'Current vaccine model'!W5, Export!C3)</f>
        <v>0</v>
      </c>
      <c r="E5" s="133" t="e">
        <f>D5*Export!L3</f>
        <v>#VALUE!</v>
      </c>
      <c r="F5" s="133" t="e">
        <f>D5+E5</f>
        <v>#VALUE!</v>
      </c>
      <c r="G5" s="133" t="e">
        <f>IF(Export!M3&lt;&gt;"",D5*Export!K3*(1/Export!M3),D5*Export!K3)</f>
        <v>#VALUE!</v>
      </c>
      <c r="H5" s="133" t="e">
        <f>F5*Export!J3</f>
        <v>#VALUE!</v>
      </c>
      <c r="I5" s="133" t="e">
        <f>I4-F5</f>
        <v>#VALUE!</v>
      </c>
      <c r="J5" s="134" t="e">
        <f>D5/I4</f>
        <v>#VALUE!</v>
      </c>
      <c r="K5" s="135" t="e">
        <f>E5/I4</f>
        <v>#VALUE!</v>
      </c>
      <c r="L5" s="117">
        <f>'Scen EffectivelyVax'!A4</f>
        <v>0</v>
      </c>
      <c r="M5" s="115">
        <f>C5*L5*HelperFunctions!G$3</f>
        <v>0</v>
      </c>
      <c r="N5" s="116">
        <f>C5*L5*(1-HelperFunctions!G$3)</f>
        <v>0</v>
      </c>
      <c r="O5" s="136" t="e">
        <f>O4-S5-M5-N5+P5</f>
        <v>#DIV/0!</v>
      </c>
      <c r="P5" s="137">
        <f>SUM('Scen EffectivelyVax'!D4:BK4)</f>
        <v>0</v>
      </c>
      <c r="Q5" s="138" t="e">
        <f>O4*J5</f>
        <v>#DIV/0!</v>
      </c>
      <c r="R5" s="138" t="e">
        <f>O4*K5</f>
        <v>#DIV/0!</v>
      </c>
      <c r="S5" s="137" t="e">
        <f t="shared" ref="S5:S63" si="0">Q5+R5</f>
        <v>#DIV/0!</v>
      </c>
      <c r="T5" s="138" t="e">
        <f>IF(Export!M3&lt;&gt;"",Q5*Export!K3*(1/Export!M3),Q5*Export!K3)</f>
        <v>#DIV/0!</v>
      </c>
      <c r="U5" s="139" t="e">
        <f>S5*Export!J3</f>
        <v>#DIV/0!</v>
      </c>
      <c r="V5" s="140" t="e">
        <f>SUM('Scen NotEffectivelyVax (hypo)'!F5,'Scen NotEffectivelyVax (hypo)'!I5,'Scen NotEffectivelyVax (hypo)'!L5,'Scen NotEffectivelyVax (hypo)'!O5,'Scen NotEffectivelyVax (hypo)'!R5,'Scen NotEffectivelyVax (hypo)'!U5,'Scen NotEffectivelyVax (hypo)'!X5,'Scen NotEffectivelyVax (hypo)'!AA5,'Scen NotEffectivelyVax (hypo)'!AD5,'Scen NotEffectivelyVax (hypo)'!AG5,'Scen NotEffectivelyVax (hypo)'!AJ5,'Scen NotEffectivelyVax (hypo)'!AM5,'Scen NotEffectivelyVax (hypo)'!AP5,'Scen NotEffectivelyVax (hypo)'!AS5,'Scen NotEffectivelyVax (hypo)'!AV5,'Scen NotEffectivelyVax (hypo)'!AY5,'Scen NotEffectivelyVax (hypo)'!BB5,'Scen NotEffectivelyVax (hypo)'!BE5,'Scen NotEffectivelyVax (hypo)'!BH5,'Scen NotEffectivelyVax (hypo)'!BK5,'Scen NotEffectivelyVax (hypo)'!BN5,'Scen NotEffectivelyVax (hypo)'!BQ5,'Scen NotEffectivelyVax (hypo)'!BT5,'Scen NotEffectivelyVax (hypo)'!BW5,'Scen NotEffectivelyVax (hypo)'!BZ5,'Scen NotEffectivelyVax (hypo)'!CC5,'Scen NotEffectivelyVax (hypo)'!CF5,'Scen NotEffectivelyVax (hypo)'!CI5,'Scen NotEffectivelyVax (hypo)'!CL5,'Scen NotEffectivelyVax (hypo)'!CO5,'Scen NotEffectivelyVax (hypo)'!CR5,'Scen NotEffectivelyVax (hypo)'!CU5,'Scen NotEffectivelyVax (hypo)'!CX5,'Scen NotEffectivelyVax (hypo)'!DA5,'Scen NotEffectivelyVax (hypo)'!DD5,'Scen NotEffectivelyVax (hypo)'!DG5,'Scen NotEffectivelyVax (hypo)'!DJ5,'Scen NotEffectivelyVax (hypo)'!DM5,'Scen NotEffectivelyVax (hypo)'!DQ5,'Scen NotEffectivelyVax (hypo)'!DP5,'Scen NotEffectivelyVax (hypo)'!DS5,'Scen NotEffectivelyVax (hypo)'!DV5,'Scen NotEffectivelyVax (hypo)'!DY5,'Scen NotEffectivelyVax (hypo)'!EB5,'Scen NotEffectivelyVax (hypo)'!EE5,'Scen NotEffectivelyVax (hypo)'!EH5,'Scen NotEffectivelyVax (hypo)'!EK5,'Scen NotEffectivelyVax (hypo)'!EN5,'Scen NotEffectivelyVax (hypo)'!EQ5,'Scen NotEffectivelyVax (hypo)'!ET5,'Scen NotEffectivelyVax (hypo)'!EW5,'Scen NotEffectivelyVax (hypo)'!EZ5,'Scen NotEffectivelyVax (hypo)'!FC5,'Scen NotEffectivelyVax (hypo)'!FF5,'Scen NotEffectivelyVax (hypo)'!FI5,'Scen NotEffectivelyVax (hypo)'!FL5,'Scen NotEffectivelyVax (hypo)'!FO5,'Scen NotEffectivelyVax (hypo)'!FR5,'Scen NotEffectivelyVax (hypo)'!FU5,'Scen NotEffectivelyVax (hypo)'!FX5,'Scen NotEffectivelyVax (hypo)'!GA5)</f>
        <v>#VALUE!</v>
      </c>
      <c r="W5" s="141" t="e">
        <f>SUM('Scen NotEffectivelyVax (hypo)'!D5,'Scen NotEffectivelyVax (hypo)'!G5,'Scen NotEffectivelyVax (hypo)'!J5,'Scen NotEffectivelyVax (hypo)'!M5,'Scen NotEffectivelyVax (hypo)'!P5,'Scen NotEffectivelyVax (hypo)'!S5,'Scen NotEffectivelyVax (hypo)'!V5,'Scen NotEffectivelyVax (hypo)'!Y5,'Scen NotEffectivelyVax (hypo)'!AB5,'Scen NotEffectivelyVax (hypo)'!AE5,'Scen NotEffectivelyVax (hypo)'!AH5,'Scen NotEffectivelyVax (hypo)'!AK5,'Scen NotEffectivelyVax (hypo)'!AN5,'Scen NotEffectivelyVax (hypo)'!AQ5,'Scen NotEffectivelyVax (hypo)'!AT5,'Scen NotEffectivelyVax (hypo)'!AW5,'Scen NotEffectivelyVax (hypo)'!AZ5,'Scen NotEffectivelyVax (hypo)'!BC5,'Scen NotEffectivelyVax (hypo)'!BF5,'Scen NotEffectivelyVax (hypo)'!BI5,'Scen NotEffectivelyVax (hypo)'!BL5,'Scen NotEffectivelyVax (hypo)'!BO5,'Scen NotEffectivelyVax (hypo)'!BR5,'Scen NotEffectivelyVax (hypo)'!BU5,'Scen NotEffectivelyVax (hypo)'!BX5,'Scen NotEffectivelyVax (hypo)'!CA5,'Scen NotEffectivelyVax (hypo)'!CD5,'Scen NotEffectivelyVax (hypo)'!CG5,'Scen NotEffectivelyVax (hypo)'!CJ5,'Scen NotEffectivelyVax (hypo)'!CM5,'Scen NotEffectivelyVax (hypo)'!CP5,'Scen NotEffectivelyVax (hypo)'!CS5,'Scen NotEffectivelyVax (hypo)'!CV5,'Scen NotEffectivelyVax (hypo)'!CY5,'Scen NotEffectivelyVax (hypo)'!DB5,'Scen NotEffectivelyVax (hypo)'!DE5,'Scen NotEffectivelyVax (hypo)'!DH5,'Scen NotEffectivelyVax (hypo)'!DK5,'Scen NotEffectivelyVax (hypo)'!DN5,'Scen NotEffectivelyVax (hypo)'!DQ5,'Scen NotEffectivelyVax (hypo)'!DT5,'Scen NotEffectivelyVax (hypo)'!DW5,'Scen NotEffectivelyVax (hypo)'!DZ5,'Scen NotEffectivelyVax (hypo)'!EC5,'Scen NotEffectivelyVax (hypo)'!EF5,'Scen NotEffectivelyVax (hypo)'!EI5,'Scen NotEffectivelyVax (hypo)'!EL5,'Scen NotEffectivelyVax (hypo)'!EO5,'Scen NotEffectivelyVax (hypo)'!ER5,'Scen NotEffectivelyVax (hypo)'!EU5,'Scen NotEffectivelyVax (hypo)'!EX5,'Scen NotEffectivelyVax (hypo)'!FA5,'Scen NotEffectivelyVax (hypo)'!FD5,'Scen NotEffectivelyVax (hypo)'!FG5,'Scen NotEffectivelyVax (hypo)'!FJ5,'Scen NotEffectivelyVax (hypo)'!FM5,'Scen NotEffectivelyVax (hypo)'!FP5,'Scen NotEffectivelyVax (hypo)'!FS5,'Scen NotEffectivelyVax (hypo)'!FV5,'Scen NotEffectivelyVax (hypo)'!FY5)</f>
        <v>#VALUE!</v>
      </c>
      <c r="X5" s="141" t="e">
        <f>SUM('Scen NotEffectivelyVax (hypo)'!E5,'Scen NotEffectivelyVax (hypo)'!H5,'Scen NotEffectivelyVax (hypo)'!K5,'Scen NotEffectivelyVax (hypo)'!N5,'Scen NotEffectivelyVax (hypo)'!Q5,'Scen NotEffectivelyVax (hypo)'!T5,'Scen NotEffectivelyVax (hypo)'!Z5,'Scen NotEffectivelyVax (hypo)'!W5,'Scen NotEffectivelyVax (hypo)'!AC5,'Scen NotEffectivelyVax (hypo)'!AF5,'Scen NotEffectivelyVax (hypo)'!AI5,'Scen NotEffectivelyVax (hypo)'!AL5,'Scen NotEffectivelyVax (hypo)'!AO5,'Scen NotEffectivelyVax (hypo)'!AR5,'Scen NotEffectivelyVax (hypo)'!AU5,'Scen NotEffectivelyVax (hypo)'!AX5,'Scen NotEffectivelyVax (hypo)'!BA5,'Scen NotEffectivelyVax (hypo)'!BD5,'Scen NotEffectivelyVax (hypo)'!BG5,'Scen NotEffectivelyVax (hypo)'!BJ5,'Scen NotEffectivelyVax (hypo)'!BM5,'Scen NotEffectivelyVax (hypo)'!BP5,'Scen NotEffectivelyVax (hypo)'!BS5,'Scen NotEffectivelyVax (hypo)'!BV5,'Scen NotEffectivelyVax (hypo)'!BY5,'Scen NotEffectivelyVax (hypo)'!CB5,'Scen NotEffectivelyVax (hypo)'!CE5,'Scen NotEffectivelyVax (hypo)'!CH5,'Scen NotEffectivelyVax (hypo)'!CK5,'Scen NotEffectivelyVax (hypo)'!CN5,'Scen NotEffectivelyVax (hypo)'!CQ5,'Scen NotEffectivelyVax (hypo)'!CT5,'Scen NotEffectivelyVax (hypo)'!CW5,'Scen NotEffectivelyVax (hypo)'!CZ5,'Scen NotEffectivelyVax (hypo)'!DC5,'Scen NotEffectivelyVax (hypo)'!DF5,'Scen NotEffectivelyVax (hypo)'!DI5,'Scen NotEffectivelyVax (hypo)'!DL5,'Scen NotEffectivelyVax (hypo)'!DO5,'Scen NotEffectivelyVax (hypo)'!DR5,'Scen NotEffectivelyVax (hypo)'!DU5,'Scen NotEffectivelyVax (hypo)'!DX5,'Scen NotEffectivelyVax (hypo)'!EA5,'Scen NotEffectivelyVax (hypo)'!ED5,'Scen NotEffectivelyVax (hypo)'!EG5,'Scen NotEffectivelyVax (hypo)'!EJ5,'Scen NotEffectivelyVax (hypo)'!EM5,'Scen NotEffectivelyVax (hypo)'!EP5,'Scen NotEffectivelyVax (hypo)'!ES5,'Scen NotEffectivelyVax (hypo)'!EV5,'Scen NotEffectivelyVax (hypo)'!EY5,'Scen NotEffectivelyVax (hypo)'!FB5,'Scen NotEffectivelyVax (hypo)'!FE5,'Scen NotEffectivelyVax (hypo)'!FH5,'Scen NotEffectivelyVax (hypo)'!FK5,'Scen NotEffectivelyVax (hypo)'!FN5,'Scen NotEffectivelyVax (hypo)'!FQ5,'Scen NotEffectivelyVax (hypo)'!FT5,'Scen NotEffectivelyVax (hypo)'!FW5,'Scen NotEffectivelyVax (hypo)'!FZ5)</f>
        <v>#VALUE!</v>
      </c>
      <c r="Y5" s="142" t="e">
        <f t="shared" ref="Y5:Y63" si="1">W5+X5</f>
        <v>#VALUE!</v>
      </c>
      <c r="Z5" s="142" t="e">
        <f>IF(Export!M3&lt;&gt;"",W5*Export!K3*(1/Export!M3),W5*Export!K3)</f>
        <v>#VALUE!</v>
      </c>
      <c r="AA5" s="139" t="e">
        <f>Y5*Export!J3</f>
        <v>#VALUE!</v>
      </c>
      <c r="AC5" s="143" t="e">
        <f t="shared" ref="AC5:AC63" si="2">$D5-($Q5+$W5)</f>
        <v>#DIV/0!</v>
      </c>
      <c r="AD5" s="144" t="e">
        <f>$E5-($R5+$X5)</f>
        <v>#VALUE!</v>
      </c>
      <c r="AE5" s="144" t="e">
        <f t="shared" ref="AE5:AE63" si="3">$G5-($T5+$Z5)</f>
        <v>#VALUE!</v>
      </c>
      <c r="AF5" s="144" t="e">
        <f t="shared" ref="AF5:AF63" si="4">$H5-($U5+$AA5)</f>
        <v>#VALUE!</v>
      </c>
      <c r="AG5" s="144" t="e">
        <f t="shared" ref="AG5:AG63" si="5">$AC5+$AD5</f>
        <v>#DIV/0!</v>
      </c>
      <c r="AH5" s="145"/>
      <c r="AI5" s="145"/>
      <c r="AJ5" s="145"/>
      <c r="AK5" s="145"/>
      <c r="AL5" s="146"/>
      <c r="AM5" s="145"/>
      <c r="AN5" s="145"/>
      <c r="AO5" s="145"/>
      <c r="AP5" s="145"/>
      <c r="AQ5" s="146"/>
      <c r="AR5" s="145"/>
      <c r="AS5" s="145"/>
      <c r="AT5" s="145"/>
      <c r="AU5" s="145"/>
      <c r="AV5" s="146"/>
    </row>
    <row r="6" spans="1:48" x14ac:dyDescent="0.35">
      <c r="A6" s="130">
        <f>EffectivelyVax!B5</f>
        <v>0</v>
      </c>
      <c r="B6" s="131">
        <f>EffectivelyVax!C5</f>
        <v>0</v>
      </c>
      <c r="C6" s="132">
        <f>Export!N4</f>
        <v>0</v>
      </c>
      <c r="D6" s="133">
        <f>IF(Inputs!$F$10="1. Actual program", 'Current vaccine model'!W6, Export!C4)</f>
        <v>0</v>
      </c>
      <c r="E6" s="133" t="e">
        <f>D6*Export!L4</f>
        <v>#VALUE!</v>
      </c>
      <c r="F6" s="133" t="e">
        <f t="shared" ref="F6:F15" si="6">D6+E6</f>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'Scen EffectivelyVax'!A5</f>
        <v>0</v>
      </c>
      <c r="M6" s="115">
        <f>C6*L6*HelperFunctions!G$3</f>
        <v>0</v>
      </c>
      <c r="N6" s="116">
        <f>C6*L6*(1-HelperFunctions!G$3)</f>
        <v>0</v>
      </c>
      <c r="O6" s="136" t="e">
        <f t="shared" ref="O6:O11" si="10">O5-S6-M6-N6+P6</f>
        <v>#DIV/0!</v>
      </c>
      <c r="P6" s="137">
        <f>SUM('Scen EffectivelyVax'!D5:BK5)</f>
        <v>0</v>
      </c>
      <c r="Q6" s="138" t="e">
        <f t="shared" ref="Q6:Q63" si="11">O5*J6</f>
        <v>#DIV/0!</v>
      </c>
      <c r="R6" s="138" t="e">
        <f t="shared" ref="R6:R63" si="12">O5*K6</f>
        <v>#DIV/0!</v>
      </c>
      <c r="S6" s="137" t="e">
        <f t="shared" si="0"/>
        <v>#DIV/0!</v>
      </c>
      <c r="T6" s="138" t="e">
        <f>IF(Export!M4&lt;&gt;"",Q6*Export!K4*(1/Export!M4),Q6*Export!K4)</f>
        <v>#DIV/0!</v>
      </c>
      <c r="U6" s="139" t="e">
        <f>S6*Export!J4</f>
        <v>#DIV/0!</v>
      </c>
      <c r="V6" s="140" t="e">
        <f>SUM('Scen NotEffectivelyVax (hypo)'!F6,'Scen NotEffectivelyVax (hypo)'!I6,'Scen NotEffectivelyVax (hypo)'!L6,'Scen NotEffectivelyVax (hypo)'!O6,'Scen NotEffectivelyVax (hypo)'!R6,'Scen NotEffectivelyVax (hypo)'!U6,'Scen NotEffectivelyVax (hypo)'!X6,'Scen NotEffectivelyVax (hypo)'!AA6,'Scen NotEffectivelyVax (hypo)'!AD6,'Scen NotEffectivelyVax (hypo)'!AG6,'Scen NotEffectivelyVax (hypo)'!AJ6,'Scen NotEffectivelyVax (hypo)'!AM6,'Scen NotEffectivelyVax (hypo)'!AP6,'Scen NotEffectivelyVax (hypo)'!AS6,'Scen NotEffectivelyVax (hypo)'!AV6,'Scen NotEffectivelyVax (hypo)'!AY6,'Scen NotEffectivelyVax (hypo)'!BB6,'Scen NotEffectivelyVax (hypo)'!BE6,'Scen NotEffectivelyVax (hypo)'!BH6,'Scen NotEffectivelyVax (hypo)'!BK6,'Scen NotEffectivelyVax (hypo)'!BN6,'Scen NotEffectivelyVax (hypo)'!BQ6,'Scen NotEffectivelyVax (hypo)'!BT6,'Scen NotEffectivelyVax (hypo)'!BW6,'Scen NotEffectivelyVax (hypo)'!BZ6,'Scen NotEffectivelyVax (hypo)'!CC6,'Scen NotEffectivelyVax (hypo)'!CF6,'Scen NotEffectivelyVax (hypo)'!CI6,'Scen NotEffectivelyVax (hypo)'!CL6,'Scen NotEffectivelyVax (hypo)'!CO6,'Scen NotEffectivelyVax (hypo)'!CR6,'Scen NotEffectivelyVax (hypo)'!CU6,'Scen NotEffectivelyVax (hypo)'!CX6,'Scen NotEffectivelyVax (hypo)'!DA6,'Scen NotEffectivelyVax (hypo)'!DD6,'Scen NotEffectivelyVax (hypo)'!DG6,'Scen NotEffectivelyVax (hypo)'!DJ6,'Scen NotEffectivelyVax (hypo)'!DM6,'Scen NotEffectivelyVax (hypo)'!DQ6,'Scen NotEffectivelyVax (hypo)'!DP6,'Scen NotEffectivelyVax (hypo)'!DS6,'Scen NotEffectivelyVax (hypo)'!DV6,'Scen NotEffectivelyVax (hypo)'!DY6,'Scen NotEffectivelyVax (hypo)'!EB6,'Scen NotEffectivelyVax (hypo)'!EE6,'Scen NotEffectivelyVax (hypo)'!EH6,'Scen NotEffectivelyVax (hypo)'!EK6,'Scen NotEffectivelyVax (hypo)'!EN6,'Scen NotEffectivelyVax (hypo)'!EQ6,'Scen NotEffectivelyVax (hypo)'!ET6,'Scen NotEffectivelyVax (hypo)'!EW6,'Scen NotEffectivelyVax (hypo)'!EZ6,'Scen NotEffectivelyVax (hypo)'!FC6,'Scen NotEffectivelyVax (hypo)'!FF6,'Scen NotEffectivelyVax (hypo)'!FI6,'Scen NotEffectivelyVax (hypo)'!FL6,'Scen NotEffectivelyVax (hypo)'!FO6,'Scen NotEffectivelyVax (hypo)'!FR6,'Scen NotEffectivelyVax (hypo)'!FU6,'Scen NotEffectivelyVax (hypo)'!FX6,'Scen NotEffectivelyVax (hypo)'!GA6)</f>
        <v>#VALUE!</v>
      </c>
      <c r="W6" s="141" t="e">
        <f>SUM('Scen NotEffectivelyVax (hypo)'!D6,'Scen NotEffectivelyVax (hypo)'!G6,'Scen NotEffectivelyVax (hypo)'!J6,'Scen NotEffectivelyVax (hypo)'!M6,'Scen NotEffectivelyVax (hypo)'!P6,'Scen NotEffectivelyVax (hypo)'!S6,'Scen NotEffectivelyVax (hypo)'!V6,'Scen NotEffectivelyVax (hypo)'!Y6,'Scen NotEffectivelyVax (hypo)'!AB6,'Scen NotEffectivelyVax (hypo)'!AE6,'Scen NotEffectivelyVax (hypo)'!AH6,'Scen NotEffectivelyVax (hypo)'!AK6,'Scen NotEffectivelyVax (hypo)'!AN6,'Scen NotEffectivelyVax (hypo)'!AQ6,'Scen NotEffectivelyVax (hypo)'!AT6,'Scen NotEffectivelyVax (hypo)'!AW6,'Scen NotEffectivelyVax (hypo)'!AZ6,'Scen NotEffectivelyVax (hypo)'!BC6,'Scen NotEffectivelyVax (hypo)'!BF6,'Scen NotEffectivelyVax (hypo)'!BI6,'Scen NotEffectivelyVax (hypo)'!BL6,'Scen NotEffectivelyVax (hypo)'!BO6,'Scen NotEffectivelyVax (hypo)'!BR6,'Scen NotEffectivelyVax (hypo)'!BU6,'Scen NotEffectivelyVax (hypo)'!BX6,'Scen NotEffectivelyVax (hypo)'!CA6,'Scen NotEffectivelyVax (hypo)'!CD6,'Scen NotEffectivelyVax (hypo)'!CG6,'Scen NotEffectivelyVax (hypo)'!CJ6,'Scen NotEffectivelyVax (hypo)'!CM6,'Scen NotEffectivelyVax (hypo)'!CP6,'Scen NotEffectivelyVax (hypo)'!CS6,'Scen NotEffectivelyVax (hypo)'!CV6,'Scen NotEffectivelyVax (hypo)'!CY6,'Scen NotEffectivelyVax (hypo)'!DB6,'Scen NotEffectivelyVax (hypo)'!DE6,'Scen NotEffectivelyVax (hypo)'!DH6,'Scen NotEffectivelyVax (hypo)'!DK6,'Scen NotEffectivelyVax (hypo)'!DN6,'Scen NotEffectivelyVax (hypo)'!DQ6,'Scen NotEffectivelyVax (hypo)'!DT6,'Scen NotEffectivelyVax (hypo)'!DW6,'Scen NotEffectivelyVax (hypo)'!DZ6,'Scen NotEffectivelyVax (hypo)'!EC6,'Scen NotEffectivelyVax (hypo)'!EF6,'Scen NotEffectivelyVax (hypo)'!EI6,'Scen NotEffectivelyVax (hypo)'!EL6,'Scen NotEffectivelyVax (hypo)'!EO6,'Scen NotEffectivelyVax (hypo)'!ER6,'Scen NotEffectivelyVax (hypo)'!EU6,'Scen NotEffectivelyVax (hypo)'!EX6,'Scen NotEffectivelyVax (hypo)'!FA6,'Scen NotEffectivelyVax (hypo)'!FD6,'Scen NotEffectivelyVax (hypo)'!FG6,'Scen NotEffectivelyVax (hypo)'!FJ6,'Scen NotEffectivelyVax (hypo)'!FM6,'Scen NotEffectivelyVax (hypo)'!FP6,'Scen NotEffectivelyVax (hypo)'!FS6,'Scen NotEffectivelyVax (hypo)'!FV6,'Scen NotEffectivelyVax (hypo)'!FY6)</f>
        <v>#VALUE!</v>
      </c>
      <c r="X6" s="141" t="e">
        <f>SUM('Scen NotEffectivelyVax (hypo)'!E6,'Scen NotEffectivelyVax (hypo)'!H6,'Scen NotEffectivelyVax (hypo)'!K6,'Scen NotEffectivelyVax (hypo)'!N6,'Scen NotEffectivelyVax (hypo)'!Q6,'Scen NotEffectivelyVax (hypo)'!T6,'Scen NotEffectivelyVax (hypo)'!Z6,'Scen NotEffectivelyVax (hypo)'!W6,'Scen NotEffectivelyVax (hypo)'!AC6,'Scen NotEffectivelyVax (hypo)'!AF6,'Scen NotEffectivelyVax (hypo)'!AI6,'Scen NotEffectivelyVax (hypo)'!AL6,'Scen NotEffectivelyVax (hypo)'!AO6,'Scen NotEffectivelyVax (hypo)'!AR6,'Scen NotEffectivelyVax (hypo)'!AU6,'Scen NotEffectivelyVax (hypo)'!AX6,'Scen NotEffectivelyVax (hypo)'!BA6,'Scen NotEffectivelyVax (hypo)'!BD6,'Scen NotEffectivelyVax (hypo)'!BG6,'Scen NotEffectivelyVax (hypo)'!BJ6,'Scen NotEffectivelyVax (hypo)'!BM6,'Scen NotEffectivelyVax (hypo)'!BP6,'Scen NotEffectivelyVax (hypo)'!BS6,'Scen NotEffectivelyVax (hypo)'!BV6,'Scen NotEffectivelyVax (hypo)'!BY6,'Scen NotEffectivelyVax (hypo)'!CB6,'Scen NotEffectivelyVax (hypo)'!CE6,'Scen NotEffectivelyVax (hypo)'!CH6,'Scen NotEffectivelyVax (hypo)'!CK6,'Scen NotEffectivelyVax (hypo)'!CN6,'Scen NotEffectivelyVax (hypo)'!CQ6,'Scen NotEffectivelyVax (hypo)'!CT6,'Scen NotEffectivelyVax (hypo)'!CW6,'Scen NotEffectivelyVax (hypo)'!CZ6,'Scen NotEffectivelyVax (hypo)'!DC6,'Scen NotEffectivelyVax (hypo)'!DF6,'Scen NotEffectivelyVax (hypo)'!DI6,'Scen NotEffectivelyVax (hypo)'!DL6,'Scen NotEffectivelyVax (hypo)'!DO6,'Scen NotEffectivelyVax (hypo)'!DR6,'Scen NotEffectivelyVax (hypo)'!DU6,'Scen NotEffectivelyVax (hypo)'!DX6,'Scen NotEffectivelyVax (hypo)'!EA6,'Scen NotEffectivelyVax (hypo)'!ED6,'Scen NotEffectivelyVax (hypo)'!EG6,'Scen NotEffectivelyVax (hypo)'!EJ6,'Scen NotEffectivelyVax (hypo)'!EM6,'Scen NotEffectivelyVax (hypo)'!EP6,'Scen NotEffectivelyVax (hypo)'!ES6,'Scen NotEffectivelyVax (hypo)'!EV6,'Scen NotEffectivelyVax (hypo)'!EY6,'Scen NotEffectivelyVax (hypo)'!FB6,'Scen NotEffectivelyVax (hypo)'!FE6,'Scen NotEffectivelyVax (hypo)'!FH6,'Scen NotEffectivelyVax (hypo)'!FK6,'Scen NotEffectivelyVax (hypo)'!FN6,'Scen NotEffectivelyVax (hypo)'!FQ6,'Scen NotEffectivelyVax (hypo)'!FT6,'Scen NotEffectivelyVax (hypo)'!FW6,'Scen NotEffectivelyVax (hypo)'!FZ6)</f>
        <v>#VALUE!</v>
      </c>
      <c r="Y6" s="142" t="e">
        <f t="shared" si="1"/>
        <v>#VALUE!</v>
      </c>
      <c r="Z6" s="142" t="e">
        <f>IF(Export!M4&lt;&gt;"",W6*Export!K4*(1/Export!M4),W6*Export!K4)</f>
        <v>#VALUE!</v>
      </c>
      <c r="AA6" s="139" t="e">
        <f>Y6*Export!J4</f>
        <v>#VALUE!</v>
      </c>
      <c r="AC6" s="143" t="e">
        <f t="shared" si="2"/>
        <v>#DIV/0!</v>
      </c>
      <c r="AD6" s="144" t="e">
        <f t="shared" ref="AD6:AD25" si="13">$E6-($R6+$X6)</f>
        <v>#VALUE!</v>
      </c>
      <c r="AE6" s="144" t="e">
        <f t="shared" si="3"/>
        <v>#VALUE!</v>
      </c>
      <c r="AF6" s="144" t="e">
        <f t="shared" si="4"/>
        <v>#VALUE!</v>
      </c>
      <c r="AG6" s="144" t="e">
        <f t="shared" si="5"/>
        <v>#DIV/0!</v>
      </c>
      <c r="AH6" s="145"/>
      <c r="AI6" s="145"/>
      <c r="AJ6" s="145"/>
      <c r="AK6" s="145"/>
      <c r="AL6" s="146"/>
      <c r="AM6" s="145"/>
      <c r="AN6" s="145"/>
      <c r="AO6" s="145"/>
      <c r="AP6" s="145"/>
      <c r="AQ6" s="146"/>
      <c r="AR6" s="145"/>
      <c r="AS6" s="145"/>
      <c r="AT6" s="145"/>
      <c r="AU6" s="145"/>
      <c r="AV6" s="146"/>
    </row>
    <row r="7" spans="1:48" x14ac:dyDescent="0.35">
      <c r="A7" s="130">
        <f>EffectivelyVax!B6</f>
        <v>0</v>
      </c>
      <c r="B7" s="131">
        <f>EffectivelyVax!C6</f>
        <v>0</v>
      </c>
      <c r="C7" s="132">
        <f>Export!N5</f>
        <v>0</v>
      </c>
      <c r="D7" s="133">
        <f>IF(Inputs!$F$10="1. Actual program", 'Current vaccine model'!W7, Export!C5)</f>
        <v>0</v>
      </c>
      <c r="E7" s="133" t="e">
        <f>D7*Export!L5</f>
        <v>#VALUE!</v>
      </c>
      <c r="F7" s="133" t="e">
        <f t="shared" si="6"/>
        <v>#VALUE!</v>
      </c>
      <c r="G7" s="133" t="e">
        <f>IF(Export!M5&lt;&gt;"",D7*Export!K5*(1/Export!M5),D7*Export!K5)</f>
        <v>#VALUE!</v>
      </c>
      <c r="H7" s="133" t="e">
        <f>F7*Export!J5</f>
        <v>#VALUE!</v>
      </c>
      <c r="I7" s="133" t="e">
        <f t="shared" si="7"/>
        <v>#VALUE!</v>
      </c>
      <c r="J7" s="134" t="e">
        <f t="shared" si="8"/>
        <v>#VALUE!</v>
      </c>
      <c r="K7" s="135" t="e">
        <f t="shared" si="9"/>
        <v>#VALUE!</v>
      </c>
      <c r="L7" s="117">
        <f>'Scen EffectivelyVax'!A6</f>
        <v>0</v>
      </c>
      <c r="M7" s="115">
        <f>C7*L7*HelperFunctions!G$3</f>
        <v>0</v>
      </c>
      <c r="N7" s="116">
        <f>C7*L7*(1-HelperFunctions!G$3)</f>
        <v>0</v>
      </c>
      <c r="O7" s="136" t="e">
        <f t="shared" si="10"/>
        <v>#DIV/0!</v>
      </c>
      <c r="P7" s="137">
        <f>SUM('Scen EffectivelyVax'!D6:BK6)</f>
        <v>0</v>
      </c>
      <c r="Q7" s="138" t="e">
        <f t="shared" si="11"/>
        <v>#DIV/0!</v>
      </c>
      <c r="R7" s="138" t="e">
        <f t="shared" si="12"/>
        <v>#DIV/0!</v>
      </c>
      <c r="S7" s="137" t="e">
        <f t="shared" si="0"/>
        <v>#DIV/0!</v>
      </c>
      <c r="T7" s="138" t="e">
        <f>IF(Export!M5&lt;&gt;"",Q7*Export!K5*(1/Export!M5),Q7*Export!K5)</f>
        <v>#DIV/0!</v>
      </c>
      <c r="U7" s="139" t="e">
        <f>S7*Export!J5</f>
        <v>#DIV/0!</v>
      </c>
      <c r="V7" s="140" t="e">
        <f>SUM('Scen NotEffectivelyVax (hypo)'!F7,'Scen NotEffectivelyVax (hypo)'!I7,'Scen NotEffectivelyVax (hypo)'!L7,'Scen NotEffectivelyVax (hypo)'!O7,'Scen NotEffectivelyVax (hypo)'!R7,'Scen NotEffectivelyVax (hypo)'!U7,'Scen NotEffectivelyVax (hypo)'!X7,'Scen NotEffectivelyVax (hypo)'!AA7,'Scen NotEffectivelyVax (hypo)'!AD7,'Scen NotEffectivelyVax (hypo)'!AG7,'Scen NotEffectivelyVax (hypo)'!AJ7,'Scen NotEffectivelyVax (hypo)'!AM7,'Scen NotEffectivelyVax (hypo)'!AP7,'Scen NotEffectivelyVax (hypo)'!AS7,'Scen NotEffectivelyVax (hypo)'!AV7,'Scen NotEffectivelyVax (hypo)'!AY7,'Scen NotEffectivelyVax (hypo)'!BB7,'Scen NotEffectivelyVax (hypo)'!BE7,'Scen NotEffectivelyVax (hypo)'!BH7,'Scen NotEffectivelyVax (hypo)'!BK7,'Scen NotEffectivelyVax (hypo)'!BN7,'Scen NotEffectivelyVax (hypo)'!BQ7,'Scen NotEffectivelyVax (hypo)'!BT7,'Scen NotEffectivelyVax (hypo)'!BW7,'Scen NotEffectivelyVax (hypo)'!BZ7,'Scen NotEffectivelyVax (hypo)'!CC7,'Scen NotEffectivelyVax (hypo)'!CF7,'Scen NotEffectivelyVax (hypo)'!CI7,'Scen NotEffectivelyVax (hypo)'!CL7,'Scen NotEffectivelyVax (hypo)'!CO7,'Scen NotEffectivelyVax (hypo)'!CR7,'Scen NotEffectivelyVax (hypo)'!CU7,'Scen NotEffectivelyVax (hypo)'!CX7,'Scen NotEffectivelyVax (hypo)'!DA7,'Scen NotEffectivelyVax (hypo)'!DD7,'Scen NotEffectivelyVax (hypo)'!DG7,'Scen NotEffectivelyVax (hypo)'!DJ7,'Scen NotEffectivelyVax (hypo)'!DM7,'Scen NotEffectivelyVax (hypo)'!DQ7,'Scen NotEffectivelyVax (hypo)'!DP7,'Scen NotEffectivelyVax (hypo)'!DS7,'Scen NotEffectivelyVax (hypo)'!DV7,'Scen NotEffectivelyVax (hypo)'!DY7,'Scen NotEffectivelyVax (hypo)'!EB7,'Scen NotEffectivelyVax (hypo)'!EE7,'Scen NotEffectivelyVax (hypo)'!EH7,'Scen NotEffectivelyVax (hypo)'!EK7,'Scen NotEffectivelyVax (hypo)'!EN7,'Scen NotEffectivelyVax (hypo)'!EQ7,'Scen NotEffectivelyVax (hypo)'!ET7,'Scen NotEffectivelyVax (hypo)'!EW7,'Scen NotEffectivelyVax (hypo)'!EZ7,'Scen NotEffectivelyVax (hypo)'!FC7,'Scen NotEffectivelyVax (hypo)'!FF7,'Scen NotEffectivelyVax (hypo)'!FI7,'Scen NotEffectivelyVax (hypo)'!FL7,'Scen NotEffectivelyVax (hypo)'!FO7,'Scen NotEffectivelyVax (hypo)'!FR7,'Scen NotEffectivelyVax (hypo)'!FU7,'Scen NotEffectivelyVax (hypo)'!FX7,'Scen NotEffectivelyVax (hypo)'!GA7)</f>
        <v>#VALUE!</v>
      </c>
      <c r="W7" s="141" t="e">
        <f>SUM('Scen NotEffectivelyVax (hypo)'!D7,'Scen NotEffectivelyVax (hypo)'!G7,'Scen NotEffectivelyVax (hypo)'!J7,'Scen NotEffectivelyVax (hypo)'!M7,'Scen NotEffectivelyVax (hypo)'!P7,'Scen NotEffectivelyVax (hypo)'!S7,'Scen NotEffectivelyVax (hypo)'!V7,'Scen NotEffectivelyVax (hypo)'!Y7,'Scen NotEffectivelyVax (hypo)'!AB7,'Scen NotEffectivelyVax (hypo)'!AE7,'Scen NotEffectivelyVax (hypo)'!AH7,'Scen NotEffectivelyVax (hypo)'!AK7,'Scen NotEffectivelyVax (hypo)'!AN7,'Scen NotEffectivelyVax (hypo)'!AQ7,'Scen NotEffectivelyVax (hypo)'!AT7,'Scen NotEffectivelyVax (hypo)'!AW7,'Scen NotEffectivelyVax (hypo)'!AZ7,'Scen NotEffectivelyVax (hypo)'!BC7,'Scen NotEffectivelyVax (hypo)'!BF7,'Scen NotEffectivelyVax (hypo)'!BI7,'Scen NotEffectivelyVax (hypo)'!BL7,'Scen NotEffectivelyVax (hypo)'!BO7,'Scen NotEffectivelyVax (hypo)'!BR7,'Scen NotEffectivelyVax (hypo)'!BU7,'Scen NotEffectivelyVax (hypo)'!BX7,'Scen NotEffectivelyVax (hypo)'!CA7,'Scen NotEffectivelyVax (hypo)'!CD7,'Scen NotEffectivelyVax (hypo)'!CG7,'Scen NotEffectivelyVax (hypo)'!CJ7,'Scen NotEffectivelyVax (hypo)'!CM7,'Scen NotEffectivelyVax (hypo)'!CP7,'Scen NotEffectivelyVax (hypo)'!CS7,'Scen NotEffectivelyVax (hypo)'!CV7,'Scen NotEffectivelyVax (hypo)'!CY7,'Scen NotEffectivelyVax (hypo)'!DB7,'Scen NotEffectivelyVax (hypo)'!DE7,'Scen NotEffectivelyVax (hypo)'!DH7,'Scen NotEffectivelyVax (hypo)'!DK7,'Scen NotEffectivelyVax (hypo)'!DN7,'Scen NotEffectivelyVax (hypo)'!DQ7,'Scen NotEffectivelyVax (hypo)'!DT7,'Scen NotEffectivelyVax (hypo)'!DW7,'Scen NotEffectivelyVax (hypo)'!DZ7,'Scen NotEffectivelyVax (hypo)'!EC7,'Scen NotEffectivelyVax (hypo)'!EF7,'Scen NotEffectivelyVax (hypo)'!EI7,'Scen NotEffectivelyVax (hypo)'!EL7,'Scen NotEffectivelyVax (hypo)'!EO7,'Scen NotEffectivelyVax (hypo)'!ER7,'Scen NotEffectivelyVax (hypo)'!EU7,'Scen NotEffectivelyVax (hypo)'!EX7,'Scen NotEffectivelyVax (hypo)'!FA7,'Scen NotEffectivelyVax (hypo)'!FD7,'Scen NotEffectivelyVax (hypo)'!FG7,'Scen NotEffectivelyVax (hypo)'!FJ7,'Scen NotEffectivelyVax (hypo)'!FM7,'Scen NotEffectivelyVax (hypo)'!FP7,'Scen NotEffectivelyVax (hypo)'!FS7,'Scen NotEffectivelyVax (hypo)'!FV7,'Scen NotEffectivelyVax (hypo)'!FY7)</f>
        <v>#VALUE!</v>
      </c>
      <c r="X7" s="141" t="e">
        <f>SUM('Scen NotEffectivelyVax (hypo)'!E7,'Scen NotEffectivelyVax (hypo)'!H7,'Scen NotEffectivelyVax (hypo)'!K7,'Scen NotEffectivelyVax (hypo)'!N7,'Scen NotEffectivelyVax (hypo)'!Q7,'Scen NotEffectivelyVax (hypo)'!T7,'Scen NotEffectivelyVax (hypo)'!Z7,'Scen NotEffectivelyVax (hypo)'!W7,'Scen NotEffectivelyVax (hypo)'!AC7,'Scen NotEffectivelyVax (hypo)'!AF7,'Scen NotEffectivelyVax (hypo)'!AI7,'Scen NotEffectivelyVax (hypo)'!AL7,'Scen NotEffectivelyVax (hypo)'!AO7,'Scen NotEffectivelyVax (hypo)'!AR7,'Scen NotEffectivelyVax (hypo)'!AU7,'Scen NotEffectivelyVax (hypo)'!AX7,'Scen NotEffectivelyVax (hypo)'!BA7,'Scen NotEffectivelyVax (hypo)'!BD7,'Scen NotEffectivelyVax (hypo)'!BG7,'Scen NotEffectivelyVax (hypo)'!BJ7,'Scen NotEffectivelyVax (hypo)'!BM7,'Scen NotEffectivelyVax (hypo)'!BP7,'Scen NotEffectivelyVax (hypo)'!BS7,'Scen NotEffectivelyVax (hypo)'!BV7,'Scen NotEffectivelyVax (hypo)'!BY7,'Scen NotEffectivelyVax (hypo)'!CB7,'Scen NotEffectivelyVax (hypo)'!CE7,'Scen NotEffectivelyVax (hypo)'!CH7,'Scen NotEffectivelyVax (hypo)'!CK7,'Scen NotEffectivelyVax (hypo)'!CN7,'Scen NotEffectivelyVax (hypo)'!CQ7,'Scen NotEffectivelyVax (hypo)'!CT7,'Scen NotEffectivelyVax (hypo)'!CW7,'Scen NotEffectivelyVax (hypo)'!CZ7,'Scen NotEffectivelyVax (hypo)'!DC7,'Scen NotEffectivelyVax (hypo)'!DF7,'Scen NotEffectivelyVax (hypo)'!DI7,'Scen NotEffectivelyVax (hypo)'!DL7,'Scen NotEffectivelyVax (hypo)'!DO7,'Scen NotEffectivelyVax (hypo)'!DR7,'Scen NotEffectivelyVax (hypo)'!DU7,'Scen NotEffectivelyVax (hypo)'!DX7,'Scen NotEffectivelyVax (hypo)'!EA7,'Scen NotEffectivelyVax (hypo)'!ED7,'Scen NotEffectivelyVax (hypo)'!EG7,'Scen NotEffectivelyVax (hypo)'!EJ7,'Scen NotEffectivelyVax (hypo)'!EM7,'Scen NotEffectivelyVax (hypo)'!EP7,'Scen NotEffectivelyVax (hypo)'!ES7,'Scen NotEffectivelyVax (hypo)'!EV7,'Scen NotEffectivelyVax (hypo)'!EY7,'Scen NotEffectivelyVax (hypo)'!FB7,'Scen NotEffectivelyVax (hypo)'!FE7,'Scen NotEffectivelyVax (hypo)'!FH7,'Scen NotEffectivelyVax (hypo)'!FK7,'Scen NotEffectivelyVax (hypo)'!FN7,'Scen NotEffectivelyVax (hypo)'!FQ7,'Scen NotEffectivelyVax (hypo)'!FT7,'Scen NotEffectivelyVax (hypo)'!FW7,'Scen NotEffectivelyVax (hypo)'!FZ7)</f>
        <v>#VALUE!</v>
      </c>
      <c r="Y7" s="142" t="e">
        <f t="shared" si="1"/>
        <v>#VALUE!</v>
      </c>
      <c r="Z7" s="142" t="e">
        <f>IF(Export!M5&lt;&gt;"",W7*Export!K5*(1/Export!M5),W7*Export!K5)</f>
        <v>#VALUE!</v>
      </c>
      <c r="AA7" s="139" t="e">
        <f>Y7*Export!J5</f>
        <v>#VALUE!</v>
      </c>
      <c r="AC7" s="143" t="e">
        <f t="shared" si="2"/>
        <v>#DIV/0!</v>
      </c>
      <c r="AD7" s="144" t="e">
        <f t="shared" si="13"/>
        <v>#VALUE!</v>
      </c>
      <c r="AE7" s="144" t="e">
        <f t="shared" si="3"/>
        <v>#VALUE!</v>
      </c>
      <c r="AF7" s="144" t="e">
        <f t="shared" si="4"/>
        <v>#VALUE!</v>
      </c>
      <c r="AG7" s="144" t="e">
        <f t="shared" si="5"/>
        <v>#DIV/0!</v>
      </c>
      <c r="AH7" s="145"/>
      <c r="AI7" s="145"/>
      <c r="AJ7" s="145"/>
      <c r="AK7" s="145"/>
      <c r="AL7" s="146"/>
      <c r="AM7" s="145"/>
      <c r="AN7" s="145"/>
      <c r="AO7" s="145"/>
      <c r="AP7" s="145"/>
      <c r="AQ7" s="146"/>
      <c r="AR7" s="145"/>
      <c r="AS7" s="145"/>
      <c r="AT7" s="145"/>
      <c r="AU7" s="145"/>
      <c r="AV7" s="146"/>
    </row>
    <row r="8" spans="1:48" x14ac:dyDescent="0.35">
      <c r="A8" s="130">
        <f>EffectivelyVax!B7</f>
        <v>0</v>
      </c>
      <c r="B8" s="131">
        <f>EffectivelyVax!C7</f>
        <v>0</v>
      </c>
      <c r="C8" s="132">
        <f>Export!N6</f>
        <v>0</v>
      </c>
      <c r="D8" s="133">
        <f>IF(Inputs!$F$10="1. Actual program", 'Current vaccine model'!W8, Export!C6)</f>
        <v>0</v>
      </c>
      <c r="E8" s="133" t="e">
        <f>D8*Export!L6</f>
        <v>#VALUE!</v>
      </c>
      <c r="F8" s="133" t="e">
        <f t="shared" si="6"/>
        <v>#VALUE!</v>
      </c>
      <c r="G8" s="133" t="e">
        <f>IF(Export!M6&lt;&gt;"",D8*Export!K6*(1/Export!M6),D8*Export!K6)</f>
        <v>#VALUE!</v>
      </c>
      <c r="H8" s="133" t="e">
        <f>F8*Export!J6</f>
        <v>#VALUE!</v>
      </c>
      <c r="I8" s="133" t="e">
        <f t="shared" si="7"/>
        <v>#VALUE!</v>
      </c>
      <c r="J8" s="134" t="e">
        <f t="shared" si="8"/>
        <v>#VALUE!</v>
      </c>
      <c r="K8" s="135" t="e">
        <f t="shared" si="9"/>
        <v>#VALUE!</v>
      </c>
      <c r="L8" s="117">
        <f>'Scen EffectivelyVax'!A7</f>
        <v>0</v>
      </c>
      <c r="M8" s="115">
        <f>C8*L8*HelperFunctions!G$3</f>
        <v>0</v>
      </c>
      <c r="N8" s="116">
        <f>C8*L8*(1-HelperFunctions!G$3)</f>
        <v>0</v>
      </c>
      <c r="O8" s="136" t="e">
        <f t="shared" si="10"/>
        <v>#DIV/0!</v>
      </c>
      <c r="P8" s="137">
        <f>SUM('Scen EffectivelyVax'!D7:BK7)</f>
        <v>0</v>
      </c>
      <c r="Q8" s="138" t="e">
        <f t="shared" si="11"/>
        <v>#DIV/0!</v>
      </c>
      <c r="R8" s="138" t="e">
        <f t="shared" si="12"/>
        <v>#DIV/0!</v>
      </c>
      <c r="S8" s="137" t="e">
        <f t="shared" si="0"/>
        <v>#DIV/0!</v>
      </c>
      <c r="T8" s="138" t="e">
        <f>IF(Export!M6&lt;&gt;"",Q8*Export!K6*(1/Export!M6),Q8*Export!K6)</f>
        <v>#DIV/0!</v>
      </c>
      <c r="U8" s="139" t="e">
        <f>S8*Export!J6</f>
        <v>#DIV/0!</v>
      </c>
      <c r="V8" s="140" t="e">
        <f>SUM('Scen NotEffectivelyVax (hypo)'!F8,'Scen NotEffectivelyVax (hypo)'!I8,'Scen NotEffectivelyVax (hypo)'!L8,'Scen NotEffectivelyVax (hypo)'!O8,'Scen NotEffectivelyVax (hypo)'!R8,'Scen NotEffectivelyVax (hypo)'!U8,'Scen NotEffectivelyVax (hypo)'!X8,'Scen NotEffectivelyVax (hypo)'!AA8,'Scen NotEffectivelyVax (hypo)'!AD8,'Scen NotEffectivelyVax (hypo)'!AG8,'Scen NotEffectivelyVax (hypo)'!AJ8,'Scen NotEffectivelyVax (hypo)'!AM8,'Scen NotEffectivelyVax (hypo)'!AP8,'Scen NotEffectivelyVax (hypo)'!AS8,'Scen NotEffectivelyVax (hypo)'!AV8,'Scen NotEffectivelyVax (hypo)'!AY8,'Scen NotEffectivelyVax (hypo)'!BB8,'Scen NotEffectivelyVax (hypo)'!BE8,'Scen NotEffectivelyVax (hypo)'!BH8,'Scen NotEffectivelyVax (hypo)'!BK8,'Scen NotEffectivelyVax (hypo)'!BN8,'Scen NotEffectivelyVax (hypo)'!BQ8,'Scen NotEffectivelyVax (hypo)'!BT8,'Scen NotEffectivelyVax (hypo)'!BW8,'Scen NotEffectivelyVax (hypo)'!BZ8,'Scen NotEffectivelyVax (hypo)'!CC8,'Scen NotEffectivelyVax (hypo)'!CF8,'Scen NotEffectivelyVax (hypo)'!CI8,'Scen NotEffectivelyVax (hypo)'!CL8,'Scen NotEffectivelyVax (hypo)'!CO8,'Scen NotEffectivelyVax (hypo)'!CR8,'Scen NotEffectivelyVax (hypo)'!CU8,'Scen NotEffectivelyVax (hypo)'!CX8,'Scen NotEffectivelyVax (hypo)'!DA8,'Scen NotEffectivelyVax (hypo)'!DD8,'Scen NotEffectivelyVax (hypo)'!DG8,'Scen NotEffectivelyVax (hypo)'!DJ8,'Scen NotEffectivelyVax (hypo)'!DM8,'Scen NotEffectivelyVax (hypo)'!DQ8,'Scen NotEffectivelyVax (hypo)'!DP8,'Scen NotEffectivelyVax (hypo)'!DS8,'Scen NotEffectivelyVax (hypo)'!DV8,'Scen NotEffectivelyVax (hypo)'!DY8,'Scen NotEffectivelyVax (hypo)'!EB8,'Scen NotEffectivelyVax (hypo)'!EE8,'Scen NotEffectivelyVax (hypo)'!EH8,'Scen NotEffectivelyVax (hypo)'!EK8,'Scen NotEffectivelyVax (hypo)'!EN8,'Scen NotEffectivelyVax (hypo)'!EQ8,'Scen NotEffectivelyVax (hypo)'!ET8,'Scen NotEffectivelyVax (hypo)'!EW8,'Scen NotEffectivelyVax (hypo)'!EZ8,'Scen NotEffectivelyVax (hypo)'!FC8,'Scen NotEffectivelyVax (hypo)'!FF8,'Scen NotEffectivelyVax (hypo)'!FI8,'Scen NotEffectivelyVax (hypo)'!FL8,'Scen NotEffectivelyVax (hypo)'!FO8,'Scen NotEffectivelyVax (hypo)'!FR8,'Scen NotEffectivelyVax (hypo)'!FU8,'Scen NotEffectivelyVax (hypo)'!FX8,'Scen NotEffectivelyVax (hypo)'!GA8)</f>
        <v>#VALUE!</v>
      </c>
      <c r="W8" s="141" t="e">
        <f>SUM('Scen NotEffectivelyVax (hypo)'!D8,'Scen NotEffectivelyVax (hypo)'!G8,'Scen NotEffectivelyVax (hypo)'!J8,'Scen NotEffectivelyVax (hypo)'!M8,'Scen NotEffectivelyVax (hypo)'!P8,'Scen NotEffectivelyVax (hypo)'!S8,'Scen NotEffectivelyVax (hypo)'!V8,'Scen NotEffectivelyVax (hypo)'!Y8,'Scen NotEffectivelyVax (hypo)'!AB8,'Scen NotEffectivelyVax (hypo)'!AE8,'Scen NotEffectivelyVax (hypo)'!AH8,'Scen NotEffectivelyVax (hypo)'!AK8,'Scen NotEffectivelyVax (hypo)'!AN8,'Scen NotEffectivelyVax (hypo)'!AQ8,'Scen NotEffectivelyVax (hypo)'!AT8,'Scen NotEffectivelyVax (hypo)'!AW8,'Scen NotEffectivelyVax (hypo)'!AZ8,'Scen NotEffectivelyVax (hypo)'!BC8,'Scen NotEffectivelyVax (hypo)'!BF8,'Scen NotEffectivelyVax (hypo)'!BI8,'Scen NotEffectivelyVax (hypo)'!BL8,'Scen NotEffectivelyVax (hypo)'!BO8,'Scen NotEffectivelyVax (hypo)'!BR8,'Scen NotEffectivelyVax (hypo)'!BU8,'Scen NotEffectivelyVax (hypo)'!BX8,'Scen NotEffectivelyVax (hypo)'!CA8,'Scen NotEffectivelyVax (hypo)'!CD8,'Scen NotEffectivelyVax (hypo)'!CG8,'Scen NotEffectivelyVax (hypo)'!CJ8,'Scen NotEffectivelyVax (hypo)'!CM8,'Scen NotEffectivelyVax (hypo)'!CP8,'Scen NotEffectivelyVax (hypo)'!CS8,'Scen NotEffectivelyVax (hypo)'!CV8,'Scen NotEffectivelyVax (hypo)'!CY8,'Scen NotEffectivelyVax (hypo)'!DB8,'Scen NotEffectivelyVax (hypo)'!DE8,'Scen NotEffectivelyVax (hypo)'!DH8,'Scen NotEffectivelyVax (hypo)'!DK8,'Scen NotEffectivelyVax (hypo)'!DN8,'Scen NotEffectivelyVax (hypo)'!DQ8,'Scen NotEffectivelyVax (hypo)'!DT8,'Scen NotEffectivelyVax (hypo)'!DW8,'Scen NotEffectivelyVax (hypo)'!DZ8,'Scen NotEffectivelyVax (hypo)'!EC8,'Scen NotEffectivelyVax (hypo)'!EF8,'Scen NotEffectivelyVax (hypo)'!EI8,'Scen NotEffectivelyVax (hypo)'!EL8,'Scen NotEffectivelyVax (hypo)'!EO8,'Scen NotEffectivelyVax (hypo)'!ER8,'Scen NotEffectivelyVax (hypo)'!EU8,'Scen NotEffectivelyVax (hypo)'!EX8,'Scen NotEffectivelyVax (hypo)'!FA8,'Scen NotEffectivelyVax (hypo)'!FD8,'Scen NotEffectivelyVax (hypo)'!FG8,'Scen NotEffectivelyVax (hypo)'!FJ8,'Scen NotEffectivelyVax (hypo)'!FM8,'Scen NotEffectivelyVax (hypo)'!FP8,'Scen NotEffectivelyVax (hypo)'!FS8,'Scen NotEffectivelyVax (hypo)'!FV8,'Scen NotEffectivelyVax (hypo)'!FY8)</f>
        <v>#VALUE!</v>
      </c>
      <c r="X8" s="141" t="e">
        <f>SUM('Scen NotEffectivelyVax (hypo)'!E8,'Scen NotEffectivelyVax (hypo)'!H8,'Scen NotEffectivelyVax (hypo)'!K8,'Scen NotEffectivelyVax (hypo)'!N8,'Scen NotEffectivelyVax (hypo)'!Q8,'Scen NotEffectivelyVax (hypo)'!T8,'Scen NotEffectivelyVax (hypo)'!Z8,'Scen NotEffectivelyVax (hypo)'!W8,'Scen NotEffectivelyVax (hypo)'!AC8,'Scen NotEffectivelyVax (hypo)'!AF8,'Scen NotEffectivelyVax (hypo)'!AI8,'Scen NotEffectivelyVax (hypo)'!AL8,'Scen NotEffectivelyVax (hypo)'!AO8,'Scen NotEffectivelyVax (hypo)'!AR8,'Scen NotEffectivelyVax (hypo)'!AU8,'Scen NotEffectivelyVax (hypo)'!AX8,'Scen NotEffectivelyVax (hypo)'!BA8,'Scen NotEffectivelyVax (hypo)'!BD8,'Scen NotEffectivelyVax (hypo)'!BG8,'Scen NotEffectivelyVax (hypo)'!BJ8,'Scen NotEffectivelyVax (hypo)'!BM8,'Scen NotEffectivelyVax (hypo)'!BP8,'Scen NotEffectivelyVax (hypo)'!BS8,'Scen NotEffectivelyVax (hypo)'!BV8,'Scen NotEffectivelyVax (hypo)'!BY8,'Scen NotEffectivelyVax (hypo)'!CB8,'Scen NotEffectivelyVax (hypo)'!CE8,'Scen NotEffectivelyVax (hypo)'!CH8,'Scen NotEffectivelyVax (hypo)'!CK8,'Scen NotEffectivelyVax (hypo)'!CN8,'Scen NotEffectivelyVax (hypo)'!CQ8,'Scen NotEffectivelyVax (hypo)'!CT8,'Scen NotEffectivelyVax (hypo)'!CW8,'Scen NotEffectivelyVax (hypo)'!CZ8,'Scen NotEffectivelyVax (hypo)'!DC8,'Scen NotEffectivelyVax (hypo)'!DF8,'Scen NotEffectivelyVax (hypo)'!DI8,'Scen NotEffectivelyVax (hypo)'!DL8,'Scen NotEffectivelyVax (hypo)'!DO8,'Scen NotEffectivelyVax (hypo)'!DR8,'Scen NotEffectivelyVax (hypo)'!DU8,'Scen NotEffectivelyVax (hypo)'!DX8,'Scen NotEffectivelyVax (hypo)'!EA8,'Scen NotEffectivelyVax (hypo)'!ED8,'Scen NotEffectivelyVax (hypo)'!EG8,'Scen NotEffectivelyVax (hypo)'!EJ8,'Scen NotEffectivelyVax (hypo)'!EM8,'Scen NotEffectivelyVax (hypo)'!EP8,'Scen NotEffectivelyVax (hypo)'!ES8,'Scen NotEffectivelyVax (hypo)'!EV8,'Scen NotEffectivelyVax (hypo)'!EY8,'Scen NotEffectivelyVax (hypo)'!FB8,'Scen NotEffectivelyVax (hypo)'!FE8,'Scen NotEffectivelyVax (hypo)'!FH8,'Scen NotEffectivelyVax (hypo)'!FK8,'Scen NotEffectivelyVax (hypo)'!FN8,'Scen NotEffectivelyVax (hypo)'!FQ8,'Scen NotEffectivelyVax (hypo)'!FT8,'Scen NotEffectivelyVax (hypo)'!FW8,'Scen NotEffectivelyVax (hypo)'!FZ8)</f>
        <v>#VALUE!</v>
      </c>
      <c r="Y8" s="142" t="e">
        <f t="shared" si="1"/>
        <v>#VALUE!</v>
      </c>
      <c r="Z8" s="142" t="e">
        <f>IF(Export!M6&lt;&gt;"",W8*Export!K6*(1/Export!M6),W8*Export!K6)</f>
        <v>#VALUE!</v>
      </c>
      <c r="AA8" s="139" t="e">
        <f>Y8*Export!J6</f>
        <v>#VALUE!</v>
      </c>
      <c r="AC8" s="143" t="e">
        <f t="shared" si="2"/>
        <v>#DIV/0!</v>
      </c>
      <c r="AD8" s="144" t="e">
        <f t="shared" si="13"/>
        <v>#VALUE!</v>
      </c>
      <c r="AE8" s="144" t="e">
        <f t="shared" si="3"/>
        <v>#VALUE!</v>
      </c>
      <c r="AF8" s="144" t="e">
        <f t="shared" si="4"/>
        <v>#VALUE!</v>
      </c>
      <c r="AG8" s="144" t="e">
        <f t="shared" si="5"/>
        <v>#DIV/0!</v>
      </c>
      <c r="AH8" s="145"/>
      <c r="AI8" s="145"/>
      <c r="AJ8" s="145"/>
      <c r="AK8" s="145"/>
      <c r="AL8" s="146"/>
      <c r="AM8" s="145"/>
      <c r="AN8" s="145"/>
      <c r="AO8" s="145"/>
      <c r="AP8" s="145"/>
      <c r="AQ8" s="146"/>
      <c r="AR8" s="145"/>
      <c r="AS8" s="145"/>
      <c r="AT8" s="145"/>
      <c r="AU8" s="145"/>
      <c r="AV8" s="146"/>
    </row>
    <row r="9" spans="1:48" x14ac:dyDescent="0.35">
      <c r="A9" s="130">
        <f>EffectivelyVax!B8</f>
        <v>0</v>
      </c>
      <c r="B9" s="131">
        <f>EffectivelyVax!C8</f>
        <v>0</v>
      </c>
      <c r="C9" s="132">
        <f>Export!N7</f>
        <v>0</v>
      </c>
      <c r="D9" s="133">
        <f>IF(Inputs!$F$10="1. Actual program", 'Current vaccine model'!W9, Export!C7)</f>
        <v>0</v>
      </c>
      <c r="E9" s="133" t="e">
        <f>D9*Export!L7</f>
        <v>#VALUE!</v>
      </c>
      <c r="F9" s="133" t="e">
        <f t="shared" si="6"/>
        <v>#VALUE!</v>
      </c>
      <c r="G9" s="133" t="e">
        <f>IF(Export!M7&lt;&gt;"",D9*Export!K7*(1/Export!M7),D9*Export!K7)</f>
        <v>#VALUE!</v>
      </c>
      <c r="H9" s="133" t="e">
        <f>F9*Export!J7</f>
        <v>#VALUE!</v>
      </c>
      <c r="I9" s="133" t="e">
        <f t="shared" si="7"/>
        <v>#VALUE!</v>
      </c>
      <c r="J9" s="134" t="e">
        <f t="shared" si="8"/>
        <v>#VALUE!</v>
      </c>
      <c r="K9" s="135" t="e">
        <f t="shared" si="9"/>
        <v>#VALUE!</v>
      </c>
      <c r="L9" s="117">
        <f>'Scen EffectivelyVax'!A8</f>
        <v>0</v>
      </c>
      <c r="M9" s="115">
        <f>C9*L9*HelperFunctions!G$3</f>
        <v>0</v>
      </c>
      <c r="N9" s="116">
        <f>C9*L9*(1-HelperFunctions!G$3)</f>
        <v>0</v>
      </c>
      <c r="O9" s="136" t="e">
        <f t="shared" si="10"/>
        <v>#DIV/0!</v>
      </c>
      <c r="P9" s="137">
        <f>SUM('Scen EffectivelyVax'!D8:BK8)</f>
        <v>0</v>
      </c>
      <c r="Q9" s="138" t="e">
        <f t="shared" si="11"/>
        <v>#DIV/0!</v>
      </c>
      <c r="R9" s="138" t="e">
        <f t="shared" si="12"/>
        <v>#DIV/0!</v>
      </c>
      <c r="S9" s="137" t="e">
        <f t="shared" si="0"/>
        <v>#DIV/0!</v>
      </c>
      <c r="T9" s="138" t="e">
        <f>IF(Export!M7&lt;&gt;"",Q9*Export!K7*(1/Export!M7),Q9*Export!K7)</f>
        <v>#DIV/0!</v>
      </c>
      <c r="U9" s="139" t="e">
        <f>S9*Export!J7</f>
        <v>#DIV/0!</v>
      </c>
      <c r="V9" s="140" t="e">
        <f>SUM('Scen NotEffectivelyVax (hypo)'!F9,'Scen NotEffectivelyVax (hypo)'!I9,'Scen NotEffectivelyVax (hypo)'!L9,'Scen NotEffectivelyVax (hypo)'!O9,'Scen NotEffectivelyVax (hypo)'!R9,'Scen NotEffectivelyVax (hypo)'!U9,'Scen NotEffectivelyVax (hypo)'!X9,'Scen NotEffectivelyVax (hypo)'!AA9,'Scen NotEffectivelyVax (hypo)'!AD9,'Scen NotEffectivelyVax (hypo)'!AG9,'Scen NotEffectivelyVax (hypo)'!AJ9,'Scen NotEffectivelyVax (hypo)'!AM9,'Scen NotEffectivelyVax (hypo)'!AP9,'Scen NotEffectivelyVax (hypo)'!AS9,'Scen NotEffectivelyVax (hypo)'!AV9,'Scen NotEffectivelyVax (hypo)'!AY9,'Scen NotEffectivelyVax (hypo)'!BB9,'Scen NotEffectivelyVax (hypo)'!BE9,'Scen NotEffectivelyVax (hypo)'!BH9,'Scen NotEffectivelyVax (hypo)'!BK9,'Scen NotEffectivelyVax (hypo)'!BN9,'Scen NotEffectivelyVax (hypo)'!BQ9,'Scen NotEffectivelyVax (hypo)'!BT9,'Scen NotEffectivelyVax (hypo)'!BW9,'Scen NotEffectivelyVax (hypo)'!BZ9,'Scen NotEffectivelyVax (hypo)'!CC9,'Scen NotEffectivelyVax (hypo)'!CF9,'Scen NotEffectivelyVax (hypo)'!CI9,'Scen NotEffectivelyVax (hypo)'!CL9,'Scen NotEffectivelyVax (hypo)'!CO9,'Scen NotEffectivelyVax (hypo)'!CR9,'Scen NotEffectivelyVax (hypo)'!CU9,'Scen NotEffectivelyVax (hypo)'!CX9,'Scen NotEffectivelyVax (hypo)'!DA9,'Scen NotEffectivelyVax (hypo)'!DD9,'Scen NotEffectivelyVax (hypo)'!DG9,'Scen NotEffectivelyVax (hypo)'!DJ9,'Scen NotEffectivelyVax (hypo)'!DM9,'Scen NotEffectivelyVax (hypo)'!DQ9,'Scen NotEffectivelyVax (hypo)'!DP9,'Scen NotEffectivelyVax (hypo)'!DS9,'Scen NotEffectivelyVax (hypo)'!DV9,'Scen NotEffectivelyVax (hypo)'!DY9,'Scen NotEffectivelyVax (hypo)'!EB9,'Scen NotEffectivelyVax (hypo)'!EE9,'Scen NotEffectivelyVax (hypo)'!EH9,'Scen NotEffectivelyVax (hypo)'!EK9,'Scen NotEffectivelyVax (hypo)'!EN9,'Scen NotEffectivelyVax (hypo)'!EQ9,'Scen NotEffectivelyVax (hypo)'!ET9,'Scen NotEffectivelyVax (hypo)'!EW9,'Scen NotEffectivelyVax (hypo)'!EZ9,'Scen NotEffectivelyVax (hypo)'!FC9,'Scen NotEffectivelyVax (hypo)'!FF9,'Scen NotEffectivelyVax (hypo)'!FI9,'Scen NotEffectivelyVax (hypo)'!FL9,'Scen NotEffectivelyVax (hypo)'!FO9,'Scen NotEffectivelyVax (hypo)'!FR9,'Scen NotEffectivelyVax (hypo)'!FU9,'Scen NotEffectivelyVax (hypo)'!FX9,'Scen NotEffectivelyVax (hypo)'!GA9)</f>
        <v>#VALUE!</v>
      </c>
      <c r="W9" s="141" t="e">
        <f>SUM('Scen NotEffectivelyVax (hypo)'!D9,'Scen NotEffectivelyVax (hypo)'!G9,'Scen NotEffectivelyVax (hypo)'!J9,'Scen NotEffectivelyVax (hypo)'!M9,'Scen NotEffectivelyVax (hypo)'!P9,'Scen NotEffectivelyVax (hypo)'!S9,'Scen NotEffectivelyVax (hypo)'!V9,'Scen NotEffectivelyVax (hypo)'!Y9,'Scen NotEffectivelyVax (hypo)'!AB9,'Scen NotEffectivelyVax (hypo)'!AE9,'Scen NotEffectivelyVax (hypo)'!AH9,'Scen NotEffectivelyVax (hypo)'!AK9,'Scen NotEffectivelyVax (hypo)'!AN9,'Scen NotEffectivelyVax (hypo)'!AQ9,'Scen NotEffectivelyVax (hypo)'!AT9,'Scen NotEffectivelyVax (hypo)'!AW9,'Scen NotEffectivelyVax (hypo)'!AZ9,'Scen NotEffectivelyVax (hypo)'!BC9,'Scen NotEffectivelyVax (hypo)'!BF9,'Scen NotEffectivelyVax (hypo)'!BI9,'Scen NotEffectivelyVax (hypo)'!BL9,'Scen NotEffectivelyVax (hypo)'!BO9,'Scen NotEffectivelyVax (hypo)'!BR9,'Scen NotEffectivelyVax (hypo)'!BU9,'Scen NotEffectivelyVax (hypo)'!BX9,'Scen NotEffectivelyVax (hypo)'!CA9,'Scen NotEffectivelyVax (hypo)'!CD9,'Scen NotEffectivelyVax (hypo)'!CG9,'Scen NotEffectivelyVax (hypo)'!CJ9,'Scen NotEffectivelyVax (hypo)'!CM9,'Scen NotEffectivelyVax (hypo)'!CP9,'Scen NotEffectivelyVax (hypo)'!CS9,'Scen NotEffectivelyVax (hypo)'!CV9,'Scen NotEffectivelyVax (hypo)'!CY9,'Scen NotEffectivelyVax (hypo)'!DB9,'Scen NotEffectivelyVax (hypo)'!DE9,'Scen NotEffectivelyVax (hypo)'!DH9,'Scen NotEffectivelyVax (hypo)'!DK9,'Scen NotEffectivelyVax (hypo)'!DN9,'Scen NotEffectivelyVax (hypo)'!DQ9,'Scen NotEffectivelyVax (hypo)'!DT9,'Scen NotEffectivelyVax (hypo)'!DW9,'Scen NotEffectivelyVax (hypo)'!DZ9,'Scen NotEffectivelyVax (hypo)'!EC9,'Scen NotEffectivelyVax (hypo)'!EF9,'Scen NotEffectivelyVax (hypo)'!EI9,'Scen NotEffectivelyVax (hypo)'!EL9,'Scen NotEffectivelyVax (hypo)'!EO9,'Scen NotEffectivelyVax (hypo)'!ER9,'Scen NotEffectivelyVax (hypo)'!EU9,'Scen NotEffectivelyVax (hypo)'!EX9,'Scen NotEffectivelyVax (hypo)'!FA9,'Scen NotEffectivelyVax (hypo)'!FD9,'Scen NotEffectivelyVax (hypo)'!FG9,'Scen NotEffectivelyVax (hypo)'!FJ9,'Scen NotEffectivelyVax (hypo)'!FM9,'Scen NotEffectivelyVax (hypo)'!FP9,'Scen NotEffectivelyVax (hypo)'!FS9,'Scen NotEffectivelyVax (hypo)'!FV9,'Scen NotEffectivelyVax (hypo)'!FY9)</f>
        <v>#VALUE!</v>
      </c>
      <c r="X9" s="141" t="e">
        <f>SUM('Scen NotEffectivelyVax (hypo)'!E9,'Scen NotEffectivelyVax (hypo)'!H9,'Scen NotEffectivelyVax (hypo)'!K9,'Scen NotEffectivelyVax (hypo)'!N9,'Scen NotEffectivelyVax (hypo)'!Q9,'Scen NotEffectivelyVax (hypo)'!T9,'Scen NotEffectivelyVax (hypo)'!Z9,'Scen NotEffectivelyVax (hypo)'!W9,'Scen NotEffectivelyVax (hypo)'!AC9,'Scen NotEffectivelyVax (hypo)'!AF9,'Scen NotEffectivelyVax (hypo)'!AI9,'Scen NotEffectivelyVax (hypo)'!AL9,'Scen NotEffectivelyVax (hypo)'!AO9,'Scen NotEffectivelyVax (hypo)'!AR9,'Scen NotEffectivelyVax (hypo)'!AU9,'Scen NotEffectivelyVax (hypo)'!AX9,'Scen NotEffectivelyVax (hypo)'!BA9,'Scen NotEffectivelyVax (hypo)'!BD9,'Scen NotEffectivelyVax (hypo)'!BG9,'Scen NotEffectivelyVax (hypo)'!BJ9,'Scen NotEffectivelyVax (hypo)'!BM9,'Scen NotEffectivelyVax (hypo)'!BP9,'Scen NotEffectivelyVax (hypo)'!BS9,'Scen NotEffectivelyVax (hypo)'!BV9,'Scen NotEffectivelyVax (hypo)'!BY9,'Scen NotEffectivelyVax (hypo)'!CB9,'Scen NotEffectivelyVax (hypo)'!CE9,'Scen NotEffectivelyVax (hypo)'!CH9,'Scen NotEffectivelyVax (hypo)'!CK9,'Scen NotEffectivelyVax (hypo)'!CN9,'Scen NotEffectivelyVax (hypo)'!CQ9,'Scen NotEffectivelyVax (hypo)'!CT9,'Scen NotEffectivelyVax (hypo)'!CW9,'Scen NotEffectivelyVax (hypo)'!CZ9,'Scen NotEffectivelyVax (hypo)'!DC9,'Scen NotEffectivelyVax (hypo)'!DF9,'Scen NotEffectivelyVax (hypo)'!DI9,'Scen NotEffectivelyVax (hypo)'!DL9,'Scen NotEffectivelyVax (hypo)'!DO9,'Scen NotEffectivelyVax (hypo)'!DR9,'Scen NotEffectivelyVax (hypo)'!DU9,'Scen NotEffectivelyVax (hypo)'!DX9,'Scen NotEffectivelyVax (hypo)'!EA9,'Scen NotEffectivelyVax (hypo)'!ED9,'Scen NotEffectivelyVax (hypo)'!EG9,'Scen NotEffectivelyVax (hypo)'!EJ9,'Scen NotEffectivelyVax (hypo)'!EM9,'Scen NotEffectivelyVax (hypo)'!EP9,'Scen NotEffectivelyVax (hypo)'!ES9,'Scen NotEffectivelyVax (hypo)'!EV9,'Scen NotEffectivelyVax (hypo)'!EY9,'Scen NotEffectivelyVax (hypo)'!FB9,'Scen NotEffectivelyVax (hypo)'!FE9,'Scen NotEffectivelyVax (hypo)'!FH9,'Scen NotEffectivelyVax (hypo)'!FK9,'Scen NotEffectivelyVax (hypo)'!FN9,'Scen NotEffectivelyVax (hypo)'!FQ9,'Scen NotEffectivelyVax (hypo)'!FT9,'Scen NotEffectivelyVax (hypo)'!FW9,'Scen NotEffectivelyVax (hypo)'!FZ9)</f>
        <v>#VALUE!</v>
      </c>
      <c r="Y9" s="142" t="e">
        <f t="shared" si="1"/>
        <v>#VALUE!</v>
      </c>
      <c r="Z9" s="142" t="e">
        <f>IF(Export!M7&lt;&gt;"",W9*Export!K7*(1/Export!M7),W9*Export!K7)</f>
        <v>#VALUE!</v>
      </c>
      <c r="AA9" s="139" t="e">
        <f>Y9*Export!J7</f>
        <v>#VALUE!</v>
      </c>
      <c r="AC9" s="143" t="e">
        <f t="shared" si="2"/>
        <v>#DIV/0!</v>
      </c>
      <c r="AD9" s="144" t="e">
        <f t="shared" si="13"/>
        <v>#VALUE!</v>
      </c>
      <c r="AE9" s="144" t="e">
        <f t="shared" si="3"/>
        <v>#VALUE!</v>
      </c>
      <c r="AF9" s="144" t="e">
        <f t="shared" si="4"/>
        <v>#VALUE!</v>
      </c>
      <c r="AG9" s="144" t="e">
        <f t="shared" si="5"/>
        <v>#DIV/0!</v>
      </c>
      <c r="AH9" s="145"/>
      <c r="AI9" s="145"/>
      <c r="AJ9" s="145"/>
      <c r="AK9" s="145"/>
      <c r="AL9" s="146"/>
      <c r="AM9" s="145"/>
      <c r="AN9" s="145"/>
      <c r="AO9" s="145"/>
      <c r="AP9" s="145"/>
      <c r="AQ9" s="146"/>
      <c r="AR9" s="145"/>
      <c r="AS9" s="145"/>
      <c r="AT9" s="145"/>
      <c r="AU9" s="145"/>
      <c r="AV9" s="146"/>
    </row>
    <row r="10" spans="1:48" x14ac:dyDescent="0.35">
      <c r="A10" s="130">
        <f>EffectivelyVax!B9</f>
        <v>0</v>
      </c>
      <c r="B10" s="131">
        <f>EffectivelyVax!C9</f>
        <v>0</v>
      </c>
      <c r="C10" s="132">
        <f>Export!N8</f>
        <v>0</v>
      </c>
      <c r="D10" s="133">
        <f>IF(Inputs!$F$10="1. Actual program", 'Current vaccine model'!W10, Export!C8)</f>
        <v>0</v>
      </c>
      <c r="E10" s="133" t="e">
        <f>D10*Export!L8</f>
        <v>#VALUE!</v>
      </c>
      <c r="F10" s="133" t="e">
        <f t="shared" si="6"/>
        <v>#VALUE!</v>
      </c>
      <c r="G10" s="133" t="e">
        <f>IF(Export!M8&lt;&gt;"",D10*Export!K8*(1/Export!M8),D10*Export!K8)</f>
        <v>#VALUE!</v>
      </c>
      <c r="H10" s="133" t="e">
        <f>F10*Export!J8</f>
        <v>#VALUE!</v>
      </c>
      <c r="I10" s="133" t="e">
        <f t="shared" si="7"/>
        <v>#VALUE!</v>
      </c>
      <c r="J10" s="134" t="e">
        <f t="shared" si="8"/>
        <v>#VALUE!</v>
      </c>
      <c r="K10" s="135" t="e">
        <f t="shared" si="9"/>
        <v>#VALUE!</v>
      </c>
      <c r="L10" s="117">
        <f>'Scen EffectivelyVax'!A9</f>
        <v>0</v>
      </c>
      <c r="M10" s="115">
        <f>C10*L10*HelperFunctions!G$3</f>
        <v>0</v>
      </c>
      <c r="N10" s="116">
        <f>C10*L10*(1-HelperFunctions!G$3)</f>
        <v>0</v>
      </c>
      <c r="O10" s="136" t="e">
        <f t="shared" si="10"/>
        <v>#DIV/0!</v>
      </c>
      <c r="P10" s="137">
        <f>SUM('Scen EffectivelyVax'!D9:BK9)</f>
        <v>0</v>
      </c>
      <c r="Q10" s="138" t="e">
        <f t="shared" si="11"/>
        <v>#DIV/0!</v>
      </c>
      <c r="R10" s="138" t="e">
        <f t="shared" si="12"/>
        <v>#DIV/0!</v>
      </c>
      <c r="S10" s="137" t="e">
        <f t="shared" si="0"/>
        <v>#DIV/0!</v>
      </c>
      <c r="T10" s="138" t="e">
        <f>IF(Export!M8&lt;&gt;"",Q10*Export!K8*(1/Export!M8),Q10*Export!K8)</f>
        <v>#DIV/0!</v>
      </c>
      <c r="U10" s="139" t="e">
        <f>S10*Export!J8</f>
        <v>#DIV/0!</v>
      </c>
      <c r="V10" s="140" t="e">
        <f>SUM('Scen NotEffectivelyVax (hypo)'!F10,'Scen NotEffectivelyVax (hypo)'!I10,'Scen NotEffectivelyVax (hypo)'!L10,'Scen NotEffectivelyVax (hypo)'!O10,'Scen NotEffectivelyVax (hypo)'!R10,'Scen NotEffectivelyVax (hypo)'!U10,'Scen NotEffectivelyVax (hypo)'!X10,'Scen NotEffectivelyVax (hypo)'!AA10,'Scen NotEffectivelyVax (hypo)'!AD10,'Scen NotEffectivelyVax (hypo)'!AG10,'Scen NotEffectivelyVax (hypo)'!AJ10,'Scen NotEffectivelyVax (hypo)'!AM10,'Scen NotEffectivelyVax (hypo)'!AP10,'Scen NotEffectivelyVax (hypo)'!AS10,'Scen NotEffectivelyVax (hypo)'!AV10,'Scen NotEffectivelyVax (hypo)'!AY10,'Scen NotEffectivelyVax (hypo)'!BB10,'Scen NotEffectivelyVax (hypo)'!BE10,'Scen NotEffectivelyVax (hypo)'!BH10,'Scen NotEffectivelyVax (hypo)'!BK10,'Scen NotEffectivelyVax (hypo)'!BN10,'Scen NotEffectivelyVax (hypo)'!BQ10,'Scen NotEffectivelyVax (hypo)'!BT10,'Scen NotEffectivelyVax (hypo)'!BW10,'Scen NotEffectivelyVax (hypo)'!BZ10,'Scen NotEffectivelyVax (hypo)'!CC10,'Scen NotEffectivelyVax (hypo)'!CF10,'Scen NotEffectivelyVax (hypo)'!CI10,'Scen NotEffectivelyVax (hypo)'!CL10,'Scen NotEffectivelyVax (hypo)'!CO10,'Scen NotEffectivelyVax (hypo)'!CR10,'Scen NotEffectivelyVax (hypo)'!CU10,'Scen NotEffectivelyVax (hypo)'!CX10,'Scen NotEffectivelyVax (hypo)'!DA10,'Scen NotEffectivelyVax (hypo)'!DD10,'Scen NotEffectivelyVax (hypo)'!DG10,'Scen NotEffectivelyVax (hypo)'!DJ10,'Scen NotEffectivelyVax (hypo)'!DM10,'Scen NotEffectivelyVax (hypo)'!DQ10,'Scen NotEffectivelyVax (hypo)'!DP10,'Scen NotEffectivelyVax (hypo)'!DS10,'Scen NotEffectivelyVax (hypo)'!DV10,'Scen NotEffectivelyVax (hypo)'!DY10,'Scen NotEffectivelyVax (hypo)'!EB10,'Scen NotEffectivelyVax (hypo)'!EE10,'Scen NotEffectivelyVax (hypo)'!EH10,'Scen NotEffectivelyVax (hypo)'!EK10,'Scen NotEffectivelyVax (hypo)'!EN10,'Scen NotEffectivelyVax (hypo)'!EQ10,'Scen NotEffectivelyVax (hypo)'!ET10,'Scen NotEffectivelyVax (hypo)'!EW10,'Scen NotEffectivelyVax (hypo)'!EZ10,'Scen NotEffectivelyVax (hypo)'!FC10,'Scen NotEffectivelyVax (hypo)'!FF10,'Scen NotEffectivelyVax (hypo)'!FI10,'Scen NotEffectivelyVax (hypo)'!FL10,'Scen NotEffectivelyVax (hypo)'!FO10,'Scen NotEffectivelyVax (hypo)'!FR10,'Scen NotEffectivelyVax (hypo)'!FU10,'Scen NotEffectivelyVax (hypo)'!FX10,'Scen NotEffectivelyVax (hypo)'!GA10)</f>
        <v>#VALUE!</v>
      </c>
      <c r="W10" s="141" t="e">
        <f>SUM('Scen NotEffectivelyVax (hypo)'!D10,'Scen NotEffectivelyVax (hypo)'!G10,'Scen NotEffectivelyVax (hypo)'!J10,'Scen NotEffectivelyVax (hypo)'!M10,'Scen NotEffectivelyVax (hypo)'!P10,'Scen NotEffectivelyVax (hypo)'!S10,'Scen NotEffectivelyVax (hypo)'!V10,'Scen NotEffectivelyVax (hypo)'!Y10,'Scen NotEffectivelyVax (hypo)'!AB10,'Scen NotEffectivelyVax (hypo)'!AE10,'Scen NotEffectivelyVax (hypo)'!AH10,'Scen NotEffectivelyVax (hypo)'!AK10,'Scen NotEffectivelyVax (hypo)'!AN10,'Scen NotEffectivelyVax (hypo)'!AQ10,'Scen NotEffectivelyVax (hypo)'!AT10,'Scen NotEffectivelyVax (hypo)'!AW10,'Scen NotEffectivelyVax (hypo)'!AZ10,'Scen NotEffectivelyVax (hypo)'!BC10,'Scen NotEffectivelyVax (hypo)'!BF10,'Scen NotEffectivelyVax (hypo)'!BI10,'Scen NotEffectivelyVax (hypo)'!BL10,'Scen NotEffectivelyVax (hypo)'!BO10,'Scen NotEffectivelyVax (hypo)'!BR10,'Scen NotEffectivelyVax (hypo)'!BU10,'Scen NotEffectivelyVax (hypo)'!BX10,'Scen NotEffectivelyVax (hypo)'!CA10,'Scen NotEffectivelyVax (hypo)'!CD10,'Scen NotEffectivelyVax (hypo)'!CG10,'Scen NotEffectivelyVax (hypo)'!CJ10,'Scen NotEffectivelyVax (hypo)'!CM10,'Scen NotEffectivelyVax (hypo)'!CP10,'Scen NotEffectivelyVax (hypo)'!CS10,'Scen NotEffectivelyVax (hypo)'!CV10,'Scen NotEffectivelyVax (hypo)'!CY10,'Scen NotEffectivelyVax (hypo)'!DB10,'Scen NotEffectivelyVax (hypo)'!DE10,'Scen NotEffectivelyVax (hypo)'!DH10,'Scen NotEffectivelyVax (hypo)'!DK10,'Scen NotEffectivelyVax (hypo)'!DN10,'Scen NotEffectivelyVax (hypo)'!DQ10,'Scen NotEffectivelyVax (hypo)'!DT10,'Scen NotEffectivelyVax (hypo)'!DW10,'Scen NotEffectivelyVax (hypo)'!DZ10,'Scen NotEffectivelyVax (hypo)'!EC10,'Scen NotEffectivelyVax (hypo)'!EF10,'Scen NotEffectivelyVax (hypo)'!EI10,'Scen NotEffectivelyVax (hypo)'!EL10,'Scen NotEffectivelyVax (hypo)'!EO10,'Scen NotEffectivelyVax (hypo)'!ER10,'Scen NotEffectivelyVax (hypo)'!EU10,'Scen NotEffectivelyVax (hypo)'!EX10,'Scen NotEffectivelyVax (hypo)'!FA10,'Scen NotEffectivelyVax (hypo)'!FD10,'Scen NotEffectivelyVax (hypo)'!FG10,'Scen NotEffectivelyVax (hypo)'!FJ10,'Scen NotEffectivelyVax (hypo)'!FM10,'Scen NotEffectivelyVax (hypo)'!FP10,'Scen NotEffectivelyVax (hypo)'!FS10,'Scen NotEffectivelyVax (hypo)'!FV10,'Scen NotEffectivelyVax (hypo)'!FY10)</f>
        <v>#VALUE!</v>
      </c>
      <c r="X10" s="141" t="e">
        <f>SUM('Scen NotEffectivelyVax (hypo)'!E10,'Scen NotEffectivelyVax (hypo)'!H10,'Scen NotEffectivelyVax (hypo)'!K10,'Scen NotEffectivelyVax (hypo)'!N10,'Scen NotEffectivelyVax (hypo)'!Q10,'Scen NotEffectivelyVax (hypo)'!T10,'Scen NotEffectivelyVax (hypo)'!Z10,'Scen NotEffectivelyVax (hypo)'!W10,'Scen NotEffectivelyVax (hypo)'!AC10,'Scen NotEffectivelyVax (hypo)'!AF10,'Scen NotEffectivelyVax (hypo)'!AI10,'Scen NotEffectivelyVax (hypo)'!AL10,'Scen NotEffectivelyVax (hypo)'!AO10,'Scen NotEffectivelyVax (hypo)'!AR10,'Scen NotEffectivelyVax (hypo)'!AU10,'Scen NotEffectivelyVax (hypo)'!AX10,'Scen NotEffectivelyVax (hypo)'!BA10,'Scen NotEffectivelyVax (hypo)'!BD10,'Scen NotEffectivelyVax (hypo)'!BG10,'Scen NotEffectivelyVax (hypo)'!BJ10,'Scen NotEffectivelyVax (hypo)'!BM10,'Scen NotEffectivelyVax (hypo)'!BP10,'Scen NotEffectivelyVax (hypo)'!BS10,'Scen NotEffectivelyVax (hypo)'!BV10,'Scen NotEffectivelyVax (hypo)'!BY10,'Scen NotEffectivelyVax (hypo)'!CB10,'Scen NotEffectivelyVax (hypo)'!CE10,'Scen NotEffectivelyVax (hypo)'!CH10,'Scen NotEffectivelyVax (hypo)'!CK10,'Scen NotEffectivelyVax (hypo)'!CN10,'Scen NotEffectivelyVax (hypo)'!CQ10,'Scen NotEffectivelyVax (hypo)'!CT10,'Scen NotEffectivelyVax (hypo)'!CW10,'Scen NotEffectivelyVax (hypo)'!CZ10,'Scen NotEffectivelyVax (hypo)'!DC10,'Scen NotEffectivelyVax (hypo)'!DF10,'Scen NotEffectivelyVax (hypo)'!DI10,'Scen NotEffectivelyVax (hypo)'!DL10,'Scen NotEffectivelyVax (hypo)'!DO10,'Scen NotEffectivelyVax (hypo)'!DR10,'Scen NotEffectivelyVax (hypo)'!DU10,'Scen NotEffectivelyVax (hypo)'!DX10,'Scen NotEffectivelyVax (hypo)'!EA10,'Scen NotEffectivelyVax (hypo)'!ED10,'Scen NotEffectivelyVax (hypo)'!EG10,'Scen NotEffectivelyVax (hypo)'!EJ10,'Scen NotEffectivelyVax (hypo)'!EM10,'Scen NotEffectivelyVax (hypo)'!EP10,'Scen NotEffectivelyVax (hypo)'!ES10,'Scen NotEffectivelyVax (hypo)'!EV10,'Scen NotEffectivelyVax (hypo)'!EY10,'Scen NotEffectivelyVax (hypo)'!FB10,'Scen NotEffectivelyVax (hypo)'!FE10,'Scen NotEffectivelyVax (hypo)'!FH10,'Scen NotEffectivelyVax (hypo)'!FK10,'Scen NotEffectivelyVax (hypo)'!FN10,'Scen NotEffectivelyVax (hypo)'!FQ10,'Scen NotEffectivelyVax (hypo)'!FT10,'Scen NotEffectivelyVax (hypo)'!FW10,'Scen NotEffectivelyVax (hypo)'!FZ10)</f>
        <v>#VALUE!</v>
      </c>
      <c r="Y10" s="142" t="e">
        <f t="shared" si="1"/>
        <v>#VALUE!</v>
      </c>
      <c r="Z10" s="142" t="e">
        <f>IF(Export!M8&lt;&gt;"",W10*Export!K8*(1/Export!M8),W10*Export!K8)</f>
        <v>#VALUE!</v>
      </c>
      <c r="AA10" s="139" t="e">
        <f>Y10*Export!J8</f>
        <v>#VALUE!</v>
      </c>
      <c r="AC10" s="143" t="e">
        <f t="shared" si="2"/>
        <v>#DIV/0!</v>
      </c>
      <c r="AD10" s="144" t="e">
        <f t="shared" si="13"/>
        <v>#VALUE!</v>
      </c>
      <c r="AE10" s="144" t="e">
        <f t="shared" si="3"/>
        <v>#VALUE!</v>
      </c>
      <c r="AF10" s="144" t="e">
        <f t="shared" si="4"/>
        <v>#VALUE!</v>
      </c>
      <c r="AG10" s="144" t="e">
        <f t="shared" si="5"/>
        <v>#DIV/0!</v>
      </c>
      <c r="AH10" s="145"/>
      <c r="AI10" s="145"/>
      <c r="AJ10" s="145"/>
      <c r="AK10" s="145"/>
      <c r="AL10" s="146"/>
      <c r="AM10" s="145"/>
      <c r="AN10" s="145"/>
      <c r="AO10" s="145"/>
      <c r="AP10" s="145"/>
      <c r="AQ10" s="146"/>
      <c r="AR10" s="145"/>
      <c r="AS10" s="145"/>
      <c r="AT10" s="145"/>
      <c r="AU10" s="145"/>
      <c r="AV10" s="146"/>
    </row>
    <row r="11" spans="1:48" x14ac:dyDescent="0.35">
      <c r="A11" s="130">
        <f>EffectivelyVax!B10</f>
        <v>0</v>
      </c>
      <c r="B11" s="131">
        <f>EffectivelyVax!C10</f>
        <v>0</v>
      </c>
      <c r="C11" s="132">
        <f>Export!N9</f>
        <v>0</v>
      </c>
      <c r="D11" s="133">
        <f>IF(Inputs!$F$10="1. Actual program", 'Current vaccine model'!W11, Export!C9)</f>
        <v>0</v>
      </c>
      <c r="E11" s="133" t="e">
        <f>D11*Export!L9</f>
        <v>#VALUE!</v>
      </c>
      <c r="F11" s="133" t="e">
        <f t="shared" si="6"/>
        <v>#VALUE!</v>
      </c>
      <c r="G11" s="133" t="e">
        <f>IF(Export!M9&lt;&gt;"",D11*Export!K9*(1/Export!M9),D11*Export!K9)</f>
        <v>#VALUE!</v>
      </c>
      <c r="H11" s="133" t="e">
        <f>F11*Export!J9</f>
        <v>#VALUE!</v>
      </c>
      <c r="I11" s="133" t="e">
        <f t="shared" si="7"/>
        <v>#VALUE!</v>
      </c>
      <c r="J11" s="134" t="e">
        <f t="shared" si="8"/>
        <v>#VALUE!</v>
      </c>
      <c r="K11" s="135" t="e">
        <f t="shared" si="9"/>
        <v>#VALUE!</v>
      </c>
      <c r="L11" s="117">
        <f>'Scen EffectivelyVax'!A10</f>
        <v>0</v>
      </c>
      <c r="M11" s="115">
        <f>C11*L11*HelperFunctions!G$3</f>
        <v>0</v>
      </c>
      <c r="N11" s="116">
        <f>C11*L11*(1-HelperFunctions!G$3)</f>
        <v>0</v>
      </c>
      <c r="O11" s="136" t="e">
        <f t="shared" si="10"/>
        <v>#DIV/0!</v>
      </c>
      <c r="P11" s="137">
        <f>SUM('Scen EffectivelyVax'!D10:BK10)</f>
        <v>0</v>
      </c>
      <c r="Q11" s="138" t="e">
        <f t="shared" si="11"/>
        <v>#DIV/0!</v>
      </c>
      <c r="R11" s="138" t="e">
        <f t="shared" si="12"/>
        <v>#DIV/0!</v>
      </c>
      <c r="S11" s="137" t="e">
        <f t="shared" si="0"/>
        <v>#DIV/0!</v>
      </c>
      <c r="T11" s="138" t="e">
        <f>IF(Export!M9&lt;&gt;"",Q11*Export!K9*(1/Export!M9),Q11*Export!K9)</f>
        <v>#DIV/0!</v>
      </c>
      <c r="U11" s="139" t="e">
        <f>S11*Export!J9</f>
        <v>#DIV/0!</v>
      </c>
      <c r="V11" s="140" t="e">
        <f>SUM('Scen NotEffectivelyVax (hypo)'!F11,'Scen NotEffectivelyVax (hypo)'!I11,'Scen NotEffectivelyVax (hypo)'!L11,'Scen NotEffectivelyVax (hypo)'!O11,'Scen NotEffectivelyVax (hypo)'!R11,'Scen NotEffectivelyVax (hypo)'!U11,'Scen NotEffectivelyVax (hypo)'!X11,'Scen NotEffectivelyVax (hypo)'!AA11,'Scen NotEffectivelyVax (hypo)'!AD11,'Scen NotEffectivelyVax (hypo)'!AG11,'Scen NotEffectivelyVax (hypo)'!AJ11,'Scen NotEffectivelyVax (hypo)'!AM11,'Scen NotEffectivelyVax (hypo)'!AP11,'Scen NotEffectivelyVax (hypo)'!AS11,'Scen NotEffectivelyVax (hypo)'!AV11,'Scen NotEffectivelyVax (hypo)'!AY11,'Scen NotEffectivelyVax (hypo)'!BB11,'Scen NotEffectivelyVax (hypo)'!BE11,'Scen NotEffectivelyVax (hypo)'!BH11,'Scen NotEffectivelyVax (hypo)'!BK11,'Scen NotEffectivelyVax (hypo)'!BN11,'Scen NotEffectivelyVax (hypo)'!BQ11,'Scen NotEffectivelyVax (hypo)'!BT11,'Scen NotEffectivelyVax (hypo)'!BW11,'Scen NotEffectivelyVax (hypo)'!BZ11,'Scen NotEffectivelyVax (hypo)'!CC11,'Scen NotEffectivelyVax (hypo)'!CF11,'Scen NotEffectivelyVax (hypo)'!CI11,'Scen NotEffectivelyVax (hypo)'!CL11,'Scen NotEffectivelyVax (hypo)'!CO11,'Scen NotEffectivelyVax (hypo)'!CR11,'Scen NotEffectivelyVax (hypo)'!CU11,'Scen NotEffectivelyVax (hypo)'!CX11,'Scen NotEffectivelyVax (hypo)'!DA11,'Scen NotEffectivelyVax (hypo)'!DD11,'Scen NotEffectivelyVax (hypo)'!DG11,'Scen NotEffectivelyVax (hypo)'!DJ11,'Scen NotEffectivelyVax (hypo)'!DM11,'Scen NotEffectivelyVax (hypo)'!DQ11,'Scen NotEffectivelyVax (hypo)'!DP11,'Scen NotEffectivelyVax (hypo)'!DS11,'Scen NotEffectivelyVax (hypo)'!DV11,'Scen NotEffectivelyVax (hypo)'!DY11,'Scen NotEffectivelyVax (hypo)'!EB11,'Scen NotEffectivelyVax (hypo)'!EE11,'Scen NotEffectivelyVax (hypo)'!EH11,'Scen NotEffectivelyVax (hypo)'!EK11,'Scen NotEffectivelyVax (hypo)'!EN11,'Scen NotEffectivelyVax (hypo)'!EQ11,'Scen NotEffectivelyVax (hypo)'!ET11,'Scen NotEffectivelyVax (hypo)'!EW11,'Scen NotEffectivelyVax (hypo)'!EZ11,'Scen NotEffectivelyVax (hypo)'!FC11,'Scen NotEffectivelyVax (hypo)'!FF11,'Scen NotEffectivelyVax (hypo)'!FI11,'Scen NotEffectivelyVax (hypo)'!FL11,'Scen NotEffectivelyVax (hypo)'!FO11,'Scen NotEffectivelyVax (hypo)'!FR11,'Scen NotEffectivelyVax (hypo)'!FU11,'Scen NotEffectivelyVax (hypo)'!FX11,'Scen NotEffectivelyVax (hypo)'!GA11)</f>
        <v>#VALUE!</v>
      </c>
      <c r="W11" s="141" t="e">
        <f>SUM('Scen NotEffectivelyVax (hypo)'!D11,'Scen NotEffectivelyVax (hypo)'!G11,'Scen NotEffectivelyVax (hypo)'!J11,'Scen NotEffectivelyVax (hypo)'!M11,'Scen NotEffectivelyVax (hypo)'!P11,'Scen NotEffectivelyVax (hypo)'!S11,'Scen NotEffectivelyVax (hypo)'!V11,'Scen NotEffectivelyVax (hypo)'!Y11,'Scen NotEffectivelyVax (hypo)'!AB11,'Scen NotEffectivelyVax (hypo)'!AE11,'Scen NotEffectivelyVax (hypo)'!AH11,'Scen NotEffectivelyVax (hypo)'!AK11,'Scen NotEffectivelyVax (hypo)'!AN11,'Scen NotEffectivelyVax (hypo)'!AQ11,'Scen NotEffectivelyVax (hypo)'!AT11,'Scen NotEffectivelyVax (hypo)'!AW11,'Scen NotEffectivelyVax (hypo)'!AZ11,'Scen NotEffectivelyVax (hypo)'!BC11,'Scen NotEffectivelyVax (hypo)'!BF11,'Scen NotEffectivelyVax (hypo)'!BI11,'Scen NotEffectivelyVax (hypo)'!BL11,'Scen NotEffectivelyVax (hypo)'!BO11,'Scen NotEffectivelyVax (hypo)'!BR11,'Scen NotEffectivelyVax (hypo)'!BU11,'Scen NotEffectivelyVax (hypo)'!BX11,'Scen NotEffectivelyVax (hypo)'!CA11,'Scen NotEffectivelyVax (hypo)'!CD11,'Scen NotEffectivelyVax (hypo)'!CG11,'Scen NotEffectivelyVax (hypo)'!CJ11,'Scen NotEffectivelyVax (hypo)'!CM11,'Scen NotEffectivelyVax (hypo)'!CP11,'Scen NotEffectivelyVax (hypo)'!CS11,'Scen NotEffectivelyVax (hypo)'!CV11,'Scen NotEffectivelyVax (hypo)'!CY11,'Scen NotEffectivelyVax (hypo)'!DB11,'Scen NotEffectivelyVax (hypo)'!DE11,'Scen NotEffectivelyVax (hypo)'!DH11,'Scen NotEffectivelyVax (hypo)'!DK11,'Scen NotEffectivelyVax (hypo)'!DN11,'Scen NotEffectivelyVax (hypo)'!DQ11,'Scen NotEffectivelyVax (hypo)'!DT11,'Scen NotEffectivelyVax (hypo)'!DW11,'Scen NotEffectivelyVax (hypo)'!DZ11,'Scen NotEffectivelyVax (hypo)'!EC11,'Scen NotEffectivelyVax (hypo)'!EF11,'Scen NotEffectivelyVax (hypo)'!EI11,'Scen NotEffectivelyVax (hypo)'!EL11,'Scen NotEffectivelyVax (hypo)'!EO11,'Scen NotEffectivelyVax (hypo)'!ER11,'Scen NotEffectivelyVax (hypo)'!EU11,'Scen NotEffectivelyVax (hypo)'!EX11,'Scen NotEffectivelyVax (hypo)'!FA11,'Scen NotEffectivelyVax (hypo)'!FD11,'Scen NotEffectivelyVax (hypo)'!FG11,'Scen NotEffectivelyVax (hypo)'!FJ11,'Scen NotEffectivelyVax (hypo)'!FM11,'Scen NotEffectivelyVax (hypo)'!FP11,'Scen NotEffectivelyVax (hypo)'!FS11,'Scen NotEffectivelyVax (hypo)'!FV11,'Scen NotEffectivelyVax (hypo)'!FY11)</f>
        <v>#VALUE!</v>
      </c>
      <c r="X11" s="141" t="e">
        <f>SUM('Scen NotEffectivelyVax (hypo)'!E11,'Scen NotEffectivelyVax (hypo)'!H11,'Scen NotEffectivelyVax (hypo)'!K11,'Scen NotEffectivelyVax (hypo)'!N11,'Scen NotEffectivelyVax (hypo)'!Q11,'Scen NotEffectivelyVax (hypo)'!T11,'Scen NotEffectivelyVax (hypo)'!Z11,'Scen NotEffectivelyVax (hypo)'!W11,'Scen NotEffectivelyVax (hypo)'!AC11,'Scen NotEffectivelyVax (hypo)'!AF11,'Scen NotEffectivelyVax (hypo)'!AI11,'Scen NotEffectivelyVax (hypo)'!AL11,'Scen NotEffectivelyVax (hypo)'!AO11,'Scen NotEffectivelyVax (hypo)'!AR11,'Scen NotEffectivelyVax (hypo)'!AU11,'Scen NotEffectivelyVax (hypo)'!AX11,'Scen NotEffectivelyVax (hypo)'!BA11,'Scen NotEffectivelyVax (hypo)'!BD11,'Scen NotEffectivelyVax (hypo)'!BG11,'Scen NotEffectivelyVax (hypo)'!BJ11,'Scen NotEffectivelyVax (hypo)'!BM11,'Scen NotEffectivelyVax (hypo)'!BP11,'Scen NotEffectivelyVax (hypo)'!BS11,'Scen NotEffectivelyVax (hypo)'!BV11,'Scen NotEffectivelyVax (hypo)'!BY11,'Scen NotEffectivelyVax (hypo)'!CB11,'Scen NotEffectivelyVax (hypo)'!CE11,'Scen NotEffectivelyVax (hypo)'!CH11,'Scen NotEffectivelyVax (hypo)'!CK11,'Scen NotEffectivelyVax (hypo)'!CN11,'Scen NotEffectivelyVax (hypo)'!CQ11,'Scen NotEffectivelyVax (hypo)'!CT11,'Scen NotEffectivelyVax (hypo)'!CW11,'Scen NotEffectivelyVax (hypo)'!CZ11,'Scen NotEffectivelyVax (hypo)'!DC11,'Scen NotEffectivelyVax (hypo)'!DF11,'Scen NotEffectivelyVax (hypo)'!DI11,'Scen NotEffectivelyVax (hypo)'!DL11,'Scen NotEffectivelyVax (hypo)'!DO11,'Scen NotEffectivelyVax (hypo)'!DR11,'Scen NotEffectivelyVax (hypo)'!DU11,'Scen NotEffectivelyVax (hypo)'!DX11,'Scen NotEffectivelyVax (hypo)'!EA11,'Scen NotEffectivelyVax (hypo)'!ED11,'Scen NotEffectivelyVax (hypo)'!EG11,'Scen NotEffectivelyVax (hypo)'!EJ11,'Scen NotEffectivelyVax (hypo)'!EM11,'Scen NotEffectivelyVax (hypo)'!EP11,'Scen NotEffectivelyVax (hypo)'!ES11,'Scen NotEffectivelyVax (hypo)'!EV11,'Scen NotEffectivelyVax (hypo)'!EY11,'Scen NotEffectivelyVax (hypo)'!FB11,'Scen NotEffectivelyVax (hypo)'!FE11,'Scen NotEffectivelyVax (hypo)'!FH11,'Scen NotEffectivelyVax (hypo)'!FK11,'Scen NotEffectivelyVax (hypo)'!FN11,'Scen NotEffectivelyVax (hypo)'!FQ11,'Scen NotEffectivelyVax (hypo)'!FT11,'Scen NotEffectivelyVax (hypo)'!FW11,'Scen NotEffectivelyVax (hypo)'!FZ11)</f>
        <v>#VALUE!</v>
      </c>
      <c r="Y11" s="142" t="e">
        <f t="shared" si="1"/>
        <v>#VALUE!</v>
      </c>
      <c r="Z11" s="142" t="e">
        <f>IF(Export!M9&lt;&gt;"",W11*Export!K9*(1/Export!M9),W11*Export!K9)</f>
        <v>#VALUE!</v>
      </c>
      <c r="AA11" s="139" t="e">
        <f>Y11*Export!J9</f>
        <v>#VALUE!</v>
      </c>
      <c r="AC11" s="143" t="e">
        <f t="shared" si="2"/>
        <v>#DIV/0!</v>
      </c>
      <c r="AD11" s="144" t="e">
        <f t="shared" si="13"/>
        <v>#VALUE!</v>
      </c>
      <c r="AE11" s="144" t="e">
        <f t="shared" si="3"/>
        <v>#VALUE!</v>
      </c>
      <c r="AF11" s="144" t="e">
        <f t="shared" si="4"/>
        <v>#VALUE!</v>
      </c>
      <c r="AG11" s="144" t="e">
        <f t="shared" si="5"/>
        <v>#DIV/0!</v>
      </c>
      <c r="AH11" s="145"/>
      <c r="AI11" s="145"/>
      <c r="AJ11" s="145"/>
      <c r="AK11" s="145"/>
      <c r="AL11" s="146"/>
      <c r="AM11" s="145"/>
      <c r="AN11" s="145"/>
      <c r="AO11" s="145"/>
      <c r="AP11" s="145"/>
      <c r="AQ11" s="146"/>
      <c r="AR11" s="145"/>
      <c r="AS11" s="145"/>
      <c r="AT11" s="145"/>
      <c r="AU11" s="145"/>
      <c r="AV11" s="146"/>
    </row>
    <row r="12" spans="1:48" x14ac:dyDescent="0.35">
      <c r="A12" s="130">
        <f>EffectivelyVax!B11</f>
        <v>0</v>
      </c>
      <c r="B12" s="131">
        <f>EffectivelyVax!C11</f>
        <v>0</v>
      </c>
      <c r="C12" s="132">
        <f>Export!N10</f>
        <v>0</v>
      </c>
      <c r="D12" s="133">
        <f>IF(Inputs!$F$10="1. Actual program", 'Current vaccine model'!W12, Export!C10)</f>
        <v>0</v>
      </c>
      <c r="E12" s="133" t="e">
        <f>D12*Export!L10</f>
        <v>#VALUE!</v>
      </c>
      <c r="F12" s="133" t="e">
        <f t="shared" si="6"/>
        <v>#VALUE!</v>
      </c>
      <c r="G12" s="133" t="e">
        <f>IF(Export!M10&lt;&gt;"",D12*Export!K10*(1/Export!M10),D12*Export!K10)</f>
        <v>#VALUE!</v>
      </c>
      <c r="H12" s="133" t="e">
        <f>F12*Export!J10</f>
        <v>#VALUE!</v>
      </c>
      <c r="I12" s="133" t="e">
        <f>I11-F12+(F4)</f>
        <v>#VALUE!</v>
      </c>
      <c r="J12" s="134" t="e">
        <f t="shared" si="8"/>
        <v>#VALUE!</v>
      </c>
      <c r="K12" s="135" t="e">
        <f t="shared" si="9"/>
        <v>#VALUE!</v>
      </c>
      <c r="L12" s="117">
        <f>'Scen EffectivelyVax'!A11</f>
        <v>0</v>
      </c>
      <c r="M12" s="115">
        <f>C12*L12*HelperFunctions!G$3</f>
        <v>0</v>
      </c>
      <c r="N12" s="116">
        <f>C12*L12*(1-HelperFunctions!G$3)</f>
        <v>0</v>
      </c>
      <c r="O12" s="136" t="e">
        <f>O11-S12-M12-N12+P12+(S4)+(Y4)</f>
        <v>#DIV/0!</v>
      </c>
      <c r="P12" s="137">
        <f>SUM('Scen EffectivelyVax'!D11:BK11)</f>
        <v>0</v>
      </c>
      <c r="Q12" s="138" t="e">
        <f t="shared" si="11"/>
        <v>#DIV/0!</v>
      </c>
      <c r="R12" s="138" t="e">
        <f t="shared" si="12"/>
        <v>#DIV/0!</v>
      </c>
      <c r="S12" s="137" t="e">
        <f t="shared" si="0"/>
        <v>#DIV/0!</v>
      </c>
      <c r="T12" s="138" t="e">
        <f>IF(Export!M10&lt;&gt;"",Q12*Export!K10*(1/Export!M10),Q12*Export!K10)</f>
        <v>#DIV/0!</v>
      </c>
      <c r="U12" s="139" t="e">
        <f>S12*Export!J10</f>
        <v>#DIV/0!</v>
      </c>
      <c r="V12" s="140" t="e">
        <f>SUM('Scen NotEffectivelyVax (hypo)'!F12,'Scen NotEffectivelyVax (hypo)'!I12,'Scen NotEffectivelyVax (hypo)'!L12,'Scen NotEffectivelyVax (hypo)'!O12,'Scen NotEffectivelyVax (hypo)'!R12,'Scen NotEffectivelyVax (hypo)'!U12,'Scen NotEffectivelyVax (hypo)'!X12,'Scen NotEffectivelyVax (hypo)'!AA12,'Scen NotEffectivelyVax (hypo)'!AD12,'Scen NotEffectivelyVax (hypo)'!AG12,'Scen NotEffectivelyVax (hypo)'!AJ12,'Scen NotEffectivelyVax (hypo)'!AM12,'Scen NotEffectivelyVax (hypo)'!AP12,'Scen NotEffectivelyVax (hypo)'!AS12,'Scen NotEffectivelyVax (hypo)'!AV12,'Scen NotEffectivelyVax (hypo)'!AY12,'Scen NotEffectivelyVax (hypo)'!BB12,'Scen NotEffectivelyVax (hypo)'!BE12,'Scen NotEffectivelyVax (hypo)'!BH12,'Scen NotEffectivelyVax (hypo)'!BK12,'Scen NotEffectivelyVax (hypo)'!BN12,'Scen NotEffectivelyVax (hypo)'!BQ12,'Scen NotEffectivelyVax (hypo)'!BT12,'Scen NotEffectivelyVax (hypo)'!BW12,'Scen NotEffectivelyVax (hypo)'!BZ12,'Scen NotEffectivelyVax (hypo)'!CC12,'Scen NotEffectivelyVax (hypo)'!CF12,'Scen NotEffectivelyVax (hypo)'!CI12,'Scen NotEffectivelyVax (hypo)'!CL12,'Scen NotEffectivelyVax (hypo)'!CO12,'Scen NotEffectivelyVax (hypo)'!CR12,'Scen NotEffectivelyVax (hypo)'!CU12,'Scen NotEffectivelyVax (hypo)'!CX12,'Scen NotEffectivelyVax (hypo)'!DA12,'Scen NotEffectivelyVax (hypo)'!DD12,'Scen NotEffectivelyVax (hypo)'!DG12,'Scen NotEffectivelyVax (hypo)'!DJ12,'Scen NotEffectivelyVax (hypo)'!DM12,'Scen NotEffectivelyVax (hypo)'!DQ12,'Scen NotEffectivelyVax (hypo)'!DP12,'Scen NotEffectivelyVax (hypo)'!DS12,'Scen NotEffectivelyVax (hypo)'!DV12,'Scen NotEffectivelyVax (hypo)'!DY12,'Scen NotEffectivelyVax (hypo)'!EB12,'Scen NotEffectivelyVax (hypo)'!EE12,'Scen NotEffectivelyVax (hypo)'!EH12,'Scen NotEffectivelyVax (hypo)'!EK12,'Scen NotEffectivelyVax (hypo)'!EN12,'Scen NotEffectivelyVax (hypo)'!EQ12,'Scen NotEffectivelyVax (hypo)'!ET12,'Scen NotEffectivelyVax (hypo)'!EW12,'Scen NotEffectivelyVax (hypo)'!EZ12,'Scen NotEffectivelyVax (hypo)'!FC12,'Scen NotEffectivelyVax (hypo)'!FF12,'Scen NotEffectivelyVax (hypo)'!FI12,'Scen NotEffectivelyVax (hypo)'!FL12,'Scen NotEffectivelyVax (hypo)'!FO12,'Scen NotEffectivelyVax (hypo)'!FR12,'Scen NotEffectivelyVax (hypo)'!FU12,'Scen NotEffectivelyVax (hypo)'!FX12,'Scen NotEffectivelyVax (hypo)'!GA12)</f>
        <v>#VALUE!</v>
      </c>
      <c r="W12" s="141" t="e">
        <f>SUM('Scen NotEffectivelyVax (hypo)'!D12,'Scen NotEffectivelyVax (hypo)'!G12,'Scen NotEffectivelyVax (hypo)'!J12,'Scen NotEffectivelyVax (hypo)'!M12,'Scen NotEffectivelyVax (hypo)'!P12,'Scen NotEffectivelyVax (hypo)'!S12,'Scen NotEffectivelyVax (hypo)'!V12,'Scen NotEffectivelyVax (hypo)'!Y12,'Scen NotEffectivelyVax (hypo)'!AB12,'Scen NotEffectivelyVax (hypo)'!AE12,'Scen NotEffectivelyVax (hypo)'!AH12,'Scen NotEffectivelyVax (hypo)'!AK12,'Scen NotEffectivelyVax (hypo)'!AN12,'Scen NotEffectivelyVax (hypo)'!AQ12,'Scen NotEffectivelyVax (hypo)'!AT12,'Scen NotEffectivelyVax (hypo)'!AW12,'Scen NotEffectivelyVax (hypo)'!AZ12,'Scen NotEffectivelyVax (hypo)'!BC12,'Scen NotEffectivelyVax (hypo)'!BF12,'Scen NotEffectivelyVax (hypo)'!BI12,'Scen NotEffectivelyVax (hypo)'!BL12,'Scen NotEffectivelyVax (hypo)'!BO12,'Scen NotEffectivelyVax (hypo)'!BR12,'Scen NotEffectivelyVax (hypo)'!BU12,'Scen NotEffectivelyVax (hypo)'!BX12,'Scen NotEffectivelyVax (hypo)'!CA12,'Scen NotEffectivelyVax (hypo)'!CD12,'Scen NotEffectivelyVax (hypo)'!CG12,'Scen NotEffectivelyVax (hypo)'!CJ12,'Scen NotEffectivelyVax (hypo)'!CM12,'Scen NotEffectivelyVax (hypo)'!CP12,'Scen NotEffectivelyVax (hypo)'!CS12,'Scen NotEffectivelyVax (hypo)'!CV12,'Scen NotEffectivelyVax (hypo)'!CY12,'Scen NotEffectivelyVax (hypo)'!DB12,'Scen NotEffectivelyVax (hypo)'!DE12,'Scen NotEffectivelyVax (hypo)'!DH12,'Scen NotEffectivelyVax (hypo)'!DK12,'Scen NotEffectivelyVax (hypo)'!DN12,'Scen NotEffectivelyVax (hypo)'!DQ12,'Scen NotEffectivelyVax (hypo)'!DT12,'Scen NotEffectivelyVax (hypo)'!DW12,'Scen NotEffectivelyVax (hypo)'!DZ12,'Scen NotEffectivelyVax (hypo)'!EC12,'Scen NotEffectivelyVax (hypo)'!EF12,'Scen NotEffectivelyVax (hypo)'!EI12,'Scen NotEffectivelyVax (hypo)'!EL12,'Scen NotEffectivelyVax (hypo)'!EO12,'Scen NotEffectivelyVax (hypo)'!ER12,'Scen NotEffectivelyVax (hypo)'!EU12,'Scen NotEffectivelyVax (hypo)'!EX12,'Scen NotEffectivelyVax (hypo)'!FA12,'Scen NotEffectivelyVax (hypo)'!FD12,'Scen NotEffectivelyVax (hypo)'!FG12,'Scen NotEffectivelyVax (hypo)'!FJ12,'Scen NotEffectivelyVax (hypo)'!FM12,'Scen NotEffectivelyVax (hypo)'!FP12,'Scen NotEffectivelyVax (hypo)'!FS12,'Scen NotEffectivelyVax (hypo)'!FV12,'Scen NotEffectivelyVax (hypo)'!FY12)</f>
        <v>#VALUE!</v>
      </c>
      <c r="X12" s="141" t="e">
        <f>SUM('Scen NotEffectivelyVax (hypo)'!E12,'Scen NotEffectivelyVax (hypo)'!H12,'Scen NotEffectivelyVax (hypo)'!K12,'Scen NotEffectivelyVax (hypo)'!N12,'Scen NotEffectivelyVax (hypo)'!Q12,'Scen NotEffectivelyVax (hypo)'!T12,'Scen NotEffectivelyVax (hypo)'!Z12,'Scen NotEffectivelyVax (hypo)'!W12,'Scen NotEffectivelyVax (hypo)'!AC12,'Scen NotEffectivelyVax (hypo)'!AF12,'Scen NotEffectivelyVax (hypo)'!AI12,'Scen NotEffectivelyVax (hypo)'!AL12,'Scen NotEffectivelyVax (hypo)'!AO12,'Scen NotEffectivelyVax (hypo)'!AR12,'Scen NotEffectivelyVax (hypo)'!AU12,'Scen NotEffectivelyVax (hypo)'!AX12,'Scen NotEffectivelyVax (hypo)'!BA12,'Scen NotEffectivelyVax (hypo)'!BD12,'Scen NotEffectivelyVax (hypo)'!BG12,'Scen NotEffectivelyVax (hypo)'!BJ12,'Scen NotEffectivelyVax (hypo)'!BM12,'Scen NotEffectivelyVax (hypo)'!BP12,'Scen NotEffectivelyVax (hypo)'!BS12,'Scen NotEffectivelyVax (hypo)'!BV12,'Scen NotEffectivelyVax (hypo)'!BY12,'Scen NotEffectivelyVax (hypo)'!CB12,'Scen NotEffectivelyVax (hypo)'!CE12,'Scen NotEffectivelyVax (hypo)'!CH12,'Scen NotEffectivelyVax (hypo)'!CK12,'Scen NotEffectivelyVax (hypo)'!CN12,'Scen NotEffectivelyVax (hypo)'!CQ12,'Scen NotEffectivelyVax (hypo)'!CT12,'Scen NotEffectivelyVax (hypo)'!CW12,'Scen NotEffectivelyVax (hypo)'!CZ12,'Scen NotEffectivelyVax (hypo)'!DC12,'Scen NotEffectivelyVax (hypo)'!DF12,'Scen NotEffectivelyVax (hypo)'!DI12,'Scen NotEffectivelyVax (hypo)'!DL12,'Scen NotEffectivelyVax (hypo)'!DO12,'Scen NotEffectivelyVax (hypo)'!DR12,'Scen NotEffectivelyVax (hypo)'!DU12,'Scen NotEffectivelyVax (hypo)'!DX12,'Scen NotEffectivelyVax (hypo)'!EA12,'Scen NotEffectivelyVax (hypo)'!ED12,'Scen NotEffectivelyVax (hypo)'!EG12,'Scen NotEffectivelyVax (hypo)'!EJ12,'Scen NotEffectivelyVax (hypo)'!EM12,'Scen NotEffectivelyVax (hypo)'!EP12,'Scen NotEffectivelyVax (hypo)'!ES12,'Scen NotEffectivelyVax (hypo)'!EV12,'Scen NotEffectivelyVax (hypo)'!EY12,'Scen NotEffectivelyVax (hypo)'!FB12,'Scen NotEffectivelyVax (hypo)'!FE12,'Scen NotEffectivelyVax (hypo)'!FH12,'Scen NotEffectivelyVax (hypo)'!FK12,'Scen NotEffectivelyVax (hypo)'!FN12,'Scen NotEffectivelyVax (hypo)'!FQ12,'Scen NotEffectivelyVax (hypo)'!FT12,'Scen NotEffectivelyVax (hypo)'!FW12,'Scen NotEffectivelyVax (hypo)'!FZ12)</f>
        <v>#VALUE!</v>
      </c>
      <c r="Y12" s="142" t="e">
        <f t="shared" si="1"/>
        <v>#VALUE!</v>
      </c>
      <c r="Z12" s="142" t="e">
        <f>IF(Export!M10&lt;&gt;"",W12*Export!K10*(1/Export!M10),W12*Export!K10)</f>
        <v>#VALUE!</v>
      </c>
      <c r="AA12" s="139" t="e">
        <f>Y12*Export!J10</f>
        <v>#VALUE!</v>
      </c>
      <c r="AC12" s="143" t="e">
        <f t="shared" si="2"/>
        <v>#DIV/0!</v>
      </c>
      <c r="AD12" s="144" t="e">
        <f t="shared" si="13"/>
        <v>#VALUE!</v>
      </c>
      <c r="AE12" s="144" t="e">
        <f t="shared" si="3"/>
        <v>#VALUE!</v>
      </c>
      <c r="AF12" s="144" t="e">
        <f t="shared" si="4"/>
        <v>#VALUE!</v>
      </c>
      <c r="AG12" s="144" t="e">
        <f t="shared" si="5"/>
        <v>#DIV/0!</v>
      </c>
      <c r="AH12" s="145"/>
      <c r="AI12" s="145"/>
      <c r="AJ12" s="145"/>
      <c r="AK12" s="145"/>
      <c r="AL12" s="146"/>
      <c r="AM12" s="145"/>
      <c r="AN12" s="145"/>
      <c r="AO12" s="145"/>
      <c r="AP12" s="145"/>
      <c r="AQ12" s="146"/>
      <c r="AR12" s="145"/>
      <c r="AS12" s="145"/>
      <c r="AT12" s="145"/>
      <c r="AU12" s="145"/>
      <c r="AV12" s="146"/>
    </row>
    <row r="13" spans="1:48" x14ac:dyDescent="0.35">
      <c r="A13" s="130">
        <f>EffectivelyVax!B12</f>
        <v>0</v>
      </c>
      <c r="B13" s="131">
        <f>EffectivelyVax!C12</f>
        <v>0</v>
      </c>
      <c r="C13" s="132">
        <f>Export!N11</f>
        <v>0</v>
      </c>
      <c r="D13" s="133">
        <f>IF(Inputs!$F$10="1. Actual program", 'Current vaccine model'!W13, Export!C11)</f>
        <v>0</v>
      </c>
      <c r="E13" s="133" t="e">
        <f>D13*Export!L11</f>
        <v>#VALUE!</v>
      </c>
      <c r="F13" s="133" t="e">
        <f t="shared" si="6"/>
        <v>#VALUE!</v>
      </c>
      <c r="G13" s="133" t="e">
        <f>IF(Export!M11&lt;&gt;"",D13*Export!K11*(1/Export!M11),D13*Export!K11)</f>
        <v>#VALUE!</v>
      </c>
      <c r="H13" s="133" t="e">
        <f>F13*Export!J11</f>
        <v>#VALUE!</v>
      </c>
      <c r="I13" s="133" t="e">
        <f t="shared" ref="I13:I63" si="14">I12-F13+(F5)</f>
        <v>#VALUE!</v>
      </c>
      <c r="J13" s="134" t="e">
        <f t="shared" si="8"/>
        <v>#VALUE!</v>
      </c>
      <c r="K13" s="135" t="e">
        <f t="shared" si="9"/>
        <v>#VALUE!</v>
      </c>
      <c r="L13" s="117">
        <f>'Scen EffectivelyVax'!A12</f>
        <v>0</v>
      </c>
      <c r="M13" s="115">
        <f>C13*L13*HelperFunctions!G$3</f>
        <v>0</v>
      </c>
      <c r="N13" s="116">
        <f>C13*L13*(1-HelperFunctions!G$3)</f>
        <v>0</v>
      </c>
      <c r="O13" s="136" t="e">
        <f t="shared" ref="O13:O63" si="15">O12-S13-M13-N13+P13+(S5)+(Y5)</f>
        <v>#DIV/0!</v>
      </c>
      <c r="P13" s="137">
        <f>SUM('Scen EffectivelyVax'!D12:BK12)</f>
        <v>0</v>
      </c>
      <c r="Q13" s="138" t="e">
        <f t="shared" si="11"/>
        <v>#DIV/0!</v>
      </c>
      <c r="R13" s="138" t="e">
        <f t="shared" si="12"/>
        <v>#DIV/0!</v>
      </c>
      <c r="S13" s="137" t="e">
        <f t="shared" si="0"/>
        <v>#DIV/0!</v>
      </c>
      <c r="T13" s="138" t="e">
        <f>IF(Export!M11&lt;&gt;"",Q13*Export!K11*(1/Export!M11),Q13*Export!K11)</f>
        <v>#DIV/0!</v>
      </c>
      <c r="U13" s="139" t="e">
        <f>S13*Export!J11</f>
        <v>#DIV/0!</v>
      </c>
      <c r="V13" s="140" t="e">
        <f>SUM('Scen NotEffectivelyVax (hypo)'!F13,'Scen NotEffectivelyVax (hypo)'!I13,'Scen NotEffectivelyVax (hypo)'!L13,'Scen NotEffectivelyVax (hypo)'!O13,'Scen NotEffectivelyVax (hypo)'!R13,'Scen NotEffectivelyVax (hypo)'!U13,'Scen NotEffectivelyVax (hypo)'!X13,'Scen NotEffectivelyVax (hypo)'!AA13,'Scen NotEffectivelyVax (hypo)'!AD13,'Scen NotEffectivelyVax (hypo)'!AG13,'Scen NotEffectivelyVax (hypo)'!AJ13,'Scen NotEffectivelyVax (hypo)'!AM13,'Scen NotEffectivelyVax (hypo)'!AP13,'Scen NotEffectivelyVax (hypo)'!AS13,'Scen NotEffectivelyVax (hypo)'!AV13,'Scen NotEffectivelyVax (hypo)'!AY13,'Scen NotEffectivelyVax (hypo)'!BB13,'Scen NotEffectivelyVax (hypo)'!BE13,'Scen NotEffectivelyVax (hypo)'!BH13,'Scen NotEffectivelyVax (hypo)'!BK13,'Scen NotEffectivelyVax (hypo)'!BN13,'Scen NotEffectivelyVax (hypo)'!BQ13,'Scen NotEffectivelyVax (hypo)'!BT13,'Scen NotEffectivelyVax (hypo)'!BW13,'Scen NotEffectivelyVax (hypo)'!BZ13,'Scen NotEffectivelyVax (hypo)'!CC13,'Scen NotEffectivelyVax (hypo)'!CF13,'Scen NotEffectivelyVax (hypo)'!CI13,'Scen NotEffectivelyVax (hypo)'!CL13,'Scen NotEffectivelyVax (hypo)'!CO13,'Scen NotEffectivelyVax (hypo)'!CR13,'Scen NotEffectivelyVax (hypo)'!CU13,'Scen NotEffectivelyVax (hypo)'!CX13,'Scen NotEffectivelyVax (hypo)'!DA13,'Scen NotEffectivelyVax (hypo)'!DD13,'Scen NotEffectivelyVax (hypo)'!DG13,'Scen NotEffectivelyVax (hypo)'!DJ13,'Scen NotEffectivelyVax (hypo)'!DM13,'Scen NotEffectivelyVax (hypo)'!DQ13,'Scen NotEffectivelyVax (hypo)'!DP13,'Scen NotEffectivelyVax (hypo)'!DS13,'Scen NotEffectivelyVax (hypo)'!DV13,'Scen NotEffectivelyVax (hypo)'!DY13,'Scen NotEffectivelyVax (hypo)'!EB13,'Scen NotEffectivelyVax (hypo)'!EE13,'Scen NotEffectivelyVax (hypo)'!EH13,'Scen NotEffectivelyVax (hypo)'!EK13,'Scen NotEffectivelyVax (hypo)'!EN13,'Scen NotEffectivelyVax (hypo)'!EQ13,'Scen NotEffectivelyVax (hypo)'!ET13,'Scen NotEffectivelyVax (hypo)'!EW13,'Scen NotEffectivelyVax (hypo)'!EZ13,'Scen NotEffectivelyVax (hypo)'!FC13,'Scen NotEffectivelyVax (hypo)'!FF13,'Scen NotEffectivelyVax (hypo)'!FI13,'Scen NotEffectivelyVax (hypo)'!FL13,'Scen NotEffectivelyVax (hypo)'!FO13,'Scen NotEffectivelyVax (hypo)'!FR13,'Scen NotEffectivelyVax (hypo)'!FU13,'Scen NotEffectivelyVax (hypo)'!FX13,'Scen NotEffectivelyVax (hypo)'!GA13)</f>
        <v>#VALUE!</v>
      </c>
      <c r="W13" s="141" t="e">
        <f>SUM('Scen NotEffectivelyVax (hypo)'!D13,'Scen NotEffectivelyVax (hypo)'!G13,'Scen NotEffectivelyVax (hypo)'!J13,'Scen NotEffectivelyVax (hypo)'!M13,'Scen NotEffectivelyVax (hypo)'!P13,'Scen NotEffectivelyVax (hypo)'!S13,'Scen NotEffectivelyVax (hypo)'!V13,'Scen NotEffectivelyVax (hypo)'!Y13,'Scen NotEffectivelyVax (hypo)'!AB13,'Scen NotEffectivelyVax (hypo)'!AE13,'Scen NotEffectivelyVax (hypo)'!AH13,'Scen NotEffectivelyVax (hypo)'!AK13,'Scen NotEffectivelyVax (hypo)'!AN13,'Scen NotEffectivelyVax (hypo)'!AQ13,'Scen NotEffectivelyVax (hypo)'!AT13,'Scen NotEffectivelyVax (hypo)'!AW13,'Scen NotEffectivelyVax (hypo)'!AZ13,'Scen NotEffectivelyVax (hypo)'!BC13,'Scen NotEffectivelyVax (hypo)'!BF13,'Scen NotEffectivelyVax (hypo)'!BI13,'Scen NotEffectivelyVax (hypo)'!BL13,'Scen NotEffectivelyVax (hypo)'!BO13,'Scen NotEffectivelyVax (hypo)'!BR13,'Scen NotEffectivelyVax (hypo)'!BU13,'Scen NotEffectivelyVax (hypo)'!BX13,'Scen NotEffectivelyVax (hypo)'!CA13,'Scen NotEffectivelyVax (hypo)'!CD13,'Scen NotEffectivelyVax (hypo)'!CG13,'Scen NotEffectivelyVax (hypo)'!CJ13,'Scen NotEffectivelyVax (hypo)'!CM13,'Scen NotEffectivelyVax (hypo)'!CP13,'Scen NotEffectivelyVax (hypo)'!CS13,'Scen NotEffectivelyVax (hypo)'!CV13,'Scen NotEffectivelyVax (hypo)'!CY13,'Scen NotEffectivelyVax (hypo)'!DB13,'Scen NotEffectivelyVax (hypo)'!DE13,'Scen NotEffectivelyVax (hypo)'!DH13,'Scen NotEffectivelyVax (hypo)'!DK13,'Scen NotEffectivelyVax (hypo)'!DN13,'Scen NotEffectivelyVax (hypo)'!DQ13,'Scen NotEffectivelyVax (hypo)'!DT13,'Scen NotEffectivelyVax (hypo)'!DW13,'Scen NotEffectivelyVax (hypo)'!DZ13,'Scen NotEffectivelyVax (hypo)'!EC13,'Scen NotEffectivelyVax (hypo)'!EF13,'Scen NotEffectivelyVax (hypo)'!EI13,'Scen NotEffectivelyVax (hypo)'!EL13,'Scen NotEffectivelyVax (hypo)'!EO13,'Scen NotEffectivelyVax (hypo)'!ER13,'Scen NotEffectivelyVax (hypo)'!EU13,'Scen NotEffectivelyVax (hypo)'!EX13,'Scen NotEffectivelyVax (hypo)'!FA13,'Scen NotEffectivelyVax (hypo)'!FD13,'Scen NotEffectivelyVax (hypo)'!FG13,'Scen NotEffectivelyVax (hypo)'!FJ13,'Scen NotEffectivelyVax (hypo)'!FM13,'Scen NotEffectivelyVax (hypo)'!FP13,'Scen NotEffectivelyVax (hypo)'!FS13,'Scen NotEffectivelyVax (hypo)'!FV13,'Scen NotEffectivelyVax (hypo)'!FY13)</f>
        <v>#VALUE!</v>
      </c>
      <c r="X13" s="141" t="e">
        <f>SUM('Scen NotEffectivelyVax (hypo)'!E13,'Scen NotEffectivelyVax (hypo)'!H13,'Scen NotEffectivelyVax (hypo)'!K13,'Scen NotEffectivelyVax (hypo)'!N13,'Scen NotEffectivelyVax (hypo)'!Q13,'Scen NotEffectivelyVax (hypo)'!T13,'Scen NotEffectivelyVax (hypo)'!Z13,'Scen NotEffectivelyVax (hypo)'!W13,'Scen NotEffectivelyVax (hypo)'!AC13,'Scen NotEffectivelyVax (hypo)'!AF13,'Scen NotEffectivelyVax (hypo)'!AI13,'Scen NotEffectivelyVax (hypo)'!AL13,'Scen NotEffectivelyVax (hypo)'!AO13,'Scen NotEffectivelyVax (hypo)'!AR13,'Scen NotEffectivelyVax (hypo)'!AU13,'Scen NotEffectivelyVax (hypo)'!AX13,'Scen NotEffectivelyVax (hypo)'!BA13,'Scen NotEffectivelyVax (hypo)'!BD13,'Scen NotEffectivelyVax (hypo)'!BG13,'Scen NotEffectivelyVax (hypo)'!BJ13,'Scen NotEffectivelyVax (hypo)'!BM13,'Scen NotEffectivelyVax (hypo)'!BP13,'Scen NotEffectivelyVax (hypo)'!BS13,'Scen NotEffectivelyVax (hypo)'!BV13,'Scen NotEffectivelyVax (hypo)'!BY13,'Scen NotEffectivelyVax (hypo)'!CB13,'Scen NotEffectivelyVax (hypo)'!CE13,'Scen NotEffectivelyVax (hypo)'!CH13,'Scen NotEffectivelyVax (hypo)'!CK13,'Scen NotEffectivelyVax (hypo)'!CN13,'Scen NotEffectivelyVax (hypo)'!CQ13,'Scen NotEffectivelyVax (hypo)'!CT13,'Scen NotEffectivelyVax (hypo)'!CW13,'Scen NotEffectivelyVax (hypo)'!CZ13,'Scen NotEffectivelyVax (hypo)'!DC13,'Scen NotEffectivelyVax (hypo)'!DF13,'Scen NotEffectivelyVax (hypo)'!DI13,'Scen NotEffectivelyVax (hypo)'!DL13,'Scen NotEffectivelyVax (hypo)'!DO13,'Scen NotEffectivelyVax (hypo)'!DR13,'Scen NotEffectivelyVax (hypo)'!DU13,'Scen NotEffectivelyVax (hypo)'!DX13,'Scen NotEffectivelyVax (hypo)'!EA13,'Scen NotEffectivelyVax (hypo)'!ED13,'Scen NotEffectivelyVax (hypo)'!EG13,'Scen NotEffectivelyVax (hypo)'!EJ13,'Scen NotEffectivelyVax (hypo)'!EM13,'Scen NotEffectivelyVax (hypo)'!EP13,'Scen NotEffectivelyVax (hypo)'!ES13,'Scen NotEffectivelyVax (hypo)'!EV13,'Scen NotEffectivelyVax (hypo)'!EY13,'Scen NotEffectivelyVax (hypo)'!FB13,'Scen NotEffectivelyVax (hypo)'!FE13,'Scen NotEffectivelyVax (hypo)'!FH13,'Scen NotEffectivelyVax (hypo)'!FK13,'Scen NotEffectivelyVax (hypo)'!FN13,'Scen NotEffectivelyVax (hypo)'!FQ13,'Scen NotEffectivelyVax (hypo)'!FT13,'Scen NotEffectivelyVax (hypo)'!FW13,'Scen NotEffectivelyVax (hypo)'!FZ13)</f>
        <v>#VALUE!</v>
      </c>
      <c r="Y13" s="142" t="e">
        <f t="shared" si="1"/>
        <v>#VALUE!</v>
      </c>
      <c r="Z13" s="142" t="e">
        <f>IF(Export!M11&lt;&gt;"",W13*Export!K11*(1/Export!M11),W13*Export!K11)</f>
        <v>#VALUE!</v>
      </c>
      <c r="AA13" s="139" t="e">
        <f>Y13*Export!J11</f>
        <v>#VALUE!</v>
      </c>
      <c r="AC13" s="143" t="e">
        <f t="shared" si="2"/>
        <v>#DIV/0!</v>
      </c>
      <c r="AD13" s="144" t="e">
        <f t="shared" si="13"/>
        <v>#VALUE!</v>
      </c>
      <c r="AE13" s="144" t="e">
        <f t="shared" si="3"/>
        <v>#VALUE!</v>
      </c>
      <c r="AF13" s="144" t="e">
        <f t="shared" si="4"/>
        <v>#VALUE!</v>
      </c>
      <c r="AG13" s="144" t="e">
        <f t="shared" si="5"/>
        <v>#DIV/0!</v>
      </c>
      <c r="AH13" s="145"/>
      <c r="AI13" s="145"/>
      <c r="AJ13" s="145"/>
      <c r="AK13" s="145"/>
      <c r="AL13" s="146"/>
      <c r="AM13" s="145"/>
      <c r="AN13" s="145"/>
      <c r="AO13" s="145"/>
      <c r="AP13" s="145"/>
      <c r="AQ13" s="146"/>
      <c r="AR13" s="145"/>
      <c r="AS13" s="145"/>
      <c r="AT13" s="145"/>
      <c r="AU13" s="145"/>
      <c r="AV13" s="146"/>
    </row>
    <row r="14" spans="1:48" x14ac:dyDescent="0.35">
      <c r="A14" s="130">
        <f>EffectivelyVax!B13</f>
        <v>0</v>
      </c>
      <c r="B14" s="131">
        <f>EffectivelyVax!C13</f>
        <v>0</v>
      </c>
      <c r="C14" s="132">
        <f>Export!N12</f>
        <v>0</v>
      </c>
      <c r="D14" s="133">
        <f>IF(Inputs!$F$10="1. Actual program", 'Current vaccine model'!W14, Export!C12)</f>
        <v>0</v>
      </c>
      <c r="E14" s="133" t="e">
        <f>D14*Export!L12</f>
        <v>#VALUE!</v>
      </c>
      <c r="F14" s="133" t="e">
        <f t="shared" si="6"/>
        <v>#VALUE!</v>
      </c>
      <c r="G14" s="133" t="e">
        <f>IF(Export!M12&lt;&gt;"",D14*Export!K12*(1/Export!M12),D14*Export!K12)</f>
        <v>#VALUE!</v>
      </c>
      <c r="H14" s="133" t="e">
        <f>F14*Export!J12</f>
        <v>#VALUE!</v>
      </c>
      <c r="I14" s="133" t="e">
        <f t="shared" si="14"/>
        <v>#VALUE!</v>
      </c>
      <c r="J14" s="134" t="e">
        <f t="shared" si="8"/>
        <v>#VALUE!</v>
      </c>
      <c r="K14" s="135" t="e">
        <f t="shared" si="9"/>
        <v>#VALUE!</v>
      </c>
      <c r="L14" s="117">
        <f>'Scen EffectivelyVax'!A13</f>
        <v>0</v>
      </c>
      <c r="M14" s="115">
        <f>C14*L14*HelperFunctions!G$3</f>
        <v>0</v>
      </c>
      <c r="N14" s="116">
        <f>C14*L14*(1-HelperFunctions!G$3)</f>
        <v>0</v>
      </c>
      <c r="O14" s="136" t="e">
        <f t="shared" si="15"/>
        <v>#DIV/0!</v>
      </c>
      <c r="P14" s="137">
        <f>SUM('Scen EffectivelyVax'!D13:BK13)</f>
        <v>0</v>
      </c>
      <c r="Q14" s="138" t="e">
        <f t="shared" si="11"/>
        <v>#DIV/0!</v>
      </c>
      <c r="R14" s="138" t="e">
        <f t="shared" si="12"/>
        <v>#DIV/0!</v>
      </c>
      <c r="S14" s="137" t="e">
        <f t="shared" si="0"/>
        <v>#DIV/0!</v>
      </c>
      <c r="T14" s="138" t="e">
        <f>IF(Export!M12&lt;&gt;"",Q14*Export!K12*(1/Export!M12),Q14*Export!K12)</f>
        <v>#DIV/0!</v>
      </c>
      <c r="U14" s="139" t="e">
        <f>S14*Export!J12</f>
        <v>#DIV/0!</v>
      </c>
      <c r="V14" s="140" t="e">
        <f>SUM('Scen NotEffectivelyVax (hypo)'!F14,'Scen NotEffectivelyVax (hypo)'!I14,'Scen NotEffectivelyVax (hypo)'!L14,'Scen NotEffectivelyVax (hypo)'!O14,'Scen NotEffectivelyVax (hypo)'!R14,'Scen NotEffectivelyVax (hypo)'!U14,'Scen NotEffectivelyVax (hypo)'!X14,'Scen NotEffectivelyVax (hypo)'!AA14,'Scen NotEffectivelyVax (hypo)'!AD14,'Scen NotEffectivelyVax (hypo)'!AG14,'Scen NotEffectivelyVax (hypo)'!AJ14,'Scen NotEffectivelyVax (hypo)'!AM14,'Scen NotEffectivelyVax (hypo)'!AP14,'Scen NotEffectivelyVax (hypo)'!AS14,'Scen NotEffectivelyVax (hypo)'!AV14,'Scen NotEffectivelyVax (hypo)'!AY14,'Scen NotEffectivelyVax (hypo)'!BB14,'Scen NotEffectivelyVax (hypo)'!BE14,'Scen NotEffectivelyVax (hypo)'!BH14,'Scen NotEffectivelyVax (hypo)'!BK14,'Scen NotEffectivelyVax (hypo)'!BN14,'Scen NotEffectivelyVax (hypo)'!BQ14,'Scen NotEffectivelyVax (hypo)'!BT14,'Scen NotEffectivelyVax (hypo)'!BW14,'Scen NotEffectivelyVax (hypo)'!BZ14,'Scen NotEffectivelyVax (hypo)'!CC14,'Scen NotEffectivelyVax (hypo)'!CF14,'Scen NotEffectivelyVax (hypo)'!CI14,'Scen NotEffectivelyVax (hypo)'!CL14,'Scen NotEffectivelyVax (hypo)'!CO14,'Scen NotEffectivelyVax (hypo)'!CR14,'Scen NotEffectivelyVax (hypo)'!CU14,'Scen NotEffectivelyVax (hypo)'!CX14,'Scen NotEffectivelyVax (hypo)'!DA14,'Scen NotEffectivelyVax (hypo)'!DD14,'Scen NotEffectivelyVax (hypo)'!DG14,'Scen NotEffectivelyVax (hypo)'!DJ14,'Scen NotEffectivelyVax (hypo)'!DM14,'Scen NotEffectivelyVax (hypo)'!DQ14,'Scen NotEffectivelyVax (hypo)'!DP14,'Scen NotEffectivelyVax (hypo)'!DS14,'Scen NotEffectivelyVax (hypo)'!DV14,'Scen NotEffectivelyVax (hypo)'!DY14,'Scen NotEffectivelyVax (hypo)'!EB14,'Scen NotEffectivelyVax (hypo)'!EE14,'Scen NotEffectivelyVax (hypo)'!EH14,'Scen NotEffectivelyVax (hypo)'!EK14,'Scen NotEffectivelyVax (hypo)'!EN14,'Scen NotEffectivelyVax (hypo)'!EQ14,'Scen NotEffectivelyVax (hypo)'!ET14,'Scen NotEffectivelyVax (hypo)'!EW14,'Scen NotEffectivelyVax (hypo)'!EZ14,'Scen NotEffectivelyVax (hypo)'!FC14,'Scen NotEffectivelyVax (hypo)'!FF14,'Scen NotEffectivelyVax (hypo)'!FI14,'Scen NotEffectivelyVax (hypo)'!FL14,'Scen NotEffectivelyVax (hypo)'!FO14,'Scen NotEffectivelyVax (hypo)'!FR14,'Scen NotEffectivelyVax (hypo)'!FU14,'Scen NotEffectivelyVax (hypo)'!FX14,'Scen NotEffectivelyVax (hypo)'!GA14)</f>
        <v>#VALUE!</v>
      </c>
      <c r="W14" s="141" t="e">
        <f>SUM('Scen NotEffectivelyVax (hypo)'!D14,'Scen NotEffectivelyVax (hypo)'!G14,'Scen NotEffectivelyVax (hypo)'!J14,'Scen NotEffectivelyVax (hypo)'!M14,'Scen NotEffectivelyVax (hypo)'!P14,'Scen NotEffectivelyVax (hypo)'!S14,'Scen NotEffectivelyVax (hypo)'!V14,'Scen NotEffectivelyVax (hypo)'!Y14,'Scen NotEffectivelyVax (hypo)'!AB14,'Scen NotEffectivelyVax (hypo)'!AE14,'Scen NotEffectivelyVax (hypo)'!AH14,'Scen NotEffectivelyVax (hypo)'!AK14,'Scen NotEffectivelyVax (hypo)'!AN14,'Scen NotEffectivelyVax (hypo)'!AQ14,'Scen NotEffectivelyVax (hypo)'!AT14,'Scen NotEffectivelyVax (hypo)'!AW14,'Scen NotEffectivelyVax (hypo)'!AZ14,'Scen NotEffectivelyVax (hypo)'!BC14,'Scen NotEffectivelyVax (hypo)'!BF14,'Scen NotEffectivelyVax (hypo)'!BI14,'Scen NotEffectivelyVax (hypo)'!BL14,'Scen NotEffectivelyVax (hypo)'!BO14,'Scen NotEffectivelyVax (hypo)'!BR14,'Scen NotEffectivelyVax (hypo)'!BU14,'Scen NotEffectivelyVax (hypo)'!BX14,'Scen NotEffectivelyVax (hypo)'!CA14,'Scen NotEffectivelyVax (hypo)'!CD14,'Scen NotEffectivelyVax (hypo)'!CG14,'Scen NotEffectivelyVax (hypo)'!CJ14,'Scen NotEffectivelyVax (hypo)'!CM14,'Scen NotEffectivelyVax (hypo)'!CP14,'Scen NotEffectivelyVax (hypo)'!CS14,'Scen NotEffectivelyVax (hypo)'!CV14,'Scen NotEffectivelyVax (hypo)'!CY14,'Scen NotEffectivelyVax (hypo)'!DB14,'Scen NotEffectivelyVax (hypo)'!DE14,'Scen NotEffectivelyVax (hypo)'!DH14,'Scen NotEffectivelyVax (hypo)'!DK14,'Scen NotEffectivelyVax (hypo)'!DN14,'Scen NotEffectivelyVax (hypo)'!DQ14,'Scen NotEffectivelyVax (hypo)'!DT14,'Scen NotEffectivelyVax (hypo)'!DW14,'Scen NotEffectivelyVax (hypo)'!DZ14,'Scen NotEffectivelyVax (hypo)'!EC14,'Scen NotEffectivelyVax (hypo)'!EF14,'Scen NotEffectivelyVax (hypo)'!EI14,'Scen NotEffectivelyVax (hypo)'!EL14,'Scen NotEffectivelyVax (hypo)'!EO14,'Scen NotEffectivelyVax (hypo)'!ER14,'Scen NotEffectivelyVax (hypo)'!EU14,'Scen NotEffectivelyVax (hypo)'!EX14,'Scen NotEffectivelyVax (hypo)'!FA14,'Scen NotEffectivelyVax (hypo)'!FD14,'Scen NotEffectivelyVax (hypo)'!FG14,'Scen NotEffectivelyVax (hypo)'!FJ14,'Scen NotEffectivelyVax (hypo)'!FM14,'Scen NotEffectivelyVax (hypo)'!FP14,'Scen NotEffectivelyVax (hypo)'!FS14,'Scen NotEffectivelyVax (hypo)'!FV14,'Scen NotEffectivelyVax (hypo)'!FY14)</f>
        <v>#VALUE!</v>
      </c>
      <c r="X14" s="141" t="e">
        <f>SUM('Scen NotEffectivelyVax (hypo)'!E14,'Scen NotEffectivelyVax (hypo)'!H14,'Scen NotEffectivelyVax (hypo)'!K14,'Scen NotEffectivelyVax (hypo)'!N14,'Scen NotEffectivelyVax (hypo)'!Q14,'Scen NotEffectivelyVax (hypo)'!T14,'Scen NotEffectivelyVax (hypo)'!Z14,'Scen NotEffectivelyVax (hypo)'!W14,'Scen NotEffectivelyVax (hypo)'!AC14,'Scen NotEffectivelyVax (hypo)'!AF14,'Scen NotEffectivelyVax (hypo)'!AI14,'Scen NotEffectivelyVax (hypo)'!AL14,'Scen NotEffectivelyVax (hypo)'!AO14,'Scen NotEffectivelyVax (hypo)'!AR14,'Scen NotEffectivelyVax (hypo)'!AU14,'Scen NotEffectivelyVax (hypo)'!AX14,'Scen NotEffectivelyVax (hypo)'!BA14,'Scen NotEffectivelyVax (hypo)'!BD14,'Scen NotEffectivelyVax (hypo)'!BG14,'Scen NotEffectivelyVax (hypo)'!BJ14,'Scen NotEffectivelyVax (hypo)'!BM14,'Scen NotEffectivelyVax (hypo)'!BP14,'Scen NotEffectivelyVax (hypo)'!BS14,'Scen NotEffectivelyVax (hypo)'!BV14,'Scen NotEffectivelyVax (hypo)'!BY14,'Scen NotEffectivelyVax (hypo)'!CB14,'Scen NotEffectivelyVax (hypo)'!CE14,'Scen NotEffectivelyVax (hypo)'!CH14,'Scen NotEffectivelyVax (hypo)'!CK14,'Scen NotEffectivelyVax (hypo)'!CN14,'Scen NotEffectivelyVax (hypo)'!CQ14,'Scen NotEffectivelyVax (hypo)'!CT14,'Scen NotEffectivelyVax (hypo)'!CW14,'Scen NotEffectivelyVax (hypo)'!CZ14,'Scen NotEffectivelyVax (hypo)'!DC14,'Scen NotEffectivelyVax (hypo)'!DF14,'Scen NotEffectivelyVax (hypo)'!DI14,'Scen NotEffectivelyVax (hypo)'!DL14,'Scen NotEffectivelyVax (hypo)'!DO14,'Scen NotEffectivelyVax (hypo)'!DR14,'Scen NotEffectivelyVax (hypo)'!DU14,'Scen NotEffectivelyVax (hypo)'!DX14,'Scen NotEffectivelyVax (hypo)'!EA14,'Scen NotEffectivelyVax (hypo)'!ED14,'Scen NotEffectivelyVax (hypo)'!EG14,'Scen NotEffectivelyVax (hypo)'!EJ14,'Scen NotEffectivelyVax (hypo)'!EM14,'Scen NotEffectivelyVax (hypo)'!EP14,'Scen NotEffectivelyVax (hypo)'!ES14,'Scen NotEffectivelyVax (hypo)'!EV14,'Scen NotEffectivelyVax (hypo)'!EY14,'Scen NotEffectivelyVax (hypo)'!FB14,'Scen NotEffectivelyVax (hypo)'!FE14,'Scen NotEffectivelyVax (hypo)'!FH14,'Scen NotEffectivelyVax (hypo)'!FK14,'Scen NotEffectivelyVax (hypo)'!FN14,'Scen NotEffectivelyVax (hypo)'!FQ14,'Scen NotEffectivelyVax (hypo)'!FT14,'Scen NotEffectivelyVax (hypo)'!FW14,'Scen NotEffectivelyVax (hypo)'!FZ14)</f>
        <v>#VALUE!</v>
      </c>
      <c r="Y14" s="142" t="e">
        <f t="shared" si="1"/>
        <v>#VALUE!</v>
      </c>
      <c r="Z14" s="142" t="e">
        <f>IF(Export!M12&lt;&gt;"",W14*Export!K12*(1/Export!M12),W14*Export!K12)</f>
        <v>#VALUE!</v>
      </c>
      <c r="AA14" s="139" t="e">
        <f>Y14*Export!J12</f>
        <v>#VALUE!</v>
      </c>
      <c r="AC14" s="143" t="e">
        <f t="shared" si="2"/>
        <v>#DIV/0!</v>
      </c>
      <c r="AD14" s="144" t="e">
        <f t="shared" si="13"/>
        <v>#VALUE!</v>
      </c>
      <c r="AE14" s="144" t="e">
        <f t="shared" si="3"/>
        <v>#VALUE!</v>
      </c>
      <c r="AF14" s="144" t="e">
        <f t="shared" si="4"/>
        <v>#VALUE!</v>
      </c>
      <c r="AG14" s="144" t="e">
        <f t="shared" si="5"/>
        <v>#DIV/0!</v>
      </c>
      <c r="AH14" s="145"/>
      <c r="AI14" s="145"/>
      <c r="AJ14" s="145"/>
      <c r="AK14" s="145"/>
      <c r="AL14" s="146"/>
      <c r="AM14" s="145"/>
      <c r="AN14" s="145"/>
      <c r="AO14" s="145"/>
      <c r="AP14" s="145"/>
      <c r="AQ14" s="146"/>
      <c r="AR14" s="145"/>
      <c r="AS14" s="145"/>
      <c r="AT14" s="145"/>
      <c r="AU14" s="145"/>
      <c r="AV14" s="146"/>
    </row>
    <row r="15" spans="1:48" ht="15.75" customHeight="1" x14ac:dyDescent="0.35">
      <c r="A15" s="95">
        <f>EffectivelyVax!B14</f>
        <v>0</v>
      </c>
      <c r="B15" s="96">
        <f>EffectivelyVax!C14</f>
        <v>0</v>
      </c>
      <c r="C15" s="97">
        <f>Export!N13</f>
        <v>0</v>
      </c>
      <c r="D15" s="98">
        <f>IF(Inputs!$F$10="1. Actual program", 'Current vaccine model'!W15, Export!C13)</f>
        <v>0</v>
      </c>
      <c r="E15" s="98" t="e">
        <f>D15*Export!L13</f>
        <v>#VALUE!</v>
      </c>
      <c r="F15" s="98" t="e">
        <f t="shared" si="6"/>
        <v>#VALUE!</v>
      </c>
      <c r="G15" s="98" t="e">
        <f>IF(Export!M13&lt;&gt;"",D15*Export!K13*(1/Export!M13),D15*Export!K13)</f>
        <v>#VALUE!</v>
      </c>
      <c r="H15" s="98" t="e">
        <f>F15*Export!J13</f>
        <v>#VALUE!</v>
      </c>
      <c r="I15" s="98" t="e">
        <f t="shared" si="14"/>
        <v>#VALUE!</v>
      </c>
      <c r="J15" s="99" t="e">
        <f t="shared" si="8"/>
        <v>#VALUE!</v>
      </c>
      <c r="K15" s="100" t="e">
        <f t="shared" si="9"/>
        <v>#VALUE!</v>
      </c>
      <c r="L15" s="101">
        <f>'Scen EffectivelyVax'!A14</f>
        <v>0</v>
      </c>
      <c r="M15" s="102">
        <f>C15*L15*HelperFunctions!G$3</f>
        <v>0</v>
      </c>
      <c r="N15" s="103">
        <f>C15*L15*(1-HelperFunctions!G$3)</f>
        <v>0</v>
      </c>
      <c r="O15" s="104" t="e">
        <f t="shared" si="15"/>
        <v>#DIV/0!</v>
      </c>
      <c r="P15" s="105">
        <f>SUM('Scen EffectivelyVax'!D14:BK14)</f>
        <v>0</v>
      </c>
      <c r="Q15" s="106" t="e">
        <f t="shared" si="11"/>
        <v>#DIV/0!</v>
      </c>
      <c r="R15" s="106" t="e">
        <f t="shared" si="12"/>
        <v>#DIV/0!</v>
      </c>
      <c r="S15" s="105" t="e">
        <f t="shared" si="0"/>
        <v>#DIV/0!</v>
      </c>
      <c r="T15" s="106" t="e">
        <f>IF(Export!M13&lt;&gt;"",Q15*Export!K13*(1/Export!M13),Q15*Export!K13)</f>
        <v>#DIV/0!</v>
      </c>
      <c r="U15" s="107" t="e">
        <f>S15*Export!J13</f>
        <v>#DIV/0!</v>
      </c>
      <c r="V15" s="108" t="e">
        <f>SUM('Scen NotEffectivelyVax (hypo)'!F15,'Scen NotEffectivelyVax (hypo)'!I15,'Scen NotEffectivelyVax (hypo)'!L15,'Scen NotEffectivelyVax (hypo)'!O15,'Scen NotEffectivelyVax (hypo)'!R15,'Scen NotEffectivelyVax (hypo)'!U15,'Scen NotEffectivelyVax (hypo)'!X15,'Scen NotEffectivelyVax (hypo)'!AA15,'Scen NotEffectivelyVax (hypo)'!AD15,'Scen NotEffectivelyVax (hypo)'!AG15,'Scen NotEffectivelyVax (hypo)'!AJ15,'Scen NotEffectivelyVax (hypo)'!AM15,'Scen NotEffectivelyVax (hypo)'!AP15,'Scen NotEffectivelyVax (hypo)'!AS15,'Scen NotEffectivelyVax (hypo)'!AV15,'Scen NotEffectivelyVax (hypo)'!AY15,'Scen NotEffectivelyVax (hypo)'!BB15,'Scen NotEffectivelyVax (hypo)'!BE15,'Scen NotEffectivelyVax (hypo)'!BH15,'Scen NotEffectivelyVax (hypo)'!BK15,'Scen NotEffectivelyVax (hypo)'!BN15,'Scen NotEffectivelyVax (hypo)'!BQ15,'Scen NotEffectivelyVax (hypo)'!BT15,'Scen NotEffectivelyVax (hypo)'!BW15,'Scen NotEffectivelyVax (hypo)'!BZ15,'Scen NotEffectivelyVax (hypo)'!CC15,'Scen NotEffectivelyVax (hypo)'!CF15,'Scen NotEffectivelyVax (hypo)'!CI15,'Scen NotEffectivelyVax (hypo)'!CL15,'Scen NotEffectivelyVax (hypo)'!CO15,'Scen NotEffectivelyVax (hypo)'!CR15,'Scen NotEffectivelyVax (hypo)'!CU15,'Scen NotEffectivelyVax (hypo)'!CX15,'Scen NotEffectivelyVax (hypo)'!DA15,'Scen NotEffectivelyVax (hypo)'!DD15,'Scen NotEffectivelyVax (hypo)'!DG15,'Scen NotEffectivelyVax (hypo)'!DJ15,'Scen NotEffectivelyVax (hypo)'!DM15,'Scen NotEffectivelyVax (hypo)'!DQ15,'Scen NotEffectivelyVax (hypo)'!DP15,'Scen NotEffectivelyVax (hypo)'!DS15,'Scen NotEffectivelyVax (hypo)'!DV15,'Scen NotEffectivelyVax (hypo)'!DY15,'Scen NotEffectivelyVax (hypo)'!EB15,'Scen NotEffectivelyVax (hypo)'!EE15,'Scen NotEffectivelyVax (hypo)'!EH15,'Scen NotEffectivelyVax (hypo)'!EK15,'Scen NotEffectivelyVax (hypo)'!EN15,'Scen NotEffectivelyVax (hypo)'!EQ15,'Scen NotEffectivelyVax (hypo)'!ET15,'Scen NotEffectivelyVax (hypo)'!EW15,'Scen NotEffectivelyVax (hypo)'!EZ15,'Scen NotEffectivelyVax (hypo)'!FC15,'Scen NotEffectivelyVax (hypo)'!FF15,'Scen NotEffectivelyVax (hypo)'!FI15,'Scen NotEffectivelyVax (hypo)'!FL15,'Scen NotEffectivelyVax (hypo)'!FO15,'Scen NotEffectivelyVax (hypo)'!FR15,'Scen NotEffectivelyVax (hypo)'!FU15,'Scen NotEffectivelyVax (hypo)'!FX15,'Scen NotEffectivelyVax (hypo)'!GA15)</f>
        <v>#VALUE!</v>
      </c>
      <c r="W15" s="109" t="e">
        <f>SUM('Scen NotEffectivelyVax (hypo)'!D15,'Scen NotEffectivelyVax (hypo)'!G15,'Scen NotEffectivelyVax (hypo)'!J15,'Scen NotEffectivelyVax (hypo)'!M15,'Scen NotEffectivelyVax (hypo)'!P15,'Scen NotEffectivelyVax (hypo)'!S15,'Scen NotEffectivelyVax (hypo)'!V15,'Scen NotEffectivelyVax (hypo)'!Y15,'Scen NotEffectivelyVax (hypo)'!AB15,'Scen NotEffectivelyVax (hypo)'!AE15,'Scen NotEffectivelyVax (hypo)'!AH15,'Scen NotEffectivelyVax (hypo)'!AK15,'Scen NotEffectivelyVax (hypo)'!AN15,'Scen NotEffectivelyVax (hypo)'!AQ15,'Scen NotEffectivelyVax (hypo)'!AT15,'Scen NotEffectivelyVax (hypo)'!AW15,'Scen NotEffectivelyVax (hypo)'!AZ15,'Scen NotEffectivelyVax (hypo)'!BC15,'Scen NotEffectivelyVax (hypo)'!BF15,'Scen NotEffectivelyVax (hypo)'!BI15,'Scen NotEffectivelyVax (hypo)'!BL15,'Scen NotEffectivelyVax (hypo)'!BO15,'Scen NotEffectivelyVax (hypo)'!BR15,'Scen NotEffectivelyVax (hypo)'!BU15,'Scen NotEffectivelyVax (hypo)'!BX15,'Scen NotEffectivelyVax (hypo)'!CA15,'Scen NotEffectivelyVax (hypo)'!CD15,'Scen NotEffectivelyVax (hypo)'!CG15,'Scen NotEffectivelyVax (hypo)'!CJ15,'Scen NotEffectivelyVax (hypo)'!CM15,'Scen NotEffectivelyVax (hypo)'!CP15,'Scen NotEffectivelyVax (hypo)'!CS15,'Scen NotEffectivelyVax (hypo)'!CV15,'Scen NotEffectivelyVax (hypo)'!CY15,'Scen NotEffectivelyVax (hypo)'!DB15,'Scen NotEffectivelyVax (hypo)'!DE15,'Scen NotEffectivelyVax (hypo)'!DH15,'Scen NotEffectivelyVax (hypo)'!DK15,'Scen NotEffectivelyVax (hypo)'!DN15,'Scen NotEffectivelyVax (hypo)'!DQ15,'Scen NotEffectivelyVax (hypo)'!DT15,'Scen NotEffectivelyVax (hypo)'!DW15,'Scen NotEffectivelyVax (hypo)'!DZ15,'Scen NotEffectivelyVax (hypo)'!EC15,'Scen NotEffectivelyVax (hypo)'!EF15,'Scen NotEffectivelyVax (hypo)'!EI15,'Scen NotEffectivelyVax (hypo)'!EL15,'Scen NotEffectivelyVax (hypo)'!EO15,'Scen NotEffectivelyVax (hypo)'!ER15,'Scen NotEffectivelyVax (hypo)'!EU15,'Scen NotEffectivelyVax (hypo)'!EX15,'Scen NotEffectivelyVax (hypo)'!FA15,'Scen NotEffectivelyVax (hypo)'!FD15,'Scen NotEffectivelyVax (hypo)'!FG15,'Scen NotEffectivelyVax (hypo)'!FJ15,'Scen NotEffectivelyVax (hypo)'!FM15,'Scen NotEffectivelyVax (hypo)'!FP15,'Scen NotEffectivelyVax (hypo)'!FS15,'Scen NotEffectivelyVax (hypo)'!FV15,'Scen NotEffectivelyVax (hypo)'!FY15)</f>
        <v>#VALUE!</v>
      </c>
      <c r="X15" s="109" t="e">
        <f>SUM('Scen NotEffectivelyVax (hypo)'!E15,'Scen NotEffectivelyVax (hypo)'!H15,'Scen NotEffectivelyVax (hypo)'!K15,'Scen NotEffectivelyVax (hypo)'!N15,'Scen NotEffectivelyVax (hypo)'!Q15,'Scen NotEffectivelyVax (hypo)'!T15,'Scen NotEffectivelyVax (hypo)'!Z15,'Scen NotEffectivelyVax (hypo)'!W15,'Scen NotEffectivelyVax (hypo)'!AC15,'Scen NotEffectivelyVax (hypo)'!AF15,'Scen NotEffectivelyVax (hypo)'!AI15,'Scen NotEffectivelyVax (hypo)'!AL15,'Scen NotEffectivelyVax (hypo)'!AO15,'Scen NotEffectivelyVax (hypo)'!AR15,'Scen NotEffectivelyVax (hypo)'!AU15,'Scen NotEffectivelyVax (hypo)'!AX15,'Scen NotEffectivelyVax (hypo)'!BA15,'Scen NotEffectivelyVax (hypo)'!BD15,'Scen NotEffectivelyVax (hypo)'!BG15,'Scen NotEffectivelyVax (hypo)'!BJ15,'Scen NotEffectivelyVax (hypo)'!BM15,'Scen NotEffectivelyVax (hypo)'!BP15,'Scen NotEffectivelyVax (hypo)'!BS15,'Scen NotEffectivelyVax (hypo)'!BV15,'Scen NotEffectivelyVax (hypo)'!BY15,'Scen NotEffectivelyVax (hypo)'!CB15,'Scen NotEffectivelyVax (hypo)'!CE15,'Scen NotEffectivelyVax (hypo)'!CH15,'Scen NotEffectivelyVax (hypo)'!CK15,'Scen NotEffectivelyVax (hypo)'!CN15,'Scen NotEffectivelyVax (hypo)'!CQ15,'Scen NotEffectivelyVax (hypo)'!CT15,'Scen NotEffectivelyVax (hypo)'!CW15,'Scen NotEffectivelyVax (hypo)'!CZ15,'Scen NotEffectivelyVax (hypo)'!DC15,'Scen NotEffectivelyVax (hypo)'!DF15,'Scen NotEffectivelyVax (hypo)'!DI15,'Scen NotEffectivelyVax (hypo)'!DL15,'Scen NotEffectivelyVax (hypo)'!DO15,'Scen NotEffectivelyVax (hypo)'!DR15,'Scen NotEffectivelyVax (hypo)'!DU15,'Scen NotEffectivelyVax (hypo)'!DX15,'Scen NotEffectivelyVax (hypo)'!EA15,'Scen NotEffectivelyVax (hypo)'!ED15,'Scen NotEffectivelyVax (hypo)'!EG15,'Scen NotEffectivelyVax (hypo)'!EJ15,'Scen NotEffectivelyVax (hypo)'!EM15,'Scen NotEffectivelyVax (hypo)'!EP15,'Scen NotEffectivelyVax (hypo)'!ES15,'Scen NotEffectivelyVax (hypo)'!EV15,'Scen NotEffectivelyVax (hypo)'!EY15,'Scen NotEffectivelyVax (hypo)'!FB15,'Scen NotEffectivelyVax (hypo)'!FE15,'Scen NotEffectivelyVax (hypo)'!FH15,'Scen NotEffectivelyVax (hypo)'!FK15,'Scen NotEffectivelyVax (hypo)'!FN15,'Scen NotEffectivelyVax (hypo)'!FQ15,'Scen NotEffectivelyVax (hypo)'!FT15,'Scen NotEffectivelyVax (hypo)'!FW15,'Scen NotEffectivelyVax (hypo)'!FZ15)</f>
        <v>#VALUE!</v>
      </c>
      <c r="Y15" s="110" t="e">
        <f t="shared" si="1"/>
        <v>#VALUE!</v>
      </c>
      <c r="Z15" s="110" t="e">
        <f>IF(Export!M13&lt;&gt;"",W15*Export!K13*(1/Export!M13),W15*Export!K13)</f>
        <v>#VALUE!</v>
      </c>
      <c r="AA15" s="107" t="e">
        <f>Y15*Export!J13</f>
        <v>#VALUE!</v>
      </c>
      <c r="AC15" s="156" t="e">
        <f t="shared" si="2"/>
        <v>#DIV/0!</v>
      </c>
      <c r="AD15" s="157" t="e">
        <f t="shared" si="13"/>
        <v>#VALUE!</v>
      </c>
      <c r="AE15" s="157" t="e">
        <f t="shared" si="3"/>
        <v>#VALUE!</v>
      </c>
      <c r="AF15" s="157" t="e">
        <f t="shared" si="4"/>
        <v>#VALUE!</v>
      </c>
      <c r="AG15" s="157" t="e">
        <f t="shared" si="5"/>
        <v>#DIV/0!</v>
      </c>
      <c r="AH15" s="268" t="e">
        <f>SUM(AC4:AC15)</f>
        <v>#DIV/0!</v>
      </c>
      <c r="AI15" s="268" t="e">
        <f t="shared" ref="AI15:AL15" si="16">SUM(AD4:AD15)</f>
        <v>#VALUE!</v>
      </c>
      <c r="AJ15" s="268" t="e">
        <f t="shared" si="16"/>
        <v>#VALUE!</v>
      </c>
      <c r="AK15" s="268" t="e">
        <f t="shared" si="16"/>
        <v>#VALUE!</v>
      </c>
      <c r="AL15" s="268" t="e">
        <f t="shared" si="16"/>
        <v>#DIV/0!</v>
      </c>
      <c r="AM15" s="147" t="e">
        <f>SUM(AC4:AC15)/SUM(D4:D15)</f>
        <v>#DIV/0!</v>
      </c>
      <c r="AN15" s="147" t="e">
        <f>SUM(AD4:AD15)/SUM(E4:E15)</f>
        <v>#VALUE!</v>
      </c>
      <c r="AO15" s="112" t="e">
        <f>SUM(AE4:AE15)/SUM(G4:G15)</f>
        <v>#VALUE!</v>
      </c>
      <c r="AP15" s="112" t="e">
        <f>SUM(AF4:AF15)/SUM(H4:H15)</f>
        <v>#VALUE!</v>
      </c>
      <c r="AQ15" s="111" t="e">
        <f>SUM(AG4:AG15)/SUM(F4:F15)</f>
        <v>#DIV/0!</v>
      </c>
      <c r="AR15" s="148" t="e">
        <f>SUM($M4:$N15)/SUM(AC4:AC15)</f>
        <v>#DIV/0!</v>
      </c>
      <c r="AS15" s="148" t="e">
        <f t="shared" ref="AS15:AU15" si="17">SUM($M4:$N15)/SUM(AD4:AD15)</f>
        <v>#VALUE!</v>
      </c>
      <c r="AT15" s="148" t="e">
        <f t="shared" si="17"/>
        <v>#VALUE!</v>
      </c>
      <c r="AU15" s="148" t="e">
        <f t="shared" si="17"/>
        <v>#VALUE!</v>
      </c>
      <c r="AV15" s="149" t="e">
        <f>SUM($M4:$N15)/SUM(AC4:AD15)</f>
        <v>#DIV/0!</v>
      </c>
    </row>
    <row r="16" spans="1:48" x14ac:dyDescent="0.35">
      <c r="A16" s="158">
        <f>EffectivelyVax!B15</f>
        <v>1</v>
      </c>
      <c r="B16" s="159">
        <f>EffectivelyVax!C15</f>
        <v>0</v>
      </c>
      <c r="C16" s="160">
        <f>Export!N14</f>
        <v>0</v>
      </c>
      <c r="D16" s="161" t="str">
        <f>IF(Inputs!$F$10="1. Actual program", 'Current vaccine model'!W16, Export!C14)</f>
        <v/>
      </c>
      <c r="E16" s="133" t="e">
        <f>D16*Export!L14</f>
        <v>#VALUE!</v>
      </c>
      <c r="F16" s="161" t="e">
        <f>D16+E16</f>
        <v>#VALUE!</v>
      </c>
      <c r="G16" s="161" t="e">
        <f>IF(Export!M14&lt;&gt;"",D16*Export!K14*(1/Export!M14),D16*Export!K14)</f>
        <v>#VALUE!</v>
      </c>
      <c r="H16" s="161" t="e">
        <f>F16*Export!J14</f>
        <v>#VALUE!</v>
      </c>
      <c r="I16" s="161" t="e">
        <f t="shared" si="14"/>
        <v>#VALUE!</v>
      </c>
      <c r="J16" s="153" t="e">
        <f t="shared" si="8"/>
        <v>#VALUE!</v>
      </c>
      <c r="K16" s="162" t="e">
        <f t="shared" si="9"/>
        <v>#VALUE!</v>
      </c>
      <c r="L16" s="163">
        <f>'Scen EffectivelyVax'!A15</f>
        <v>0</v>
      </c>
      <c r="M16" s="164">
        <f>C16*L16*HelperFunctions!G$17</f>
        <v>0</v>
      </c>
      <c r="N16" s="165">
        <f>C16*L16*(1-HelperFunctions!G$17)</f>
        <v>0</v>
      </c>
      <c r="O16" s="166" t="e">
        <f t="shared" si="15"/>
        <v>#DIV/0!</v>
      </c>
      <c r="P16" s="167">
        <f>SUM('Scen EffectivelyVax'!D15:BK15)</f>
        <v>0</v>
      </c>
      <c r="Q16" s="155" t="e">
        <f t="shared" si="11"/>
        <v>#DIV/0!</v>
      </c>
      <c r="R16" s="155" t="e">
        <f t="shared" si="12"/>
        <v>#DIV/0!</v>
      </c>
      <c r="S16" s="167" t="e">
        <f t="shared" si="0"/>
        <v>#DIV/0!</v>
      </c>
      <c r="T16" s="155" t="e">
        <f>IF(Export!M14&lt;&gt;"",Q16*Export!K14*(1/Export!M14),Q16*Export!K14)</f>
        <v>#DIV/0!</v>
      </c>
      <c r="U16" s="154" t="e">
        <f>S16*Export!J14</f>
        <v>#DIV/0!</v>
      </c>
      <c r="V16" s="168" t="e">
        <f>SUM('Scen NotEffectivelyVax (hypo)'!F16,'Scen NotEffectivelyVax (hypo)'!I16,'Scen NotEffectivelyVax (hypo)'!L16,'Scen NotEffectivelyVax (hypo)'!O16,'Scen NotEffectivelyVax (hypo)'!R16,'Scen NotEffectivelyVax (hypo)'!U16,'Scen NotEffectivelyVax (hypo)'!X16,'Scen NotEffectivelyVax (hypo)'!AA16,'Scen NotEffectivelyVax (hypo)'!AD16,'Scen NotEffectivelyVax (hypo)'!AG16,'Scen NotEffectivelyVax (hypo)'!AJ16,'Scen NotEffectivelyVax (hypo)'!AM16,'Scen NotEffectivelyVax (hypo)'!AP16,'Scen NotEffectivelyVax (hypo)'!AS16,'Scen NotEffectivelyVax (hypo)'!AV16,'Scen NotEffectivelyVax (hypo)'!AY16,'Scen NotEffectivelyVax (hypo)'!BB16,'Scen NotEffectivelyVax (hypo)'!BE16,'Scen NotEffectivelyVax (hypo)'!BH16,'Scen NotEffectivelyVax (hypo)'!BK16,'Scen NotEffectivelyVax (hypo)'!BN16,'Scen NotEffectivelyVax (hypo)'!BQ16,'Scen NotEffectivelyVax (hypo)'!BT16,'Scen NotEffectivelyVax (hypo)'!BW16,'Scen NotEffectivelyVax (hypo)'!BZ16,'Scen NotEffectivelyVax (hypo)'!CC16,'Scen NotEffectivelyVax (hypo)'!CF16,'Scen NotEffectivelyVax (hypo)'!CI16,'Scen NotEffectivelyVax (hypo)'!CL16,'Scen NotEffectivelyVax (hypo)'!CO16,'Scen NotEffectivelyVax (hypo)'!CR16,'Scen NotEffectivelyVax (hypo)'!CU16,'Scen NotEffectivelyVax (hypo)'!CX16,'Scen NotEffectivelyVax (hypo)'!DA16,'Scen NotEffectivelyVax (hypo)'!DD16,'Scen NotEffectivelyVax (hypo)'!DG16,'Scen NotEffectivelyVax (hypo)'!DJ16,'Scen NotEffectivelyVax (hypo)'!DM16,'Scen NotEffectivelyVax (hypo)'!DQ16,'Scen NotEffectivelyVax (hypo)'!DP16,'Scen NotEffectivelyVax (hypo)'!DS16,'Scen NotEffectivelyVax (hypo)'!DV16,'Scen NotEffectivelyVax (hypo)'!DY16,'Scen NotEffectivelyVax (hypo)'!EB16,'Scen NotEffectivelyVax (hypo)'!EE16,'Scen NotEffectivelyVax (hypo)'!EH16,'Scen NotEffectivelyVax (hypo)'!EK16,'Scen NotEffectivelyVax (hypo)'!EN16,'Scen NotEffectivelyVax (hypo)'!EQ16,'Scen NotEffectivelyVax (hypo)'!ET16,'Scen NotEffectivelyVax (hypo)'!EW16,'Scen NotEffectivelyVax (hypo)'!EZ16,'Scen NotEffectivelyVax (hypo)'!FC16,'Scen NotEffectivelyVax (hypo)'!FF16,'Scen NotEffectivelyVax (hypo)'!FI16,'Scen NotEffectivelyVax (hypo)'!FL16,'Scen NotEffectivelyVax (hypo)'!FO16,'Scen NotEffectivelyVax (hypo)'!FR16,'Scen NotEffectivelyVax (hypo)'!FU16,'Scen NotEffectivelyVax (hypo)'!FX16,'Scen NotEffectivelyVax (hypo)'!GA16)</f>
        <v>#VALUE!</v>
      </c>
      <c r="W16" s="169" t="e">
        <f>SUM('Scen NotEffectivelyVax (hypo)'!D16,'Scen NotEffectivelyVax (hypo)'!G16,'Scen NotEffectivelyVax (hypo)'!J16,'Scen NotEffectivelyVax (hypo)'!M16,'Scen NotEffectivelyVax (hypo)'!P16,'Scen NotEffectivelyVax (hypo)'!S16,'Scen NotEffectivelyVax (hypo)'!V16,'Scen NotEffectivelyVax (hypo)'!Y16,'Scen NotEffectivelyVax (hypo)'!AB16,'Scen NotEffectivelyVax (hypo)'!AE16,'Scen NotEffectivelyVax (hypo)'!AH16,'Scen NotEffectivelyVax (hypo)'!AK16,'Scen NotEffectivelyVax (hypo)'!AN16,'Scen NotEffectivelyVax (hypo)'!AQ16,'Scen NotEffectivelyVax (hypo)'!AT16,'Scen NotEffectivelyVax (hypo)'!AW16,'Scen NotEffectivelyVax (hypo)'!AZ16,'Scen NotEffectivelyVax (hypo)'!BC16,'Scen NotEffectivelyVax (hypo)'!BF16,'Scen NotEffectivelyVax (hypo)'!BI16,'Scen NotEffectivelyVax (hypo)'!BL16,'Scen NotEffectivelyVax (hypo)'!BO16,'Scen NotEffectivelyVax (hypo)'!BR16,'Scen NotEffectivelyVax (hypo)'!BU16,'Scen NotEffectivelyVax (hypo)'!BX16,'Scen NotEffectivelyVax (hypo)'!CA16,'Scen NotEffectivelyVax (hypo)'!CD16,'Scen NotEffectivelyVax (hypo)'!CG16,'Scen NotEffectivelyVax (hypo)'!CJ16,'Scen NotEffectivelyVax (hypo)'!CM16,'Scen NotEffectivelyVax (hypo)'!CP16,'Scen NotEffectivelyVax (hypo)'!CS16,'Scen NotEffectivelyVax (hypo)'!CV16,'Scen NotEffectivelyVax (hypo)'!CY16,'Scen NotEffectivelyVax (hypo)'!DB16,'Scen NotEffectivelyVax (hypo)'!DE16,'Scen NotEffectivelyVax (hypo)'!DH16,'Scen NotEffectivelyVax (hypo)'!DK16,'Scen NotEffectivelyVax (hypo)'!DN16,'Scen NotEffectivelyVax (hypo)'!DQ16,'Scen NotEffectivelyVax (hypo)'!DT16,'Scen NotEffectivelyVax (hypo)'!DW16,'Scen NotEffectivelyVax (hypo)'!DZ16,'Scen NotEffectivelyVax (hypo)'!EC16,'Scen NotEffectivelyVax (hypo)'!EF16,'Scen NotEffectivelyVax (hypo)'!EI16,'Scen NotEffectivelyVax (hypo)'!EL16,'Scen NotEffectivelyVax (hypo)'!EO16,'Scen NotEffectivelyVax (hypo)'!ER16,'Scen NotEffectivelyVax (hypo)'!EU16,'Scen NotEffectivelyVax (hypo)'!EX16,'Scen NotEffectivelyVax (hypo)'!FA16,'Scen NotEffectivelyVax (hypo)'!FD16,'Scen NotEffectivelyVax (hypo)'!FG16,'Scen NotEffectivelyVax (hypo)'!FJ16,'Scen NotEffectivelyVax (hypo)'!FM16,'Scen NotEffectivelyVax (hypo)'!FP16,'Scen NotEffectivelyVax (hypo)'!FS16,'Scen NotEffectivelyVax (hypo)'!FV16,'Scen NotEffectivelyVax (hypo)'!FY16)</f>
        <v>#VALUE!</v>
      </c>
      <c r="X16" s="169" t="e">
        <f>SUM('Scen NotEffectivelyVax (hypo)'!E16,'Scen NotEffectivelyVax (hypo)'!H16,'Scen NotEffectivelyVax (hypo)'!K16,'Scen NotEffectivelyVax (hypo)'!N16,'Scen NotEffectivelyVax (hypo)'!Q16,'Scen NotEffectivelyVax (hypo)'!T16,'Scen NotEffectivelyVax (hypo)'!Z16,'Scen NotEffectivelyVax (hypo)'!W16,'Scen NotEffectivelyVax (hypo)'!AC16,'Scen NotEffectivelyVax (hypo)'!AF16,'Scen NotEffectivelyVax (hypo)'!AI16,'Scen NotEffectivelyVax (hypo)'!AL16,'Scen NotEffectivelyVax (hypo)'!AO16,'Scen NotEffectivelyVax (hypo)'!AR16,'Scen NotEffectivelyVax (hypo)'!AU16,'Scen NotEffectivelyVax (hypo)'!AX16,'Scen NotEffectivelyVax (hypo)'!BA16,'Scen NotEffectivelyVax (hypo)'!BD16,'Scen NotEffectivelyVax (hypo)'!BG16,'Scen NotEffectivelyVax (hypo)'!BJ16,'Scen NotEffectivelyVax (hypo)'!BM16,'Scen NotEffectivelyVax (hypo)'!BP16,'Scen NotEffectivelyVax (hypo)'!BS16,'Scen NotEffectivelyVax (hypo)'!BV16,'Scen NotEffectivelyVax (hypo)'!BY16,'Scen NotEffectivelyVax (hypo)'!CB16,'Scen NotEffectivelyVax (hypo)'!CE16,'Scen NotEffectivelyVax (hypo)'!CH16,'Scen NotEffectivelyVax (hypo)'!CK16,'Scen NotEffectivelyVax (hypo)'!CN16,'Scen NotEffectivelyVax (hypo)'!CQ16,'Scen NotEffectivelyVax (hypo)'!CT16,'Scen NotEffectivelyVax (hypo)'!CW16,'Scen NotEffectivelyVax (hypo)'!CZ16,'Scen NotEffectivelyVax (hypo)'!DC16,'Scen NotEffectivelyVax (hypo)'!DF16,'Scen NotEffectivelyVax (hypo)'!DI16,'Scen NotEffectivelyVax (hypo)'!DL16,'Scen NotEffectivelyVax (hypo)'!DO16,'Scen NotEffectivelyVax (hypo)'!DR16,'Scen NotEffectivelyVax (hypo)'!DU16,'Scen NotEffectivelyVax (hypo)'!DX16,'Scen NotEffectivelyVax (hypo)'!EA16,'Scen NotEffectivelyVax (hypo)'!ED16,'Scen NotEffectivelyVax (hypo)'!EG16,'Scen NotEffectivelyVax (hypo)'!EJ16,'Scen NotEffectivelyVax (hypo)'!EM16,'Scen NotEffectivelyVax (hypo)'!EP16,'Scen NotEffectivelyVax (hypo)'!ES16,'Scen NotEffectivelyVax (hypo)'!EV16,'Scen NotEffectivelyVax (hypo)'!EY16,'Scen NotEffectivelyVax (hypo)'!FB16,'Scen NotEffectivelyVax (hypo)'!FE16,'Scen NotEffectivelyVax (hypo)'!FH16,'Scen NotEffectivelyVax (hypo)'!FK16,'Scen NotEffectivelyVax (hypo)'!FN16,'Scen NotEffectivelyVax (hypo)'!FQ16,'Scen NotEffectivelyVax (hypo)'!FT16,'Scen NotEffectivelyVax (hypo)'!FW16,'Scen NotEffectivelyVax (hypo)'!FZ16)</f>
        <v>#VALUE!</v>
      </c>
      <c r="Y16" s="170" t="e">
        <f t="shared" si="1"/>
        <v>#VALUE!</v>
      </c>
      <c r="Z16" s="170" t="e">
        <f>IF(Export!M14&lt;&gt;"",W16*Export!K14*(1/Export!M14),W16*Export!K14)</f>
        <v>#VALUE!</v>
      </c>
      <c r="AA16" s="154" t="e">
        <f>Y16*Export!J14</f>
        <v>#VALUE!</v>
      </c>
      <c r="AC16" s="143" t="e">
        <f t="shared" si="2"/>
        <v>#VALUE!</v>
      </c>
      <c r="AD16" s="144" t="e">
        <f t="shared" si="13"/>
        <v>#VALUE!</v>
      </c>
      <c r="AE16" s="144" t="e">
        <f t="shared" si="3"/>
        <v>#VALUE!</v>
      </c>
      <c r="AF16" s="144" t="e">
        <f t="shared" si="4"/>
        <v>#VALUE!</v>
      </c>
      <c r="AG16" s="144" t="e">
        <f t="shared" si="5"/>
        <v>#VALUE!</v>
      </c>
      <c r="AH16" s="145"/>
      <c r="AI16" s="145"/>
      <c r="AJ16" s="145"/>
      <c r="AK16" s="145"/>
      <c r="AL16" s="146"/>
      <c r="AM16" s="145"/>
      <c r="AN16" s="145"/>
      <c r="AO16" s="145"/>
      <c r="AP16" s="145"/>
      <c r="AQ16" s="146"/>
      <c r="AR16" s="150"/>
      <c r="AS16" s="150"/>
      <c r="AT16" s="150"/>
      <c r="AU16" s="150"/>
      <c r="AV16" s="151"/>
    </row>
    <row r="17" spans="1:50" x14ac:dyDescent="0.35">
      <c r="A17" s="130">
        <f>EffectivelyVax!B16</f>
        <v>1</v>
      </c>
      <c r="B17" s="131">
        <f>EffectivelyVax!C16</f>
        <v>0</v>
      </c>
      <c r="C17" s="132">
        <f>Export!N15</f>
        <v>0</v>
      </c>
      <c r="D17" s="133" t="str">
        <f>IF(Inputs!$F$10="1. Actual program", 'Current vaccine model'!W17, Export!C15)</f>
        <v/>
      </c>
      <c r="E17" s="133" t="e">
        <f>D17*Export!L15</f>
        <v>#VALUE!</v>
      </c>
      <c r="F17" s="133" t="e">
        <f>D17+E17</f>
        <v>#VALUE!</v>
      </c>
      <c r="G17" s="133" t="e">
        <f>IF(Export!M15&lt;&gt;"",D17*Export!K15*(1/Export!M15),D17*Export!K15)</f>
        <v>#VALUE!</v>
      </c>
      <c r="H17" s="133" t="e">
        <f>F17*Export!J15</f>
        <v>#VALUE!</v>
      </c>
      <c r="I17" s="133" t="e">
        <f t="shared" si="14"/>
        <v>#VALUE!</v>
      </c>
      <c r="J17" s="134" t="e">
        <f t="shared" si="8"/>
        <v>#VALUE!</v>
      </c>
      <c r="K17" s="135" t="e">
        <f t="shared" si="9"/>
        <v>#VALUE!</v>
      </c>
      <c r="L17" s="117">
        <f>'Scen EffectivelyVax'!A16</f>
        <v>0</v>
      </c>
      <c r="M17" s="115">
        <f>C17*L17*HelperFunctions!G$17</f>
        <v>0</v>
      </c>
      <c r="N17" s="116">
        <f>C17*L17*(1-HelperFunctions!G$17)</f>
        <v>0</v>
      </c>
      <c r="O17" s="136" t="e">
        <f t="shared" si="15"/>
        <v>#DIV/0!</v>
      </c>
      <c r="P17" s="137">
        <f>SUM('Scen EffectivelyVax'!D16:BK16)</f>
        <v>0</v>
      </c>
      <c r="Q17" s="138" t="e">
        <f t="shared" si="11"/>
        <v>#DIV/0!</v>
      </c>
      <c r="R17" s="138" t="e">
        <f t="shared" si="12"/>
        <v>#DIV/0!</v>
      </c>
      <c r="S17" s="137" t="e">
        <f t="shared" si="0"/>
        <v>#DIV/0!</v>
      </c>
      <c r="T17" s="138" t="e">
        <f>IF(Export!M15&lt;&gt;"",Q17*Export!K15*(1/Export!M15),Q17*Export!K15)</f>
        <v>#DIV/0!</v>
      </c>
      <c r="U17" s="139" t="e">
        <f>S17*Export!J15</f>
        <v>#DIV/0!</v>
      </c>
      <c r="V17" s="140" t="e">
        <f>SUM('Scen NotEffectivelyVax (hypo)'!F17,'Scen NotEffectivelyVax (hypo)'!I17,'Scen NotEffectivelyVax (hypo)'!L17,'Scen NotEffectivelyVax (hypo)'!O17,'Scen NotEffectivelyVax (hypo)'!R17,'Scen NotEffectivelyVax (hypo)'!U17,'Scen NotEffectivelyVax (hypo)'!X17,'Scen NotEffectivelyVax (hypo)'!AA17,'Scen NotEffectivelyVax (hypo)'!AD17,'Scen NotEffectivelyVax (hypo)'!AG17,'Scen NotEffectivelyVax (hypo)'!AJ17,'Scen NotEffectivelyVax (hypo)'!AM17,'Scen NotEffectivelyVax (hypo)'!AP17,'Scen NotEffectivelyVax (hypo)'!AS17,'Scen NotEffectivelyVax (hypo)'!AV17,'Scen NotEffectivelyVax (hypo)'!AY17,'Scen NotEffectivelyVax (hypo)'!BB17,'Scen NotEffectivelyVax (hypo)'!BE17,'Scen NotEffectivelyVax (hypo)'!BH17,'Scen NotEffectivelyVax (hypo)'!BK17,'Scen NotEffectivelyVax (hypo)'!BN17,'Scen NotEffectivelyVax (hypo)'!BQ17,'Scen NotEffectivelyVax (hypo)'!BT17,'Scen NotEffectivelyVax (hypo)'!BW17,'Scen NotEffectivelyVax (hypo)'!BZ17,'Scen NotEffectivelyVax (hypo)'!CC17,'Scen NotEffectivelyVax (hypo)'!CF17,'Scen NotEffectivelyVax (hypo)'!CI17,'Scen NotEffectivelyVax (hypo)'!CL17,'Scen NotEffectivelyVax (hypo)'!CO17,'Scen NotEffectivelyVax (hypo)'!CR17,'Scen NotEffectivelyVax (hypo)'!CU17,'Scen NotEffectivelyVax (hypo)'!CX17,'Scen NotEffectivelyVax (hypo)'!DA17,'Scen NotEffectivelyVax (hypo)'!DD17,'Scen NotEffectivelyVax (hypo)'!DG17,'Scen NotEffectivelyVax (hypo)'!DJ17,'Scen NotEffectivelyVax (hypo)'!DM17,'Scen NotEffectivelyVax (hypo)'!DQ17,'Scen NotEffectivelyVax (hypo)'!DP17,'Scen NotEffectivelyVax (hypo)'!DS17,'Scen NotEffectivelyVax (hypo)'!DV17,'Scen NotEffectivelyVax (hypo)'!DY17,'Scen NotEffectivelyVax (hypo)'!EB17,'Scen NotEffectivelyVax (hypo)'!EE17,'Scen NotEffectivelyVax (hypo)'!EH17,'Scen NotEffectivelyVax (hypo)'!EK17,'Scen NotEffectivelyVax (hypo)'!EN17,'Scen NotEffectivelyVax (hypo)'!EQ17,'Scen NotEffectivelyVax (hypo)'!ET17,'Scen NotEffectivelyVax (hypo)'!EW17,'Scen NotEffectivelyVax (hypo)'!EZ17,'Scen NotEffectivelyVax (hypo)'!FC17,'Scen NotEffectivelyVax (hypo)'!FF17,'Scen NotEffectivelyVax (hypo)'!FI17,'Scen NotEffectivelyVax (hypo)'!FL17,'Scen NotEffectivelyVax (hypo)'!FO17,'Scen NotEffectivelyVax (hypo)'!FR17,'Scen NotEffectivelyVax (hypo)'!FU17,'Scen NotEffectivelyVax (hypo)'!FX17,'Scen NotEffectivelyVax (hypo)'!GA17)</f>
        <v>#VALUE!</v>
      </c>
      <c r="W17" s="141" t="e">
        <f>SUM('Scen NotEffectivelyVax (hypo)'!D17,'Scen NotEffectivelyVax (hypo)'!G17,'Scen NotEffectivelyVax (hypo)'!J17,'Scen NotEffectivelyVax (hypo)'!M17,'Scen NotEffectivelyVax (hypo)'!P17,'Scen NotEffectivelyVax (hypo)'!S17,'Scen NotEffectivelyVax (hypo)'!V17,'Scen NotEffectivelyVax (hypo)'!Y17,'Scen NotEffectivelyVax (hypo)'!AB17,'Scen NotEffectivelyVax (hypo)'!AE17,'Scen NotEffectivelyVax (hypo)'!AH17,'Scen NotEffectivelyVax (hypo)'!AK17,'Scen NotEffectivelyVax (hypo)'!AN17,'Scen NotEffectivelyVax (hypo)'!AQ17,'Scen NotEffectivelyVax (hypo)'!AT17,'Scen NotEffectivelyVax (hypo)'!AW17,'Scen NotEffectivelyVax (hypo)'!AZ17,'Scen NotEffectivelyVax (hypo)'!BC17,'Scen NotEffectivelyVax (hypo)'!BF17,'Scen NotEffectivelyVax (hypo)'!BI17,'Scen NotEffectivelyVax (hypo)'!BL17,'Scen NotEffectivelyVax (hypo)'!BO17,'Scen NotEffectivelyVax (hypo)'!BR17,'Scen NotEffectivelyVax (hypo)'!BU17,'Scen NotEffectivelyVax (hypo)'!BX17,'Scen NotEffectivelyVax (hypo)'!CA17,'Scen NotEffectivelyVax (hypo)'!CD17,'Scen NotEffectivelyVax (hypo)'!CG17,'Scen NotEffectivelyVax (hypo)'!CJ17,'Scen NotEffectivelyVax (hypo)'!CM17,'Scen NotEffectivelyVax (hypo)'!CP17,'Scen NotEffectivelyVax (hypo)'!CS17,'Scen NotEffectivelyVax (hypo)'!CV17,'Scen NotEffectivelyVax (hypo)'!CY17,'Scen NotEffectivelyVax (hypo)'!DB17,'Scen NotEffectivelyVax (hypo)'!DE17,'Scen NotEffectivelyVax (hypo)'!DH17,'Scen NotEffectivelyVax (hypo)'!DK17,'Scen NotEffectivelyVax (hypo)'!DN17,'Scen NotEffectivelyVax (hypo)'!DQ17,'Scen NotEffectivelyVax (hypo)'!DT17,'Scen NotEffectivelyVax (hypo)'!DW17,'Scen NotEffectivelyVax (hypo)'!DZ17,'Scen NotEffectivelyVax (hypo)'!EC17,'Scen NotEffectivelyVax (hypo)'!EF17,'Scen NotEffectivelyVax (hypo)'!EI17,'Scen NotEffectivelyVax (hypo)'!EL17,'Scen NotEffectivelyVax (hypo)'!EO17,'Scen NotEffectivelyVax (hypo)'!ER17,'Scen NotEffectivelyVax (hypo)'!EU17,'Scen NotEffectivelyVax (hypo)'!EX17,'Scen NotEffectivelyVax (hypo)'!FA17,'Scen NotEffectivelyVax (hypo)'!FD17,'Scen NotEffectivelyVax (hypo)'!FG17,'Scen NotEffectivelyVax (hypo)'!FJ17,'Scen NotEffectivelyVax (hypo)'!FM17,'Scen NotEffectivelyVax (hypo)'!FP17,'Scen NotEffectivelyVax (hypo)'!FS17,'Scen NotEffectivelyVax (hypo)'!FV17,'Scen NotEffectivelyVax (hypo)'!FY17)</f>
        <v>#VALUE!</v>
      </c>
      <c r="X17" s="141" t="e">
        <f>SUM('Scen NotEffectivelyVax (hypo)'!E17,'Scen NotEffectivelyVax (hypo)'!H17,'Scen NotEffectivelyVax (hypo)'!K17,'Scen NotEffectivelyVax (hypo)'!N17,'Scen NotEffectivelyVax (hypo)'!Q17,'Scen NotEffectivelyVax (hypo)'!T17,'Scen NotEffectivelyVax (hypo)'!Z17,'Scen NotEffectivelyVax (hypo)'!W17,'Scen NotEffectivelyVax (hypo)'!AC17,'Scen NotEffectivelyVax (hypo)'!AF17,'Scen NotEffectivelyVax (hypo)'!AI17,'Scen NotEffectivelyVax (hypo)'!AL17,'Scen NotEffectivelyVax (hypo)'!AO17,'Scen NotEffectivelyVax (hypo)'!AR17,'Scen NotEffectivelyVax (hypo)'!AU17,'Scen NotEffectivelyVax (hypo)'!AX17,'Scen NotEffectivelyVax (hypo)'!BA17,'Scen NotEffectivelyVax (hypo)'!BD17,'Scen NotEffectivelyVax (hypo)'!BG17,'Scen NotEffectivelyVax (hypo)'!BJ17,'Scen NotEffectivelyVax (hypo)'!BM17,'Scen NotEffectivelyVax (hypo)'!BP17,'Scen NotEffectivelyVax (hypo)'!BS17,'Scen NotEffectivelyVax (hypo)'!BV17,'Scen NotEffectivelyVax (hypo)'!BY17,'Scen NotEffectivelyVax (hypo)'!CB17,'Scen NotEffectivelyVax (hypo)'!CE17,'Scen NotEffectivelyVax (hypo)'!CH17,'Scen NotEffectivelyVax (hypo)'!CK17,'Scen NotEffectivelyVax (hypo)'!CN17,'Scen NotEffectivelyVax (hypo)'!CQ17,'Scen NotEffectivelyVax (hypo)'!CT17,'Scen NotEffectivelyVax (hypo)'!CW17,'Scen NotEffectivelyVax (hypo)'!CZ17,'Scen NotEffectivelyVax (hypo)'!DC17,'Scen NotEffectivelyVax (hypo)'!DF17,'Scen NotEffectivelyVax (hypo)'!DI17,'Scen NotEffectivelyVax (hypo)'!DL17,'Scen NotEffectivelyVax (hypo)'!DO17,'Scen NotEffectivelyVax (hypo)'!DR17,'Scen NotEffectivelyVax (hypo)'!DU17,'Scen NotEffectivelyVax (hypo)'!DX17,'Scen NotEffectivelyVax (hypo)'!EA17,'Scen NotEffectivelyVax (hypo)'!ED17,'Scen NotEffectivelyVax (hypo)'!EG17,'Scen NotEffectivelyVax (hypo)'!EJ17,'Scen NotEffectivelyVax (hypo)'!EM17,'Scen NotEffectivelyVax (hypo)'!EP17,'Scen NotEffectivelyVax (hypo)'!ES17,'Scen NotEffectivelyVax (hypo)'!EV17,'Scen NotEffectivelyVax (hypo)'!EY17,'Scen NotEffectivelyVax (hypo)'!FB17,'Scen NotEffectivelyVax (hypo)'!FE17,'Scen NotEffectivelyVax (hypo)'!FH17,'Scen NotEffectivelyVax (hypo)'!FK17,'Scen NotEffectivelyVax (hypo)'!FN17,'Scen NotEffectivelyVax (hypo)'!FQ17,'Scen NotEffectivelyVax (hypo)'!FT17,'Scen NotEffectivelyVax (hypo)'!FW17,'Scen NotEffectivelyVax (hypo)'!FZ17)</f>
        <v>#VALUE!</v>
      </c>
      <c r="Y17" s="142" t="e">
        <f t="shared" si="1"/>
        <v>#VALUE!</v>
      </c>
      <c r="Z17" s="142" t="e">
        <f>IF(Export!M15&lt;&gt;"",W17*Export!K15*(1/Export!M15),W17*Export!K15)</f>
        <v>#VALUE!</v>
      </c>
      <c r="AA17" s="139" t="e">
        <f>Y17*Export!J15</f>
        <v>#VALUE!</v>
      </c>
      <c r="AC17" s="143" t="e">
        <f t="shared" si="2"/>
        <v>#VALUE!</v>
      </c>
      <c r="AD17" s="144" t="e">
        <f t="shared" si="13"/>
        <v>#VALUE!</v>
      </c>
      <c r="AE17" s="144" t="e">
        <f t="shared" si="3"/>
        <v>#VALUE!</v>
      </c>
      <c r="AF17" s="144" t="e">
        <f t="shared" si="4"/>
        <v>#VALUE!</v>
      </c>
      <c r="AG17" s="144" t="e">
        <f t="shared" si="5"/>
        <v>#VALUE!</v>
      </c>
      <c r="AH17" s="145"/>
      <c r="AI17" s="145"/>
      <c r="AJ17" s="145"/>
      <c r="AK17" s="145"/>
      <c r="AL17" s="146"/>
      <c r="AM17" s="145"/>
      <c r="AN17" s="145"/>
      <c r="AO17" s="145"/>
      <c r="AP17" s="145"/>
      <c r="AQ17" s="146"/>
      <c r="AR17" s="150"/>
      <c r="AS17" s="150"/>
      <c r="AT17" s="150"/>
      <c r="AU17" s="150"/>
      <c r="AV17" s="151"/>
    </row>
    <row r="18" spans="1:50" x14ac:dyDescent="0.35">
      <c r="A18" s="130">
        <f>EffectivelyVax!B17</f>
        <v>1</v>
      </c>
      <c r="B18" s="131">
        <f>EffectivelyVax!C17</f>
        <v>0</v>
      </c>
      <c r="C18" s="132">
        <f>Export!N16</f>
        <v>0</v>
      </c>
      <c r="D18" s="133" t="str">
        <f>IF(Inputs!$F$10="1. Actual program", 'Current vaccine model'!W18, Export!C16)</f>
        <v/>
      </c>
      <c r="E18" s="133" t="e">
        <f>D18*Export!L16</f>
        <v>#VALUE!</v>
      </c>
      <c r="F18" s="133" t="e">
        <f t="shared" ref="F18:F63" si="18">D18+E18</f>
        <v>#VALUE!</v>
      </c>
      <c r="G18" s="133" t="e">
        <f>IF(Export!M16&lt;&gt;"",D18*Export!K16*(1/Export!M16),D18*Export!K16)</f>
        <v>#VALUE!</v>
      </c>
      <c r="H18" s="133" t="e">
        <f>F18*Export!J16</f>
        <v>#VALUE!</v>
      </c>
      <c r="I18" s="133" t="e">
        <f t="shared" si="14"/>
        <v>#VALUE!</v>
      </c>
      <c r="J18" s="134" t="e">
        <f t="shared" si="8"/>
        <v>#VALUE!</v>
      </c>
      <c r="K18" s="135" t="e">
        <f t="shared" si="9"/>
        <v>#VALUE!</v>
      </c>
      <c r="L18" s="117">
        <f>'Scen EffectivelyVax'!A17</f>
        <v>0</v>
      </c>
      <c r="M18" s="115">
        <f>C18*L18*HelperFunctions!G$17</f>
        <v>0</v>
      </c>
      <c r="N18" s="116">
        <f>C18*L18*(1-HelperFunctions!G$17)</f>
        <v>0</v>
      </c>
      <c r="O18" s="136" t="e">
        <f t="shared" si="15"/>
        <v>#DIV/0!</v>
      </c>
      <c r="P18" s="137">
        <f>SUM('Scen EffectivelyVax'!D17:BK17)</f>
        <v>0</v>
      </c>
      <c r="Q18" s="138" t="e">
        <f t="shared" si="11"/>
        <v>#DIV/0!</v>
      </c>
      <c r="R18" s="138" t="e">
        <f t="shared" si="12"/>
        <v>#DIV/0!</v>
      </c>
      <c r="S18" s="137" t="e">
        <f t="shared" si="0"/>
        <v>#DIV/0!</v>
      </c>
      <c r="T18" s="138" t="e">
        <f>IF(Export!M16&lt;&gt;"",Q18*Export!K16*(1/Export!M16),Q18*Export!K16)</f>
        <v>#DIV/0!</v>
      </c>
      <c r="U18" s="139" t="e">
        <f>S18*Export!J16</f>
        <v>#DIV/0!</v>
      </c>
      <c r="V18" s="140" t="e">
        <f>SUM('Scen NotEffectivelyVax (hypo)'!F18,'Scen NotEffectivelyVax (hypo)'!I18,'Scen NotEffectivelyVax (hypo)'!L18,'Scen NotEffectivelyVax (hypo)'!O18,'Scen NotEffectivelyVax (hypo)'!R18,'Scen NotEffectivelyVax (hypo)'!U18,'Scen NotEffectivelyVax (hypo)'!X18,'Scen NotEffectivelyVax (hypo)'!AA18,'Scen NotEffectivelyVax (hypo)'!AD18,'Scen NotEffectivelyVax (hypo)'!AG18,'Scen NotEffectivelyVax (hypo)'!AJ18,'Scen NotEffectivelyVax (hypo)'!AM18,'Scen NotEffectivelyVax (hypo)'!AP18,'Scen NotEffectivelyVax (hypo)'!AS18,'Scen NotEffectivelyVax (hypo)'!AV18,'Scen NotEffectivelyVax (hypo)'!AY18,'Scen NotEffectivelyVax (hypo)'!BB18,'Scen NotEffectivelyVax (hypo)'!BE18,'Scen NotEffectivelyVax (hypo)'!BH18,'Scen NotEffectivelyVax (hypo)'!BK18,'Scen NotEffectivelyVax (hypo)'!BN18,'Scen NotEffectivelyVax (hypo)'!BQ18,'Scen NotEffectivelyVax (hypo)'!BT18,'Scen NotEffectivelyVax (hypo)'!BW18,'Scen NotEffectivelyVax (hypo)'!BZ18,'Scen NotEffectivelyVax (hypo)'!CC18,'Scen NotEffectivelyVax (hypo)'!CF18,'Scen NotEffectivelyVax (hypo)'!CI18,'Scen NotEffectivelyVax (hypo)'!CL18,'Scen NotEffectivelyVax (hypo)'!CO18,'Scen NotEffectivelyVax (hypo)'!CR18,'Scen NotEffectivelyVax (hypo)'!CU18,'Scen NotEffectivelyVax (hypo)'!CX18,'Scen NotEffectivelyVax (hypo)'!DA18,'Scen NotEffectivelyVax (hypo)'!DD18,'Scen NotEffectivelyVax (hypo)'!DG18,'Scen NotEffectivelyVax (hypo)'!DJ18,'Scen NotEffectivelyVax (hypo)'!DM18,'Scen NotEffectivelyVax (hypo)'!DQ18,'Scen NotEffectivelyVax (hypo)'!DP18,'Scen NotEffectivelyVax (hypo)'!DS18,'Scen NotEffectivelyVax (hypo)'!DV18,'Scen NotEffectivelyVax (hypo)'!DY18,'Scen NotEffectivelyVax (hypo)'!EB18,'Scen NotEffectivelyVax (hypo)'!EE18,'Scen NotEffectivelyVax (hypo)'!EH18,'Scen NotEffectivelyVax (hypo)'!EK18,'Scen NotEffectivelyVax (hypo)'!EN18,'Scen NotEffectivelyVax (hypo)'!EQ18,'Scen NotEffectivelyVax (hypo)'!ET18,'Scen NotEffectivelyVax (hypo)'!EW18,'Scen NotEffectivelyVax (hypo)'!EZ18,'Scen NotEffectivelyVax (hypo)'!FC18,'Scen NotEffectivelyVax (hypo)'!FF18,'Scen NotEffectivelyVax (hypo)'!FI18,'Scen NotEffectivelyVax (hypo)'!FL18,'Scen NotEffectivelyVax (hypo)'!FO18,'Scen NotEffectivelyVax (hypo)'!FR18,'Scen NotEffectivelyVax (hypo)'!FU18,'Scen NotEffectivelyVax (hypo)'!FX18,'Scen NotEffectivelyVax (hypo)'!GA18)</f>
        <v>#VALUE!</v>
      </c>
      <c r="W18" s="141" t="e">
        <f>SUM('Scen NotEffectivelyVax (hypo)'!D18,'Scen NotEffectivelyVax (hypo)'!G18,'Scen NotEffectivelyVax (hypo)'!J18,'Scen NotEffectivelyVax (hypo)'!M18,'Scen NotEffectivelyVax (hypo)'!P18,'Scen NotEffectivelyVax (hypo)'!S18,'Scen NotEffectivelyVax (hypo)'!V18,'Scen NotEffectivelyVax (hypo)'!Y18,'Scen NotEffectivelyVax (hypo)'!AB18,'Scen NotEffectivelyVax (hypo)'!AE18,'Scen NotEffectivelyVax (hypo)'!AH18,'Scen NotEffectivelyVax (hypo)'!AK18,'Scen NotEffectivelyVax (hypo)'!AN18,'Scen NotEffectivelyVax (hypo)'!AQ18,'Scen NotEffectivelyVax (hypo)'!AT18,'Scen NotEffectivelyVax (hypo)'!AW18,'Scen NotEffectivelyVax (hypo)'!AZ18,'Scen NotEffectivelyVax (hypo)'!BC18,'Scen NotEffectivelyVax (hypo)'!BF18,'Scen NotEffectivelyVax (hypo)'!BI18,'Scen NotEffectivelyVax (hypo)'!BL18,'Scen NotEffectivelyVax (hypo)'!BO18,'Scen NotEffectivelyVax (hypo)'!BR18,'Scen NotEffectivelyVax (hypo)'!BU18,'Scen NotEffectivelyVax (hypo)'!BX18,'Scen NotEffectivelyVax (hypo)'!CA18,'Scen NotEffectivelyVax (hypo)'!CD18,'Scen NotEffectivelyVax (hypo)'!CG18,'Scen NotEffectivelyVax (hypo)'!CJ18,'Scen NotEffectivelyVax (hypo)'!CM18,'Scen NotEffectivelyVax (hypo)'!CP18,'Scen NotEffectivelyVax (hypo)'!CS18,'Scen NotEffectivelyVax (hypo)'!CV18,'Scen NotEffectivelyVax (hypo)'!CY18,'Scen NotEffectivelyVax (hypo)'!DB18,'Scen NotEffectivelyVax (hypo)'!DE18,'Scen NotEffectivelyVax (hypo)'!DH18,'Scen NotEffectivelyVax (hypo)'!DK18,'Scen NotEffectivelyVax (hypo)'!DN18,'Scen NotEffectivelyVax (hypo)'!DQ18,'Scen NotEffectivelyVax (hypo)'!DT18,'Scen NotEffectivelyVax (hypo)'!DW18,'Scen NotEffectivelyVax (hypo)'!DZ18,'Scen NotEffectivelyVax (hypo)'!EC18,'Scen NotEffectivelyVax (hypo)'!EF18,'Scen NotEffectivelyVax (hypo)'!EI18,'Scen NotEffectivelyVax (hypo)'!EL18,'Scen NotEffectivelyVax (hypo)'!EO18,'Scen NotEffectivelyVax (hypo)'!ER18,'Scen NotEffectivelyVax (hypo)'!EU18,'Scen NotEffectivelyVax (hypo)'!EX18,'Scen NotEffectivelyVax (hypo)'!FA18,'Scen NotEffectivelyVax (hypo)'!FD18,'Scen NotEffectivelyVax (hypo)'!FG18,'Scen NotEffectivelyVax (hypo)'!FJ18,'Scen NotEffectivelyVax (hypo)'!FM18,'Scen NotEffectivelyVax (hypo)'!FP18,'Scen NotEffectivelyVax (hypo)'!FS18,'Scen NotEffectivelyVax (hypo)'!FV18,'Scen NotEffectivelyVax (hypo)'!FY18)</f>
        <v>#VALUE!</v>
      </c>
      <c r="X18" s="141" t="e">
        <f>SUM('Scen NotEffectivelyVax (hypo)'!E18,'Scen NotEffectivelyVax (hypo)'!H18,'Scen NotEffectivelyVax (hypo)'!K18,'Scen NotEffectivelyVax (hypo)'!N18,'Scen NotEffectivelyVax (hypo)'!Q18,'Scen NotEffectivelyVax (hypo)'!T18,'Scen NotEffectivelyVax (hypo)'!Z18,'Scen NotEffectivelyVax (hypo)'!W18,'Scen NotEffectivelyVax (hypo)'!AC18,'Scen NotEffectivelyVax (hypo)'!AF18,'Scen NotEffectivelyVax (hypo)'!AI18,'Scen NotEffectivelyVax (hypo)'!AL18,'Scen NotEffectivelyVax (hypo)'!AO18,'Scen NotEffectivelyVax (hypo)'!AR18,'Scen NotEffectivelyVax (hypo)'!AU18,'Scen NotEffectivelyVax (hypo)'!AX18,'Scen NotEffectivelyVax (hypo)'!BA18,'Scen NotEffectivelyVax (hypo)'!BD18,'Scen NotEffectivelyVax (hypo)'!BG18,'Scen NotEffectivelyVax (hypo)'!BJ18,'Scen NotEffectivelyVax (hypo)'!BM18,'Scen NotEffectivelyVax (hypo)'!BP18,'Scen NotEffectivelyVax (hypo)'!BS18,'Scen NotEffectivelyVax (hypo)'!BV18,'Scen NotEffectivelyVax (hypo)'!BY18,'Scen NotEffectivelyVax (hypo)'!CB18,'Scen NotEffectivelyVax (hypo)'!CE18,'Scen NotEffectivelyVax (hypo)'!CH18,'Scen NotEffectivelyVax (hypo)'!CK18,'Scen NotEffectivelyVax (hypo)'!CN18,'Scen NotEffectivelyVax (hypo)'!CQ18,'Scen NotEffectivelyVax (hypo)'!CT18,'Scen NotEffectivelyVax (hypo)'!CW18,'Scen NotEffectivelyVax (hypo)'!CZ18,'Scen NotEffectivelyVax (hypo)'!DC18,'Scen NotEffectivelyVax (hypo)'!DF18,'Scen NotEffectivelyVax (hypo)'!DI18,'Scen NotEffectivelyVax (hypo)'!DL18,'Scen NotEffectivelyVax (hypo)'!DO18,'Scen NotEffectivelyVax (hypo)'!DR18,'Scen NotEffectivelyVax (hypo)'!DU18,'Scen NotEffectivelyVax (hypo)'!DX18,'Scen NotEffectivelyVax (hypo)'!EA18,'Scen NotEffectivelyVax (hypo)'!ED18,'Scen NotEffectivelyVax (hypo)'!EG18,'Scen NotEffectivelyVax (hypo)'!EJ18,'Scen NotEffectivelyVax (hypo)'!EM18,'Scen NotEffectivelyVax (hypo)'!EP18,'Scen NotEffectivelyVax (hypo)'!ES18,'Scen NotEffectivelyVax (hypo)'!EV18,'Scen NotEffectivelyVax (hypo)'!EY18,'Scen NotEffectivelyVax (hypo)'!FB18,'Scen NotEffectivelyVax (hypo)'!FE18,'Scen NotEffectivelyVax (hypo)'!FH18,'Scen NotEffectivelyVax (hypo)'!FK18,'Scen NotEffectivelyVax (hypo)'!FN18,'Scen NotEffectivelyVax (hypo)'!FQ18,'Scen NotEffectivelyVax (hypo)'!FT18,'Scen NotEffectivelyVax (hypo)'!FW18,'Scen NotEffectivelyVax (hypo)'!FZ18)</f>
        <v>#VALUE!</v>
      </c>
      <c r="Y18" s="142" t="e">
        <f t="shared" si="1"/>
        <v>#VALUE!</v>
      </c>
      <c r="Z18" s="142" t="e">
        <f>IF(Export!M16&lt;&gt;"",W18*Export!K16*(1/Export!M16),W18*Export!K16)</f>
        <v>#VALUE!</v>
      </c>
      <c r="AA18" s="139" t="e">
        <f>Y18*Export!J16</f>
        <v>#VALUE!</v>
      </c>
      <c r="AC18" s="143" t="e">
        <f t="shared" si="2"/>
        <v>#VALUE!</v>
      </c>
      <c r="AD18" s="144" t="e">
        <f t="shared" si="13"/>
        <v>#VALUE!</v>
      </c>
      <c r="AE18" s="144" t="e">
        <f t="shared" si="3"/>
        <v>#VALUE!</v>
      </c>
      <c r="AF18" s="144" t="e">
        <f t="shared" si="4"/>
        <v>#VALUE!</v>
      </c>
      <c r="AG18" s="144" t="e">
        <f t="shared" si="5"/>
        <v>#VALUE!</v>
      </c>
      <c r="AH18" s="145"/>
      <c r="AI18" s="145"/>
      <c r="AJ18" s="145"/>
      <c r="AK18" s="145"/>
      <c r="AL18" s="146"/>
      <c r="AM18" s="145"/>
      <c r="AN18" s="145"/>
      <c r="AO18" s="145"/>
      <c r="AP18" s="145"/>
      <c r="AQ18" s="146"/>
      <c r="AR18" s="150"/>
      <c r="AS18" s="150"/>
      <c r="AT18" s="150"/>
      <c r="AU18" s="150"/>
      <c r="AV18" s="151"/>
    </row>
    <row r="19" spans="1:50" x14ac:dyDescent="0.35">
      <c r="A19" s="130">
        <f>EffectivelyVax!B18</f>
        <v>1</v>
      </c>
      <c r="B19" s="131">
        <f>EffectivelyVax!C18</f>
        <v>0</v>
      </c>
      <c r="C19" s="132">
        <f>Export!N17</f>
        <v>0</v>
      </c>
      <c r="D19" s="133" t="str">
        <f>IF(Inputs!$F$10="1. Actual program", 'Current vaccine model'!W19, Export!C17)</f>
        <v/>
      </c>
      <c r="E19" s="133" t="e">
        <f>D19*Export!L17</f>
        <v>#VALUE!</v>
      </c>
      <c r="F19" s="133" t="e">
        <f t="shared" si="18"/>
        <v>#VALUE!</v>
      </c>
      <c r="G19" s="133" t="e">
        <f>IF(Export!M17&lt;&gt;"",D19*Export!K17*(1/Export!M17),D19*Export!K17)</f>
        <v>#VALUE!</v>
      </c>
      <c r="H19" s="133" t="e">
        <f>F19*Export!J17</f>
        <v>#VALUE!</v>
      </c>
      <c r="I19" s="133" t="e">
        <f t="shared" si="14"/>
        <v>#VALUE!</v>
      </c>
      <c r="J19" s="134" t="e">
        <f t="shared" si="8"/>
        <v>#VALUE!</v>
      </c>
      <c r="K19" s="135" t="e">
        <f t="shared" si="9"/>
        <v>#VALUE!</v>
      </c>
      <c r="L19" s="117">
        <f>'Scen EffectivelyVax'!A18</f>
        <v>0</v>
      </c>
      <c r="M19" s="115">
        <f>C19*L19*HelperFunctions!G$17</f>
        <v>0</v>
      </c>
      <c r="N19" s="116">
        <f>C19*L19*(1-HelperFunctions!G$17)</f>
        <v>0</v>
      </c>
      <c r="O19" s="136" t="e">
        <f t="shared" si="15"/>
        <v>#DIV/0!</v>
      </c>
      <c r="P19" s="137">
        <f>SUM('Scen EffectivelyVax'!D18:BK18)</f>
        <v>0</v>
      </c>
      <c r="Q19" s="138" t="e">
        <f t="shared" si="11"/>
        <v>#DIV/0!</v>
      </c>
      <c r="R19" s="138" t="e">
        <f t="shared" si="12"/>
        <v>#DIV/0!</v>
      </c>
      <c r="S19" s="137" t="e">
        <f t="shared" si="0"/>
        <v>#DIV/0!</v>
      </c>
      <c r="T19" s="138" t="e">
        <f>IF(Export!M17&lt;&gt;"",Q19*Export!K17*(1/Export!M17),Q19*Export!K17)</f>
        <v>#DIV/0!</v>
      </c>
      <c r="U19" s="139" t="e">
        <f>S19*Export!J17</f>
        <v>#DIV/0!</v>
      </c>
      <c r="V19" s="140" t="e">
        <f>SUM('Scen NotEffectivelyVax (hypo)'!F19,'Scen NotEffectivelyVax (hypo)'!I19,'Scen NotEffectivelyVax (hypo)'!L19,'Scen NotEffectivelyVax (hypo)'!O19,'Scen NotEffectivelyVax (hypo)'!R19,'Scen NotEffectivelyVax (hypo)'!U19,'Scen NotEffectivelyVax (hypo)'!X19,'Scen NotEffectivelyVax (hypo)'!AA19,'Scen NotEffectivelyVax (hypo)'!AD19,'Scen NotEffectivelyVax (hypo)'!AG19,'Scen NotEffectivelyVax (hypo)'!AJ19,'Scen NotEffectivelyVax (hypo)'!AM19,'Scen NotEffectivelyVax (hypo)'!AP19,'Scen NotEffectivelyVax (hypo)'!AS19,'Scen NotEffectivelyVax (hypo)'!AV19,'Scen NotEffectivelyVax (hypo)'!AY19,'Scen NotEffectivelyVax (hypo)'!BB19,'Scen NotEffectivelyVax (hypo)'!BE19,'Scen NotEffectivelyVax (hypo)'!BH19,'Scen NotEffectivelyVax (hypo)'!BK19,'Scen NotEffectivelyVax (hypo)'!BN19,'Scen NotEffectivelyVax (hypo)'!BQ19,'Scen NotEffectivelyVax (hypo)'!BT19,'Scen NotEffectivelyVax (hypo)'!BW19,'Scen NotEffectivelyVax (hypo)'!BZ19,'Scen NotEffectivelyVax (hypo)'!CC19,'Scen NotEffectivelyVax (hypo)'!CF19,'Scen NotEffectivelyVax (hypo)'!CI19,'Scen NotEffectivelyVax (hypo)'!CL19,'Scen NotEffectivelyVax (hypo)'!CO19,'Scen NotEffectivelyVax (hypo)'!CR19,'Scen NotEffectivelyVax (hypo)'!CU19,'Scen NotEffectivelyVax (hypo)'!CX19,'Scen NotEffectivelyVax (hypo)'!DA19,'Scen NotEffectivelyVax (hypo)'!DD19,'Scen NotEffectivelyVax (hypo)'!DG19,'Scen NotEffectivelyVax (hypo)'!DJ19,'Scen NotEffectivelyVax (hypo)'!DM19,'Scen NotEffectivelyVax (hypo)'!DQ19,'Scen NotEffectivelyVax (hypo)'!DP19,'Scen NotEffectivelyVax (hypo)'!DS19,'Scen NotEffectivelyVax (hypo)'!DV19,'Scen NotEffectivelyVax (hypo)'!DY19,'Scen NotEffectivelyVax (hypo)'!EB19,'Scen NotEffectivelyVax (hypo)'!EE19,'Scen NotEffectivelyVax (hypo)'!EH19,'Scen NotEffectivelyVax (hypo)'!EK19,'Scen NotEffectivelyVax (hypo)'!EN19,'Scen NotEffectivelyVax (hypo)'!EQ19,'Scen NotEffectivelyVax (hypo)'!ET19,'Scen NotEffectivelyVax (hypo)'!EW19,'Scen NotEffectivelyVax (hypo)'!EZ19,'Scen NotEffectivelyVax (hypo)'!FC19,'Scen NotEffectivelyVax (hypo)'!FF19,'Scen NotEffectivelyVax (hypo)'!FI19,'Scen NotEffectivelyVax (hypo)'!FL19,'Scen NotEffectivelyVax (hypo)'!FO19,'Scen NotEffectivelyVax (hypo)'!FR19,'Scen NotEffectivelyVax (hypo)'!FU19,'Scen NotEffectivelyVax (hypo)'!FX19,'Scen NotEffectivelyVax (hypo)'!GA19)</f>
        <v>#VALUE!</v>
      </c>
      <c r="W19" s="141" t="e">
        <f>SUM('Scen NotEffectivelyVax (hypo)'!D19,'Scen NotEffectivelyVax (hypo)'!G19,'Scen NotEffectivelyVax (hypo)'!J19,'Scen NotEffectivelyVax (hypo)'!M19,'Scen NotEffectivelyVax (hypo)'!P19,'Scen NotEffectivelyVax (hypo)'!S19,'Scen NotEffectivelyVax (hypo)'!V19,'Scen NotEffectivelyVax (hypo)'!Y19,'Scen NotEffectivelyVax (hypo)'!AB19,'Scen NotEffectivelyVax (hypo)'!AE19,'Scen NotEffectivelyVax (hypo)'!AH19,'Scen NotEffectivelyVax (hypo)'!AK19,'Scen NotEffectivelyVax (hypo)'!AN19,'Scen NotEffectivelyVax (hypo)'!AQ19,'Scen NotEffectivelyVax (hypo)'!AT19,'Scen NotEffectivelyVax (hypo)'!AW19,'Scen NotEffectivelyVax (hypo)'!AZ19,'Scen NotEffectivelyVax (hypo)'!BC19,'Scen NotEffectivelyVax (hypo)'!BF19,'Scen NotEffectivelyVax (hypo)'!BI19,'Scen NotEffectivelyVax (hypo)'!BL19,'Scen NotEffectivelyVax (hypo)'!BO19,'Scen NotEffectivelyVax (hypo)'!BR19,'Scen NotEffectivelyVax (hypo)'!BU19,'Scen NotEffectivelyVax (hypo)'!BX19,'Scen NotEffectivelyVax (hypo)'!CA19,'Scen NotEffectivelyVax (hypo)'!CD19,'Scen NotEffectivelyVax (hypo)'!CG19,'Scen NotEffectivelyVax (hypo)'!CJ19,'Scen NotEffectivelyVax (hypo)'!CM19,'Scen NotEffectivelyVax (hypo)'!CP19,'Scen NotEffectivelyVax (hypo)'!CS19,'Scen NotEffectivelyVax (hypo)'!CV19,'Scen NotEffectivelyVax (hypo)'!CY19,'Scen NotEffectivelyVax (hypo)'!DB19,'Scen NotEffectivelyVax (hypo)'!DE19,'Scen NotEffectivelyVax (hypo)'!DH19,'Scen NotEffectivelyVax (hypo)'!DK19,'Scen NotEffectivelyVax (hypo)'!DN19,'Scen NotEffectivelyVax (hypo)'!DQ19,'Scen NotEffectivelyVax (hypo)'!DT19,'Scen NotEffectivelyVax (hypo)'!DW19,'Scen NotEffectivelyVax (hypo)'!DZ19,'Scen NotEffectivelyVax (hypo)'!EC19,'Scen NotEffectivelyVax (hypo)'!EF19,'Scen NotEffectivelyVax (hypo)'!EI19,'Scen NotEffectivelyVax (hypo)'!EL19,'Scen NotEffectivelyVax (hypo)'!EO19,'Scen NotEffectivelyVax (hypo)'!ER19,'Scen NotEffectivelyVax (hypo)'!EU19,'Scen NotEffectivelyVax (hypo)'!EX19,'Scen NotEffectivelyVax (hypo)'!FA19,'Scen NotEffectivelyVax (hypo)'!FD19,'Scen NotEffectivelyVax (hypo)'!FG19,'Scen NotEffectivelyVax (hypo)'!FJ19,'Scen NotEffectivelyVax (hypo)'!FM19,'Scen NotEffectivelyVax (hypo)'!FP19,'Scen NotEffectivelyVax (hypo)'!FS19,'Scen NotEffectivelyVax (hypo)'!FV19,'Scen NotEffectivelyVax (hypo)'!FY19)</f>
        <v>#VALUE!</v>
      </c>
      <c r="X19" s="141" t="e">
        <f>SUM('Scen NotEffectivelyVax (hypo)'!E19,'Scen NotEffectivelyVax (hypo)'!H19,'Scen NotEffectivelyVax (hypo)'!K19,'Scen NotEffectivelyVax (hypo)'!N19,'Scen NotEffectivelyVax (hypo)'!Q19,'Scen NotEffectivelyVax (hypo)'!T19,'Scen NotEffectivelyVax (hypo)'!Z19,'Scen NotEffectivelyVax (hypo)'!W19,'Scen NotEffectivelyVax (hypo)'!AC19,'Scen NotEffectivelyVax (hypo)'!AF19,'Scen NotEffectivelyVax (hypo)'!AI19,'Scen NotEffectivelyVax (hypo)'!AL19,'Scen NotEffectivelyVax (hypo)'!AO19,'Scen NotEffectivelyVax (hypo)'!AR19,'Scen NotEffectivelyVax (hypo)'!AU19,'Scen NotEffectivelyVax (hypo)'!AX19,'Scen NotEffectivelyVax (hypo)'!BA19,'Scen NotEffectivelyVax (hypo)'!BD19,'Scen NotEffectivelyVax (hypo)'!BG19,'Scen NotEffectivelyVax (hypo)'!BJ19,'Scen NotEffectivelyVax (hypo)'!BM19,'Scen NotEffectivelyVax (hypo)'!BP19,'Scen NotEffectivelyVax (hypo)'!BS19,'Scen NotEffectivelyVax (hypo)'!BV19,'Scen NotEffectivelyVax (hypo)'!BY19,'Scen NotEffectivelyVax (hypo)'!CB19,'Scen NotEffectivelyVax (hypo)'!CE19,'Scen NotEffectivelyVax (hypo)'!CH19,'Scen NotEffectivelyVax (hypo)'!CK19,'Scen NotEffectivelyVax (hypo)'!CN19,'Scen NotEffectivelyVax (hypo)'!CQ19,'Scen NotEffectivelyVax (hypo)'!CT19,'Scen NotEffectivelyVax (hypo)'!CW19,'Scen NotEffectivelyVax (hypo)'!CZ19,'Scen NotEffectivelyVax (hypo)'!DC19,'Scen NotEffectivelyVax (hypo)'!DF19,'Scen NotEffectivelyVax (hypo)'!DI19,'Scen NotEffectivelyVax (hypo)'!DL19,'Scen NotEffectivelyVax (hypo)'!DO19,'Scen NotEffectivelyVax (hypo)'!DR19,'Scen NotEffectivelyVax (hypo)'!DU19,'Scen NotEffectivelyVax (hypo)'!DX19,'Scen NotEffectivelyVax (hypo)'!EA19,'Scen NotEffectivelyVax (hypo)'!ED19,'Scen NotEffectivelyVax (hypo)'!EG19,'Scen NotEffectivelyVax (hypo)'!EJ19,'Scen NotEffectivelyVax (hypo)'!EM19,'Scen NotEffectivelyVax (hypo)'!EP19,'Scen NotEffectivelyVax (hypo)'!ES19,'Scen NotEffectivelyVax (hypo)'!EV19,'Scen NotEffectivelyVax (hypo)'!EY19,'Scen NotEffectivelyVax (hypo)'!FB19,'Scen NotEffectivelyVax (hypo)'!FE19,'Scen NotEffectivelyVax (hypo)'!FH19,'Scen NotEffectivelyVax (hypo)'!FK19,'Scen NotEffectivelyVax (hypo)'!FN19,'Scen NotEffectivelyVax (hypo)'!FQ19,'Scen NotEffectivelyVax (hypo)'!FT19,'Scen NotEffectivelyVax (hypo)'!FW19,'Scen NotEffectivelyVax (hypo)'!FZ19)</f>
        <v>#VALUE!</v>
      </c>
      <c r="Y19" s="142" t="e">
        <f t="shared" si="1"/>
        <v>#VALUE!</v>
      </c>
      <c r="Z19" s="142" t="e">
        <f>IF(Export!M17&lt;&gt;"",W19*Export!K17*(1/Export!M17),W19*Export!K17)</f>
        <v>#VALUE!</v>
      </c>
      <c r="AA19" s="139" t="e">
        <f>Y19*Export!J17</f>
        <v>#VALUE!</v>
      </c>
      <c r="AC19" s="143" t="e">
        <f t="shared" si="2"/>
        <v>#VALUE!</v>
      </c>
      <c r="AD19" s="144" t="e">
        <f t="shared" si="13"/>
        <v>#VALUE!</v>
      </c>
      <c r="AE19" s="144" t="e">
        <f t="shared" si="3"/>
        <v>#VALUE!</v>
      </c>
      <c r="AF19" s="144" t="e">
        <f t="shared" si="4"/>
        <v>#VALUE!</v>
      </c>
      <c r="AG19" s="144" t="e">
        <f t="shared" si="5"/>
        <v>#VALUE!</v>
      </c>
      <c r="AH19" s="145"/>
      <c r="AI19" s="145"/>
      <c r="AJ19" s="145"/>
      <c r="AK19" s="145"/>
      <c r="AL19" s="146"/>
      <c r="AM19" s="145"/>
      <c r="AN19" s="145"/>
      <c r="AO19" s="145"/>
      <c r="AP19" s="145"/>
      <c r="AQ19" s="146"/>
      <c r="AR19" s="150"/>
      <c r="AS19" s="150"/>
      <c r="AT19" s="150"/>
      <c r="AU19" s="150"/>
      <c r="AV19" s="151"/>
    </row>
    <row r="20" spans="1:50" x14ac:dyDescent="0.35">
      <c r="A20" s="130">
        <f>EffectivelyVax!B19</f>
        <v>1</v>
      </c>
      <c r="B20" s="131">
        <f>EffectivelyVax!C19</f>
        <v>0</v>
      </c>
      <c r="C20" s="132">
        <f>Export!N18</f>
        <v>0</v>
      </c>
      <c r="D20" s="133" t="str">
        <f>IF(Inputs!$F$10="1. Actual program", 'Current vaccine model'!W20, Export!C18)</f>
        <v/>
      </c>
      <c r="E20" s="133" t="e">
        <f>D20*Export!L18</f>
        <v>#VALUE!</v>
      </c>
      <c r="F20" s="133" t="e">
        <f t="shared" si="18"/>
        <v>#VALUE!</v>
      </c>
      <c r="G20" s="133" t="e">
        <f>IF(Export!M18&lt;&gt;"",D20*Export!K18*(1/Export!M18),D20*Export!K18)</f>
        <v>#VALUE!</v>
      </c>
      <c r="H20" s="133" t="e">
        <f>F20*Export!J18</f>
        <v>#VALUE!</v>
      </c>
      <c r="I20" s="133" t="e">
        <f t="shared" si="14"/>
        <v>#VALUE!</v>
      </c>
      <c r="J20" s="134" t="e">
        <f t="shared" si="8"/>
        <v>#VALUE!</v>
      </c>
      <c r="K20" s="135" t="e">
        <f t="shared" si="9"/>
        <v>#VALUE!</v>
      </c>
      <c r="L20" s="117">
        <f>'Scen EffectivelyVax'!A19</f>
        <v>0</v>
      </c>
      <c r="M20" s="115">
        <f>C20*L20*HelperFunctions!G$17</f>
        <v>0</v>
      </c>
      <c r="N20" s="116">
        <f>C20*L20*(1-HelperFunctions!G$17)</f>
        <v>0</v>
      </c>
      <c r="O20" s="136" t="e">
        <f t="shared" si="15"/>
        <v>#DIV/0!</v>
      </c>
      <c r="P20" s="137">
        <f>SUM('Scen EffectivelyVax'!D19:BK19)</f>
        <v>0</v>
      </c>
      <c r="Q20" s="138" t="e">
        <f t="shared" si="11"/>
        <v>#DIV/0!</v>
      </c>
      <c r="R20" s="138" t="e">
        <f t="shared" si="12"/>
        <v>#DIV/0!</v>
      </c>
      <c r="S20" s="137" t="e">
        <f t="shared" si="0"/>
        <v>#DIV/0!</v>
      </c>
      <c r="T20" s="138" t="e">
        <f>IF(Export!M18&lt;&gt;"",Q20*Export!K18*(1/Export!M18),Q20*Export!K18)</f>
        <v>#DIV/0!</v>
      </c>
      <c r="U20" s="139" t="e">
        <f>S20*Export!J18</f>
        <v>#DIV/0!</v>
      </c>
      <c r="V20" s="140" t="e">
        <f>SUM('Scen NotEffectivelyVax (hypo)'!F20,'Scen NotEffectivelyVax (hypo)'!I20,'Scen NotEffectivelyVax (hypo)'!L20,'Scen NotEffectivelyVax (hypo)'!O20,'Scen NotEffectivelyVax (hypo)'!R20,'Scen NotEffectivelyVax (hypo)'!U20,'Scen NotEffectivelyVax (hypo)'!X20,'Scen NotEffectivelyVax (hypo)'!AA20,'Scen NotEffectivelyVax (hypo)'!AD20,'Scen NotEffectivelyVax (hypo)'!AG20,'Scen NotEffectivelyVax (hypo)'!AJ20,'Scen NotEffectivelyVax (hypo)'!AM20,'Scen NotEffectivelyVax (hypo)'!AP20,'Scen NotEffectivelyVax (hypo)'!AS20,'Scen NotEffectivelyVax (hypo)'!AV20,'Scen NotEffectivelyVax (hypo)'!AY20,'Scen NotEffectivelyVax (hypo)'!BB20,'Scen NotEffectivelyVax (hypo)'!BE20,'Scen NotEffectivelyVax (hypo)'!BH20,'Scen NotEffectivelyVax (hypo)'!BK20,'Scen NotEffectivelyVax (hypo)'!BN20,'Scen NotEffectivelyVax (hypo)'!BQ20,'Scen NotEffectivelyVax (hypo)'!BT20,'Scen NotEffectivelyVax (hypo)'!BW20,'Scen NotEffectivelyVax (hypo)'!BZ20,'Scen NotEffectivelyVax (hypo)'!CC20,'Scen NotEffectivelyVax (hypo)'!CF20,'Scen NotEffectivelyVax (hypo)'!CI20,'Scen NotEffectivelyVax (hypo)'!CL20,'Scen NotEffectivelyVax (hypo)'!CO20,'Scen NotEffectivelyVax (hypo)'!CR20,'Scen NotEffectivelyVax (hypo)'!CU20,'Scen NotEffectivelyVax (hypo)'!CX20,'Scen NotEffectivelyVax (hypo)'!DA20,'Scen NotEffectivelyVax (hypo)'!DD20,'Scen NotEffectivelyVax (hypo)'!DG20,'Scen NotEffectivelyVax (hypo)'!DJ20,'Scen NotEffectivelyVax (hypo)'!DM20,'Scen NotEffectivelyVax (hypo)'!DQ20,'Scen NotEffectivelyVax (hypo)'!DP20,'Scen NotEffectivelyVax (hypo)'!DS20,'Scen NotEffectivelyVax (hypo)'!DV20,'Scen NotEffectivelyVax (hypo)'!DY20,'Scen NotEffectivelyVax (hypo)'!EB20,'Scen NotEffectivelyVax (hypo)'!EE20,'Scen NotEffectivelyVax (hypo)'!EH20,'Scen NotEffectivelyVax (hypo)'!EK20,'Scen NotEffectivelyVax (hypo)'!EN20,'Scen NotEffectivelyVax (hypo)'!EQ20,'Scen NotEffectivelyVax (hypo)'!ET20,'Scen NotEffectivelyVax (hypo)'!EW20,'Scen NotEffectivelyVax (hypo)'!EZ20,'Scen NotEffectivelyVax (hypo)'!FC20,'Scen NotEffectivelyVax (hypo)'!FF20,'Scen NotEffectivelyVax (hypo)'!FI20,'Scen NotEffectivelyVax (hypo)'!FL20,'Scen NotEffectivelyVax (hypo)'!FO20,'Scen NotEffectivelyVax (hypo)'!FR20,'Scen NotEffectivelyVax (hypo)'!FU20,'Scen NotEffectivelyVax (hypo)'!FX20,'Scen NotEffectivelyVax (hypo)'!GA20)</f>
        <v>#VALUE!</v>
      </c>
      <c r="W20" s="141" t="e">
        <f>SUM('Scen NotEffectivelyVax (hypo)'!D20,'Scen NotEffectivelyVax (hypo)'!G20,'Scen NotEffectivelyVax (hypo)'!J20,'Scen NotEffectivelyVax (hypo)'!M20,'Scen NotEffectivelyVax (hypo)'!P20,'Scen NotEffectivelyVax (hypo)'!S20,'Scen NotEffectivelyVax (hypo)'!V20,'Scen NotEffectivelyVax (hypo)'!Y20,'Scen NotEffectivelyVax (hypo)'!AB20,'Scen NotEffectivelyVax (hypo)'!AE20,'Scen NotEffectivelyVax (hypo)'!AH20,'Scen NotEffectivelyVax (hypo)'!AK20,'Scen NotEffectivelyVax (hypo)'!AN20,'Scen NotEffectivelyVax (hypo)'!AQ20,'Scen NotEffectivelyVax (hypo)'!AT20,'Scen NotEffectivelyVax (hypo)'!AW20,'Scen NotEffectivelyVax (hypo)'!AZ20,'Scen NotEffectivelyVax (hypo)'!BC20,'Scen NotEffectivelyVax (hypo)'!BF20,'Scen NotEffectivelyVax (hypo)'!BI20,'Scen NotEffectivelyVax (hypo)'!BL20,'Scen NotEffectivelyVax (hypo)'!BO20,'Scen NotEffectivelyVax (hypo)'!BR20,'Scen NotEffectivelyVax (hypo)'!BU20,'Scen NotEffectivelyVax (hypo)'!BX20,'Scen NotEffectivelyVax (hypo)'!CA20,'Scen NotEffectivelyVax (hypo)'!CD20,'Scen NotEffectivelyVax (hypo)'!CG20,'Scen NotEffectivelyVax (hypo)'!CJ20,'Scen NotEffectivelyVax (hypo)'!CM20,'Scen NotEffectivelyVax (hypo)'!CP20,'Scen NotEffectivelyVax (hypo)'!CS20,'Scen NotEffectivelyVax (hypo)'!CV20,'Scen NotEffectivelyVax (hypo)'!CY20,'Scen NotEffectivelyVax (hypo)'!DB20,'Scen NotEffectivelyVax (hypo)'!DE20,'Scen NotEffectivelyVax (hypo)'!DH20,'Scen NotEffectivelyVax (hypo)'!DK20,'Scen NotEffectivelyVax (hypo)'!DN20,'Scen NotEffectivelyVax (hypo)'!DQ20,'Scen NotEffectivelyVax (hypo)'!DT20,'Scen NotEffectivelyVax (hypo)'!DW20,'Scen NotEffectivelyVax (hypo)'!DZ20,'Scen NotEffectivelyVax (hypo)'!EC20,'Scen NotEffectivelyVax (hypo)'!EF20,'Scen NotEffectivelyVax (hypo)'!EI20,'Scen NotEffectivelyVax (hypo)'!EL20,'Scen NotEffectivelyVax (hypo)'!EO20,'Scen NotEffectivelyVax (hypo)'!ER20,'Scen NotEffectivelyVax (hypo)'!EU20,'Scen NotEffectivelyVax (hypo)'!EX20,'Scen NotEffectivelyVax (hypo)'!FA20,'Scen NotEffectivelyVax (hypo)'!FD20,'Scen NotEffectivelyVax (hypo)'!FG20,'Scen NotEffectivelyVax (hypo)'!FJ20,'Scen NotEffectivelyVax (hypo)'!FM20,'Scen NotEffectivelyVax (hypo)'!FP20,'Scen NotEffectivelyVax (hypo)'!FS20,'Scen NotEffectivelyVax (hypo)'!FV20,'Scen NotEffectivelyVax (hypo)'!FY20)</f>
        <v>#VALUE!</v>
      </c>
      <c r="X20" s="141" t="e">
        <f>SUM('Scen NotEffectivelyVax (hypo)'!E20,'Scen NotEffectivelyVax (hypo)'!H20,'Scen NotEffectivelyVax (hypo)'!K20,'Scen NotEffectivelyVax (hypo)'!N20,'Scen NotEffectivelyVax (hypo)'!Q20,'Scen NotEffectivelyVax (hypo)'!T20,'Scen NotEffectivelyVax (hypo)'!Z20,'Scen NotEffectivelyVax (hypo)'!W20,'Scen NotEffectivelyVax (hypo)'!AC20,'Scen NotEffectivelyVax (hypo)'!AF20,'Scen NotEffectivelyVax (hypo)'!AI20,'Scen NotEffectivelyVax (hypo)'!AL20,'Scen NotEffectivelyVax (hypo)'!AO20,'Scen NotEffectivelyVax (hypo)'!AR20,'Scen NotEffectivelyVax (hypo)'!AU20,'Scen NotEffectivelyVax (hypo)'!AX20,'Scen NotEffectivelyVax (hypo)'!BA20,'Scen NotEffectivelyVax (hypo)'!BD20,'Scen NotEffectivelyVax (hypo)'!BG20,'Scen NotEffectivelyVax (hypo)'!BJ20,'Scen NotEffectivelyVax (hypo)'!BM20,'Scen NotEffectivelyVax (hypo)'!BP20,'Scen NotEffectivelyVax (hypo)'!BS20,'Scen NotEffectivelyVax (hypo)'!BV20,'Scen NotEffectivelyVax (hypo)'!BY20,'Scen NotEffectivelyVax (hypo)'!CB20,'Scen NotEffectivelyVax (hypo)'!CE20,'Scen NotEffectivelyVax (hypo)'!CH20,'Scen NotEffectivelyVax (hypo)'!CK20,'Scen NotEffectivelyVax (hypo)'!CN20,'Scen NotEffectivelyVax (hypo)'!CQ20,'Scen NotEffectivelyVax (hypo)'!CT20,'Scen NotEffectivelyVax (hypo)'!CW20,'Scen NotEffectivelyVax (hypo)'!CZ20,'Scen NotEffectivelyVax (hypo)'!DC20,'Scen NotEffectivelyVax (hypo)'!DF20,'Scen NotEffectivelyVax (hypo)'!DI20,'Scen NotEffectivelyVax (hypo)'!DL20,'Scen NotEffectivelyVax (hypo)'!DO20,'Scen NotEffectivelyVax (hypo)'!DR20,'Scen NotEffectivelyVax (hypo)'!DU20,'Scen NotEffectivelyVax (hypo)'!DX20,'Scen NotEffectivelyVax (hypo)'!EA20,'Scen NotEffectivelyVax (hypo)'!ED20,'Scen NotEffectivelyVax (hypo)'!EG20,'Scen NotEffectivelyVax (hypo)'!EJ20,'Scen NotEffectivelyVax (hypo)'!EM20,'Scen NotEffectivelyVax (hypo)'!EP20,'Scen NotEffectivelyVax (hypo)'!ES20,'Scen NotEffectivelyVax (hypo)'!EV20,'Scen NotEffectivelyVax (hypo)'!EY20,'Scen NotEffectivelyVax (hypo)'!FB20,'Scen NotEffectivelyVax (hypo)'!FE20,'Scen NotEffectivelyVax (hypo)'!FH20,'Scen NotEffectivelyVax (hypo)'!FK20,'Scen NotEffectivelyVax (hypo)'!FN20,'Scen NotEffectivelyVax (hypo)'!FQ20,'Scen NotEffectivelyVax (hypo)'!FT20,'Scen NotEffectivelyVax (hypo)'!FW20,'Scen NotEffectivelyVax (hypo)'!FZ20)</f>
        <v>#VALUE!</v>
      </c>
      <c r="Y20" s="142" t="e">
        <f t="shared" si="1"/>
        <v>#VALUE!</v>
      </c>
      <c r="Z20" s="142" t="e">
        <f>IF(Export!M18&lt;&gt;"",W20*Export!K18*(1/Export!M18),W20*Export!K18)</f>
        <v>#VALUE!</v>
      </c>
      <c r="AA20" s="139" t="e">
        <f>Y20*Export!J18</f>
        <v>#VALUE!</v>
      </c>
      <c r="AC20" s="143" t="e">
        <f t="shared" si="2"/>
        <v>#VALUE!</v>
      </c>
      <c r="AD20" s="144" t="e">
        <f t="shared" si="13"/>
        <v>#VALUE!</v>
      </c>
      <c r="AE20" s="144" t="e">
        <f t="shared" si="3"/>
        <v>#VALUE!</v>
      </c>
      <c r="AF20" s="144" t="e">
        <f t="shared" si="4"/>
        <v>#VALUE!</v>
      </c>
      <c r="AG20" s="144" t="e">
        <f t="shared" si="5"/>
        <v>#VALUE!</v>
      </c>
      <c r="AH20" s="145"/>
      <c r="AI20" s="145"/>
      <c r="AJ20" s="145"/>
      <c r="AK20" s="145"/>
      <c r="AL20" s="146"/>
      <c r="AM20" s="145"/>
      <c r="AN20" s="145"/>
      <c r="AO20" s="145"/>
      <c r="AP20" s="145"/>
      <c r="AQ20" s="146"/>
      <c r="AR20" s="150"/>
      <c r="AS20" s="150"/>
      <c r="AT20" s="150"/>
      <c r="AU20" s="150"/>
      <c r="AV20" s="151"/>
    </row>
    <row r="21" spans="1:50" x14ac:dyDescent="0.35">
      <c r="A21" s="130">
        <f>EffectivelyVax!B20</f>
        <v>1</v>
      </c>
      <c r="B21" s="131">
        <f>EffectivelyVax!C20</f>
        <v>0</v>
      </c>
      <c r="C21" s="132">
        <f>Export!N19</f>
        <v>0</v>
      </c>
      <c r="D21" s="133" t="str">
        <f>IF(Inputs!$F$10="1. Actual program", 'Current vaccine model'!W21, Export!C19)</f>
        <v/>
      </c>
      <c r="E21" s="133" t="e">
        <f>D21*Export!L19</f>
        <v>#VALUE!</v>
      </c>
      <c r="F21" s="133" t="e">
        <f t="shared" si="18"/>
        <v>#VALUE!</v>
      </c>
      <c r="G21" s="133" t="e">
        <f>IF(Export!M19&lt;&gt;"",D21*Export!K19*(1/Export!M19),D21*Export!K19)</f>
        <v>#VALUE!</v>
      </c>
      <c r="H21" s="133" t="e">
        <f>F21*Export!J19</f>
        <v>#VALUE!</v>
      </c>
      <c r="I21" s="133" t="e">
        <f t="shared" si="14"/>
        <v>#VALUE!</v>
      </c>
      <c r="J21" s="134" t="e">
        <f t="shared" si="8"/>
        <v>#VALUE!</v>
      </c>
      <c r="K21" s="135" t="e">
        <f t="shared" si="9"/>
        <v>#VALUE!</v>
      </c>
      <c r="L21" s="117">
        <f>'Scen EffectivelyVax'!A20</f>
        <v>0</v>
      </c>
      <c r="M21" s="115">
        <f>C21*L21*HelperFunctions!G$17</f>
        <v>0</v>
      </c>
      <c r="N21" s="116">
        <f>C21*L21*(1-HelperFunctions!G$17)</f>
        <v>0</v>
      </c>
      <c r="O21" s="136" t="e">
        <f t="shared" si="15"/>
        <v>#DIV/0!</v>
      </c>
      <c r="P21" s="137">
        <f>SUM('Scen EffectivelyVax'!D20:BK20)</f>
        <v>0</v>
      </c>
      <c r="Q21" s="138" t="e">
        <f t="shared" si="11"/>
        <v>#DIV/0!</v>
      </c>
      <c r="R21" s="138" t="e">
        <f t="shared" si="12"/>
        <v>#DIV/0!</v>
      </c>
      <c r="S21" s="137" t="e">
        <f t="shared" si="0"/>
        <v>#DIV/0!</v>
      </c>
      <c r="T21" s="138" t="e">
        <f>IF(Export!M19&lt;&gt;"",Q21*Export!K19*(1/Export!M19),Q21*Export!K19)</f>
        <v>#DIV/0!</v>
      </c>
      <c r="U21" s="139" t="e">
        <f>S21*Export!J19</f>
        <v>#DIV/0!</v>
      </c>
      <c r="V21" s="140" t="e">
        <f>SUM('Scen NotEffectivelyVax (hypo)'!F21,'Scen NotEffectivelyVax (hypo)'!I21,'Scen NotEffectivelyVax (hypo)'!L21,'Scen NotEffectivelyVax (hypo)'!O21,'Scen NotEffectivelyVax (hypo)'!R21,'Scen NotEffectivelyVax (hypo)'!U21,'Scen NotEffectivelyVax (hypo)'!X21,'Scen NotEffectivelyVax (hypo)'!AA21,'Scen NotEffectivelyVax (hypo)'!AD21,'Scen NotEffectivelyVax (hypo)'!AG21,'Scen NotEffectivelyVax (hypo)'!AJ21,'Scen NotEffectivelyVax (hypo)'!AM21,'Scen NotEffectivelyVax (hypo)'!AP21,'Scen NotEffectivelyVax (hypo)'!AS21,'Scen NotEffectivelyVax (hypo)'!AV21,'Scen NotEffectivelyVax (hypo)'!AY21,'Scen NotEffectivelyVax (hypo)'!BB21,'Scen NotEffectivelyVax (hypo)'!BE21,'Scen NotEffectivelyVax (hypo)'!BH21,'Scen NotEffectivelyVax (hypo)'!BK21,'Scen NotEffectivelyVax (hypo)'!BN21,'Scen NotEffectivelyVax (hypo)'!BQ21,'Scen NotEffectivelyVax (hypo)'!BT21,'Scen NotEffectivelyVax (hypo)'!BW21,'Scen NotEffectivelyVax (hypo)'!BZ21,'Scen NotEffectivelyVax (hypo)'!CC21,'Scen NotEffectivelyVax (hypo)'!CF21,'Scen NotEffectivelyVax (hypo)'!CI21,'Scen NotEffectivelyVax (hypo)'!CL21,'Scen NotEffectivelyVax (hypo)'!CO21,'Scen NotEffectivelyVax (hypo)'!CR21,'Scen NotEffectivelyVax (hypo)'!CU21,'Scen NotEffectivelyVax (hypo)'!CX21,'Scen NotEffectivelyVax (hypo)'!DA21,'Scen NotEffectivelyVax (hypo)'!DD21,'Scen NotEffectivelyVax (hypo)'!DG21,'Scen NotEffectivelyVax (hypo)'!DJ21,'Scen NotEffectivelyVax (hypo)'!DM21,'Scen NotEffectivelyVax (hypo)'!DQ21,'Scen NotEffectivelyVax (hypo)'!DP21,'Scen NotEffectivelyVax (hypo)'!DS21,'Scen NotEffectivelyVax (hypo)'!DV21,'Scen NotEffectivelyVax (hypo)'!DY21,'Scen NotEffectivelyVax (hypo)'!EB21,'Scen NotEffectivelyVax (hypo)'!EE21,'Scen NotEffectivelyVax (hypo)'!EH21,'Scen NotEffectivelyVax (hypo)'!EK21,'Scen NotEffectivelyVax (hypo)'!EN21,'Scen NotEffectivelyVax (hypo)'!EQ21,'Scen NotEffectivelyVax (hypo)'!ET21,'Scen NotEffectivelyVax (hypo)'!EW21,'Scen NotEffectivelyVax (hypo)'!EZ21,'Scen NotEffectivelyVax (hypo)'!FC21,'Scen NotEffectivelyVax (hypo)'!FF21,'Scen NotEffectivelyVax (hypo)'!FI21,'Scen NotEffectivelyVax (hypo)'!FL21,'Scen NotEffectivelyVax (hypo)'!FO21,'Scen NotEffectivelyVax (hypo)'!FR21,'Scen NotEffectivelyVax (hypo)'!FU21,'Scen NotEffectivelyVax (hypo)'!FX21,'Scen NotEffectivelyVax (hypo)'!GA21)</f>
        <v>#VALUE!</v>
      </c>
      <c r="W21" s="141" t="e">
        <f>SUM('Scen NotEffectivelyVax (hypo)'!D21,'Scen NotEffectivelyVax (hypo)'!G21,'Scen NotEffectivelyVax (hypo)'!J21,'Scen NotEffectivelyVax (hypo)'!M21,'Scen NotEffectivelyVax (hypo)'!P21,'Scen NotEffectivelyVax (hypo)'!S21,'Scen NotEffectivelyVax (hypo)'!V21,'Scen NotEffectivelyVax (hypo)'!Y21,'Scen NotEffectivelyVax (hypo)'!AB21,'Scen NotEffectivelyVax (hypo)'!AE21,'Scen NotEffectivelyVax (hypo)'!AH21,'Scen NotEffectivelyVax (hypo)'!AK21,'Scen NotEffectivelyVax (hypo)'!AN21,'Scen NotEffectivelyVax (hypo)'!AQ21,'Scen NotEffectivelyVax (hypo)'!AT21,'Scen NotEffectivelyVax (hypo)'!AW21,'Scen NotEffectivelyVax (hypo)'!AZ21,'Scen NotEffectivelyVax (hypo)'!BC21,'Scen NotEffectivelyVax (hypo)'!BF21,'Scen NotEffectivelyVax (hypo)'!BI21,'Scen NotEffectivelyVax (hypo)'!BL21,'Scen NotEffectivelyVax (hypo)'!BO21,'Scen NotEffectivelyVax (hypo)'!BR21,'Scen NotEffectivelyVax (hypo)'!BU21,'Scen NotEffectivelyVax (hypo)'!BX21,'Scen NotEffectivelyVax (hypo)'!CA21,'Scen NotEffectivelyVax (hypo)'!CD21,'Scen NotEffectivelyVax (hypo)'!CG21,'Scen NotEffectivelyVax (hypo)'!CJ21,'Scen NotEffectivelyVax (hypo)'!CM21,'Scen NotEffectivelyVax (hypo)'!CP21,'Scen NotEffectivelyVax (hypo)'!CS21,'Scen NotEffectivelyVax (hypo)'!CV21,'Scen NotEffectivelyVax (hypo)'!CY21,'Scen NotEffectivelyVax (hypo)'!DB21,'Scen NotEffectivelyVax (hypo)'!DE21,'Scen NotEffectivelyVax (hypo)'!DH21,'Scen NotEffectivelyVax (hypo)'!DK21,'Scen NotEffectivelyVax (hypo)'!DN21,'Scen NotEffectivelyVax (hypo)'!DQ21,'Scen NotEffectivelyVax (hypo)'!DT21,'Scen NotEffectivelyVax (hypo)'!DW21,'Scen NotEffectivelyVax (hypo)'!DZ21,'Scen NotEffectivelyVax (hypo)'!EC21,'Scen NotEffectivelyVax (hypo)'!EF21,'Scen NotEffectivelyVax (hypo)'!EI21,'Scen NotEffectivelyVax (hypo)'!EL21,'Scen NotEffectivelyVax (hypo)'!EO21,'Scen NotEffectivelyVax (hypo)'!ER21,'Scen NotEffectivelyVax (hypo)'!EU21,'Scen NotEffectivelyVax (hypo)'!EX21,'Scen NotEffectivelyVax (hypo)'!FA21,'Scen NotEffectivelyVax (hypo)'!FD21,'Scen NotEffectivelyVax (hypo)'!FG21,'Scen NotEffectivelyVax (hypo)'!FJ21,'Scen NotEffectivelyVax (hypo)'!FM21,'Scen NotEffectivelyVax (hypo)'!FP21,'Scen NotEffectivelyVax (hypo)'!FS21,'Scen NotEffectivelyVax (hypo)'!FV21,'Scen NotEffectivelyVax (hypo)'!FY21)</f>
        <v>#VALUE!</v>
      </c>
      <c r="X21" s="141" t="e">
        <f>SUM('Scen NotEffectivelyVax (hypo)'!E21,'Scen NotEffectivelyVax (hypo)'!H21,'Scen NotEffectivelyVax (hypo)'!K21,'Scen NotEffectivelyVax (hypo)'!N21,'Scen NotEffectivelyVax (hypo)'!Q21,'Scen NotEffectivelyVax (hypo)'!T21,'Scen NotEffectivelyVax (hypo)'!Z21,'Scen NotEffectivelyVax (hypo)'!W21,'Scen NotEffectivelyVax (hypo)'!AC21,'Scen NotEffectivelyVax (hypo)'!AF21,'Scen NotEffectivelyVax (hypo)'!AI21,'Scen NotEffectivelyVax (hypo)'!AL21,'Scen NotEffectivelyVax (hypo)'!AO21,'Scen NotEffectivelyVax (hypo)'!AR21,'Scen NotEffectivelyVax (hypo)'!AU21,'Scen NotEffectivelyVax (hypo)'!AX21,'Scen NotEffectivelyVax (hypo)'!BA21,'Scen NotEffectivelyVax (hypo)'!BD21,'Scen NotEffectivelyVax (hypo)'!BG21,'Scen NotEffectivelyVax (hypo)'!BJ21,'Scen NotEffectivelyVax (hypo)'!BM21,'Scen NotEffectivelyVax (hypo)'!BP21,'Scen NotEffectivelyVax (hypo)'!BS21,'Scen NotEffectivelyVax (hypo)'!BV21,'Scen NotEffectivelyVax (hypo)'!BY21,'Scen NotEffectivelyVax (hypo)'!CB21,'Scen NotEffectivelyVax (hypo)'!CE21,'Scen NotEffectivelyVax (hypo)'!CH21,'Scen NotEffectivelyVax (hypo)'!CK21,'Scen NotEffectivelyVax (hypo)'!CN21,'Scen NotEffectivelyVax (hypo)'!CQ21,'Scen NotEffectivelyVax (hypo)'!CT21,'Scen NotEffectivelyVax (hypo)'!CW21,'Scen NotEffectivelyVax (hypo)'!CZ21,'Scen NotEffectivelyVax (hypo)'!DC21,'Scen NotEffectivelyVax (hypo)'!DF21,'Scen NotEffectivelyVax (hypo)'!DI21,'Scen NotEffectivelyVax (hypo)'!DL21,'Scen NotEffectivelyVax (hypo)'!DO21,'Scen NotEffectivelyVax (hypo)'!DR21,'Scen NotEffectivelyVax (hypo)'!DU21,'Scen NotEffectivelyVax (hypo)'!DX21,'Scen NotEffectivelyVax (hypo)'!EA21,'Scen NotEffectivelyVax (hypo)'!ED21,'Scen NotEffectivelyVax (hypo)'!EG21,'Scen NotEffectivelyVax (hypo)'!EJ21,'Scen NotEffectivelyVax (hypo)'!EM21,'Scen NotEffectivelyVax (hypo)'!EP21,'Scen NotEffectivelyVax (hypo)'!ES21,'Scen NotEffectivelyVax (hypo)'!EV21,'Scen NotEffectivelyVax (hypo)'!EY21,'Scen NotEffectivelyVax (hypo)'!FB21,'Scen NotEffectivelyVax (hypo)'!FE21,'Scen NotEffectivelyVax (hypo)'!FH21,'Scen NotEffectivelyVax (hypo)'!FK21,'Scen NotEffectivelyVax (hypo)'!FN21,'Scen NotEffectivelyVax (hypo)'!FQ21,'Scen NotEffectivelyVax (hypo)'!FT21,'Scen NotEffectivelyVax (hypo)'!FW21,'Scen NotEffectivelyVax (hypo)'!FZ21)</f>
        <v>#VALUE!</v>
      </c>
      <c r="Y21" s="142" t="e">
        <f t="shared" si="1"/>
        <v>#VALUE!</v>
      </c>
      <c r="Z21" s="142" t="e">
        <f>IF(Export!M19&lt;&gt;"",W21*Export!K19*(1/Export!M19),W21*Export!K19)</f>
        <v>#VALUE!</v>
      </c>
      <c r="AA21" s="139" t="e">
        <f>Y21*Export!J19</f>
        <v>#VALUE!</v>
      </c>
      <c r="AC21" s="143" t="e">
        <f t="shared" si="2"/>
        <v>#VALUE!</v>
      </c>
      <c r="AD21" s="144" t="e">
        <f t="shared" si="13"/>
        <v>#VALUE!</v>
      </c>
      <c r="AE21" s="144" t="e">
        <f t="shared" si="3"/>
        <v>#VALUE!</v>
      </c>
      <c r="AF21" s="144" t="e">
        <f t="shared" si="4"/>
        <v>#VALUE!</v>
      </c>
      <c r="AG21" s="144" t="e">
        <f t="shared" si="5"/>
        <v>#VALUE!</v>
      </c>
      <c r="AH21" s="145"/>
      <c r="AI21" s="145"/>
      <c r="AJ21" s="145"/>
      <c r="AK21" s="145"/>
      <c r="AL21" s="146"/>
      <c r="AM21" s="145"/>
      <c r="AN21" s="145"/>
      <c r="AO21" s="145"/>
      <c r="AP21" s="145"/>
      <c r="AQ21" s="146"/>
      <c r="AR21" s="150"/>
      <c r="AS21" s="150"/>
      <c r="AT21" s="150"/>
      <c r="AU21" s="150"/>
      <c r="AV21" s="151"/>
    </row>
    <row r="22" spans="1:50" x14ac:dyDescent="0.35">
      <c r="A22" s="130">
        <f>EffectivelyVax!B21</f>
        <v>1</v>
      </c>
      <c r="B22" s="131">
        <f>EffectivelyVax!C21</f>
        <v>0</v>
      </c>
      <c r="C22" s="132">
        <f>Export!N20</f>
        <v>0</v>
      </c>
      <c r="D22" s="133" t="str">
        <f>IF(Inputs!$F$10="1. Actual program", 'Current vaccine model'!W22, Export!C20)</f>
        <v/>
      </c>
      <c r="E22" s="133" t="e">
        <f>D22*Export!L20</f>
        <v>#VALUE!</v>
      </c>
      <c r="F22" s="133" t="e">
        <f t="shared" si="18"/>
        <v>#VALUE!</v>
      </c>
      <c r="G22" s="133" t="e">
        <f>IF(Export!M20&lt;&gt;"",D22*Export!K20*(1/Export!M20),D22*Export!K20)</f>
        <v>#VALUE!</v>
      </c>
      <c r="H22" s="133" t="e">
        <f>F22*Export!J20</f>
        <v>#VALUE!</v>
      </c>
      <c r="I22" s="133" t="e">
        <f t="shared" si="14"/>
        <v>#VALUE!</v>
      </c>
      <c r="J22" s="134" t="e">
        <f t="shared" si="8"/>
        <v>#VALUE!</v>
      </c>
      <c r="K22" s="135" t="e">
        <f t="shared" si="9"/>
        <v>#VALUE!</v>
      </c>
      <c r="L22" s="117">
        <f>'Scen EffectivelyVax'!A21</f>
        <v>0</v>
      </c>
      <c r="M22" s="115">
        <f>C22*L22*HelperFunctions!G$17</f>
        <v>0</v>
      </c>
      <c r="N22" s="116">
        <f>C22*L22*(1-HelperFunctions!G$17)</f>
        <v>0</v>
      </c>
      <c r="O22" s="136" t="e">
        <f t="shared" si="15"/>
        <v>#DIV/0!</v>
      </c>
      <c r="P22" s="137">
        <f>SUM('Scen EffectivelyVax'!D21:BK21)</f>
        <v>0</v>
      </c>
      <c r="Q22" s="138" t="e">
        <f t="shared" si="11"/>
        <v>#DIV/0!</v>
      </c>
      <c r="R22" s="138" t="e">
        <f t="shared" si="12"/>
        <v>#DIV/0!</v>
      </c>
      <c r="S22" s="137" t="e">
        <f t="shared" si="0"/>
        <v>#DIV/0!</v>
      </c>
      <c r="T22" s="138" t="e">
        <f>IF(Export!M20&lt;&gt;"",Q22*Export!K20*(1/Export!M20),Q22*Export!K20)</f>
        <v>#DIV/0!</v>
      </c>
      <c r="U22" s="139" t="e">
        <f>S22*Export!J20</f>
        <v>#DIV/0!</v>
      </c>
      <c r="V22" s="140" t="e">
        <f>SUM('Scen NotEffectivelyVax (hypo)'!F22,'Scen NotEffectivelyVax (hypo)'!I22,'Scen NotEffectivelyVax (hypo)'!L22,'Scen NotEffectivelyVax (hypo)'!O22,'Scen NotEffectivelyVax (hypo)'!R22,'Scen NotEffectivelyVax (hypo)'!U22,'Scen NotEffectivelyVax (hypo)'!X22,'Scen NotEffectivelyVax (hypo)'!AA22,'Scen NotEffectivelyVax (hypo)'!AD22,'Scen NotEffectivelyVax (hypo)'!AG22,'Scen NotEffectivelyVax (hypo)'!AJ22,'Scen NotEffectivelyVax (hypo)'!AM22,'Scen NotEffectivelyVax (hypo)'!AP22,'Scen NotEffectivelyVax (hypo)'!AS22,'Scen NotEffectivelyVax (hypo)'!AV22,'Scen NotEffectivelyVax (hypo)'!AY22,'Scen NotEffectivelyVax (hypo)'!BB22,'Scen NotEffectivelyVax (hypo)'!BE22,'Scen NotEffectivelyVax (hypo)'!BH22,'Scen NotEffectivelyVax (hypo)'!BK22,'Scen NotEffectivelyVax (hypo)'!BN22,'Scen NotEffectivelyVax (hypo)'!BQ22,'Scen NotEffectivelyVax (hypo)'!BT22,'Scen NotEffectivelyVax (hypo)'!BW22,'Scen NotEffectivelyVax (hypo)'!BZ22,'Scen NotEffectivelyVax (hypo)'!CC22,'Scen NotEffectivelyVax (hypo)'!CF22,'Scen NotEffectivelyVax (hypo)'!CI22,'Scen NotEffectivelyVax (hypo)'!CL22,'Scen NotEffectivelyVax (hypo)'!CO22,'Scen NotEffectivelyVax (hypo)'!CR22,'Scen NotEffectivelyVax (hypo)'!CU22,'Scen NotEffectivelyVax (hypo)'!CX22,'Scen NotEffectivelyVax (hypo)'!DA22,'Scen NotEffectivelyVax (hypo)'!DD22,'Scen NotEffectivelyVax (hypo)'!DG22,'Scen NotEffectivelyVax (hypo)'!DJ22,'Scen NotEffectivelyVax (hypo)'!DM22,'Scen NotEffectivelyVax (hypo)'!DQ22,'Scen NotEffectivelyVax (hypo)'!DP22,'Scen NotEffectivelyVax (hypo)'!DS22,'Scen NotEffectivelyVax (hypo)'!DV22,'Scen NotEffectivelyVax (hypo)'!DY22,'Scen NotEffectivelyVax (hypo)'!EB22,'Scen NotEffectivelyVax (hypo)'!EE22,'Scen NotEffectivelyVax (hypo)'!EH22,'Scen NotEffectivelyVax (hypo)'!EK22,'Scen NotEffectivelyVax (hypo)'!EN22,'Scen NotEffectivelyVax (hypo)'!EQ22,'Scen NotEffectivelyVax (hypo)'!ET22,'Scen NotEffectivelyVax (hypo)'!EW22,'Scen NotEffectivelyVax (hypo)'!EZ22,'Scen NotEffectivelyVax (hypo)'!FC22,'Scen NotEffectivelyVax (hypo)'!FF22,'Scen NotEffectivelyVax (hypo)'!FI22,'Scen NotEffectivelyVax (hypo)'!FL22,'Scen NotEffectivelyVax (hypo)'!FO22,'Scen NotEffectivelyVax (hypo)'!FR22,'Scen NotEffectivelyVax (hypo)'!FU22,'Scen NotEffectivelyVax (hypo)'!FX22,'Scen NotEffectivelyVax (hypo)'!GA22)</f>
        <v>#VALUE!</v>
      </c>
      <c r="W22" s="141" t="e">
        <f>SUM('Scen NotEffectivelyVax (hypo)'!D22,'Scen NotEffectivelyVax (hypo)'!G22,'Scen NotEffectivelyVax (hypo)'!J22,'Scen NotEffectivelyVax (hypo)'!M22,'Scen NotEffectivelyVax (hypo)'!P22,'Scen NotEffectivelyVax (hypo)'!S22,'Scen NotEffectivelyVax (hypo)'!V22,'Scen NotEffectivelyVax (hypo)'!Y22,'Scen NotEffectivelyVax (hypo)'!AB22,'Scen NotEffectivelyVax (hypo)'!AE22,'Scen NotEffectivelyVax (hypo)'!AH22,'Scen NotEffectivelyVax (hypo)'!AK22,'Scen NotEffectivelyVax (hypo)'!AN22,'Scen NotEffectivelyVax (hypo)'!AQ22,'Scen NotEffectivelyVax (hypo)'!AT22,'Scen NotEffectivelyVax (hypo)'!AW22,'Scen NotEffectivelyVax (hypo)'!AZ22,'Scen NotEffectivelyVax (hypo)'!BC22,'Scen NotEffectivelyVax (hypo)'!BF22,'Scen NotEffectivelyVax (hypo)'!BI22,'Scen NotEffectivelyVax (hypo)'!BL22,'Scen NotEffectivelyVax (hypo)'!BO22,'Scen NotEffectivelyVax (hypo)'!BR22,'Scen NotEffectivelyVax (hypo)'!BU22,'Scen NotEffectivelyVax (hypo)'!BX22,'Scen NotEffectivelyVax (hypo)'!CA22,'Scen NotEffectivelyVax (hypo)'!CD22,'Scen NotEffectivelyVax (hypo)'!CG22,'Scen NotEffectivelyVax (hypo)'!CJ22,'Scen NotEffectivelyVax (hypo)'!CM22,'Scen NotEffectivelyVax (hypo)'!CP22,'Scen NotEffectivelyVax (hypo)'!CS22,'Scen NotEffectivelyVax (hypo)'!CV22,'Scen NotEffectivelyVax (hypo)'!CY22,'Scen NotEffectivelyVax (hypo)'!DB22,'Scen NotEffectivelyVax (hypo)'!DE22,'Scen NotEffectivelyVax (hypo)'!DH22,'Scen NotEffectivelyVax (hypo)'!DK22,'Scen NotEffectivelyVax (hypo)'!DN22,'Scen NotEffectivelyVax (hypo)'!DQ22,'Scen NotEffectivelyVax (hypo)'!DT22,'Scen NotEffectivelyVax (hypo)'!DW22,'Scen NotEffectivelyVax (hypo)'!DZ22,'Scen NotEffectivelyVax (hypo)'!EC22,'Scen NotEffectivelyVax (hypo)'!EF22,'Scen NotEffectivelyVax (hypo)'!EI22,'Scen NotEffectivelyVax (hypo)'!EL22,'Scen NotEffectivelyVax (hypo)'!EO22,'Scen NotEffectivelyVax (hypo)'!ER22,'Scen NotEffectivelyVax (hypo)'!EU22,'Scen NotEffectivelyVax (hypo)'!EX22,'Scen NotEffectivelyVax (hypo)'!FA22,'Scen NotEffectivelyVax (hypo)'!FD22,'Scen NotEffectivelyVax (hypo)'!FG22,'Scen NotEffectivelyVax (hypo)'!FJ22,'Scen NotEffectivelyVax (hypo)'!FM22,'Scen NotEffectivelyVax (hypo)'!FP22,'Scen NotEffectivelyVax (hypo)'!FS22,'Scen NotEffectivelyVax (hypo)'!FV22,'Scen NotEffectivelyVax (hypo)'!FY22)</f>
        <v>#VALUE!</v>
      </c>
      <c r="X22" s="141" t="e">
        <f>SUM('Scen NotEffectivelyVax (hypo)'!E22,'Scen NotEffectivelyVax (hypo)'!H22,'Scen NotEffectivelyVax (hypo)'!K22,'Scen NotEffectivelyVax (hypo)'!N22,'Scen NotEffectivelyVax (hypo)'!Q22,'Scen NotEffectivelyVax (hypo)'!T22,'Scen NotEffectivelyVax (hypo)'!Z22,'Scen NotEffectivelyVax (hypo)'!W22,'Scen NotEffectivelyVax (hypo)'!AC22,'Scen NotEffectivelyVax (hypo)'!AF22,'Scen NotEffectivelyVax (hypo)'!AI22,'Scen NotEffectivelyVax (hypo)'!AL22,'Scen NotEffectivelyVax (hypo)'!AO22,'Scen NotEffectivelyVax (hypo)'!AR22,'Scen NotEffectivelyVax (hypo)'!AU22,'Scen NotEffectivelyVax (hypo)'!AX22,'Scen NotEffectivelyVax (hypo)'!BA22,'Scen NotEffectivelyVax (hypo)'!BD22,'Scen NotEffectivelyVax (hypo)'!BG22,'Scen NotEffectivelyVax (hypo)'!BJ22,'Scen NotEffectivelyVax (hypo)'!BM22,'Scen NotEffectivelyVax (hypo)'!BP22,'Scen NotEffectivelyVax (hypo)'!BS22,'Scen NotEffectivelyVax (hypo)'!BV22,'Scen NotEffectivelyVax (hypo)'!BY22,'Scen NotEffectivelyVax (hypo)'!CB22,'Scen NotEffectivelyVax (hypo)'!CE22,'Scen NotEffectivelyVax (hypo)'!CH22,'Scen NotEffectivelyVax (hypo)'!CK22,'Scen NotEffectivelyVax (hypo)'!CN22,'Scen NotEffectivelyVax (hypo)'!CQ22,'Scen NotEffectivelyVax (hypo)'!CT22,'Scen NotEffectivelyVax (hypo)'!CW22,'Scen NotEffectivelyVax (hypo)'!CZ22,'Scen NotEffectivelyVax (hypo)'!DC22,'Scen NotEffectivelyVax (hypo)'!DF22,'Scen NotEffectivelyVax (hypo)'!DI22,'Scen NotEffectivelyVax (hypo)'!DL22,'Scen NotEffectivelyVax (hypo)'!DO22,'Scen NotEffectivelyVax (hypo)'!DR22,'Scen NotEffectivelyVax (hypo)'!DU22,'Scen NotEffectivelyVax (hypo)'!DX22,'Scen NotEffectivelyVax (hypo)'!EA22,'Scen NotEffectivelyVax (hypo)'!ED22,'Scen NotEffectivelyVax (hypo)'!EG22,'Scen NotEffectivelyVax (hypo)'!EJ22,'Scen NotEffectivelyVax (hypo)'!EM22,'Scen NotEffectivelyVax (hypo)'!EP22,'Scen NotEffectivelyVax (hypo)'!ES22,'Scen NotEffectivelyVax (hypo)'!EV22,'Scen NotEffectivelyVax (hypo)'!EY22,'Scen NotEffectivelyVax (hypo)'!FB22,'Scen NotEffectivelyVax (hypo)'!FE22,'Scen NotEffectivelyVax (hypo)'!FH22,'Scen NotEffectivelyVax (hypo)'!FK22,'Scen NotEffectivelyVax (hypo)'!FN22,'Scen NotEffectivelyVax (hypo)'!FQ22,'Scen NotEffectivelyVax (hypo)'!FT22,'Scen NotEffectivelyVax (hypo)'!FW22,'Scen NotEffectivelyVax (hypo)'!FZ22)</f>
        <v>#VALUE!</v>
      </c>
      <c r="Y22" s="142" t="e">
        <f t="shared" si="1"/>
        <v>#VALUE!</v>
      </c>
      <c r="Z22" s="142" t="e">
        <f>IF(Export!M20&lt;&gt;"",W22*Export!K20*(1/Export!M20),W22*Export!K20)</f>
        <v>#VALUE!</v>
      </c>
      <c r="AA22" s="139" t="e">
        <f>Y22*Export!J20</f>
        <v>#VALUE!</v>
      </c>
      <c r="AC22" s="143" t="e">
        <f t="shared" si="2"/>
        <v>#VALUE!</v>
      </c>
      <c r="AD22" s="144" t="e">
        <f t="shared" si="13"/>
        <v>#VALUE!</v>
      </c>
      <c r="AE22" s="144" t="e">
        <f t="shared" si="3"/>
        <v>#VALUE!</v>
      </c>
      <c r="AF22" s="144" t="e">
        <f t="shared" si="4"/>
        <v>#VALUE!</v>
      </c>
      <c r="AG22" s="144" t="e">
        <f t="shared" si="5"/>
        <v>#VALUE!</v>
      </c>
      <c r="AH22" s="145"/>
      <c r="AI22" s="145"/>
      <c r="AJ22" s="145"/>
      <c r="AK22" s="145"/>
      <c r="AL22" s="146"/>
      <c r="AM22" s="145"/>
      <c r="AN22" s="145"/>
      <c r="AO22" s="145"/>
      <c r="AP22" s="145"/>
      <c r="AQ22" s="146"/>
      <c r="AR22" s="150"/>
      <c r="AS22" s="150"/>
      <c r="AT22" s="150"/>
      <c r="AU22" s="150"/>
      <c r="AV22" s="151"/>
    </row>
    <row r="23" spans="1:50" x14ac:dyDescent="0.35">
      <c r="A23" s="130">
        <f>EffectivelyVax!B22</f>
        <v>1</v>
      </c>
      <c r="B23" s="131">
        <f>EffectivelyVax!C22</f>
        <v>0</v>
      </c>
      <c r="C23" s="132">
        <f>Export!N21</f>
        <v>0</v>
      </c>
      <c r="D23" s="133" t="str">
        <f>IF(Inputs!$F$10="1. Actual program", 'Current vaccine model'!W23, Export!C21)</f>
        <v/>
      </c>
      <c r="E23" s="133" t="e">
        <f>D23*Export!L21</f>
        <v>#VALUE!</v>
      </c>
      <c r="F23" s="133" t="e">
        <f t="shared" si="18"/>
        <v>#VALUE!</v>
      </c>
      <c r="G23" s="133" t="e">
        <f>IF(Export!M21&lt;&gt;"",D23*Export!K21*(1/Export!M21),D23*Export!K21)</f>
        <v>#VALUE!</v>
      </c>
      <c r="H23" s="133" t="e">
        <f>F23*Export!J21</f>
        <v>#VALUE!</v>
      </c>
      <c r="I23" s="133" t="e">
        <f t="shared" si="14"/>
        <v>#VALUE!</v>
      </c>
      <c r="J23" s="134" t="e">
        <f t="shared" si="8"/>
        <v>#VALUE!</v>
      </c>
      <c r="K23" s="135" t="e">
        <f t="shared" si="9"/>
        <v>#VALUE!</v>
      </c>
      <c r="L23" s="117">
        <f>'Scen EffectivelyVax'!A22</f>
        <v>0</v>
      </c>
      <c r="M23" s="115">
        <f>C23*L23*HelperFunctions!G$17</f>
        <v>0</v>
      </c>
      <c r="N23" s="116">
        <f>C23*L23*(1-HelperFunctions!G$17)</f>
        <v>0</v>
      </c>
      <c r="O23" s="136" t="e">
        <f t="shared" si="15"/>
        <v>#DIV/0!</v>
      </c>
      <c r="P23" s="137">
        <f>SUM('Scen EffectivelyVax'!D22:BK22)</f>
        <v>0</v>
      </c>
      <c r="Q23" s="138" t="e">
        <f t="shared" si="11"/>
        <v>#DIV/0!</v>
      </c>
      <c r="R23" s="138" t="e">
        <f t="shared" si="12"/>
        <v>#DIV/0!</v>
      </c>
      <c r="S23" s="137" t="e">
        <f t="shared" si="0"/>
        <v>#DIV/0!</v>
      </c>
      <c r="T23" s="138" t="e">
        <f>IF(Export!M21&lt;&gt;"",Q23*Export!K21*(1/Export!M21),Q23*Export!K21)</f>
        <v>#DIV/0!</v>
      </c>
      <c r="U23" s="139" t="e">
        <f>S23*Export!J21</f>
        <v>#DIV/0!</v>
      </c>
      <c r="V23" s="140" t="e">
        <f>SUM('Scen NotEffectivelyVax (hypo)'!F23,'Scen NotEffectivelyVax (hypo)'!I23,'Scen NotEffectivelyVax (hypo)'!L23,'Scen NotEffectivelyVax (hypo)'!O23,'Scen NotEffectivelyVax (hypo)'!R23,'Scen NotEffectivelyVax (hypo)'!U23,'Scen NotEffectivelyVax (hypo)'!X23,'Scen NotEffectivelyVax (hypo)'!AA23,'Scen NotEffectivelyVax (hypo)'!AD23,'Scen NotEffectivelyVax (hypo)'!AG23,'Scen NotEffectivelyVax (hypo)'!AJ23,'Scen NotEffectivelyVax (hypo)'!AM23,'Scen NotEffectivelyVax (hypo)'!AP23,'Scen NotEffectivelyVax (hypo)'!AS23,'Scen NotEffectivelyVax (hypo)'!AV23,'Scen NotEffectivelyVax (hypo)'!AY23,'Scen NotEffectivelyVax (hypo)'!BB23,'Scen NotEffectivelyVax (hypo)'!BE23,'Scen NotEffectivelyVax (hypo)'!BH23,'Scen NotEffectivelyVax (hypo)'!BK23,'Scen NotEffectivelyVax (hypo)'!BN23,'Scen NotEffectivelyVax (hypo)'!BQ23,'Scen NotEffectivelyVax (hypo)'!BT23,'Scen NotEffectivelyVax (hypo)'!BW23,'Scen NotEffectivelyVax (hypo)'!BZ23,'Scen NotEffectivelyVax (hypo)'!CC23,'Scen NotEffectivelyVax (hypo)'!CF23,'Scen NotEffectivelyVax (hypo)'!CI23,'Scen NotEffectivelyVax (hypo)'!CL23,'Scen NotEffectivelyVax (hypo)'!CO23,'Scen NotEffectivelyVax (hypo)'!CR23,'Scen NotEffectivelyVax (hypo)'!CU23,'Scen NotEffectivelyVax (hypo)'!CX23,'Scen NotEffectivelyVax (hypo)'!DA23,'Scen NotEffectivelyVax (hypo)'!DD23,'Scen NotEffectivelyVax (hypo)'!DG23,'Scen NotEffectivelyVax (hypo)'!DJ23,'Scen NotEffectivelyVax (hypo)'!DM23,'Scen NotEffectivelyVax (hypo)'!DQ23,'Scen NotEffectivelyVax (hypo)'!DP23,'Scen NotEffectivelyVax (hypo)'!DS23,'Scen NotEffectivelyVax (hypo)'!DV23,'Scen NotEffectivelyVax (hypo)'!DY23,'Scen NotEffectivelyVax (hypo)'!EB23,'Scen NotEffectivelyVax (hypo)'!EE23,'Scen NotEffectivelyVax (hypo)'!EH23,'Scen NotEffectivelyVax (hypo)'!EK23,'Scen NotEffectivelyVax (hypo)'!EN23,'Scen NotEffectivelyVax (hypo)'!EQ23,'Scen NotEffectivelyVax (hypo)'!ET23,'Scen NotEffectivelyVax (hypo)'!EW23,'Scen NotEffectivelyVax (hypo)'!EZ23,'Scen NotEffectivelyVax (hypo)'!FC23,'Scen NotEffectivelyVax (hypo)'!FF23,'Scen NotEffectivelyVax (hypo)'!FI23,'Scen NotEffectivelyVax (hypo)'!FL23,'Scen NotEffectivelyVax (hypo)'!FO23,'Scen NotEffectivelyVax (hypo)'!FR23,'Scen NotEffectivelyVax (hypo)'!FU23,'Scen NotEffectivelyVax (hypo)'!FX23,'Scen NotEffectivelyVax (hypo)'!GA23)</f>
        <v>#VALUE!</v>
      </c>
      <c r="W23" s="141" t="e">
        <f>SUM('Scen NotEffectivelyVax (hypo)'!D23,'Scen NotEffectivelyVax (hypo)'!G23,'Scen NotEffectivelyVax (hypo)'!J23,'Scen NotEffectivelyVax (hypo)'!M23,'Scen NotEffectivelyVax (hypo)'!P23,'Scen NotEffectivelyVax (hypo)'!S23,'Scen NotEffectivelyVax (hypo)'!V23,'Scen NotEffectivelyVax (hypo)'!Y23,'Scen NotEffectivelyVax (hypo)'!AB23,'Scen NotEffectivelyVax (hypo)'!AE23,'Scen NotEffectivelyVax (hypo)'!AH23,'Scen NotEffectivelyVax (hypo)'!AK23,'Scen NotEffectivelyVax (hypo)'!AN23,'Scen NotEffectivelyVax (hypo)'!AQ23,'Scen NotEffectivelyVax (hypo)'!AT23,'Scen NotEffectivelyVax (hypo)'!AW23,'Scen NotEffectivelyVax (hypo)'!AZ23,'Scen NotEffectivelyVax (hypo)'!BC23,'Scen NotEffectivelyVax (hypo)'!BF23,'Scen NotEffectivelyVax (hypo)'!BI23,'Scen NotEffectivelyVax (hypo)'!BL23,'Scen NotEffectivelyVax (hypo)'!BO23,'Scen NotEffectivelyVax (hypo)'!BR23,'Scen NotEffectivelyVax (hypo)'!BU23,'Scen NotEffectivelyVax (hypo)'!BX23,'Scen NotEffectivelyVax (hypo)'!CA23,'Scen NotEffectivelyVax (hypo)'!CD23,'Scen NotEffectivelyVax (hypo)'!CG23,'Scen NotEffectivelyVax (hypo)'!CJ23,'Scen NotEffectivelyVax (hypo)'!CM23,'Scen NotEffectivelyVax (hypo)'!CP23,'Scen NotEffectivelyVax (hypo)'!CS23,'Scen NotEffectivelyVax (hypo)'!CV23,'Scen NotEffectivelyVax (hypo)'!CY23,'Scen NotEffectivelyVax (hypo)'!DB23,'Scen NotEffectivelyVax (hypo)'!DE23,'Scen NotEffectivelyVax (hypo)'!DH23,'Scen NotEffectivelyVax (hypo)'!DK23,'Scen NotEffectivelyVax (hypo)'!DN23,'Scen NotEffectivelyVax (hypo)'!DQ23,'Scen NotEffectivelyVax (hypo)'!DT23,'Scen NotEffectivelyVax (hypo)'!DW23,'Scen NotEffectivelyVax (hypo)'!DZ23,'Scen NotEffectivelyVax (hypo)'!EC23,'Scen NotEffectivelyVax (hypo)'!EF23,'Scen NotEffectivelyVax (hypo)'!EI23,'Scen NotEffectivelyVax (hypo)'!EL23,'Scen NotEffectivelyVax (hypo)'!EO23,'Scen NotEffectivelyVax (hypo)'!ER23,'Scen NotEffectivelyVax (hypo)'!EU23,'Scen NotEffectivelyVax (hypo)'!EX23,'Scen NotEffectivelyVax (hypo)'!FA23,'Scen NotEffectivelyVax (hypo)'!FD23,'Scen NotEffectivelyVax (hypo)'!FG23,'Scen NotEffectivelyVax (hypo)'!FJ23,'Scen NotEffectivelyVax (hypo)'!FM23,'Scen NotEffectivelyVax (hypo)'!FP23,'Scen NotEffectivelyVax (hypo)'!FS23,'Scen NotEffectivelyVax (hypo)'!FV23,'Scen NotEffectivelyVax (hypo)'!FY23)</f>
        <v>#VALUE!</v>
      </c>
      <c r="X23" s="141" t="e">
        <f>SUM('Scen NotEffectivelyVax (hypo)'!E23,'Scen NotEffectivelyVax (hypo)'!H23,'Scen NotEffectivelyVax (hypo)'!K23,'Scen NotEffectivelyVax (hypo)'!N23,'Scen NotEffectivelyVax (hypo)'!Q23,'Scen NotEffectivelyVax (hypo)'!T23,'Scen NotEffectivelyVax (hypo)'!Z23,'Scen NotEffectivelyVax (hypo)'!W23,'Scen NotEffectivelyVax (hypo)'!AC23,'Scen NotEffectivelyVax (hypo)'!AF23,'Scen NotEffectivelyVax (hypo)'!AI23,'Scen NotEffectivelyVax (hypo)'!AL23,'Scen NotEffectivelyVax (hypo)'!AO23,'Scen NotEffectivelyVax (hypo)'!AR23,'Scen NotEffectivelyVax (hypo)'!AU23,'Scen NotEffectivelyVax (hypo)'!AX23,'Scen NotEffectivelyVax (hypo)'!BA23,'Scen NotEffectivelyVax (hypo)'!BD23,'Scen NotEffectivelyVax (hypo)'!BG23,'Scen NotEffectivelyVax (hypo)'!BJ23,'Scen NotEffectivelyVax (hypo)'!BM23,'Scen NotEffectivelyVax (hypo)'!BP23,'Scen NotEffectivelyVax (hypo)'!BS23,'Scen NotEffectivelyVax (hypo)'!BV23,'Scen NotEffectivelyVax (hypo)'!BY23,'Scen NotEffectivelyVax (hypo)'!CB23,'Scen NotEffectivelyVax (hypo)'!CE23,'Scen NotEffectivelyVax (hypo)'!CH23,'Scen NotEffectivelyVax (hypo)'!CK23,'Scen NotEffectivelyVax (hypo)'!CN23,'Scen NotEffectivelyVax (hypo)'!CQ23,'Scen NotEffectivelyVax (hypo)'!CT23,'Scen NotEffectivelyVax (hypo)'!CW23,'Scen NotEffectivelyVax (hypo)'!CZ23,'Scen NotEffectivelyVax (hypo)'!DC23,'Scen NotEffectivelyVax (hypo)'!DF23,'Scen NotEffectivelyVax (hypo)'!DI23,'Scen NotEffectivelyVax (hypo)'!DL23,'Scen NotEffectivelyVax (hypo)'!DO23,'Scen NotEffectivelyVax (hypo)'!DR23,'Scen NotEffectivelyVax (hypo)'!DU23,'Scen NotEffectivelyVax (hypo)'!DX23,'Scen NotEffectivelyVax (hypo)'!EA23,'Scen NotEffectivelyVax (hypo)'!ED23,'Scen NotEffectivelyVax (hypo)'!EG23,'Scen NotEffectivelyVax (hypo)'!EJ23,'Scen NotEffectivelyVax (hypo)'!EM23,'Scen NotEffectivelyVax (hypo)'!EP23,'Scen NotEffectivelyVax (hypo)'!ES23,'Scen NotEffectivelyVax (hypo)'!EV23,'Scen NotEffectivelyVax (hypo)'!EY23,'Scen NotEffectivelyVax (hypo)'!FB23,'Scen NotEffectivelyVax (hypo)'!FE23,'Scen NotEffectivelyVax (hypo)'!FH23,'Scen NotEffectivelyVax (hypo)'!FK23,'Scen NotEffectivelyVax (hypo)'!FN23,'Scen NotEffectivelyVax (hypo)'!FQ23,'Scen NotEffectivelyVax (hypo)'!FT23,'Scen NotEffectivelyVax (hypo)'!FW23,'Scen NotEffectivelyVax (hypo)'!FZ23)</f>
        <v>#VALUE!</v>
      </c>
      <c r="Y23" s="142" t="e">
        <f t="shared" si="1"/>
        <v>#VALUE!</v>
      </c>
      <c r="Z23" s="142" t="e">
        <f>IF(Export!M21&lt;&gt;"",W23*Export!K21*(1/Export!M21),W23*Export!K21)</f>
        <v>#VALUE!</v>
      </c>
      <c r="AA23" s="139" t="e">
        <f>Y23*Export!J21</f>
        <v>#VALUE!</v>
      </c>
      <c r="AC23" s="143" t="e">
        <f t="shared" si="2"/>
        <v>#VALUE!</v>
      </c>
      <c r="AD23" s="144" t="e">
        <f t="shared" si="13"/>
        <v>#VALUE!</v>
      </c>
      <c r="AE23" s="144" t="e">
        <f t="shared" si="3"/>
        <v>#VALUE!</v>
      </c>
      <c r="AF23" s="144" t="e">
        <f t="shared" si="4"/>
        <v>#VALUE!</v>
      </c>
      <c r="AG23" s="144" t="e">
        <f t="shared" si="5"/>
        <v>#VALUE!</v>
      </c>
      <c r="AH23" s="145"/>
      <c r="AI23" s="145"/>
      <c r="AJ23" s="145"/>
      <c r="AK23" s="145"/>
      <c r="AL23" s="146"/>
      <c r="AM23" s="145"/>
      <c r="AN23" s="145"/>
      <c r="AO23" s="145"/>
      <c r="AP23" s="145"/>
      <c r="AQ23" s="146"/>
      <c r="AR23" s="150"/>
      <c r="AS23" s="150"/>
      <c r="AT23" s="150"/>
      <c r="AU23" s="150"/>
      <c r="AV23" s="151"/>
    </row>
    <row r="24" spans="1:50" x14ac:dyDescent="0.35">
      <c r="A24" s="130">
        <f>EffectivelyVax!B23</f>
        <v>1</v>
      </c>
      <c r="B24" s="131">
        <f>EffectivelyVax!C23</f>
        <v>0</v>
      </c>
      <c r="C24" s="132">
        <f>Export!N22</f>
        <v>0</v>
      </c>
      <c r="D24" s="133" t="str">
        <f>IF(Inputs!$F$10="1. Actual program", 'Current vaccine model'!W24, Export!C22)</f>
        <v/>
      </c>
      <c r="E24" s="133" t="e">
        <f>D24*Export!L22</f>
        <v>#VALUE!</v>
      </c>
      <c r="F24" s="133" t="e">
        <f t="shared" si="18"/>
        <v>#VALUE!</v>
      </c>
      <c r="G24" s="133" t="e">
        <f>IF(Export!M22&lt;&gt;"",D24*Export!K22*(1/Export!M22),D24*Export!K22)</f>
        <v>#VALUE!</v>
      </c>
      <c r="H24" s="133" t="e">
        <f>F24*Export!J22</f>
        <v>#VALUE!</v>
      </c>
      <c r="I24" s="133" t="e">
        <f t="shared" si="14"/>
        <v>#VALUE!</v>
      </c>
      <c r="J24" s="134" t="e">
        <f t="shared" si="8"/>
        <v>#VALUE!</v>
      </c>
      <c r="K24" s="135" t="e">
        <f t="shared" si="9"/>
        <v>#VALUE!</v>
      </c>
      <c r="L24" s="117">
        <f>'Scen EffectivelyVax'!A23</f>
        <v>0</v>
      </c>
      <c r="M24" s="115">
        <f>C24*L24*HelperFunctions!G$17</f>
        <v>0</v>
      </c>
      <c r="N24" s="116">
        <f>C24*L24*(1-HelperFunctions!G$17)</f>
        <v>0</v>
      </c>
      <c r="O24" s="136" t="e">
        <f t="shared" si="15"/>
        <v>#DIV/0!</v>
      </c>
      <c r="P24" s="137">
        <f>SUM('Scen EffectivelyVax'!D23:BK23)</f>
        <v>0</v>
      </c>
      <c r="Q24" s="138" t="e">
        <f t="shared" si="11"/>
        <v>#DIV/0!</v>
      </c>
      <c r="R24" s="138" t="e">
        <f t="shared" si="12"/>
        <v>#DIV/0!</v>
      </c>
      <c r="S24" s="137" t="e">
        <f t="shared" si="0"/>
        <v>#DIV/0!</v>
      </c>
      <c r="T24" s="138" t="e">
        <f>IF(Export!M22&lt;&gt;"",Q24*Export!K22*(1/Export!M22),Q24*Export!K22)</f>
        <v>#DIV/0!</v>
      </c>
      <c r="U24" s="139" t="e">
        <f>S24*Export!J22</f>
        <v>#DIV/0!</v>
      </c>
      <c r="V24" s="140" t="e">
        <f>SUM('Scen NotEffectivelyVax (hypo)'!F24,'Scen NotEffectivelyVax (hypo)'!I24,'Scen NotEffectivelyVax (hypo)'!L24,'Scen NotEffectivelyVax (hypo)'!O24,'Scen NotEffectivelyVax (hypo)'!R24,'Scen NotEffectivelyVax (hypo)'!U24,'Scen NotEffectivelyVax (hypo)'!X24,'Scen NotEffectivelyVax (hypo)'!AA24,'Scen NotEffectivelyVax (hypo)'!AD24,'Scen NotEffectivelyVax (hypo)'!AG24,'Scen NotEffectivelyVax (hypo)'!AJ24,'Scen NotEffectivelyVax (hypo)'!AM24,'Scen NotEffectivelyVax (hypo)'!AP24,'Scen NotEffectivelyVax (hypo)'!AS24,'Scen NotEffectivelyVax (hypo)'!AV24,'Scen NotEffectivelyVax (hypo)'!AY24,'Scen NotEffectivelyVax (hypo)'!BB24,'Scen NotEffectivelyVax (hypo)'!BE24,'Scen NotEffectivelyVax (hypo)'!BH24,'Scen NotEffectivelyVax (hypo)'!BK24,'Scen NotEffectivelyVax (hypo)'!BN24,'Scen NotEffectivelyVax (hypo)'!BQ24,'Scen NotEffectivelyVax (hypo)'!BT24,'Scen NotEffectivelyVax (hypo)'!BW24,'Scen NotEffectivelyVax (hypo)'!BZ24,'Scen NotEffectivelyVax (hypo)'!CC24,'Scen NotEffectivelyVax (hypo)'!CF24,'Scen NotEffectivelyVax (hypo)'!CI24,'Scen NotEffectivelyVax (hypo)'!CL24,'Scen NotEffectivelyVax (hypo)'!CO24,'Scen NotEffectivelyVax (hypo)'!CR24,'Scen NotEffectivelyVax (hypo)'!CU24,'Scen NotEffectivelyVax (hypo)'!CX24,'Scen NotEffectivelyVax (hypo)'!DA24,'Scen NotEffectivelyVax (hypo)'!DD24,'Scen NotEffectivelyVax (hypo)'!DG24,'Scen NotEffectivelyVax (hypo)'!DJ24,'Scen NotEffectivelyVax (hypo)'!DM24,'Scen NotEffectivelyVax (hypo)'!DQ24,'Scen NotEffectivelyVax (hypo)'!DP24,'Scen NotEffectivelyVax (hypo)'!DS24,'Scen NotEffectivelyVax (hypo)'!DV24,'Scen NotEffectivelyVax (hypo)'!DY24,'Scen NotEffectivelyVax (hypo)'!EB24,'Scen NotEffectivelyVax (hypo)'!EE24,'Scen NotEffectivelyVax (hypo)'!EH24,'Scen NotEffectivelyVax (hypo)'!EK24,'Scen NotEffectivelyVax (hypo)'!EN24,'Scen NotEffectivelyVax (hypo)'!EQ24,'Scen NotEffectivelyVax (hypo)'!ET24,'Scen NotEffectivelyVax (hypo)'!EW24,'Scen NotEffectivelyVax (hypo)'!EZ24,'Scen NotEffectivelyVax (hypo)'!FC24,'Scen NotEffectivelyVax (hypo)'!FF24,'Scen NotEffectivelyVax (hypo)'!FI24,'Scen NotEffectivelyVax (hypo)'!FL24,'Scen NotEffectivelyVax (hypo)'!FO24,'Scen NotEffectivelyVax (hypo)'!FR24,'Scen NotEffectivelyVax (hypo)'!FU24,'Scen NotEffectivelyVax (hypo)'!FX24,'Scen NotEffectivelyVax (hypo)'!GA24)</f>
        <v>#VALUE!</v>
      </c>
      <c r="W24" s="141" t="e">
        <f>SUM('Scen NotEffectivelyVax (hypo)'!D24,'Scen NotEffectivelyVax (hypo)'!G24,'Scen NotEffectivelyVax (hypo)'!J24,'Scen NotEffectivelyVax (hypo)'!M24,'Scen NotEffectivelyVax (hypo)'!P24,'Scen NotEffectivelyVax (hypo)'!S24,'Scen NotEffectivelyVax (hypo)'!V24,'Scen NotEffectivelyVax (hypo)'!Y24,'Scen NotEffectivelyVax (hypo)'!AB24,'Scen NotEffectivelyVax (hypo)'!AE24,'Scen NotEffectivelyVax (hypo)'!AH24,'Scen NotEffectivelyVax (hypo)'!AK24,'Scen NotEffectivelyVax (hypo)'!AN24,'Scen NotEffectivelyVax (hypo)'!AQ24,'Scen NotEffectivelyVax (hypo)'!AT24,'Scen NotEffectivelyVax (hypo)'!AW24,'Scen NotEffectivelyVax (hypo)'!AZ24,'Scen NotEffectivelyVax (hypo)'!BC24,'Scen NotEffectivelyVax (hypo)'!BF24,'Scen NotEffectivelyVax (hypo)'!BI24,'Scen NotEffectivelyVax (hypo)'!BL24,'Scen NotEffectivelyVax (hypo)'!BO24,'Scen NotEffectivelyVax (hypo)'!BR24,'Scen NotEffectivelyVax (hypo)'!BU24,'Scen NotEffectivelyVax (hypo)'!BX24,'Scen NotEffectivelyVax (hypo)'!CA24,'Scen NotEffectivelyVax (hypo)'!CD24,'Scen NotEffectivelyVax (hypo)'!CG24,'Scen NotEffectivelyVax (hypo)'!CJ24,'Scen NotEffectivelyVax (hypo)'!CM24,'Scen NotEffectivelyVax (hypo)'!CP24,'Scen NotEffectivelyVax (hypo)'!CS24,'Scen NotEffectivelyVax (hypo)'!CV24,'Scen NotEffectivelyVax (hypo)'!CY24,'Scen NotEffectivelyVax (hypo)'!DB24,'Scen NotEffectivelyVax (hypo)'!DE24,'Scen NotEffectivelyVax (hypo)'!DH24,'Scen NotEffectivelyVax (hypo)'!DK24,'Scen NotEffectivelyVax (hypo)'!DN24,'Scen NotEffectivelyVax (hypo)'!DQ24,'Scen NotEffectivelyVax (hypo)'!DT24,'Scen NotEffectivelyVax (hypo)'!DW24,'Scen NotEffectivelyVax (hypo)'!DZ24,'Scen NotEffectivelyVax (hypo)'!EC24,'Scen NotEffectivelyVax (hypo)'!EF24,'Scen NotEffectivelyVax (hypo)'!EI24,'Scen NotEffectivelyVax (hypo)'!EL24,'Scen NotEffectivelyVax (hypo)'!EO24,'Scen NotEffectivelyVax (hypo)'!ER24,'Scen NotEffectivelyVax (hypo)'!EU24,'Scen NotEffectivelyVax (hypo)'!EX24,'Scen NotEffectivelyVax (hypo)'!FA24,'Scen NotEffectivelyVax (hypo)'!FD24,'Scen NotEffectivelyVax (hypo)'!FG24,'Scen NotEffectivelyVax (hypo)'!FJ24,'Scen NotEffectivelyVax (hypo)'!FM24,'Scen NotEffectivelyVax (hypo)'!FP24,'Scen NotEffectivelyVax (hypo)'!FS24,'Scen NotEffectivelyVax (hypo)'!FV24,'Scen NotEffectivelyVax (hypo)'!FY24)</f>
        <v>#VALUE!</v>
      </c>
      <c r="X24" s="141" t="e">
        <f>SUM('Scen NotEffectivelyVax (hypo)'!E24,'Scen NotEffectivelyVax (hypo)'!H24,'Scen NotEffectivelyVax (hypo)'!K24,'Scen NotEffectivelyVax (hypo)'!N24,'Scen NotEffectivelyVax (hypo)'!Q24,'Scen NotEffectivelyVax (hypo)'!T24,'Scen NotEffectivelyVax (hypo)'!Z24,'Scen NotEffectivelyVax (hypo)'!W24,'Scen NotEffectivelyVax (hypo)'!AC24,'Scen NotEffectivelyVax (hypo)'!AF24,'Scen NotEffectivelyVax (hypo)'!AI24,'Scen NotEffectivelyVax (hypo)'!AL24,'Scen NotEffectivelyVax (hypo)'!AO24,'Scen NotEffectivelyVax (hypo)'!AR24,'Scen NotEffectivelyVax (hypo)'!AU24,'Scen NotEffectivelyVax (hypo)'!AX24,'Scen NotEffectivelyVax (hypo)'!BA24,'Scen NotEffectivelyVax (hypo)'!BD24,'Scen NotEffectivelyVax (hypo)'!BG24,'Scen NotEffectivelyVax (hypo)'!BJ24,'Scen NotEffectivelyVax (hypo)'!BM24,'Scen NotEffectivelyVax (hypo)'!BP24,'Scen NotEffectivelyVax (hypo)'!BS24,'Scen NotEffectivelyVax (hypo)'!BV24,'Scen NotEffectivelyVax (hypo)'!BY24,'Scen NotEffectivelyVax (hypo)'!CB24,'Scen NotEffectivelyVax (hypo)'!CE24,'Scen NotEffectivelyVax (hypo)'!CH24,'Scen NotEffectivelyVax (hypo)'!CK24,'Scen NotEffectivelyVax (hypo)'!CN24,'Scen NotEffectivelyVax (hypo)'!CQ24,'Scen NotEffectivelyVax (hypo)'!CT24,'Scen NotEffectivelyVax (hypo)'!CW24,'Scen NotEffectivelyVax (hypo)'!CZ24,'Scen NotEffectivelyVax (hypo)'!DC24,'Scen NotEffectivelyVax (hypo)'!DF24,'Scen NotEffectivelyVax (hypo)'!DI24,'Scen NotEffectivelyVax (hypo)'!DL24,'Scen NotEffectivelyVax (hypo)'!DO24,'Scen NotEffectivelyVax (hypo)'!DR24,'Scen NotEffectivelyVax (hypo)'!DU24,'Scen NotEffectivelyVax (hypo)'!DX24,'Scen NotEffectivelyVax (hypo)'!EA24,'Scen NotEffectivelyVax (hypo)'!ED24,'Scen NotEffectivelyVax (hypo)'!EG24,'Scen NotEffectivelyVax (hypo)'!EJ24,'Scen NotEffectivelyVax (hypo)'!EM24,'Scen NotEffectivelyVax (hypo)'!EP24,'Scen NotEffectivelyVax (hypo)'!ES24,'Scen NotEffectivelyVax (hypo)'!EV24,'Scen NotEffectivelyVax (hypo)'!EY24,'Scen NotEffectivelyVax (hypo)'!FB24,'Scen NotEffectivelyVax (hypo)'!FE24,'Scen NotEffectivelyVax (hypo)'!FH24,'Scen NotEffectivelyVax (hypo)'!FK24,'Scen NotEffectivelyVax (hypo)'!FN24,'Scen NotEffectivelyVax (hypo)'!FQ24,'Scen NotEffectivelyVax (hypo)'!FT24,'Scen NotEffectivelyVax (hypo)'!FW24,'Scen NotEffectivelyVax (hypo)'!FZ24)</f>
        <v>#VALUE!</v>
      </c>
      <c r="Y24" s="142" t="e">
        <f t="shared" si="1"/>
        <v>#VALUE!</v>
      </c>
      <c r="Z24" s="142" t="e">
        <f>IF(Export!M22&lt;&gt;"",W24*Export!K22*(1/Export!M22),W24*Export!K22)</f>
        <v>#VALUE!</v>
      </c>
      <c r="AA24" s="139" t="e">
        <f>Y24*Export!J22</f>
        <v>#VALUE!</v>
      </c>
      <c r="AC24" s="143" t="e">
        <f t="shared" si="2"/>
        <v>#VALUE!</v>
      </c>
      <c r="AD24" s="144" t="e">
        <f>$E24-($R24+$X24)</f>
        <v>#VALUE!</v>
      </c>
      <c r="AE24" s="144" t="e">
        <f t="shared" si="3"/>
        <v>#VALUE!</v>
      </c>
      <c r="AF24" s="144" t="e">
        <f t="shared" si="4"/>
        <v>#VALUE!</v>
      </c>
      <c r="AG24" s="144" t="e">
        <f t="shared" si="5"/>
        <v>#VALUE!</v>
      </c>
      <c r="AH24" s="145"/>
      <c r="AI24" s="145"/>
      <c r="AJ24" s="145"/>
      <c r="AK24" s="145"/>
      <c r="AL24" s="146"/>
      <c r="AM24" s="145"/>
      <c r="AN24" s="145"/>
      <c r="AO24" s="145"/>
      <c r="AP24" s="145"/>
      <c r="AQ24" s="146"/>
      <c r="AR24" s="150"/>
      <c r="AS24" s="150"/>
      <c r="AT24" s="150"/>
      <c r="AU24" s="150"/>
      <c r="AV24" s="151"/>
    </row>
    <row r="25" spans="1:50" x14ac:dyDescent="0.35">
      <c r="A25" s="130">
        <f>EffectivelyVax!B24</f>
        <v>1</v>
      </c>
      <c r="B25" s="131">
        <f>EffectivelyVax!C24</f>
        <v>0</v>
      </c>
      <c r="C25" s="132">
        <f>Export!N23</f>
        <v>0</v>
      </c>
      <c r="D25" s="133" t="str">
        <f>IF(Inputs!$F$10="1. Actual program", 'Current vaccine model'!W25, Export!C23)</f>
        <v/>
      </c>
      <c r="E25" s="133" t="e">
        <f>D25*Export!L23</f>
        <v>#VALUE!</v>
      </c>
      <c r="F25" s="133" t="e">
        <f t="shared" si="18"/>
        <v>#VALUE!</v>
      </c>
      <c r="G25" s="133" t="e">
        <f>IF(Export!M23&lt;&gt;"",D25*Export!K23*(1/Export!M23),D25*Export!K23)</f>
        <v>#VALUE!</v>
      </c>
      <c r="H25" s="133" t="e">
        <f>F25*Export!J23</f>
        <v>#VALUE!</v>
      </c>
      <c r="I25" s="133" t="e">
        <f t="shared" si="14"/>
        <v>#VALUE!</v>
      </c>
      <c r="J25" s="134" t="e">
        <f t="shared" si="8"/>
        <v>#VALUE!</v>
      </c>
      <c r="K25" s="135" t="e">
        <f t="shared" si="9"/>
        <v>#VALUE!</v>
      </c>
      <c r="L25" s="117">
        <f>'Scen EffectivelyVax'!A24</f>
        <v>0</v>
      </c>
      <c r="M25" s="115">
        <f>C25*L25*HelperFunctions!G$17</f>
        <v>0</v>
      </c>
      <c r="N25" s="116">
        <f>C25*L25*(1-HelperFunctions!G$17)</f>
        <v>0</v>
      </c>
      <c r="O25" s="136" t="e">
        <f t="shared" si="15"/>
        <v>#DIV/0!</v>
      </c>
      <c r="P25" s="137">
        <f>SUM('Scen EffectivelyVax'!D24:BK24)</f>
        <v>0</v>
      </c>
      <c r="Q25" s="138" t="e">
        <f t="shared" si="11"/>
        <v>#DIV/0!</v>
      </c>
      <c r="R25" s="138" t="e">
        <f t="shared" si="12"/>
        <v>#DIV/0!</v>
      </c>
      <c r="S25" s="137" t="e">
        <f t="shared" si="0"/>
        <v>#DIV/0!</v>
      </c>
      <c r="T25" s="138" t="e">
        <f>IF(Export!M23&lt;&gt;"",Q25*Export!K23*(1/Export!M23),Q25*Export!K23)</f>
        <v>#DIV/0!</v>
      </c>
      <c r="U25" s="139" t="e">
        <f>S25*Export!J23</f>
        <v>#DIV/0!</v>
      </c>
      <c r="V25" s="140" t="e">
        <f>SUM('Scen NotEffectivelyVax (hypo)'!F25,'Scen NotEffectivelyVax (hypo)'!I25,'Scen NotEffectivelyVax (hypo)'!L25,'Scen NotEffectivelyVax (hypo)'!O25,'Scen NotEffectivelyVax (hypo)'!R25,'Scen NotEffectivelyVax (hypo)'!U25,'Scen NotEffectivelyVax (hypo)'!X25,'Scen NotEffectivelyVax (hypo)'!AA25,'Scen NotEffectivelyVax (hypo)'!AD25,'Scen NotEffectivelyVax (hypo)'!AG25,'Scen NotEffectivelyVax (hypo)'!AJ25,'Scen NotEffectivelyVax (hypo)'!AM25,'Scen NotEffectivelyVax (hypo)'!AP25,'Scen NotEffectivelyVax (hypo)'!AS25,'Scen NotEffectivelyVax (hypo)'!AV25,'Scen NotEffectivelyVax (hypo)'!AY25,'Scen NotEffectivelyVax (hypo)'!BB25,'Scen NotEffectivelyVax (hypo)'!BE25,'Scen NotEffectivelyVax (hypo)'!BH25,'Scen NotEffectivelyVax (hypo)'!BK25,'Scen NotEffectivelyVax (hypo)'!BN25,'Scen NotEffectivelyVax (hypo)'!BQ25,'Scen NotEffectivelyVax (hypo)'!BT25,'Scen NotEffectivelyVax (hypo)'!BW25,'Scen NotEffectivelyVax (hypo)'!BZ25,'Scen NotEffectivelyVax (hypo)'!CC25,'Scen NotEffectivelyVax (hypo)'!CF25,'Scen NotEffectivelyVax (hypo)'!CI25,'Scen NotEffectivelyVax (hypo)'!CL25,'Scen NotEffectivelyVax (hypo)'!CO25,'Scen NotEffectivelyVax (hypo)'!CR25,'Scen NotEffectivelyVax (hypo)'!CU25,'Scen NotEffectivelyVax (hypo)'!CX25,'Scen NotEffectivelyVax (hypo)'!DA25,'Scen NotEffectivelyVax (hypo)'!DD25,'Scen NotEffectivelyVax (hypo)'!DG25,'Scen NotEffectivelyVax (hypo)'!DJ25,'Scen NotEffectivelyVax (hypo)'!DM25,'Scen NotEffectivelyVax (hypo)'!DQ25,'Scen NotEffectivelyVax (hypo)'!DP25,'Scen NotEffectivelyVax (hypo)'!DS25,'Scen NotEffectivelyVax (hypo)'!DV25,'Scen NotEffectivelyVax (hypo)'!DY25,'Scen NotEffectivelyVax (hypo)'!EB25,'Scen NotEffectivelyVax (hypo)'!EE25,'Scen NotEffectivelyVax (hypo)'!EH25,'Scen NotEffectivelyVax (hypo)'!EK25,'Scen NotEffectivelyVax (hypo)'!EN25,'Scen NotEffectivelyVax (hypo)'!EQ25,'Scen NotEffectivelyVax (hypo)'!ET25,'Scen NotEffectivelyVax (hypo)'!EW25,'Scen NotEffectivelyVax (hypo)'!EZ25,'Scen NotEffectivelyVax (hypo)'!FC25,'Scen NotEffectivelyVax (hypo)'!FF25,'Scen NotEffectivelyVax (hypo)'!FI25,'Scen NotEffectivelyVax (hypo)'!FL25,'Scen NotEffectivelyVax (hypo)'!FO25,'Scen NotEffectivelyVax (hypo)'!FR25,'Scen NotEffectivelyVax (hypo)'!FU25,'Scen NotEffectivelyVax (hypo)'!FX25,'Scen NotEffectivelyVax (hypo)'!GA25)</f>
        <v>#VALUE!</v>
      </c>
      <c r="W25" s="141" t="e">
        <f>SUM('Scen NotEffectivelyVax (hypo)'!D25,'Scen NotEffectivelyVax (hypo)'!G25,'Scen NotEffectivelyVax (hypo)'!J25,'Scen NotEffectivelyVax (hypo)'!M25,'Scen NotEffectivelyVax (hypo)'!P25,'Scen NotEffectivelyVax (hypo)'!S25,'Scen NotEffectivelyVax (hypo)'!V25,'Scen NotEffectivelyVax (hypo)'!Y25,'Scen NotEffectivelyVax (hypo)'!AB25,'Scen NotEffectivelyVax (hypo)'!AE25,'Scen NotEffectivelyVax (hypo)'!AH25,'Scen NotEffectivelyVax (hypo)'!AK25,'Scen NotEffectivelyVax (hypo)'!AN25,'Scen NotEffectivelyVax (hypo)'!AQ25,'Scen NotEffectivelyVax (hypo)'!AT25,'Scen NotEffectivelyVax (hypo)'!AW25,'Scen NotEffectivelyVax (hypo)'!AZ25,'Scen NotEffectivelyVax (hypo)'!BC25,'Scen NotEffectivelyVax (hypo)'!BF25,'Scen NotEffectivelyVax (hypo)'!BI25,'Scen NotEffectivelyVax (hypo)'!BL25,'Scen NotEffectivelyVax (hypo)'!BO25,'Scen NotEffectivelyVax (hypo)'!BR25,'Scen NotEffectivelyVax (hypo)'!BU25,'Scen NotEffectivelyVax (hypo)'!BX25,'Scen NotEffectivelyVax (hypo)'!CA25,'Scen NotEffectivelyVax (hypo)'!CD25,'Scen NotEffectivelyVax (hypo)'!CG25,'Scen NotEffectivelyVax (hypo)'!CJ25,'Scen NotEffectivelyVax (hypo)'!CM25,'Scen NotEffectivelyVax (hypo)'!CP25,'Scen NotEffectivelyVax (hypo)'!CS25,'Scen NotEffectivelyVax (hypo)'!CV25,'Scen NotEffectivelyVax (hypo)'!CY25,'Scen NotEffectivelyVax (hypo)'!DB25,'Scen NotEffectivelyVax (hypo)'!DE25,'Scen NotEffectivelyVax (hypo)'!DH25,'Scen NotEffectivelyVax (hypo)'!DK25,'Scen NotEffectivelyVax (hypo)'!DN25,'Scen NotEffectivelyVax (hypo)'!DQ25,'Scen NotEffectivelyVax (hypo)'!DT25,'Scen NotEffectivelyVax (hypo)'!DW25,'Scen NotEffectivelyVax (hypo)'!DZ25,'Scen NotEffectivelyVax (hypo)'!EC25,'Scen NotEffectivelyVax (hypo)'!EF25,'Scen NotEffectivelyVax (hypo)'!EI25,'Scen NotEffectivelyVax (hypo)'!EL25,'Scen NotEffectivelyVax (hypo)'!EO25,'Scen NotEffectivelyVax (hypo)'!ER25,'Scen NotEffectivelyVax (hypo)'!EU25,'Scen NotEffectivelyVax (hypo)'!EX25,'Scen NotEffectivelyVax (hypo)'!FA25,'Scen NotEffectivelyVax (hypo)'!FD25,'Scen NotEffectivelyVax (hypo)'!FG25,'Scen NotEffectivelyVax (hypo)'!FJ25,'Scen NotEffectivelyVax (hypo)'!FM25,'Scen NotEffectivelyVax (hypo)'!FP25,'Scen NotEffectivelyVax (hypo)'!FS25,'Scen NotEffectivelyVax (hypo)'!FV25,'Scen NotEffectivelyVax (hypo)'!FY25)</f>
        <v>#VALUE!</v>
      </c>
      <c r="X25" s="141" t="e">
        <f>SUM('Scen NotEffectivelyVax (hypo)'!E25,'Scen NotEffectivelyVax (hypo)'!H25,'Scen NotEffectivelyVax (hypo)'!K25,'Scen NotEffectivelyVax (hypo)'!N25,'Scen NotEffectivelyVax (hypo)'!Q25,'Scen NotEffectivelyVax (hypo)'!T25,'Scen NotEffectivelyVax (hypo)'!Z25,'Scen NotEffectivelyVax (hypo)'!W25,'Scen NotEffectivelyVax (hypo)'!AC25,'Scen NotEffectivelyVax (hypo)'!AF25,'Scen NotEffectivelyVax (hypo)'!AI25,'Scen NotEffectivelyVax (hypo)'!AL25,'Scen NotEffectivelyVax (hypo)'!AO25,'Scen NotEffectivelyVax (hypo)'!AR25,'Scen NotEffectivelyVax (hypo)'!AU25,'Scen NotEffectivelyVax (hypo)'!AX25,'Scen NotEffectivelyVax (hypo)'!BA25,'Scen NotEffectivelyVax (hypo)'!BD25,'Scen NotEffectivelyVax (hypo)'!BG25,'Scen NotEffectivelyVax (hypo)'!BJ25,'Scen NotEffectivelyVax (hypo)'!BM25,'Scen NotEffectivelyVax (hypo)'!BP25,'Scen NotEffectivelyVax (hypo)'!BS25,'Scen NotEffectivelyVax (hypo)'!BV25,'Scen NotEffectivelyVax (hypo)'!BY25,'Scen NotEffectivelyVax (hypo)'!CB25,'Scen NotEffectivelyVax (hypo)'!CE25,'Scen NotEffectivelyVax (hypo)'!CH25,'Scen NotEffectivelyVax (hypo)'!CK25,'Scen NotEffectivelyVax (hypo)'!CN25,'Scen NotEffectivelyVax (hypo)'!CQ25,'Scen NotEffectivelyVax (hypo)'!CT25,'Scen NotEffectivelyVax (hypo)'!CW25,'Scen NotEffectivelyVax (hypo)'!CZ25,'Scen NotEffectivelyVax (hypo)'!DC25,'Scen NotEffectivelyVax (hypo)'!DF25,'Scen NotEffectivelyVax (hypo)'!DI25,'Scen NotEffectivelyVax (hypo)'!DL25,'Scen NotEffectivelyVax (hypo)'!DO25,'Scen NotEffectivelyVax (hypo)'!DR25,'Scen NotEffectivelyVax (hypo)'!DU25,'Scen NotEffectivelyVax (hypo)'!DX25,'Scen NotEffectivelyVax (hypo)'!EA25,'Scen NotEffectivelyVax (hypo)'!ED25,'Scen NotEffectivelyVax (hypo)'!EG25,'Scen NotEffectivelyVax (hypo)'!EJ25,'Scen NotEffectivelyVax (hypo)'!EM25,'Scen NotEffectivelyVax (hypo)'!EP25,'Scen NotEffectivelyVax (hypo)'!ES25,'Scen NotEffectivelyVax (hypo)'!EV25,'Scen NotEffectivelyVax (hypo)'!EY25,'Scen NotEffectivelyVax (hypo)'!FB25,'Scen NotEffectivelyVax (hypo)'!FE25,'Scen NotEffectivelyVax (hypo)'!FH25,'Scen NotEffectivelyVax (hypo)'!FK25,'Scen NotEffectivelyVax (hypo)'!FN25,'Scen NotEffectivelyVax (hypo)'!FQ25,'Scen NotEffectivelyVax (hypo)'!FT25,'Scen NotEffectivelyVax (hypo)'!FW25,'Scen NotEffectivelyVax (hypo)'!FZ25)</f>
        <v>#VALUE!</v>
      </c>
      <c r="Y25" s="142" t="e">
        <f t="shared" si="1"/>
        <v>#VALUE!</v>
      </c>
      <c r="Z25" s="142" t="e">
        <f>IF(Export!M23&lt;&gt;"",W25*Export!K23*(1/Export!M23),W25*Export!K23)</f>
        <v>#VALUE!</v>
      </c>
      <c r="AA25" s="139" t="e">
        <f>Y25*Export!J23</f>
        <v>#VALUE!</v>
      </c>
      <c r="AC25" s="143" t="e">
        <f t="shared" si="2"/>
        <v>#VALUE!</v>
      </c>
      <c r="AD25" s="144" t="e">
        <f t="shared" si="13"/>
        <v>#VALUE!</v>
      </c>
      <c r="AE25" s="144" t="e">
        <f t="shared" si="3"/>
        <v>#VALUE!</v>
      </c>
      <c r="AF25" s="144" t="e">
        <f t="shared" si="4"/>
        <v>#VALUE!</v>
      </c>
      <c r="AG25" s="144" t="e">
        <f t="shared" si="5"/>
        <v>#VALUE!</v>
      </c>
      <c r="AH25" s="145"/>
      <c r="AI25" s="145"/>
      <c r="AJ25" s="145"/>
      <c r="AK25" s="145"/>
      <c r="AL25" s="146"/>
      <c r="AM25" s="145"/>
      <c r="AN25" s="145"/>
      <c r="AO25" s="145"/>
      <c r="AP25" s="145"/>
      <c r="AQ25" s="146"/>
      <c r="AR25" s="150"/>
      <c r="AS25" s="150"/>
      <c r="AT25" s="150"/>
      <c r="AU25" s="150"/>
      <c r="AV25" s="151"/>
    </row>
    <row r="26" spans="1:50" x14ac:dyDescent="0.35">
      <c r="A26" s="130">
        <f>EffectivelyVax!B25</f>
        <v>1</v>
      </c>
      <c r="B26" s="131">
        <f>EffectivelyVax!C25</f>
        <v>0</v>
      </c>
      <c r="C26" s="132">
        <f>Export!N24</f>
        <v>0</v>
      </c>
      <c r="D26" s="133" t="str">
        <f>IF(Inputs!$F$10="1. Actual program", 'Current vaccine model'!W26, Export!C24)</f>
        <v/>
      </c>
      <c r="E26" s="133" t="e">
        <f>D26*Export!L24</f>
        <v>#VALUE!</v>
      </c>
      <c r="F26" s="133" t="e">
        <f t="shared" si="18"/>
        <v>#VALUE!</v>
      </c>
      <c r="G26" s="133" t="e">
        <f>IF(Export!M24&lt;&gt;"",D26*Export!K24*(1/Export!M24),D26*Export!K24)</f>
        <v>#VALUE!</v>
      </c>
      <c r="H26" s="133" t="e">
        <f>F26*Export!J24</f>
        <v>#VALUE!</v>
      </c>
      <c r="I26" s="133" t="e">
        <f t="shared" si="14"/>
        <v>#VALUE!</v>
      </c>
      <c r="J26" s="134" t="e">
        <f t="shared" si="8"/>
        <v>#VALUE!</v>
      </c>
      <c r="K26" s="135" t="e">
        <f t="shared" si="9"/>
        <v>#VALUE!</v>
      </c>
      <c r="L26" s="117">
        <f>'Scen EffectivelyVax'!A25</f>
        <v>0</v>
      </c>
      <c r="M26" s="115">
        <f>C26*L26*HelperFunctions!G$17</f>
        <v>0</v>
      </c>
      <c r="N26" s="116">
        <f>C26*L26*(1-HelperFunctions!G$17)</f>
        <v>0</v>
      </c>
      <c r="O26" s="136" t="e">
        <f t="shared" si="15"/>
        <v>#DIV/0!</v>
      </c>
      <c r="P26" s="137">
        <f>SUM('Scen EffectivelyVax'!D25:BK25)</f>
        <v>0</v>
      </c>
      <c r="Q26" s="138" t="e">
        <f t="shared" si="11"/>
        <v>#DIV/0!</v>
      </c>
      <c r="R26" s="138" t="e">
        <f t="shared" si="12"/>
        <v>#DIV/0!</v>
      </c>
      <c r="S26" s="137" t="e">
        <f t="shared" si="0"/>
        <v>#DIV/0!</v>
      </c>
      <c r="T26" s="138" t="e">
        <f>IF(Export!M24&lt;&gt;"",Q26*Export!K24*(1/Export!M24),Q26*Export!K24)</f>
        <v>#DIV/0!</v>
      </c>
      <c r="U26" s="139" t="e">
        <f>S26*Export!J24</f>
        <v>#DIV/0!</v>
      </c>
      <c r="V26" s="140" t="e">
        <f>SUM('Scen NotEffectivelyVax (hypo)'!F26,'Scen NotEffectivelyVax (hypo)'!I26,'Scen NotEffectivelyVax (hypo)'!L26,'Scen NotEffectivelyVax (hypo)'!O26,'Scen NotEffectivelyVax (hypo)'!R26,'Scen NotEffectivelyVax (hypo)'!U26,'Scen NotEffectivelyVax (hypo)'!X26,'Scen NotEffectivelyVax (hypo)'!AA26,'Scen NotEffectivelyVax (hypo)'!AD26,'Scen NotEffectivelyVax (hypo)'!AG26,'Scen NotEffectivelyVax (hypo)'!AJ26,'Scen NotEffectivelyVax (hypo)'!AM26,'Scen NotEffectivelyVax (hypo)'!AP26,'Scen NotEffectivelyVax (hypo)'!AS26,'Scen NotEffectivelyVax (hypo)'!AV26,'Scen NotEffectivelyVax (hypo)'!AY26,'Scen NotEffectivelyVax (hypo)'!BB26,'Scen NotEffectivelyVax (hypo)'!BE26,'Scen NotEffectivelyVax (hypo)'!BH26,'Scen NotEffectivelyVax (hypo)'!BK26,'Scen NotEffectivelyVax (hypo)'!BN26,'Scen NotEffectivelyVax (hypo)'!BQ26,'Scen NotEffectivelyVax (hypo)'!BT26,'Scen NotEffectivelyVax (hypo)'!BW26,'Scen NotEffectivelyVax (hypo)'!BZ26,'Scen NotEffectivelyVax (hypo)'!CC26,'Scen NotEffectivelyVax (hypo)'!CF26,'Scen NotEffectivelyVax (hypo)'!CI26,'Scen NotEffectivelyVax (hypo)'!CL26,'Scen NotEffectivelyVax (hypo)'!CO26,'Scen NotEffectivelyVax (hypo)'!CR26,'Scen NotEffectivelyVax (hypo)'!CU26,'Scen NotEffectivelyVax (hypo)'!CX26,'Scen NotEffectivelyVax (hypo)'!DA26,'Scen NotEffectivelyVax (hypo)'!DD26,'Scen NotEffectivelyVax (hypo)'!DG26,'Scen NotEffectivelyVax (hypo)'!DJ26,'Scen NotEffectivelyVax (hypo)'!DM26,'Scen NotEffectivelyVax (hypo)'!DQ26,'Scen NotEffectivelyVax (hypo)'!DP26,'Scen NotEffectivelyVax (hypo)'!DS26,'Scen NotEffectivelyVax (hypo)'!DV26,'Scen NotEffectivelyVax (hypo)'!DY26,'Scen NotEffectivelyVax (hypo)'!EB26,'Scen NotEffectivelyVax (hypo)'!EE26,'Scen NotEffectivelyVax (hypo)'!EH26,'Scen NotEffectivelyVax (hypo)'!EK26,'Scen NotEffectivelyVax (hypo)'!EN26,'Scen NotEffectivelyVax (hypo)'!EQ26,'Scen NotEffectivelyVax (hypo)'!ET26,'Scen NotEffectivelyVax (hypo)'!EW26,'Scen NotEffectivelyVax (hypo)'!EZ26,'Scen NotEffectivelyVax (hypo)'!FC26,'Scen NotEffectivelyVax (hypo)'!FF26,'Scen NotEffectivelyVax (hypo)'!FI26,'Scen NotEffectivelyVax (hypo)'!FL26,'Scen NotEffectivelyVax (hypo)'!FO26,'Scen NotEffectivelyVax (hypo)'!FR26,'Scen NotEffectivelyVax (hypo)'!FU26,'Scen NotEffectivelyVax (hypo)'!FX26,'Scen NotEffectivelyVax (hypo)'!GA26)</f>
        <v>#VALUE!</v>
      </c>
      <c r="W26" s="141" t="e">
        <f>SUM('Scen NotEffectivelyVax (hypo)'!D26,'Scen NotEffectivelyVax (hypo)'!G26,'Scen NotEffectivelyVax (hypo)'!J26,'Scen NotEffectivelyVax (hypo)'!M26,'Scen NotEffectivelyVax (hypo)'!P26,'Scen NotEffectivelyVax (hypo)'!S26,'Scen NotEffectivelyVax (hypo)'!V26,'Scen NotEffectivelyVax (hypo)'!Y26,'Scen NotEffectivelyVax (hypo)'!AB26,'Scen NotEffectivelyVax (hypo)'!AE26,'Scen NotEffectivelyVax (hypo)'!AH26,'Scen NotEffectivelyVax (hypo)'!AK26,'Scen NotEffectivelyVax (hypo)'!AN26,'Scen NotEffectivelyVax (hypo)'!AQ26,'Scen NotEffectivelyVax (hypo)'!AT26,'Scen NotEffectivelyVax (hypo)'!AW26,'Scen NotEffectivelyVax (hypo)'!AZ26,'Scen NotEffectivelyVax (hypo)'!BC26,'Scen NotEffectivelyVax (hypo)'!BF26,'Scen NotEffectivelyVax (hypo)'!BI26,'Scen NotEffectivelyVax (hypo)'!BL26,'Scen NotEffectivelyVax (hypo)'!BO26,'Scen NotEffectivelyVax (hypo)'!BR26,'Scen NotEffectivelyVax (hypo)'!BU26,'Scen NotEffectivelyVax (hypo)'!BX26,'Scen NotEffectivelyVax (hypo)'!CA26,'Scen NotEffectivelyVax (hypo)'!CD26,'Scen NotEffectivelyVax (hypo)'!CG26,'Scen NotEffectivelyVax (hypo)'!CJ26,'Scen NotEffectivelyVax (hypo)'!CM26,'Scen NotEffectivelyVax (hypo)'!CP26,'Scen NotEffectivelyVax (hypo)'!CS26,'Scen NotEffectivelyVax (hypo)'!CV26,'Scen NotEffectivelyVax (hypo)'!CY26,'Scen NotEffectivelyVax (hypo)'!DB26,'Scen NotEffectivelyVax (hypo)'!DE26,'Scen NotEffectivelyVax (hypo)'!DH26,'Scen NotEffectivelyVax (hypo)'!DK26,'Scen NotEffectivelyVax (hypo)'!DN26,'Scen NotEffectivelyVax (hypo)'!DQ26,'Scen NotEffectivelyVax (hypo)'!DT26,'Scen NotEffectivelyVax (hypo)'!DW26,'Scen NotEffectivelyVax (hypo)'!DZ26,'Scen NotEffectivelyVax (hypo)'!EC26,'Scen NotEffectivelyVax (hypo)'!EF26,'Scen NotEffectivelyVax (hypo)'!EI26,'Scen NotEffectivelyVax (hypo)'!EL26,'Scen NotEffectivelyVax (hypo)'!EO26,'Scen NotEffectivelyVax (hypo)'!ER26,'Scen NotEffectivelyVax (hypo)'!EU26,'Scen NotEffectivelyVax (hypo)'!EX26,'Scen NotEffectivelyVax (hypo)'!FA26,'Scen NotEffectivelyVax (hypo)'!FD26,'Scen NotEffectivelyVax (hypo)'!FG26,'Scen NotEffectivelyVax (hypo)'!FJ26,'Scen NotEffectivelyVax (hypo)'!FM26,'Scen NotEffectivelyVax (hypo)'!FP26,'Scen NotEffectivelyVax (hypo)'!FS26,'Scen NotEffectivelyVax (hypo)'!FV26,'Scen NotEffectivelyVax (hypo)'!FY26)</f>
        <v>#VALUE!</v>
      </c>
      <c r="X26" s="141" t="e">
        <f>SUM('Scen NotEffectivelyVax (hypo)'!E26,'Scen NotEffectivelyVax (hypo)'!H26,'Scen NotEffectivelyVax (hypo)'!K26,'Scen NotEffectivelyVax (hypo)'!N26,'Scen NotEffectivelyVax (hypo)'!Q26,'Scen NotEffectivelyVax (hypo)'!T26,'Scen NotEffectivelyVax (hypo)'!Z26,'Scen NotEffectivelyVax (hypo)'!W26,'Scen NotEffectivelyVax (hypo)'!AC26,'Scen NotEffectivelyVax (hypo)'!AF26,'Scen NotEffectivelyVax (hypo)'!AI26,'Scen NotEffectivelyVax (hypo)'!AL26,'Scen NotEffectivelyVax (hypo)'!AO26,'Scen NotEffectivelyVax (hypo)'!AR26,'Scen NotEffectivelyVax (hypo)'!AU26,'Scen NotEffectivelyVax (hypo)'!AX26,'Scen NotEffectivelyVax (hypo)'!BA26,'Scen NotEffectivelyVax (hypo)'!BD26,'Scen NotEffectivelyVax (hypo)'!BG26,'Scen NotEffectivelyVax (hypo)'!BJ26,'Scen NotEffectivelyVax (hypo)'!BM26,'Scen NotEffectivelyVax (hypo)'!BP26,'Scen NotEffectivelyVax (hypo)'!BS26,'Scen NotEffectivelyVax (hypo)'!BV26,'Scen NotEffectivelyVax (hypo)'!BY26,'Scen NotEffectivelyVax (hypo)'!CB26,'Scen NotEffectivelyVax (hypo)'!CE26,'Scen NotEffectivelyVax (hypo)'!CH26,'Scen NotEffectivelyVax (hypo)'!CK26,'Scen NotEffectivelyVax (hypo)'!CN26,'Scen NotEffectivelyVax (hypo)'!CQ26,'Scen NotEffectivelyVax (hypo)'!CT26,'Scen NotEffectivelyVax (hypo)'!CW26,'Scen NotEffectivelyVax (hypo)'!CZ26,'Scen NotEffectivelyVax (hypo)'!DC26,'Scen NotEffectivelyVax (hypo)'!DF26,'Scen NotEffectivelyVax (hypo)'!DI26,'Scen NotEffectivelyVax (hypo)'!DL26,'Scen NotEffectivelyVax (hypo)'!DO26,'Scen NotEffectivelyVax (hypo)'!DR26,'Scen NotEffectivelyVax (hypo)'!DU26,'Scen NotEffectivelyVax (hypo)'!DX26,'Scen NotEffectivelyVax (hypo)'!EA26,'Scen NotEffectivelyVax (hypo)'!ED26,'Scen NotEffectivelyVax (hypo)'!EG26,'Scen NotEffectivelyVax (hypo)'!EJ26,'Scen NotEffectivelyVax (hypo)'!EM26,'Scen NotEffectivelyVax (hypo)'!EP26,'Scen NotEffectivelyVax (hypo)'!ES26,'Scen NotEffectivelyVax (hypo)'!EV26,'Scen NotEffectivelyVax (hypo)'!EY26,'Scen NotEffectivelyVax (hypo)'!FB26,'Scen NotEffectivelyVax (hypo)'!FE26,'Scen NotEffectivelyVax (hypo)'!FH26,'Scen NotEffectivelyVax (hypo)'!FK26,'Scen NotEffectivelyVax (hypo)'!FN26,'Scen NotEffectivelyVax (hypo)'!FQ26,'Scen NotEffectivelyVax (hypo)'!FT26,'Scen NotEffectivelyVax (hypo)'!FW26,'Scen NotEffectivelyVax (hypo)'!FZ26)</f>
        <v>#VALUE!</v>
      </c>
      <c r="Y26" s="142" t="e">
        <f t="shared" si="1"/>
        <v>#VALUE!</v>
      </c>
      <c r="Z26" s="142" t="e">
        <f>IF(Export!M24&lt;&gt;"",W26*Export!K24*(1/Export!M24),W26*Export!K24)</f>
        <v>#VALUE!</v>
      </c>
      <c r="AA26" s="139" t="e">
        <f>Y26*Export!J24</f>
        <v>#VALUE!</v>
      </c>
      <c r="AC26" s="143" t="e">
        <f t="shared" si="2"/>
        <v>#VALUE!</v>
      </c>
      <c r="AD26" s="144" t="e">
        <f>$E26-($R26+$X26)</f>
        <v>#VALUE!</v>
      </c>
      <c r="AE26" s="144" t="e">
        <f t="shared" si="3"/>
        <v>#VALUE!</v>
      </c>
      <c r="AF26" s="144" t="e">
        <f t="shared" si="4"/>
        <v>#VALUE!</v>
      </c>
      <c r="AG26" s="144" t="e">
        <f t="shared" si="5"/>
        <v>#VALUE!</v>
      </c>
      <c r="AH26" s="145"/>
      <c r="AI26" s="145"/>
      <c r="AJ26" s="145"/>
      <c r="AK26" s="145"/>
      <c r="AL26" s="146"/>
      <c r="AM26" s="145"/>
      <c r="AN26" s="145"/>
      <c r="AO26" s="145"/>
      <c r="AP26" s="145"/>
      <c r="AQ26" s="146"/>
      <c r="AR26" s="150"/>
      <c r="AS26" s="150"/>
      <c r="AT26" s="150"/>
      <c r="AU26" s="150"/>
      <c r="AV26" s="151"/>
    </row>
    <row r="27" spans="1:50" ht="15.75" customHeight="1" x14ac:dyDescent="0.35">
      <c r="A27" s="95">
        <f>EffectivelyVax!B26</f>
        <v>1</v>
      </c>
      <c r="B27" s="96">
        <f>EffectivelyVax!C26</f>
        <v>0</v>
      </c>
      <c r="C27" s="97">
        <f>Export!N25</f>
        <v>0</v>
      </c>
      <c r="D27" s="98" t="str">
        <f>IF(Inputs!$F$10="1. Actual program", 'Current vaccine model'!W27, Export!C25)</f>
        <v/>
      </c>
      <c r="E27" s="98" t="e">
        <f>D27*Export!L25</f>
        <v>#VALUE!</v>
      </c>
      <c r="F27" s="98" t="e">
        <f t="shared" si="18"/>
        <v>#VALUE!</v>
      </c>
      <c r="G27" s="98" t="e">
        <f>IF(Export!M25&lt;&gt;"",D27*Export!K25*(1/Export!M25),D27*Export!K25)</f>
        <v>#VALUE!</v>
      </c>
      <c r="H27" s="98" t="e">
        <f>F27*Export!J25</f>
        <v>#VALUE!</v>
      </c>
      <c r="I27" s="98" t="e">
        <f t="shared" si="14"/>
        <v>#VALUE!</v>
      </c>
      <c r="J27" s="99" t="e">
        <f t="shared" si="8"/>
        <v>#VALUE!</v>
      </c>
      <c r="K27" s="100" t="e">
        <f t="shared" si="9"/>
        <v>#VALUE!</v>
      </c>
      <c r="L27" s="101">
        <f>'Scen EffectivelyVax'!A26</f>
        <v>0</v>
      </c>
      <c r="M27" s="102">
        <f>C27*L27*HelperFunctions!G$17</f>
        <v>0</v>
      </c>
      <c r="N27" s="103">
        <f>C27*L27*(1-HelperFunctions!G$17)</f>
        <v>0</v>
      </c>
      <c r="O27" s="104" t="e">
        <f t="shared" si="15"/>
        <v>#DIV/0!</v>
      </c>
      <c r="P27" s="105">
        <f>SUM('Scen EffectivelyVax'!D26:BK26)</f>
        <v>0</v>
      </c>
      <c r="Q27" s="106" t="e">
        <f t="shared" si="11"/>
        <v>#DIV/0!</v>
      </c>
      <c r="R27" s="106" t="e">
        <f t="shared" si="12"/>
        <v>#DIV/0!</v>
      </c>
      <c r="S27" s="105" t="e">
        <f t="shared" si="0"/>
        <v>#DIV/0!</v>
      </c>
      <c r="T27" s="106" t="e">
        <f>IF(Export!M25&lt;&gt;"",Q27*Export!K25*(1/Export!M25),Q27*Export!K25)</f>
        <v>#DIV/0!</v>
      </c>
      <c r="U27" s="107" t="e">
        <f>S27*Export!J25</f>
        <v>#DIV/0!</v>
      </c>
      <c r="V27" s="108" t="e">
        <f>SUM('Scen NotEffectivelyVax (hypo)'!F27,'Scen NotEffectivelyVax (hypo)'!I27,'Scen NotEffectivelyVax (hypo)'!L27,'Scen NotEffectivelyVax (hypo)'!O27,'Scen NotEffectivelyVax (hypo)'!R27,'Scen NotEffectivelyVax (hypo)'!U27,'Scen NotEffectivelyVax (hypo)'!X27,'Scen NotEffectivelyVax (hypo)'!AA27,'Scen NotEffectivelyVax (hypo)'!AD27,'Scen NotEffectivelyVax (hypo)'!AG27,'Scen NotEffectivelyVax (hypo)'!AJ27,'Scen NotEffectivelyVax (hypo)'!AM27,'Scen NotEffectivelyVax (hypo)'!AP27,'Scen NotEffectivelyVax (hypo)'!AS27,'Scen NotEffectivelyVax (hypo)'!AV27,'Scen NotEffectivelyVax (hypo)'!AY27,'Scen NotEffectivelyVax (hypo)'!BB27,'Scen NotEffectivelyVax (hypo)'!BE27,'Scen NotEffectivelyVax (hypo)'!BH27,'Scen NotEffectivelyVax (hypo)'!BK27,'Scen NotEffectivelyVax (hypo)'!BN27,'Scen NotEffectivelyVax (hypo)'!BQ27,'Scen NotEffectivelyVax (hypo)'!BT27,'Scen NotEffectivelyVax (hypo)'!BW27,'Scen NotEffectivelyVax (hypo)'!BZ27,'Scen NotEffectivelyVax (hypo)'!CC27,'Scen NotEffectivelyVax (hypo)'!CF27,'Scen NotEffectivelyVax (hypo)'!CI27,'Scen NotEffectivelyVax (hypo)'!CL27,'Scen NotEffectivelyVax (hypo)'!CO27,'Scen NotEffectivelyVax (hypo)'!CR27,'Scen NotEffectivelyVax (hypo)'!CU27,'Scen NotEffectivelyVax (hypo)'!CX27,'Scen NotEffectivelyVax (hypo)'!DA27,'Scen NotEffectivelyVax (hypo)'!DD27,'Scen NotEffectivelyVax (hypo)'!DG27,'Scen NotEffectivelyVax (hypo)'!DJ27,'Scen NotEffectivelyVax (hypo)'!DM27,'Scen NotEffectivelyVax (hypo)'!DQ27,'Scen NotEffectivelyVax (hypo)'!DP27,'Scen NotEffectivelyVax (hypo)'!DS27,'Scen NotEffectivelyVax (hypo)'!DV27,'Scen NotEffectivelyVax (hypo)'!DY27,'Scen NotEffectivelyVax (hypo)'!EB27,'Scen NotEffectivelyVax (hypo)'!EE27,'Scen NotEffectivelyVax (hypo)'!EH27,'Scen NotEffectivelyVax (hypo)'!EK27,'Scen NotEffectivelyVax (hypo)'!EN27,'Scen NotEffectivelyVax (hypo)'!EQ27,'Scen NotEffectivelyVax (hypo)'!ET27,'Scen NotEffectivelyVax (hypo)'!EW27,'Scen NotEffectivelyVax (hypo)'!EZ27,'Scen NotEffectivelyVax (hypo)'!FC27,'Scen NotEffectivelyVax (hypo)'!FF27,'Scen NotEffectivelyVax (hypo)'!FI27,'Scen NotEffectivelyVax (hypo)'!FL27,'Scen NotEffectivelyVax (hypo)'!FO27,'Scen NotEffectivelyVax (hypo)'!FR27,'Scen NotEffectivelyVax (hypo)'!FU27,'Scen NotEffectivelyVax (hypo)'!FX27,'Scen NotEffectivelyVax (hypo)'!GA27)</f>
        <v>#VALUE!</v>
      </c>
      <c r="W27" s="109" t="e">
        <f>SUM('Scen NotEffectivelyVax (hypo)'!D27,'Scen NotEffectivelyVax (hypo)'!G27,'Scen NotEffectivelyVax (hypo)'!J27,'Scen NotEffectivelyVax (hypo)'!M27,'Scen NotEffectivelyVax (hypo)'!P27,'Scen NotEffectivelyVax (hypo)'!S27,'Scen NotEffectivelyVax (hypo)'!V27,'Scen NotEffectivelyVax (hypo)'!Y27,'Scen NotEffectivelyVax (hypo)'!AB27,'Scen NotEffectivelyVax (hypo)'!AE27,'Scen NotEffectivelyVax (hypo)'!AH27,'Scen NotEffectivelyVax (hypo)'!AK27,'Scen NotEffectivelyVax (hypo)'!AN27,'Scen NotEffectivelyVax (hypo)'!AQ27,'Scen NotEffectivelyVax (hypo)'!AT27,'Scen NotEffectivelyVax (hypo)'!AW27,'Scen NotEffectivelyVax (hypo)'!AZ27,'Scen NotEffectivelyVax (hypo)'!BC27,'Scen NotEffectivelyVax (hypo)'!BF27,'Scen NotEffectivelyVax (hypo)'!BI27,'Scen NotEffectivelyVax (hypo)'!BL27,'Scen NotEffectivelyVax (hypo)'!BO27,'Scen NotEffectivelyVax (hypo)'!BR27,'Scen NotEffectivelyVax (hypo)'!BU27,'Scen NotEffectivelyVax (hypo)'!BX27,'Scen NotEffectivelyVax (hypo)'!CA27,'Scen NotEffectivelyVax (hypo)'!CD27,'Scen NotEffectivelyVax (hypo)'!CG27,'Scen NotEffectivelyVax (hypo)'!CJ27,'Scen NotEffectivelyVax (hypo)'!CM27,'Scen NotEffectivelyVax (hypo)'!CP27,'Scen NotEffectivelyVax (hypo)'!CS27,'Scen NotEffectivelyVax (hypo)'!CV27,'Scen NotEffectivelyVax (hypo)'!CY27,'Scen NotEffectivelyVax (hypo)'!DB27,'Scen NotEffectivelyVax (hypo)'!DE27,'Scen NotEffectivelyVax (hypo)'!DH27,'Scen NotEffectivelyVax (hypo)'!DK27,'Scen NotEffectivelyVax (hypo)'!DN27,'Scen NotEffectivelyVax (hypo)'!DQ27,'Scen NotEffectivelyVax (hypo)'!DT27,'Scen NotEffectivelyVax (hypo)'!DW27,'Scen NotEffectivelyVax (hypo)'!DZ27,'Scen NotEffectivelyVax (hypo)'!EC27,'Scen NotEffectivelyVax (hypo)'!EF27,'Scen NotEffectivelyVax (hypo)'!EI27,'Scen NotEffectivelyVax (hypo)'!EL27,'Scen NotEffectivelyVax (hypo)'!EO27,'Scen NotEffectivelyVax (hypo)'!ER27,'Scen NotEffectivelyVax (hypo)'!EU27,'Scen NotEffectivelyVax (hypo)'!EX27,'Scen NotEffectivelyVax (hypo)'!FA27,'Scen NotEffectivelyVax (hypo)'!FD27,'Scen NotEffectivelyVax (hypo)'!FG27,'Scen NotEffectivelyVax (hypo)'!FJ27,'Scen NotEffectivelyVax (hypo)'!FM27,'Scen NotEffectivelyVax (hypo)'!FP27,'Scen NotEffectivelyVax (hypo)'!FS27,'Scen NotEffectivelyVax (hypo)'!FV27,'Scen NotEffectivelyVax (hypo)'!FY27)</f>
        <v>#VALUE!</v>
      </c>
      <c r="X27" s="109" t="e">
        <f>SUM('Scen NotEffectivelyVax (hypo)'!E27,'Scen NotEffectivelyVax (hypo)'!H27,'Scen NotEffectivelyVax (hypo)'!K27,'Scen NotEffectivelyVax (hypo)'!N27,'Scen NotEffectivelyVax (hypo)'!Q27,'Scen NotEffectivelyVax (hypo)'!T27,'Scen NotEffectivelyVax (hypo)'!Z27,'Scen NotEffectivelyVax (hypo)'!W27,'Scen NotEffectivelyVax (hypo)'!AC27,'Scen NotEffectivelyVax (hypo)'!AF27,'Scen NotEffectivelyVax (hypo)'!AI27,'Scen NotEffectivelyVax (hypo)'!AL27,'Scen NotEffectivelyVax (hypo)'!AO27,'Scen NotEffectivelyVax (hypo)'!AR27,'Scen NotEffectivelyVax (hypo)'!AU27,'Scen NotEffectivelyVax (hypo)'!AX27,'Scen NotEffectivelyVax (hypo)'!BA27,'Scen NotEffectivelyVax (hypo)'!BD27,'Scen NotEffectivelyVax (hypo)'!BG27,'Scen NotEffectivelyVax (hypo)'!BJ27,'Scen NotEffectivelyVax (hypo)'!BM27,'Scen NotEffectivelyVax (hypo)'!BP27,'Scen NotEffectivelyVax (hypo)'!BS27,'Scen NotEffectivelyVax (hypo)'!BV27,'Scen NotEffectivelyVax (hypo)'!BY27,'Scen NotEffectivelyVax (hypo)'!CB27,'Scen NotEffectivelyVax (hypo)'!CE27,'Scen NotEffectivelyVax (hypo)'!CH27,'Scen NotEffectivelyVax (hypo)'!CK27,'Scen NotEffectivelyVax (hypo)'!CN27,'Scen NotEffectivelyVax (hypo)'!CQ27,'Scen NotEffectivelyVax (hypo)'!CT27,'Scen NotEffectivelyVax (hypo)'!CW27,'Scen NotEffectivelyVax (hypo)'!CZ27,'Scen NotEffectivelyVax (hypo)'!DC27,'Scen NotEffectivelyVax (hypo)'!DF27,'Scen NotEffectivelyVax (hypo)'!DI27,'Scen NotEffectivelyVax (hypo)'!DL27,'Scen NotEffectivelyVax (hypo)'!DO27,'Scen NotEffectivelyVax (hypo)'!DR27,'Scen NotEffectivelyVax (hypo)'!DU27,'Scen NotEffectivelyVax (hypo)'!DX27,'Scen NotEffectivelyVax (hypo)'!EA27,'Scen NotEffectivelyVax (hypo)'!ED27,'Scen NotEffectivelyVax (hypo)'!EG27,'Scen NotEffectivelyVax (hypo)'!EJ27,'Scen NotEffectivelyVax (hypo)'!EM27,'Scen NotEffectivelyVax (hypo)'!EP27,'Scen NotEffectivelyVax (hypo)'!ES27,'Scen NotEffectivelyVax (hypo)'!EV27,'Scen NotEffectivelyVax (hypo)'!EY27,'Scen NotEffectivelyVax (hypo)'!FB27,'Scen NotEffectivelyVax (hypo)'!FE27,'Scen NotEffectivelyVax (hypo)'!FH27,'Scen NotEffectivelyVax (hypo)'!FK27,'Scen NotEffectivelyVax (hypo)'!FN27,'Scen NotEffectivelyVax (hypo)'!FQ27,'Scen NotEffectivelyVax (hypo)'!FT27,'Scen NotEffectivelyVax (hypo)'!FW27,'Scen NotEffectivelyVax (hypo)'!FZ27)</f>
        <v>#VALUE!</v>
      </c>
      <c r="Y27" s="110" t="e">
        <f t="shared" si="1"/>
        <v>#VALUE!</v>
      </c>
      <c r="Z27" s="110" t="e">
        <f>IF(Export!M25&lt;&gt;"",W27*Export!K25*(1/Export!M25),W27*Export!K25)</f>
        <v>#VALUE!</v>
      </c>
      <c r="AA27" s="107" t="e">
        <f>Y27*Export!J25</f>
        <v>#VALUE!</v>
      </c>
      <c r="AB27" s="144"/>
      <c r="AC27" s="156" t="e">
        <f t="shared" si="2"/>
        <v>#VALUE!</v>
      </c>
      <c r="AD27" s="157" t="e">
        <f t="shared" ref="AD27:AD63" si="19">$E27-($R27+$X27)</f>
        <v>#VALUE!</v>
      </c>
      <c r="AE27" s="157" t="e">
        <f t="shared" si="3"/>
        <v>#VALUE!</v>
      </c>
      <c r="AF27" s="157" t="e">
        <f t="shared" si="4"/>
        <v>#VALUE!</v>
      </c>
      <c r="AG27" s="157" t="e">
        <f t="shared" si="5"/>
        <v>#VALUE!</v>
      </c>
      <c r="AH27" s="268" t="e">
        <f>SUM(AC16:AC27)</f>
        <v>#VALUE!</v>
      </c>
      <c r="AI27" s="268" t="e">
        <f>SUM(AD16:AD27)</f>
        <v>#VALUE!</v>
      </c>
      <c r="AJ27" s="268" t="e">
        <f t="shared" ref="AJ27" si="20">SUM(AE16:AE27)</f>
        <v>#VALUE!</v>
      </c>
      <c r="AK27" s="268" t="e">
        <f t="shared" ref="AK27" si="21">SUM(AF16:AF27)</f>
        <v>#VALUE!</v>
      </c>
      <c r="AL27" s="268" t="e">
        <f>SUM(AG16:AG27)</f>
        <v>#VALUE!</v>
      </c>
      <c r="AM27" s="147" t="e">
        <f>SUM(AC16:AC27)/SUM(D16:D27)</f>
        <v>#VALUE!</v>
      </c>
      <c r="AN27" s="147" t="e">
        <f>SUM(AD16:AD27)/SUM(E16:E27)</f>
        <v>#VALUE!</v>
      </c>
      <c r="AO27" s="112" t="e">
        <f>SUM(AE16:AE27)/SUM(G16:G27)</f>
        <v>#VALUE!</v>
      </c>
      <c r="AP27" s="112" t="e">
        <f>SUM(AF16:AF27)/SUM(H16:H27)</f>
        <v>#VALUE!</v>
      </c>
      <c r="AQ27" s="111" t="e">
        <f>SUM(AG16:AG27)/SUM(F16:F27)</f>
        <v>#VALUE!</v>
      </c>
      <c r="AR27" s="148" t="e">
        <f>SUM($M16:$N27)/SUM(AC16:AC27)</f>
        <v>#VALUE!</v>
      </c>
      <c r="AS27" s="148" t="e">
        <f t="shared" ref="AS27" si="22">SUM($M16:$N27)/SUM(AD16:AD27)</f>
        <v>#VALUE!</v>
      </c>
      <c r="AT27" s="148" t="e">
        <f t="shared" ref="AT27" si="23">SUM($M16:$N27)/SUM(AE16:AE27)</f>
        <v>#VALUE!</v>
      </c>
      <c r="AU27" s="148" t="e">
        <f t="shared" ref="AU27" si="24">SUM($M16:$N27)/SUM(AF16:AF27)</f>
        <v>#VALUE!</v>
      </c>
      <c r="AV27" s="149" t="e">
        <f>SUM($M16:$N27)/SUM(AC16:AD27)</f>
        <v>#VALUE!</v>
      </c>
    </row>
    <row r="28" spans="1:50" x14ac:dyDescent="0.35">
      <c r="A28" s="158">
        <f>EffectivelyVax!B27</f>
        <v>2</v>
      </c>
      <c r="B28" s="159" t="str">
        <f>EffectivelyVax!C27</f>
        <v/>
      </c>
      <c r="C28" s="160" t="str">
        <f>Export!N26</f>
        <v/>
      </c>
      <c r="D28" s="161" t="str">
        <f>IF(Inputs!$F$10="1. Actual program", 'Current vaccine model'!W28, Export!C26)</f>
        <v/>
      </c>
      <c r="E28" s="133" t="e">
        <f>D28*Export!L26</f>
        <v>#VALUE!</v>
      </c>
      <c r="F28" s="161" t="e">
        <f t="shared" si="18"/>
        <v>#VALUE!</v>
      </c>
      <c r="G28" s="161" t="e">
        <f>IF(Export!M26&lt;&gt;"",D28*Export!K26*(1/Export!M26),D28*Export!K26)</f>
        <v>#VALUE!</v>
      </c>
      <c r="H28" s="161" t="e">
        <f>F28*Export!J26</f>
        <v>#VALUE!</v>
      </c>
      <c r="I28" s="161" t="e">
        <f t="shared" si="14"/>
        <v>#VALUE!</v>
      </c>
      <c r="J28" s="153" t="e">
        <f t="shared" si="8"/>
        <v>#VALUE!</v>
      </c>
      <c r="K28" s="162" t="e">
        <f t="shared" si="9"/>
        <v>#VALUE!</v>
      </c>
      <c r="L28" s="163">
        <f>'Scen EffectivelyVax'!A27</f>
        <v>0</v>
      </c>
      <c r="M28" s="164" t="e">
        <f>C28*L28*HelperFunctions!G$31</f>
        <v>#VALUE!</v>
      </c>
      <c r="N28" s="165" t="e">
        <f>C28*L28*(1-HelperFunctions!G$31)</f>
        <v>#VALUE!</v>
      </c>
      <c r="O28" s="166" t="e">
        <f t="shared" si="15"/>
        <v>#DIV/0!</v>
      </c>
      <c r="P28" s="167">
        <f>SUM('Scen EffectivelyVax'!D27:BK27)</f>
        <v>0</v>
      </c>
      <c r="Q28" s="155" t="e">
        <f t="shared" si="11"/>
        <v>#DIV/0!</v>
      </c>
      <c r="R28" s="155" t="e">
        <f t="shared" si="12"/>
        <v>#DIV/0!</v>
      </c>
      <c r="S28" s="167" t="e">
        <f t="shared" si="0"/>
        <v>#DIV/0!</v>
      </c>
      <c r="T28" s="155" t="e">
        <f>IF(Export!M26&lt;&gt;"",Q28*Export!K26*(1/Export!M26),Q28*Export!K26)</f>
        <v>#DIV/0!</v>
      </c>
      <c r="U28" s="154" t="e">
        <f>S28*Export!J26</f>
        <v>#DIV/0!</v>
      </c>
      <c r="V28" s="168" t="e">
        <f>SUM('Scen NotEffectivelyVax (hypo)'!F28,'Scen NotEffectivelyVax (hypo)'!I28,'Scen NotEffectivelyVax (hypo)'!L28,'Scen NotEffectivelyVax (hypo)'!O28,'Scen NotEffectivelyVax (hypo)'!R28,'Scen NotEffectivelyVax (hypo)'!U28,'Scen NotEffectivelyVax (hypo)'!X28,'Scen NotEffectivelyVax (hypo)'!AA28,'Scen NotEffectivelyVax (hypo)'!AD28,'Scen NotEffectivelyVax (hypo)'!AG28,'Scen NotEffectivelyVax (hypo)'!AJ28,'Scen NotEffectivelyVax (hypo)'!AM28,'Scen NotEffectivelyVax (hypo)'!AP28,'Scen NotEffectivelyVax (hypo)'!AS28,'Scen NotEffectivelyVax (hypo)'!AV28,'Scen NotEffectivelyVax (hypo)'!AY28,'Scen NotEffectivelyVax (hypo)'!BB28,'Scen NotEffectivelyVax (hypo)'!BE28,'Scen NotEffectivelyVax (hypo)'!BH28,'Scen NotEffectivelyVax (hypo)'!BK28,'Scen NotEffectivelyVax (hypo)'!BN28,'Scen NotEffectivelyVax (hypo)'!BQ28,'Scen NotEffectivelyVax (hypo)'!BT28,'Scen NotEffectivelyVax (hypo)'!BW28,'Scen NotEffectivelyVax (hypo)'!BZ28,'Scen NotEffectivelyVax (hypo)'!CC28,'Scen NotEffectivelyVax (hypo)'!CF28,'Scen NotEffectivelyVax (hypo)'!CI28,'Scen NotEffectivelyVax (hypo)'!CL28,'Scen NotEffectivelyVax (hypo)'!CO28,'Scen NotEffectivelyVax (hypo)'!CR28,'Scen NotEffectivelyVax (hypo)'!CU28,'Scen NotEffectivelyVax (hypo)'!CX28,'Scen NotEffectivelyVax (hypo)'!DA28,'Scen NotEffectivelyVax (hypo)'!DD28,'Scen NotEffectivelyVax (hypo)'!DG28,'Scen NotEffectivelyVax (hypo)'!DJ28,'Scen NotEffectivelyVax (hypo)'!DM28,'Scen NotEffectivelyVax (hypo)'!DQ28,'Scen NotEffectivelyVax (hypo)'!DP28,'Scen NotEffectivelyVax (hypo)'!DS28,'Scen NotEffectivelyVax (hypo)'!DV28,'Scen NotEffectivelyVax (hypo)'!DY28,'Scen NotEffectivelyVax (hypo)'!EB28,'Scen NotEffectivelyVax (hypo)'!EE28,'Scen NotEffectivelyVax (hypo)'!EH28,'Scen NotEffectivelyVax (hypo)'!EK28,'Scen NotEffectivelyVax (hypo)'!EN28,'Scen NotEffectivelyVax (hypo)'!EQ28,'Scen NotEffectivelyVax (hypo)'!ET28,'Scen NotEffectivelyVax (hypo)'!EW28,'Scen NotEffectivelyVax (hypo)'!EZ28,'Scen NotEffectivelyVax (hypo)'!FC28,'Scen NotEffectivelyVax (hypo)'!FF28,'Scen NotEffectivelyVax (hypo)'!FI28,'Scen NotEffectivelyVax (hypo)'!FL28,'Scen NotEffectivelyVax (hypo)'!FO28,'Scen NotEffectivelyVax (hypo)'!FR28,'Scen NotEffectivelyVax (hypo)'!FU28,'Scen NotEffectivelyVax (hypo)'!FX28,'Scen NotEffectivelyVax (hypo)'!GA28)</f>
        <v>#VALUE!</v>
      </c>
      <c r="W28" s="169" t="e">
        <f>SUM('Scen NotEffectivelyVax (hypo)'!D28,'Scen NotEffectivelyVax (hypo)'!G28,'Scen NotEffectivelyVax (hypo)'!J28,'Scen NotEffectivelyVax (hypo)'!M28,'Scen NotEffectivelyVax (hypo)'!P28,'Scen NotEffectivelyVax (hypo)'!S28,'Scen NotEffectivelyVax (hypo)'!V28,'Scen NotEffectivelyVax (hypo)'!Y28,'Scen NotEffectivelyVax (hypo)'!AB28,'Scen NotEffectivelyVax (hypo)'!AE28,'Scen NotEffectivelyVax (hypo)'!AH28,'Scen NotEffectivelyVax (hypo)'!AK28,'Scen NotEffectivelyVax (hypo)'!AN28,'Scen NotEffectivelyVax (hypo)'!AQ28,'Scen NotEffectivelyVax (hypo)'!AT28,'Scen NotEffectivelyVax (hypo)'!AW28,'Scen NotEffectivelyVax (hypo)'!AZ28,'Scen NotEffectivelyVax (hypo)'!BC28,'Scen NotEffectivelyVax (hypo)'!BF28,'Scen NotEffectivelyVax (hypo)'!BI28,'Scen NotEffectivelyVax (hypo)'!BL28,'Scen NotEffectivelyVax (hypo)'!BO28,'Scen NotEffectivelyVax (hypo)'!BR28,'Scen NotEffectivelyVax (hypo)'!BU28,'Scen NotEffectivelyVax (hypo)'!BX28,'Scen NotEffectivelyVax (hypo)'!CA28,'Scen NotEffectivelyVax (hypo)'!CD28,'Scen NotEffectivelyVax (hypo)'!CG28,'Scen NotEffectivelyVax (hypo)'!CJ28,'Scen NotEffectivelyVax (hypo)'!CM28,'Scen NotEffectivelyVax (hypo)'!CP28,'Scen NotEffectivelyVax (hypo)'!CS28,'Scen NotEffectivelyVax (hypo)'!CV28,'Scen NotEffectivelyVax (hypo)'!CY28,'Scen NotEffectivelyVax (hypo)'!DB28,'Scen NotEffectivelyVax (hypo)'!DE28,'Scen NotEffectivelyVax (hypo)'!DH28,'Scen NotEffectivelyVax (hypo)'!DK28,'Scen NotEffectivelyVax (hypo)'!DN28,'Scen NotEffectivelyVax (hypo)'!DQ28,'Scen NotEffectivelyVax (hypo)'!DT28,'Scen NotEffectivelyVax (hypo)'!DW28,'Scen NotEffectivelyVax (hypo)'!DZ28,'Scen NotEffectivelyVax (hypo)'!EC28,'Scen NotEffectivelyVax (hypo)'!EF28,'Scen NotEffectivelyVax (hypo)'!EI28,'Scen NotEffectivelyVax (hypo)'!EL28,'Scen NotEffectivelyVax (hypo)'!EO28,'Scen NotEffectivelyVax (hypo)'!ER28,'Scen NotEffectivelyVax (hypo)'!EU28,'Scen NotEffectivelyVax (hypo)'!EX28,'Scen NotEffectivelyVax (hypo)'!FA28,'Scen NotEffectivelyVax (hypo)'!FD28,'Scen NotEffectivelyVax (hypo)'!FG28,'Scen NotEffectivelyVax (hypo)'!FJ28,'Scen NotEffectivelyVax (hypo)'!FM28,'Scen NotEffectivelyVax (hypo)'!FP28,'Scen NotEffectivelyVax (hypo)'!FS28,'Scen NotEffectivelyVax (hypo)'!FV28,'Scen NotEffectivelyVax (hypo)'!FY28)</f>
        <v>#VALUE!</v>
      </c>
      <c r="X28" s="169" t="e">
        <f>SUM('Scen NotEffectivelyVax (hypo)'!E28,'Scen NotEffectivelyVax (hypo)'!H28,'Scen NotEffectivelyVax (hypo)'!K28,'Scen NotEffectivelyVax (hypo)'!N28,'Scen NotEffectivelyVax (hypo)'!Q28,'Scen NotEffectivelyVax (hypo)'!T28,'Scen NotEffectivelyVax (hypo)'!Z28,'Scen NotEffectivelyVax (hypo)'!W28,'Scen NotEffectivelyVax (hypo)'!AC28,'Scen NotEffectivelyVax (hypo)'!AF28,'Scen NotEffectivelyVax (hypo)'!AI28,'Scen NotEffectivelyVax (hypo)'!AL28,'Scen NotEffectivelyVax (hypo)'!AO28,'Scen NotEffectivelyVax (hypo)'!AR28,'Scen NotEffectivelyVax (hypo)'!AU28,'Scen NotEffectivelyVax (hypo)'!AX28,'Scen NotEffectivelyVax (hypo)'!BA28,'Scen NotEffectivelyVax (hypo)'!BD28,'Scen NotEffectivelyVax (hypo)'!BG28,'Scen NotEffectivelyVax (hypo)'!BJ28,'Scen NotEffectivelyVax (hypo)'!BM28,'Scen NotEffectivelyVax (hypo)'!BP28,'Scen NotEffectivelyVax (hypo)'!BS28,'Scen NotEffectivelyVax (hypo)'!BV28,'Scen NotEffectivelyVax (hypo)'!BY28,'Scen NotEffectivelyVax (hypo)'!CB28,'Scen NotEffectivelyVax (hypo)'!CE28,'Scen NotEffectivelyVax (hypo)'!CH28,'Scen NotEffectivelyVax (hypo)'!CK28,'Scen NotEffectivelyVax (hypo)'!CN28,'Scen NotEffectivelyVax (hypo)'!CQ28,'Scen NotEffectivelyVax (hypo)'!CT28,'Scen NotEffectivelyVax (hypo)'!CW28,'Scen NotEffectivelyVax (hypo)'!CZ28,'Scen NotEffectivelyVax (hypo)'!DC28,'Scen NotEffectivelyVax (hypo)'!DF28,'Scen NotEffectivelyVax (hypo)'!DI28,'Scen NotEffectivelyVax (hypo)'!DL28,'Scen NotEffectivelyVax (hypo)'!DO28,'Scen NotEffectivelyVax (hypo)'!DR28,'Scen NotEffectivelyVax (hypo)'!DU28,'Scen NotEffectivelyVax (hypo)'!DX28,'Scen NotEffectivelyVax (hypo)'!EA28,'Scen NotEffectivelyVax (hypo)'!ED28,'Scen NotEffectivelyVax (hypo)'!EG28,'Scen NotEffectivelyVax (hypo)'!EJ28,'Scen NotEffectivelyVax (hypo)'!EM28,'Scen NotEffectivelyVax (hypo)'!EP28,'Scen NotEffectivelyVax (hypo)'!ES28,'Scen NotEffectivelyVax (hypo)'!EV28,'Scen NotEffectivelyVax (hypo)'!EY28,'Scen NotEffectivelyVax (hypo)'!FB28,'Scen NotEffectivelyVax (hypo)'!FE28,'Scen NotEffectivelyVax (hypo)'!FH28,'Scen NotEffectivelyVax (hypo)'!FK28,'Scen NotEffectivelyVax (hypo)'!FN28,'Scen NotEffectivelyVax (hypo)'!FQ28,'Scen NotEffectivelyVax (hypo)'!FT28,'Scen NotEffectivelyVax (hypo)'!FW28,'Scen NotEffectivelyVax (hypo)'!FZ28)</f>
        <v>#VALUE!</v>
      </c>
      <c r="Y28" s="170" t="e">
        <f t="shared" si="1"/>
        <v>#VALUE!</v>
      </c>
      <c r="Z28" s="170" t="e">
        <f>IF(Export!M26&lt;&gt;"",W28*Export!K26*(1/Export!M26),W28*Export!K26)</f>
        <v>#VALUE!</v>
      </c>
      <c r="AA28" s="154" t="e">
        <f>Y28*Export!J26</f>
        <v>#VALUE!</v>
      </c>
      <c r="AC28" s="143" t="e">
        <f t="shared" si="2"/>
        <v>#VALUE!</v>
      </c>
      <c r="AD28" s="144" t="e">
        <f t="shared" si="19"/>
        <v>#VALUE!</v>
      </c>
      <c r="AE28" s="144" t="e">
        <f t="shared" si="3"/>
        <v>#VALUE!</v>
      </c>
      <c r="AF28" s="144" t="e">
        <f t="shared" si="4"/>
        <v>#VALUE!</v>
      </c>
      <c r="AG28" s="144" t="e">
        <f t="shared" si="5"/>
        <v>#VALUE!</v>
      </c>
      <c r="AH28" s="145"/>
      <c r="AI28" s="145"/>
      <c r="AJ28" s="145"/>
      <c r="AK28" s="145"/>
      <c r="AL28" s="146"/>
      <c r="AM28" s="145"/>
      <c r="AN28" s="145"/>
      <c r="AO28" s="145"/>
      <c r="AP28" s="145"/>
      <c r="AQ28" s="146"/>
      <c r="AR28" s="150"/>
      <c r="AS28" s="150"/>
      <c r="AT28" s="150"/>
      <c r="AU28" s="150"/>
      <c r="AV28" s="151"/>
      <c r="AW28" s="144"/>
      <c r="AX28" s="144"/>
    </row>
    <row r="29" spans="1:50" x14ac:dyDescent="0.35">
      <c r="A29" s="130">
        <f>EffectivelyVax!B28</f>
        <v>2</v>
      </c>
      <c r="B29" s="131" t="str">
        <f>EffectivelyVax!C28</f>
        <v/>
      </c>
      <c r="C29" s="132" t="str">
        <f>Export!N27</f>
        <v/>
      </c>
      <c r="D29" s="133" t="str">
        <f>IF(Inputs!$F$10="1. Actual program", 'Current vaccine model'!W29, Export!C27)</f>
        <v/>
      </c>
      <c r="E29" s="133" t="e">
        <f>D29*Export!L27</f>
        <v>#VALUE!</v>
      </c>
      <c r="F29" s="133" t="e">
        <f t="shared" si="18"/>
        <v>#VALUE!</v>
      </c>
      <c r="G29" s="133" t="e">
        <f>IF(Export!M27&lt;&gt;"",D29*Export!K27*(1/Export!M27),D29*Export!K27)</f>
        <v>#VALUE!</v>
      </c>
      <c r="H29" s="133" t="e">
        <f>F29*Export!J27</f>
        <v>#VALUE!</v>
      </c>
      <c r="I29" s="133" t="e">
        <f t="shared" si="14"/>
        <v>#VALUE!</v>
      </c>
      <c r="J29" s="134" t="e">
        <f t="shared" si="8"/>
        <v>#VALUE!</v>
      </c>
      <c r="K29" s="135" t="e">
        <f t="shared" si="9"/>
        <v>#VALUE!</v>
      </c>
      <c r="L29" s="117">
        <f>'Scen EffectivelyVax'!A28</f>
        <v>0</v>
      </c>
      <c r="M29" s="115" t="e">
        <f>C29*L29*HelperFunctions!G$31</f>
        <v>#VALUE!</v>
      </c>
      <c r="N29" s="116" t="e">
        <f>C29*L29*(1-HelperFunctions!G$31)</f>
        <v>#VALUE!</v>
      </c>
      <c r="O29" s="136" t="e">
        <f t="shared" si="15"/>
        <v>#DIV/0!</v>
      </c>
      <c r="P29" s="137">
        <f>SUM('Scen EffectivelyVax'!D28:BK28)</f>
        <v>0</v>
      </c>
      <c r="Q29" s="138" t="e">
        <f t="shared" si="11"/>
        <v>#DIV/0!</v>
      </c>
      <c r="R29" s="138" t="e">
        <f t="shared" si="12"/>
        <v>#DIV/0!</v>
      </c>
      <c r="S29" s="137" t="e">
        <f t="shared" si="0"/>
        <v>#DIV/0!</v>
      </c>
      <c r="T29" s="138" t="e">
        <f>IF(Export!M27&lt;&gt;"",Q29*Export!K27*(1/Export!M27),Q29*Export!K27)</f>
        <v>#DIV/0!</v>
      </c>
      <c r="U29" s="139" t="e">
        <f>S29*Export!J27</f>
        <v>#DIV/0!</v>
      </c>
      <c r="V29" s="140" t="e">
        <f>SUM('Scen NotEffectivelyVax (hypo)'!F29,'Scen NotEffectivelyVax (hypo)'!I29,'Scen NotEffectivelyVax (hypo)'!L29,'Scen NotEffectivelyVax (hypo)'!O29,'Scen NotEffectivelyVax (hypo)'!R29,'Scen NotEffectivelyVax (hypo)'!U29,'Scen NotEffectivelyVax (hypo)'!X29,'Scen NotEffectivelyVax (hypo)'!AA29,'Scen NotEffectivelyVax (hypo)'!AD29,'Scen NotEffectivelyVax (hypo)'!AG29,'Scen NotEffectivelyVax (hypo)'!AJ29,'Scen NotEffectivelyVax (hypo)'!AM29,'Scen NotEffectivelyVax (hypo)'!AP29,'Scen NotEffectivelyVax (hypo)'!AS29,'Scen NotEffectivelyVax (hypo)'!AV29,'Scen NotEffectivelyVax (hypo)'!AY29,'Scen NotEffectivelyVax (hypo)'!BB29,'Scen NotEffectivelyVax (hypo)'!BE29,'Scen NotEffectivelyVax (hypo)'!BH29,'Scen NotEffectivelyVax (hypo)'!BK29,'Scen NotEffectivelyVax (hypo)'!BN29,'Scen NotEffectivelyVax (hypo)'!BQ29,'Scen NotEffectivelyVax (hypo)'!BT29,'Scen NotEffectivelyVax (hypo)'!BW29,'Scen NotEffectivelyVax (hypo)'!BZ29,'Scen NotEffectivelyVax (hypo)'!CC29,'Scen NotEffectivelyVax (hypo)'!CF29,'Scen NotEffectivelyVax (hypo)'!CI29,'Scen NotEffectivelyVax (hypo)'!CL29,'Scen NotEffectivelyVax (hypo)'!CO29,'Scen NotEffectivelyVax (hypo)'!CR29,'Scen NotEffectivelyVax (hypo)'!CU29,'Scen NotEffectivelyVax (hypo)'!CX29,'Scen NotEffectivelyVax (hypo)'!DA29,'Scen NotEffectivelyVax (hypo)'!DD29,'Scen NotEffectivelyVax (hypo)'!DG29,'Scen NotEffectivelyVax (hypo)'!DJ29,'Scen NotEffectivelyVax (hypo)'!DM29,'Scen NotEffectivelyVax (hypo)'!DQ29,'Scen NotEffectivelyVax (hypo)'!DP29,'Scen NotEffectivelyVax (hypo)'!DS29,'Scen NotEffectivelyVax (hypo)'!DV29,'Scen NotEffectivelyVax (hypo)'!DY29,'Scen NotEffectivelyVax (hypo)'!EB29,'Scen NotEffectivelyVax (hypo)'!EE29,'Scen NotEffectivelyVax (hypo)'!EH29,'Scen NotEffectivelyVax (hypo)'!EK29,'Scen NotEffectivelyVax (hypo)'!EN29,'Scen NotEffectivelyVax (hypo)'!EQ29,'Scen NotEffectivelyVax (hypo)'!ET29,'Scen NotEffectivelyVax (hypo)'!EW29,'Scen NotEffectivelyVax (hypo)'!EZ29,'Scen NotEffectivelyVax (hypo)'!FC29,'Scen NotEffectivelyVax (hypo)'!FF29,'Scen NotEffectivelyVax (hypo)'!FI29,'Scen NotEffectivelyVax (hypo)'!FL29,'Scen NotEffectivelyVax (hypo)'!FO29,'Scen NotEffectivelyVax (hypo)'!FR29,'Scen NotEffectivelyVax (hypo)'!FU29,'Scen NotEffectivelyVax (hypo)'!FX29,'Scen NotEffectivelyVax (hypo)'!GA29)</f>
        <v>#VALUE!</v>
      </c>
      <c r="W29" s="141" t="e">
        <f>SUM('Scen NotEffectivelyVax (hypo)'!D29,'Scen NotEffectivelyVax (hypo)'!G29,'Scen NotEffectivelyVax (hypo)'!J29,'Scen NotEffectivelyVax (hypo)'!M29,'Scen NotEffectivelyVax (hypo)'!P29,'Scen NotEffectivelyVax (hypo)'!S29,'Scen NotEffectivelyVax (hypo)'!V29,'Scen NotEffectivelyVax (hypo)'!Y29,'Scen NotEffectivelyVax (hypo)'!AB29,'Scen NotEffectivelyVax (hypo)'!AE29,'Scen NotEffectivelyVax (hypo)'!AH29,'Scen NotEffectivelyVax (hypo)'!AK29,'Scen NotEffectivelyVax (hypo)'!AN29,'Scen NotEffectivelyVax (hypo)'!AQ29,'Scen NotEffectivelyVax (hypo)'!AT29,'Scen NotEffectivelyVax (hypo)'!AW29,'Scen NotEffectivelyVax (hypo)'!AZ29,'Scen NotEffectivelyVax (hypo)'!BC29,'Scen NotEffectivelyVax (hypo)'!BF29,'Scen NotEffectivelyVax (hypo)'!BI29,'Scen NotEffectivelyVax (hypo)'!BL29,'Scen NotEffectivelyVax (hypo)'!BO29,'Scen NotEffectivelyVax (hypo)'!BR29,'Scen NotEffectivelyVax (hypo)'!BU29,'Scen NotEffectivelyVax (hypo)'!BX29,'Scen NotEffectivelyVax (hypo)'!CA29,'Scen NotEffectivelyVax (hypo)'!CD29,'Scen NotEffectivelyVax (hypo)'!CG29,'Scen NotEffectivelyVax (hypo)'!CJ29,'Scen NotEffectivelyVax (hypo)'!CM29,'Scen NotEffectivelyVax (hypo)'!CP29,'Scen NotEffectivelyVax (hypo)'!CS29,'Scen NotEffectivelyVax (hypo)'!CV29,'Scen NotEffectivelyVax (hypo)'!CY29,'Scen NotEffectivelyVax (hypo)'!DB29,'Scen NotEffectivelyVax (hypo)'!DE29,'Scen NotEffectivelyVax (hypo)'!DH29,'Scen NotEffectivelyVax (hypo)'!DK29,'Scen NotEffectivelyVax (hypo)'!DN29,'Scen NotEffectivelyVax (hypo)'!DQ29,'Scen NotEffectivelyVax (hypo)'!DT29,'Scen NotEffectivelyVax (hypo)'!DW29,'Scen NotEffectivelyVax (hypo)'!DZ29,'Scen NotEffectivelyVax (hypo)'!EC29,'Scen NotEffectivelyVax (hypo)'!EF29,'Scen NotEffectivelyVax (hypo)'!EI29,'Scen NotEffectivelyVax (hypo)'!EL29,'Scen NotEffectivelyVax (hypo)'!EO29,'Scen NotEffectivelyVax (hypo)'!ER29,'Scen NotEffectivelyVax (hypo)'!EU29,'Scen NotEffectivelyVax (hypo)'!EX29,'Scen NotEffectivelyVax (hypo)'!FA29,'Scen NotEffectivelyVax (hypo)'!FD29,'Scen NotEffectivelyVax (hypo)'!FG29,'Scen NotEffectivelyVax (hypo)'!FJ29,'Scen NotEffectivelyVax (hypo)'!FM29,'Scen NotEffectivelyVax (hypo)'!FP29,'Scen NotEffectivelyVax (hypo)'!FS29,'Scen NotEffectivelyVax (hypo)'!FV29,'Scen NotEffectivelyVax (hypo)'!FY29)</f>
        <v>#VALUE!</v>
      </c>
      <c r="X29" s="141" t="e">
        <f>SUM('Scen NotEffectivelyVax (hypo)'!E29,'Scen NotEffectivelyVax (hypo)'!H29,'Scen NotEffectivelyVax (hypo)'!K29,'Scen NotEffectivelyVax (hypo)'!N29,'Scen NotEffectivelyVax (hypo)'!Q29,'Scen NotEffectivelyVax (hypo)'!T29,'Scen NotEffectivelyVax (hypo)'!Z29,'Scen NotEffectivelyVax (hypo)'!W29,'Scen NotEffectivelyVax (hypo)'!AC29,'Scen NotEffectivelyVax (hypo)'!AF29,'Scen NotEffectivelyVax (hypo)'!AI29,'Scen NotEffectivelyVax (hypo)'!AL29,'Scen NotEffectivelyVax (hypo)'!AO29,'Scen NotEffectivelyVax (hypo)'!AR29,'Scen NotEffectivelyVax (hypo)'!AU29,'Scen NotEffectivelyVax (hypo)'!AX29,'Scen NotEffectivelyVax (hypo)'!BA29,'Scen NotEffectivelyVax (hypo)'!BD29,'Scen NotEffectivelyVax (hypo)'!BG29,'Scen NotEffectivelyVax (hypo)'!BJ29,'Scen NotEffectivelyVax (hypo)'!BM29,'Scen NotEffectivelyVax (hypo)'!BP29,'Scen NotEffectivelyVax (hypo)'!BS29,'Scen NotEffectivelyVax (hypo)'!BV29,'Scen NotEffectivelyVax (hypo)'!BY29,'Scen NotEffectivelyVax (hypo)'!CB29,'Scen NotEffectivelyVax (hypo)'!CE29,'Scen NotEffectivelyVax (hypo)'!CH29,'Scen NotEffectivelyVax (hypo)'!CK29,'Scen NotEffectivelyVax (hypo)'!CN29,'Scen NotEffectivelyVax (hypo)'!CQ29,'Scen NotEffectivelyVax (hypo)'!CT29,'Scen NotEffectivelyVax (hypo)'!CW29,'Scen NotEffectivelyVax (hypo)'!CZ29,'Scen NotEffectivelyVax (hypo)'!DC29,'Scen NotEffectivelyVax (hypo)'!DF29,'Scen NotEffectivelyVax (hypo)'!DI29,'Scen NotEffectivelyVax (hypo)'!DL29,'Scen NotEffectivelyVax (hypo)'!DO29,'Scen NotEffectivelyVax (hypo)'!DR29,'Scen NotEffectivelyVax (hypo)'!DU29,'Scen NotEffectivelyVax (hypo)'!DX29,'Scen NotEffectivelyVax (hypo)'!EA29,'Scen NotEffectivelyVax (hypo)'!ED29,'Scen NotEffectivelyVax (hypo)'!EG29,'Scen NotEffectivelyVax (hypo)'!EJ29,'Scen NotEffectivelyVax (hypo)'!EM29,'Scen NotEffectivelyVax (hypo)'!EP29,'Scen NotEffectivelyVax (hypo)'!ES29,'Scen NotEffectivelyVax (hypo)'!EV29,'Scen NotEffectivelyVax (hypo)'!EY29,'Scen NotEffectivelyVax (hypo)'!FB29,'Scen NotEffectivelyVax (hypo)'!FE29,'Scen NotEffectivelyVax (hypo)'!FH29,'Scen NotEffectivelyVax (hypo)'!FK29,'Scen NotEffectivelyVax (hypo)'!FN29,'Scen NotEffectivelyVax (hypo)'!FQ29,'Scen NotEffectivelyVax (hypo)'!FT29,'Scen NotEffectivelyVax (hypo)'!FW29,'Scen NotEffectivelyVax (hypo)'!FZ29)</f>
        <v>#VALUE!</v>
      </c>
      <c r="Y29" s="142" t="e">
        <f t="shared" si="1"/>
        <v>#VALUE!</v>
      </c>
      <c r="Z29" s="142" t="e">
        <f>IF(Export!M27&lt;&gt;"",W29*Export!K27*(1/Export!M27),W29*Export!K27)</f>
        <v>#VALUE!</v>
      </c>
      <c r="AA29" s="139" t="e">
        <f>Y29*Export!J27</f>
        <v>#VALUE!</v>
      </c>
      <c r="AC29" s="143" t="e">
        <f t="shared" si="2"/>
        <v>#VALUE!</v>
      </c>
      <c r="AD29" s="144" t="e">
        <f t="shared" si="19"/>
        <v>#VALUE!</v>
      </c>
      <c r="AE29" s="144" t="e">
        <f t="shared" si="3"/>
        <v>#VALUE!</v>
      </c>
      <c r="AF29" s="144" t="e">
        <f t="shared" si="4"/>
        <v>#VALUE!</v>
      </c>
      <c r="AG29" s="144" t="e">
        <f t="shared" si="5"/>
        <v>#VALUE!</v>
      </c>
      <c r="AH29" s="145"/>
      <c r="AI29" s="145"/>
      <c r="AJ29" s="145"/>
      <c r="AK29" s="145"/>
      <c r="AL29" s="146"/>
      <c r="AM29" s="145"/>
      <c r="AN29" s="145"/>
      <c r="AO29" s="145"/>
      <c r="AP29" s="145"/>
      <c r="AQ29" s="146"/>
      <c r="AR29" s="150"/>
      <c r="AS29" s="150"/>
      <c r="AT29" s="150"/>
      <c r="AU29" s="150"/>
      <c r="AV29" s="151"/>
    </row>
    <row r="30" spans="1:50" x14ac:dyDescent="0.35">
      <c r="A30" s="130">
        <f>EffectivelyVax!B29</f>
        <v>2</v>
      </c>
      <c r="B30" s="131" t="str">
        <f>EffectivelyVax!C29</f>
        <v/>
      </c>
      <c r="C30" s="132" t="str">
        <f>Export!N28</f>
        <v/>
      </c>
      <c r="D30" s="133" t="str">
        <f>IF(Inputs!$F$10="1. Actual program", 'Current vaccine model'!W30, Export!C28)</f>
        <v/>
      </c>
      <c r="E30" s="133" t="e">
        <f>D30*Export!L28</f>
        <v>#VALUE!</v>
      </c>
      <c r="F30" s="133" t="e">
        <f t="shared" si="18"/>
        <v>#VALUE!</v>
      </c>
      <c r="G30" s="133" t="e">
        <f>IF(Export!M28&lt;&gt;"",D30*Export!K28*(1/Export!M28),D30*Export!K28)</f>
        <v>#VALUE!</v>
      </c>
      <c r="H30" s="133" t="e">
        <f>F30*Export!J28</f>
        <v>#VALUE!</v>
      </c>
      <c r="I30" s="133" t="e">
        <f t="shared" si="14"/>
        <v>#VALUE!</v>
      </c>
      <c r="J30" s="134" t="e">
        <f t="shared" si="8"/>
        <v>#VALUE!</v>
      </c>
      <c r="K30" s="135" t="e">
        <f t="shared" si="9"/>
        <v>#VALUE!</v>
      </c>
      <c r="L30" s="117">
        <f>'Scen EffectivelyVax'!A29</f>
        <v>0</v>
      </c>
      <c r="M30" s="115" t="e">
        <f>C30*L30*HelperFunctions!G$31</f>
        <v>#VALUE!</v>
      </c>
      <c r="N30" s="116" t="e">
        <f>C30*L30*(1-HelperFunctions!G$31)</f>
        <v>#VALUE!</v>
      </c>
      <c r="O30" s="136" t="e">
        <f t="shared" si="15"/>
        <v>#DIV/0!</v>
      </c>
      <c r="P30" s="137">
        <f>SUM('Scen EffectivelyVax'!D29:BK29)</f>
        <v>0</v>
      </c>
      <c r="Q30" s="138" t="e">
        <f t="shared" si="11"/>
        <v>#DIV/0!</v>
      </c>
      <c r="R30" s="138" t="e">
        <f t="shared" si="12"/>
        <v>#DIV/0!</v>
      </c>
      <c r="S30" s="137" t="e">
        <f t="shared" si="0"/>
        <v>#DIV/0!</v>
      </c>
      <c r="T30" s="138" t="e">
        <f>IF(Export!M28&lt;&gt;"",Q30*Export!K28*(1/Export!M28),Q30*Export!K28)</f>
        <v>#DIV/0!</v>
      </c>
      <c r="U30" s="139" t="e">
        <f>S30*Export!J28</f>
        <v>#DIV/0!</v>
      </c>
      <c r="V30" s="140" t="e">
        <f>SUM('Scen NotEffectivelyVax (hypo)'!F30,'Scen NotEffectivelyVax (hypo)'!I30,'Scen NotEffectivelyVax (hypo)'!L30,'Scen NotEffectivelyVax (hypo)'!O30,'Scen NotEffectivelyVax (hypo)'!R30,'Scen NotEffectivelyVax (hypo)'!U30,'Scen NotEffectivelyVax (hypo)'!X30,'Scen NotEffectivelyVax (hypo)'!AA30,'Scen NotEffectivelyVax (hypo)'!AD30,'Scen NotEffectivelyVax (hypo)'!AG30,'Scen NotEffectivelyVax (hypo)'!AJ30,'Scen NotEffectivelyVax (hypo)'!AM30,'Scen NotEffectivelyVax (hypo)'!AP30,'Scen NotEffectivelyVax (hypo)'!AS30,'Scen NotEffectivelyVax (hypo)'!AV30,'Scen NotEffectivelyVax (hypo)'!AY30,'Scen NotEffectivelyVax (hypo)'!BB30,'Scen NotEffectivelyVax (hypo)'!BE30,'Scen NotEffectivelyVax (hypo)'!BH30,'Scen NotEffectivelyVax (hypo)'!BK30,'Scen NotEffectivelyVax (hypo)'!BN30,'Scen NotEffectivelyVax (hypo)'!BQ30,'Scen NotEffectivelyVax (hypo)'!BT30,'Scen NotEffectivelyVax (hypo)'!BW30,'Scen NotEffectivelyVax (hypo)'!BZ30,'Scen NotEffectivelyVax (hypo)'!CC30,'Scen NotEffectivelyVax (hypo)'!CF30,'Scen NotEffectivelyVax (hypo)'!CI30,'Scen NotEffectivelyVax (hypo)'!CL30,'Scen NotEffectivelyVax (hypo)'!CO30,'Scen NotEffectivelyVax (hypo)'!CR30,'Scen NotEffectivelyVax (hypo)'!CU30,'Scen NotEffectivelyVax (hypo)'!CX30,'Scen NotEffectivelyVax (hypo)'!DA30,'Scen NotEffectivelyVax (hypo)'!DD30,'Scen NotEffectivelyVax (hypo)'!DG30,'Scen NotEffectivelyVax (hypo)'!DJ30,'Scen NotEffectivelyVax (hypo)'!DM30,'Scen NotEffectivelyVax (hypo)'!DQ30,'Scen NotEffectivelyVax (hypo)'!DP30,'Scen NotEffectivelyVax (hypo)'!DS30,'Scen NotEffectivelyVax (hypo)'!DV30,'Scen NotEffectivelyVax (hypo)'!DY30,'Scen NotEffectivelyVax (hypo)'!EB30,'Scen NotEffectivelyVax (hypo)'!EE30,'Scen NotEffectivelyVax (hypo)'!EH30,'Scen NotEffectivelyVax (hypo)'!EK30,'Scen NotEffectivelyVax (hypo)'!EN30,'Scen NotEffectivelyVax (hypo)'!EQ30,'Scen NotEffectivelyVax (hypo)'!ET30,'Scen NotEffectivelyVax (hypo)'!EW30,'Scen NotEffectivelyVax (hypo)'!EZ30,'Scen NotEffectivelyVax (hypo)'!FC30,'Scen NotEffectivelyVax (hypo)'!FF30,'Scen NotEffectivelyVax (hypo)'!FI30,'Scen NotEffectivelyVax (hypo)'!FL30,'Scen NotEffectivelyVax (hypo)'!FO30,'Scen NotEffectivelyVax (hypo)'!FR30,'Scen NotEffectivelyVax (hypo)'!FU30,'Scen NotEffectivelyVax (hypo)'!FX30,'Scen NotEffectivelyVax (hypo)'!GA30)</f>
        <v>#VALUE!</v>
      </c>
      <c r="W30" s="141" t="e">
        <f>SUM('Scen NotEffectivelyVax (hypo)'!D30,'Scen NotEffectivelyVax (hypo)'!G30,'Scen NotEffectivelyVax (hypo)'!J30,'Scen NotEffectivelyVax (hypo)'!M30,'Scen NotEffectivelyVax (hypo)'!P30,'Scen NotEffectivelyVax (hypo)'!S30,'Scen NotEffectivelyVax (hypo)'!V30,'Scen NotEffectivelyVax (hypo)'!Y30,'Scen NotEffectivelyVax (hypo)'!AB30,'Scen NotEffectivelyVax (hypo)'!AE30,'Scen NotEffectivelyVax (hypo)'!AH30,'Scen NotEffectivelyVax (hypo)'!AK30,'Scen NotEffectivelyVax (hypo)'!AN30,'Scen NotEffectivelyVax (hypo)'!AQ30,'Scen NotEffectivelyVax (hypo)'!AT30,'Scen NotEffectivelyVax (hypo)'!AW30,'Scen NotEffectivelyVax (hypo)'!AZ30,'Scen NotEffectivelyVax (hypo)'!BC30,'Scen NotEffectivelyVax (hypo)'!BF30,'Scen NotEffectivelyVax (hypo)'!BI30,'Scen NotEffectivelyVax (hypo)'!BL30,'Scen NotEffectivelyVax (hypo)'!BO30,'Scen NotEffectivelyVax (hypo)'!BR30,'Scen NotEffectivelyVax (hypo)'!BU30,'Scen NotEffectivelyVax (hypo)'!BX30,'Scen NotEffectivelyVax (hypo)'!CA30,'Scen NotEffectivelyVax (hypo)'!CD30,'Scen NotEffectivelyVax (hypo)'!CG30,'Scen NotEffectivelyVax (hypo)'!CJ30,'Scen NotEffectivelyVax (hypo)'!CM30,'Scen NotEffectivelyVax (hypo)'!CP30,'Scen NotEffectivelyVax (hypo)'!CS30,'Scen NotEffectivelyVax (hypo)'!CV30,'Scen NotEffectivelyVax (hypo)'!CY30,'Scen NotEffectivelyVax (hypo)'!DB30,'Scen NotEffectivelyVax (hypo)'!DE30,'Scen NotEffectivelyVax (hypo)'!DH30,'Scen NotEffectivelyVax (hypo)'!DK30,'Scen NotEffectivelyVax (hypo)'!DN30,'Scen NotEffectivelyVax (hypo)'!DQ30,'Scen NotEffectivelyVax (hypo)'!DT30,'Scen NotEffectivelyVax (hypo)'!DW30,'Scen NotEffectivelyVax (hypo)'!DZ30,'Scen NotEffectivelyVax (hypo)'!EC30,'Scen NotEffectivelyVax (hypo)'!EF30,'Scen NotEffectivelyVax (hypo)'!EI30,'Scen NotEffectivelyVax (hypo)'!EL30,'Scen NotEffectivelyVax (hypo)'!EO30,'Scen NotEffectivelyVax (hypo)'!ER30,'Scen NotEffectivelyVax (hypo)'!EU30,'Scen NotEffectivelyVax (hypo)'!EX30,'Scen NotEffectivelyVax (hypo)'!FA30,'Scen NotEffectivelyVax (hypo)'!FD30,'Scen NotEffectivelyVax (hypo)'!FG30,'Scen NotEffectivelyVax (hypo)'!FJ30,'Scen NotEffectivelyVax (hypo)'!FM30,'Scen NotEffectivelyVax (hypo)'!FP30,'Scen NotEffectivelyVax (hypo)'!FS30,'Scen NotEffectivelyVax (hypo)'!FV30,'Scen NotEffectivelyVax (hypo)'!FY30)</f>
        <v>#VALUE!</v>
      </c>
      <c r="X30" s="141" t="e">
        <f>SUM('Scen NotEffectivelyVax (hypo)'!E30,'Scen NotEffectivelyVax (hypo)'!H30,'Scen NotEffectivelyVax (hypo)'!K30,'Scen NotEffectivelyVax (hypo)'!N30,'Scen NotEffectivelyVax (hypo)'!Q30,'Scen NotEffectivelyVax (hypo)'!T30,'Scen NotEffectivelyVax (hypo)'!Z30,'Scen NotEffectivelyVax (hypo)'!W30,'Scen NotEffectivelyVax (hypo)'!AC30,'Scen NotEffectivelyVax (hypo)'!AF30,'Scen NotEffectivelyVax (hypo)'!AI30,'Scen NotEffectivelyVax (hypo)'!AL30,'Scen NotEffectivelyVax (hypo)'!AO30,'Scen NotEffectivelyVax (hypo)'!AR30,'Scen NotEffectivelyVax (hypo)'!AU30,'Scen NotEffectivelyVax (hypo)'!AX30,'Scen NotEffectivelyVax (hypo)'!BA30,'Scen NotEffectivelyVax (hypo)'!BD30,'Scen NotEffectivelyVax (hypo)'!BG30,'Scen NotEffectivelyVax (hypo)'!BJ30,'Scen NotEffectivelyVax (hypo)'!BM30,'Scen NotEffectivelyVax (hypo)'!BP30,'Scen NotEffectivelyVax (hypo)'!BS30,'Scen NotEffectivelyVax (hypo)'!BV30,'Scen NotEffectivelyVax (hypo)'!BY30,'Scen NotEffectivelyVax (hypo)'!CB30,'Scen NotEffectivelyVax (hypo)'!CE30,'Scen NotEffectivelyVax (hypo)'!CH30,'Scen NotEffectivelyVax (hypo)'!CK30,'Scen NotEffectivelyVax (hypo)'!CN30,'Scen NotEffectivelyVax (hypo)'!CQ30,'Scen NotEffectivelyVax (hypo)'!CT30,'Scen NotEffectivelyVax (hypo)'!CW30,'Scen NotEffectivelyVax (hypo)'!CZ30,'Scen NotEffectivelyVax (hypo)'!DC30,'Scen NotEffectivelyVax (hypo)'!DF30,'Scen NotEffectivelyVax (hypo)'!DI30,'Scen NotEffectivelyVax (hypo)'!DL30,'Scen NotEffectivelyVax (hypo)'!DO30,'Scen NotEffectivelyVax (hypo)'!DR30,'Scen NotEffectivelyVax (hypo)'!DU30,'Scen NotEffectivelyVax (hypo)'!DX30,'Scen NotEffectivelyVax (hypo)'!EA30,'Scen NotEffectivelyVax (hypo)'!ED30,'Scen NotEffectivelyVax (hypo)'!EG30,'Scen NotEffectivelyVax (hypo)'!EJ30,'Scen NotEffectivelyVax (hypo)'!EM30,'Scen NotEffectivelyVax (hypo)'!EP30,'Scen NotEffectivelyVax (hypo)'!ES30,'Scen NotEffectivelyVax (hypo)'!EV30,'Scen NotEffectivelyVax (hypo)'!EY30,'Scen NotEffectivelyVax (hypo)'!FB30,'Scen NotEffectivelyVax (hypo)'!FE30,'Scen NotEffectivelyVax (hypo)'!FH30,'Scen NotEffectivelyVax (hypo)'!FK30,'Scen NotEffectivelyVax (hypo)'!FN30,'Scen NotEffectivelyVax (hypo)'!FQ30,'Scen NotEffectivelyVax (hypo)'!FT30,'Scen NotEffectivelyVax (hypo)'!FW30,'Scen NotEffectivelyVax (hypo)'!FZ30)</f>
        <v>#VALUE!</v>
      </c>
      <c r="Y30" s="142" t="e">
        <f t="shared" si="1"/>
        <v>#VALUE!</v>
      </c>
      <c r="Z30" s="142" t="e">
        <f>IF(Export!M28&lt;&gt;"",W30*Export!K28*(1/Export!M28),W30*Export!K28)</f>
        <v>#VALUE!</v>
      </c>
      <c r="AA30" s="139" t="e">
        <f>Y30*Export!J28</f>
        <v>#VALUE!</v>
      </c>
      <c r="AC30" s="143" t="e">
        <f t="shared" si="2"/>
        <v>#VALUE!</v>
      </c>
      <c r="AD30" s="144" t="e">
        <f t="shared" si="19"/>
        <v>#VALUE!</v>
      </c>
      <c r="AE30" s="144" t="e">
        <f t="shared" si="3"/>
        <v>#VALUE!</v>
      </c>
      <c r="AF30" s="144" t="e">
        <f t="shared" si="4"/>
        <v>#VALUE!</v>
      </c>
      <c r="AG30" s="144" t="e">
        <f t="shared" si="5"/>
        <v>#VALUE!</v>
      </c>
      <c r="AH30" s="145"/>
      <c r="AI30" s="145"/>
      <c r="AJ30" s="145"/>
      <c r="AK30" s="145"/>
      <c r="AL30" s="146"/>
      <c r="AM30" s="145"/>
      <c r="AN30" s="145"/>
      <c r="AO30" s="145"/>
      <c r="AP30" s="145"/>
      <c r="AQ30" s="146"/>
      <c r="AR30" s="150"/>
      <c r="AS30" s="150"/>
      <c r="AT30" s="150"/>
      <c r="AU30" s="150"/>
      <c r="AV30" s="151"/>
    </row>
    <row r="31" spans="1:50" x14ac:dyDescent="0.35">
      <c r="A31" s="130">
        <f>EffectivelyVax!B30</f>
        <v>2</v>
      </c>
      <c r="B31" s="131" t="str">
        <f>EffectivelyVax!C30</f>
        <v/>
      </c>
      <c r="C31" s="132" t="str">
        <f>Export!N29</f>
        <v/>
      </c>
      <c r="D31" s="133" t="str">
        <f>IF(Inputs!$F$10="1. Actual program", 'Current vaccine model'!W31, Export!C29)</f>
        <v/>
      </c>
      <c r="E31" s="133" t="e">
        <f>D31*Export!L29</f>
        <v>#VALUE!</v>
      </c>
      <c r="F31" s="133" t="e">
        <f t="shared" si="18"/>
        <v>#VALUE!</v>
      </c>
      <c r="G31" s="133" t="e">
        <f>IF(Export!M29&lt;&gt;"",D31*Export!K29*(1/Export!M29),D31*Export!K29)</f>
        <v>#VALUE!</v>
      </c>
      <c r="H31" s="133" t="e">
        <f>F31*Export!J29</f>
        <v>#VALUE!</v>
      </c>
      <c r="I31" s="133" t="e">
        <f t="shared" si="14"/>
        <v>#VALUE!</v>
      </c>
      <c r="J31" s="134" t="e">
        <f t="shared" si="8"/>
        <v>#VALUE!</v>
      </c>
      <c r="K31" s="135" t="e">
        <f t="shared" si="9"/>
        <v>#VALUE!</v>
      </c>
      <c r="L31" s="117">
        <f>'Scen EffectivelyVax'!A30</f>
        <v>0</v>
      </c>
      <c r="M31" s="115" t="e">
        <f>C31*L31*HelperFunctions!G$31</f>
        <v>#VALUE!</v>
      </c>
      <c r="N31" s="116" t="e">
        <f>C31*L31*(1-HelperFunctions!G$31)</f>
        <v>#VALUE!</v>
      </c>
      <c r="O31" s="136" t="e">
        <f t="shared" si="15"/>
        <v>#DIV/0!</v>
      </c>
      <c r="P31" s="137">
        <f>SUM('Scen EffectivelyVax'!D30:BK30)</f>
        <v>0</v>
      </c>
      <c r="Q31" s="138" t="e">
        <f t="shared" si="11"/>
        <v>#DIV/0!</v>
      </c>
      <c r="R31" s="138" t="e">
        <f t="shared" si="12"/>
        <v>#DIV/0!</v>
      </c>
      <c r="S31" s="137" t="e">
        <f t="shared" si="0"/>
        <v>#DIV/0!</v>
      </c>
      <c r="T31" s="138" t="e">
        <f>IF(Export!M29&lt;&gt;"",Q31*Export!K29*(1/Export!M29),Q31*Export!K29)</f>
        <v>#DIV/0!</v>
      </c>
      <c r="U31" s="139" t="e">
        <f>S31*Export!J29</f>
        <v>#DIV/0!</v>
      </c>
      <c r="V31" s="140" t="e">
        <f>SUM('Scen NotEffectivelyVax (hypo)'!F31,'Scen NotEffectivelyVax (hypo)'!I31,'Scen NotEffectivelyVax (hypo)'!L31,'Scen NotEffectivelyVax (hypo)'!O31,'Scen NotEffectivelyVax (hypo)'!R31,'Scen NotEffectivelyVax (hypo)'!U31,'Scen NotEffectivelyVax (hypo)'!X31,'Scen NotEffectivelyVax (hypo)'!AA31,'Scen NotEffectivelyVax (hypo)'!AD31,'Scen NotEffectivelyVax (hypo)'!AG31,'Scen NotEffectivelyVax (hypo)'!AJ31,'Scen NotEffectivelyVax (hypo)'!AM31,'Scen NotEffectivelyVax (hypo)'!AP31,'Scen NotEffectivelyVax (hypo)'!AS31,'Scen NotEffectivelyVax (hypo)'!AV31,'Scen NotEffectivelyVax (hypo)'!AY31,'Scen NotEffectivelyVax (hypo)'!BB31,'Scen NotEffectivelyVax (hypo)'!BE31,'Scen NotEffectivelyVax (hypo)'!BH31,'Scen NotEffectivelyVax (hypo)'!BK31,'Scen NotEffectivelyVax (hypo)'!BN31,'Scen NotEffectivelyVax (hypo)'!BQ31,'Scen NotEffectivelyVax (hypo)'!BT31,'Scen NotEffectivelyVax (hypo)'!BW31,'Scen NotEffectivelyVax (hypo)'!BZ31,'Scen NotEffectivelyVax (hypo)'!CC31,'Scen NotEffectivelyVax (hypo)'!CF31,'Scen NotEffectivelyVax (hypo)'!CI31,'Scen NotEffectivelyVax (hypo)'!CL31,'Scen NotEffectivelyVax (hypo)'!CO31,'Scen NotEffectivelyVax (hypo)'!CR31,'Scen NotEffectivelyVax (hypo)'!CU31,'Scen NotEffectivelyVax (hypo)'!CX31,'Scen NotEffectivelyVax (hypo)'!DA31,'Scen NotEffectivelyVax (hypo)'!DD31,'Scen NotEffectivelyVax (hypo)'!DG31,'Scen NotEffectivelyVax (hypo)'!DJ31,'Scen NotEffectivelyVax (hypo)'!DM31,'Scen NotEffectivelyVax (hypo)'!DQ31,'Scen NotEffectivelyVax (hypo)'!DP31,'Scen NotEffectivelyVax (hypo)'!DS31,'Scen NotEffectivelyVax (hypo)'!DV31,'Scen NotEffectivelyVax (hypo)'!DY31,'Scen NotEffectivelyVax (hypo)'!EB31,'Scen NotEffectivelyVax (hypo)'!EE31,'Scen NotEffectivelyVax (hypo)'!EH31,'Scen NotEffectivelyVax (hypo)'!EK31,'Scen NotEffectivelyVax (hypo)'!EN31,'Scen NotEffectivelyVax (hypo)'!EQ31,'Scen NotEffectivelyVax (hypo)'!ET31,'Scen NotEffectivelyVax (hypo)'!EW31,'Scen NotEffectivelyVax (hypo)'!EZ31,'Scen NotEffectivelyVax (hypo)'!FC31,'Scen NotEffectivelyVax (hypo)'!FF31,'Scen NotEffectivelyVax (hypo)'!FI31,'Scen NotEffectivelyVax (hypo)'!FL31,'Scen NotEffectivelyVax (hypo)'!FO31,'Scen NotEffectivelyVax (hypo)'!FR31,'Scen NotEffectivelyVax (hypo)'!FU31,'Scen NotEffectivelyVax (hypo)'!FX31,'Scen NotEffectivelyVax (hypo)'!GA31)</f>
        <v>#VALUE!</v>
      </c>
      <c r="W31" s="141" t="e">
        <f>SUM('Scen NotEffectivelyVax (hypo)'!D31,'Scen NotEffectivelyVax (hypo)'!G31,'Scen NotEffectivelyVax (hypo)'!J31,'Scen NotEffectivelyVax (hypo)'!M31,'Scen NotEffectivelyVax (hypo)'!P31,'Scen NotEffectivelyVax (hypo)'!S31,'Scen NotEffectivelyVax (hypo)'!V31,'Scen NotEffectivelyVax (hypo)'!Y31,'Scen NotEffectivelyVax (hypo)'!AB31,'Scen NotEffectivelyVax (hypo)'!AE31,'Scen NotEffectivelyVax (hypo)'!AH31,'Scen NotEffectivelyVax (hypo)'!AK31,'Scen NotEffectivelyVax (hypo)'!AN31,'Scen NotEffectivelyVax (hypo)'!AQ31,'Scen NotEffectivelyVax (hypo)'!AT31,'Scen NotEffectivelyVax (hypo)'!AW31,'Scen NotEffectivelyVax (hypo)'!AZ31,'Scen NotEffectivelyVax (hypo)'!BC31,'Scen NotEffectivelyVax (hypo)'!BF31,'Scen NotEffectivelyVax (hypo)'!BI31,'Scen NotEffectivelyVax (hypo)'!BL31,'Scen NotEffectivelyVax (hypo)'!BO31,'Scen NotEffectivelyVax (hypo)'!BR31,'Scen NotEffectivelyVax (hypo)'!BU31,'Scen NotEffectivelyVax (hypo)'!BX31,'Scen NotEffectivelyVax (hypo)'!CA31,'Scen NotEffectivelyVax (hypo)'!CD31,'Scen NotEffectivelyVax (hypo)'!CG31,'Scen NotEffectivelyVax (hypo)'!CJ31,'Scen NotEffectivelyVax (hypo)'!CM31,'Scen NotEffectivelyVax (hypo)'!CP31,'Scen NotEffectivelyVax (hypo)'!CS31,'Scen NotEffectivelyVax (hypo)'!CV31,'Scen NotEffectivelyVax (hypo)'!CY31,'Scen NotEffectivelyVax (hypo)'!DB31,'Scen NotEffectivelyVax (hypo)'!DE31,'Scen NotEffectivelyVax (hypo)'!DH31,'Scen NotEffectivelyVax (hypo)'!DK31,'Scen NotEffectivelyVax (hypo)'!DN31,'Scen NotEffectivelyVax (hypo)'!DQ31,'Scen NotEffectivelyVax (hypo)'!DT31,'Scen NotEffectivelyVax (hypo)'!DW31,'Scen NotEffectivelyVax (hypo)'!DZ31,'Scen NotEffectivelyVax (hypo)'!EC31,'Scen NotEffectivelyVax (hypo)'!EF31,'Scen NotEffectivelyVax (hypo)'!EI31,'Scen NotEffectivelyVax (hypo)'!EL31,'Scen NotEffectivelyVax (hypo)'!EO31,'Scen NotEffectivelyVax (hypo)'!ER31,'Scen NotEffectivelyVax (hypo)'!EU31,'Scen NotEffectivelyVax (hypo)'!EX31,'Scen NotEffectivelyVax (hypo)'!FA31,'Scen NotEffectivelyVax (hypo)'!FD31,'Scen NotEffectivelyVax (hypo)'!FG31,'Scen NotEffectivelyVax (hypo)'!FJ31,'Scen NotEffectivelyVax (hypo)'!FM31,'Scen NotEffectivelyVax (hypo)'!FP31,'Scen NotEffectivelyVax (hypo)'!FS31,'Scen NotEffectivelyVax (hypo)'!FV31,'Scen NotEffectivelyVax (hypo)'!FY31)</f>
        <v>#VALUE!</v>
      </c>
      <c r="X31" s="141" t="e">
        <f>SUM('Scen NotEffectivelyVax (hypo)'!E31,'Scen NotEffectivelyVax (hypo)'!H31,'Scen NotEffectivelyVax (hypo)'!K31,'Scen NotEffectivelyVax (hypo)'!N31,'Scen NotEffectivelyVax (hypo)'!Q31,'Scen NotEffectivelyVax (hypo)'!T31,'Scen NotEffectivelyVax (hypo)'!Z31,'Scen NotEffectivelyVax (hypo)'!W31,'Scen NotEffectivelyVax (hypo)'!AC31,'Scen NotEffectivelyVax (hypo)'!AF31,'Scen NotEffectivelyVax (hypo)'!AI31,'Scen NotEffectivelyVax (hypo)'!AL31,'Scen NotEffectivelyVax (hypo)'!AO31,'Scen NotEffectivelyVax (hypo)'!AR31,'Scen NotEffectivelyVax (hypo)'!AU31,'Scen NotEffectivelyVax (hypo)'!AX31,'Scen NotEffectivelyVax (hypo)'!BA31,'Scen NotEffectivelyVax (hypo)'!BD31,'Scen NotEffectivelyVax (hypo)'!BG31,'Scen NotEffectivelyVax (hypo)'!BJ31,'Scen NotEffectivelyVax (hypo)'!BM31,'Scen NotEffectivelyVax (hypo)'!BP31,'Scen NotEffectivelyVax (hypo)'!BS31,'Scen NotEffectivelyVax (hypo)'!BV31,'Scen NotEffectivelyVax (hypo)'!BY31,'Scen NotEffectivelyVax (hypo)'!CB31,'Scen NotEffectivelyVax (hypo)'!CE31,'Scen NotEffectivelyVax (hypo)'!CH31,'Scen NotEffectivelyVax (hypo)'!CK31,'Scen NotEffectivelyVax (hypo)'!CN31,'Scen NotEffectivelyVax (hypo)'!CQ31,'Scen NotEffectivelyVax (hypo)'!CT31,'Scen NotEffectivelyVax (hypo)'!CW31,'Scen NotEffectivelyVax (hypo)'!CZ31,'Scen NotEffectivelyVax (hypo)'!DC31,'Scen NotEffectivelyVax (hypo)'!DF31,'Scen NotEffectivelyVax (hypo)'!DI31,'Scen NotEffectivelyVax (hypo)'!DL31,'Scen NotEffectivelyVax (hypo)'!DO31,'Scen NotEffectivelyVax (hypo)'!DR31,'Scen NotEffectivelyVax (hypo)'!DU31,'Scen NotEffectivelyVax (hypo)'!DX31,'Scen NotEffectivelyVax (hypo)'!EA31,'Scen NotEffectivelyVax (hypo)'!ED31,'Scen NotEffectivelyVax (hypo)'!EG31,'Scen NotEffectivelyVax (hypo)'!EJ31,'Scen NotEffectivelyVax (hypo)'!EM31,'Scen NotEffectivelyVax (hypo)'!EP31,'Scen NotEffectivelyVax (hypo)'!ES31,'Scen NotEffectivelyVax (hypo)'!EV31,'Scen NotEffectivelyVax (hypo)'!EY31,'Scen NotEffectivelyVax (hypo)'!FB31,'Scen NotEffectivelyVax (hypo)'!FE31,'Scen NotEffectivelyVax (hypo)'!FH31,'Scen NotEffectivelyVax (hypo)'!FK31,'Scen NotEffectivelyVax (hypo)'!FN31,'Scen NotEffectivelyVax (hypo)'!FQ31,'Scen NotEffectivelyVax (hypo)'!FT31,'Scen NotEffectivelyVax (hypo)'!FW31,'Scen NotEffectivelyVax (hypo)'!FZ31)</f>
        <v>#VALUE!</v>
      </c>
      <c r="Y31" s="142" t="e">
        <f t="shared" si="1"/>
        <v>#VALUE!</v>
      </c>
      <c r="Z31" s="142" t="e">
        <f>IF(Export!M29&lt;&gt;"",W31*Export!K29*(1/Export!M29),W31*Export!K29)</f>
        <v>#VALUE!</v>
      </c>
      <c r="AA31" s="139" t="e">
        <f>Y31*Export!J29</f>
        <v>#VALUE!</v>
      </c>
      <c r="AC31" s="143" t="e">
        <f t="shared" si="2"/>
        <v>#VALUE!</v>
      </c>
      <c r="AD31" s="144" t="e">
        <f t="shared" si="19"/>
        <v>#VALUE!</v>
      </c>
      <c r="AE31" s="144" t="e">
        <f t="shared" si="3"/>
        <v>#VALUE!</v>
      </c>
      <c r="AF31" s="144" t="e">
        <f t="shared" si="4"/>
        <v>#VALUE!</v>
      </c>
      <c r="AG31" s="144" t="e">
        <f t="shared" si="5"/>
        <v>#VALUE!</v>
      </c>
      <c r="AH31" s="145"/>
      <c r="AI31" s="145"/>
      <c r="AJ31" s="145"/>
      <c r="AK31" s="145"/>
      <c r="AL31" s="146"/>
      <c r="AM31" s="145"/>
      <c r="AN31" s="145"/>
      <c r="AO31" s="145"/>
      <c r="AP31" s="145"/>
      <c r="AQ31" s="146"/>
      <c r="AR31" s="150"/>
      <c r="AS31" s="150"/>
      <c r="AT31" s="150"/>
      <c r="AU31" s="150"/>
      <c r="AV31" s="151"/>
    </row>
    <row r="32" spans="1:50" x14ac:dyDescent="0.35">
      <c r="A32" s="130">
        <f>EffectivelyVax!B31</f>
        <v>2</v>
      </c>
      <c r="B32" s="131" t="str">
        <f>EffectivelyVax!C31</f>
        <v/>
      </c>
      <c r="C32" s="132" t="str">
        <f>Export!N30</f>
        <v/>
      </c>
      <c r="D32" s="133" t="str">
        <f>IF(Inputs!$F$10="1. Actual program", 'Current vaccine model'!W32, Export!C30)</f>
        <v/>
      </c>
      <c r="E32" s="133" t="e">
        <f>D32*Export!L30</f>
        <v>#VALUE!</v>
      </c>
      <c r="F32" s="133" t="e">
        <f t="shared" si="18"/>
        <v>#VALUE!</v>
      </c>
      <c r="G32" s="133" t="e">
        <f>IF(Export!M30&lt;&gt;"",D32*Export!K30*(1/Export!M30),D32*Export!K30)</f>
        <v>#VALUE!</v>
      </c>
      <c r="H32" s="133" t="e">
        <f>F32*Export!J30</f>
        <v>#VALUE!</v>
      </c>
      <c r="I32" s="133" t="e">
        <f t="shared" si="14"/>
        <v>#VALUE!</v>
      </c>
      <c r="J32" s="134" t="e">
        <f t="shared" si="8"/>
        <v>#VALUE!</v>
      </c>
      <c r="K32" s="135" t="e">
        <f t="shared" si="9"/>
        <v>#VALUE!</v>
      </c>
      <c r="L32" s="117">
        <f>'Scen EffectivelyVax'!A31</f>
        <v>0</v>
      </c>
      <c r="M32" s="115" t="e">
        <f>C32*L32*HelperFunctions!G$31</f>
        <v>#VALUE!</v>
      </c>
      <c r="N32" s="116" t="e">
        <f>C32*L32*(1-HelperFunctions!G$31)</f>
        <v>#VALUE!</v>
      </c>
      <c r="O32" s="136" t="e">
        <f t="shared" si="15"/>
        <v>#DIV/0!</v>
      </c>
      <c r="P32" s="137">
        <f>SUM('Scen EffectivelyVax'!D31:BK31)</f>
        <v>0</v>
      </c>
      <c r="Q32" s="138" t="e">
        <f t="shared" si="11"/>
        <v>#DIV/0!</v>
      </c>
      <c r="R32" s="138" t="e">
        <f t="shared" si="12"/>
        <v>#DIV/0!</v>
      </c>
      <c r="S32" s="137" t="e">
        <f t="shared" si="0"/>
        <v>#DIV/0!</v>
      </c>
      <c r="T32" s="138" t="e">
        <f>IF(Export!M30&lt;&gt;"",Q32*Export!K30*(1/Export!M30),Q32*Export!K30)</f>
        <v>#DIV/0!</v>
      </c>
      <c r="U32" s="139" t="e">
        <f>S32*Export!J30</f>
        <v>#DIV/0!</v>
      </c>
      <c r="V32" s="140" t="e">
        <f>SUM('Scen NotEffectivelyVax (hypo)'!F32,'Scen NotEffectivelyVax (hypo)'!I32,'Scen NotEffectivelyVax (hypo)'!L32,'Scen NotEffectivelyVax (hypo)'!O32,'Scen NotEffectivelyVax (hypo)'!R32,'Scen NotEffectivelyVax (hypo)'!U32,'Scen NotEffectivelyVax (hypo)'!X32,'Scen NotEffectivelyVax (hypo)'!AA32,'Scen NotEffectivelyVax (hypo)'!AD32,'Scen NotEffectivelyVax (hypo)'!AG32,'Scen NotEffectivelyVax (hypo)'!AJ32,'Scen NotEffectivelyVax (hypo)'!AM32,'Scen NotEffectivelyVax (hypo)'!AP32,'Scen NotEffectivelyVax (hypo)'!AS32,'Scen NotEffectivelyVax (hypo)'!AV32,'Scen NotEffectivelyVax (hypo)'!AY32,'Scen NotEffectivelyVax (hypo)'!BB32,'Scen NotEffectivelyVax (hypo)'!BE32,'Scen NotEffectivelyVax (hypo)'!BH32,'Scen NotEffectivelyVax (hypo)'!BK32,'Scen NotEffectivelyVax (hypo)'!BN32,'Scen NotEffectivelyVax (hypo)'!BQ32,'Scen NotEffectivelyVax (hypo)'!BT32,'Scen NotEffectivelyVax (hypo)'!BW32,'Scen NotEffectivelyVax (hypo)'!BZ32,'Scen NotEffectivelyVax (hypo)'!CC32,'Scen NotEffectivelyVax (hypo)'!CF32,'Scen NotEffectivelyVax (hypo)'!CI32,'Scen NotEffectivelyVax (hypo)'!CL32,'Scen NotEffectivelyVax (hypo)'!CO32,'Scen NotEffectivelyVax (hypo)'!CR32,'Scen NotEffectivelyVax (hypo)'!CU32,'Scen NotEffectivelyVax (hypo)'!CX32,'Scen NotEffectivelyVax (hypo)'!DA32,'Scen NotEffectivelyVax (hypo)'!DD32,'Scen NotEffectivelyVax (hypo)'!DG32,'Scen NotEffectivelyVax (hypo)'!DJ32,'Scen NotEffectivelyVax (hypo)'!DM32,'Scen NotEffectivelyVax (hypo)'!DQ32,'Scen NotEffectivelyVax (hypo)'!DP32,'Scen NotEffectivelyVax (hypo)'!DS32,'Scen NotEffectivelyVax (hypo)'!DV32,'Scen NotEffectivelyVax (hypo)'!DY32,'Scen NotEffectivelyVax (hypo)'!EB32,'Scen NotEffectivelyVax (hypo)'!EE32,'Scen NotEffectivelyVax (hypo)'!EH32,'Scen NotEffectivelyVax (hypo)'!EK32,'Scen NotEffectivelyVax (hypo)'!EN32,'Scen NotEffectivelyVax (hypo)'!EQ32,'Scen NotEffectivelyVax (hypo)'!ET32,'Scen NotEffectivelyVax (hypo)'!EW32,'Scen NotEffectivelyVax (hypo)'!EZ32,'Scen NotEffectivelyVax (hypo)'!FC32,'Scen NotEffectivelyVax (hypo)'!FF32,'Scen NotEffectivelyVax (hypo)'!FI32,'Scen NotEffectivelyVax (hypo)'!FL32,'Scen NotEffectivelyVax (hypo)'!FO32,'Scen NotEffectivelyVax (hypo)'!FR32,'Scen NotEffectivelyVax (hypo)'!FU32,'Scen NotEffectivelyVax (hypo)'!FX32,'Scen NotEffectivelyVax (hypo)'!GA32)</f>
        <v>#VALUE!</v>
      </c>
      <c r="W32" s="141" t="e">
        <f>SUM('Scen NotEffectivelyVax (hypo)'!D32,'Scen NotEffectivelyVax (hypo)'!G32,'Scen NotEffectivelyVax (hypo)'!J32,'Scen NotEffectivelyVax (hypo)'!M32,'Scen NotEffectivelyVax (hypo)'!P32,'Scen NotEffectivelyVax (hypo)'!S32,'Scen NotEffectivelyVax (hypo)'!V32,'Scen NotEffectivelyVax (hypo)'!Y32,'Scen NotEffectivelyVax (hypo)'!AB32,'Scen NotEffectivelyVax (hypo)'!AE32,'Scen NotEffectivelyVax (hypo)'!AH32,'Scen NotEffectivelyVax (hypo)'!AK32,'Scen NotEffectivelyVax (hypo)'!AN32,'Scen NotEffectivelyVax (hypo)'!AQ32,'Scen NotEffectivelyVax (hypo)'!AT32,'Scen NotEffectivelyVax (hypo)'!AW32,'Scen NotEffectivelyVax (hypo)'!AZ32,'Scen NotEffectivelyVax (hypo)'!BC32,'Scen NotEffectivelyVax (hypo)'!BF32,'Scen NotEffectivelyVax (hypo)'!BI32,'Scen NotEffectivelyVax (hypo)'!BL32,'Scen NotEffectivelyVax (hypo)'!BO32,'Scen NotEffectivelyVax (hypo)'!BR32,'Scen NotEffectivelyVax (hypo)'!BU32,'Scen NotEffectivelyVax (hypo)'!BX32,'Scen NotEffectivelyVax (hypo)'!CA32,'Scen NotEffectivelyVax (hypo)'!CD32,'Scen NotEffectivelyVax (hypo)'!CG32,'Scen NotEffectivelyVax (hypo)'!CJ32,'Scen NotEffectivelyVax (hypo)'!CM32,'Scen NotEffectivelyVax (hypo)'!CP32,'Scen NotEffectivelyVax (hypo)'!CS32,'Scen NotEffectivelyVax (hypo)'!CV32,'Scen NotEffectivelyVax (hypo)'!CY32,'Scen NotEffectivelyVax (hypo)'!DB32,'Scen NotEffectivelyVax (hypo)'!DE32,'Scen NotEffectivelyVax (hypo)'!DH32,'Scen NotEffectivelyVax (hypo)'!DK32,'Scen NotEffectivelyVax (hypo)'!DN32,'Scen NotEffectivelyVax (hypo)'!DQ32,'Scen NotEffectivelyVax (hypo)'!DT32,'Scen NotEffectivelyVax (hypo)'!DW32,'Scen NotEffectivelyVax (hypo)'!DZ32,'Scen NotEffectivelyVax (hypo)'!EC32,'Scen NotEffectivelyVax (hypo)'!EF32,'Scen NotEffectivelyVax (hypo)'!EI32,'Scen NotEffectivelyVax (hypo)'!EL32,'Scen NotEffectivelyVax (hypo)'!EO32,'Scen NotEffectivelyVax (hypo)'!ER32,'Scen NotEffectivelyVax (hypo)'!EU32,'Scen NotEffectivelyVax (hypo)'!EX32,'Scen NotEffectivelyVax (hypo)'!FA32,'Scen NotEffectivelyVax (hypo)'!FD32,'Scen NotEffectivelyVax (hypo)'!FG32,'Scen NotEffectivelyVax (hypo)'!FJ32,'Scen NotEffectivelyVax (hypo)'!FM32,'Scen NotEffectivelyVax (hypo)'!FP32,'Scen NotEffectivelyVax (hypo)'!FS32,'Scen NotEffectivelyVax (hypo)'!FV32,'Scen NotEffectivelyVax (hypo)'!FY32)</f>
        <v>#VALUE!</v>
      </c>
      <c r="X32" s="141" t="e">
        <f>SUM('Scen NotEffectivelyVax (hypo)'!E32,'Scen NotEffectivelyVax (hypo)'!H32,'Scen NotEffectivelyVax (hypo)'!K32,'Scen NotEffectivelyVax (hypo)'!N32,'Scen NotEffectivelyVax (hypo)'!Q32,'Scen NotEffectivelyVax (hypo)'!T32,'Scen NotEffectivelyVax (hypo)'!Z32,'Scen NotEffectivelyVax (hypo)'!W32,'Scen NotEffectivelyVax (hypo)'!AC32,'Scen NotEffectivelyVax (hypo)'!AF32,'Scen NotEffectivelyVax (hypo)'!AI32,'Scen NotEffectivelyVax (hypo)'!AL32,'Scen NotEffectivelyVax (hypo)'!AO32,'Scen NotEffectivelyVax (hypo)'!AR32,'Scen NotEffectivelyVax (hypo)'!AU32,'Scen NotEffectivelyVax (hypo)'!AX32,'Scen NotEffectivelyVax (hypo)'!BA32,'Scen NotEffectivelyVax (hypo)'!BD32,'Scen NotEffectivelyVax (hypo)'!BG32,'Scen NotEffectivelyVax (hypo)'!BJ32,'Scen NotEffectivelyVax (hypo)'!BM32,'Scen NotEffectivelyVax (hypo)'!BP32,'Scen NotEffectivelyVax (hypo)'!BS32,'Scen NotEffectivelyVax (hypo)'!BV32,'Scen NotEffectivelyVax (hypo)'!BY32,'Scen NotEffectivelyVax (hypo)'!CB32,'Scen NotEffectivelyVax (hypo)'!CE32,'Scen NotEffectivelyVax (hypo)'!CH32,'Scen NotEffectivelyVax (hypo)'!CK32,'Scen NotEffectivelyVax (hypo)'!CN32,'Scen NotEffectivelyVax (hypo)'!CQ32,'Scen NotEffectivelyVax (hypo)'!CT32,'Scen NotEffectivelyVax (hypo)'!CW32,'Scen NotEffectivelyVax (hypo)'!CZ32,'Scen NotEffectivelyVax (hypo)'!DC32,'Scen NotEffectivelyVax (hypo)'!DF32,'Scen NotEffectivelyVax (hypo)'!DI32,'Scen NotEffectivelyVax (hypo)'!DL32,'Scen NotEffectivelyVax (hypo)'!DO32,'Scen NotEffectivelyVax (hypo)'!DR32,'Scen NotEffectivelyVax (hypo)'!DU32,'Scen NotEffectivelyVax (hypo)'!DX32,'Scen NotEffectivelyVax (hypo)'!EA32,'Scen NotEffectivelyVax (hypo)'!ED32,'Scen NotEffectivelyVax (hypo)'!EG32,'Scen NotEffectivelyVax (hypo)'!EJ32,'Scen NotEffectivelyVax (hypo)'!EM32,'Scen NotEffectivelyVax (hypo)'!EP32,'Scen NotEffectivelyVax (hypo)'!ES32,'Scen NotEffectivelyVax (hypo)'!EV32,'Scen NotEffectivelyVax (hypo)'!EY32,'Scen NotEffectivelyVax (hypo)'!FB32,'Scen NotEffectivelyVax (hypo)'!FE32,'Scen NotEffectivelyVax (hypo)'!FH32,'Scen NotEffectivelyVax (hypo)'!FK32,'Scen NotEffectivelyVax (hypo)'!FN32,'Scen NotEffectivelyVax (hypo)'!FQ32,'Scen NotEffectivelyVax (hypo)'!FT32,'Scen NotEffectivelyVax (hypo)'!FW32,'Scen NotEffectivelyVax (hypo)'!FZ32)</f>
        <v>#VALUE!</v>
      </c>
      <c r="Y32" s="142" t="e">
        <f t="shared" si="1"/>
        <v>#VALUE!</v>
      </c>
      <c r="Z32" s="142" t="e">
        <f>IF(Export!M30&lt;&gt;"",W32*Export!K30*(1/Export!M30),W32*Export!K30)</f>
        <v>#VALUE!</v>
      </c>
      <c r="AA32" s="139" t="e">
        <f>Y32*Export!J30</f>
        <v>#VALUE!</v>
      </c>
      <c r="AC32" s="143" t="e">
        <f t="shared" si="2"/>
        <v>#VALUE!</v>
      </c>
      <c r="AD32" s="144" t="e">
        <f t="shared" si="19"/>
        <v>#VALUE!</v>
      </c>
      <c r="AE32" s="144" t="e">
        <f t="shared" si="3"/>
        <v>#VALUE!</v>
      </c>
      <c r="AF32" s="144" t="e">
        <f t="shared" si="4"/>
        <v>#VALUE!</v>
      </c>
      <c r="AG32" s="144" t="e">
        <f t="shared" si="5"/>
        <v>#VALUE!</v>
      </c>
      <c r="AH32" s="145"/>
      <c r="AI32" s="145"/>
      <c r="AJ32" s="145"/>
      <c r="AK32" s="145"/>
      <c r="AL32" s="146"/>
      <c r="AM32" s="145"/>
      <c r="AN32" s="145"/>
      <c r="AO32" s="145"/>
      <c r="AP32" s="145"/>
      <c r="AQ32" s="146"/>
      <c r="AR32" s="150"/>
      <c r="AS32" s="150"/>
      <c r="AT32" s="150"/>
      <c r="AU32" s="150"/>
      <c r="AV32" s="151"/>
    </row>
    <row r="33" spans="1:48" x14ac:dyDescent="0.35">
      <c r="A33" s="130">
        <f>EffectivelyVax!B32</f>
        <v>2</v>
      </c>
      <c r="B33" s="131" t="str">
        <f>EffectivelyVax!C32</f>
        <v/>
      </c>
      <c r="C33" s="132" t="str">
        <f>Export!N31</f>
        <v/>
      </c>
      <c r="D33" s="133" t="str">
        <f>IF(Inputs!$F$10="1. Actual program", 'Current vaccine model'!W33, Export!C31)</f>
        <v/>
      </c>
      <c r="E33" s="133" t="e">
        <f>D33*Export!L31</f>
        <v>#VALUE!</v>
      </c>
      <c r="F33" s="133" t="e">
        <f t="shared" si="18"/>
        <v>#VALUE!</v>
      </c>
      <c r="G33" s="133" t="e">
        <f>IF(Export!M31&lt;&gt;"",D33*Export!K31*(1/Export!M31),D33*Export!K31)</f>
        <v>#VALUE!</v>
      </c>
      <c r="H33" s="133" t="e">
        <f>F33*Export!J31</f>
        <v>#VALUE!</v>
      </c>
      <c r="I33" s="133" t="e">
        <f t="shared" si="14"/>
        <v>#VALUE!</v>
      </c>
      <c r="J33" s="134" t="e">
        <f t="shared" si="8"/>
        <v>#VALUE!</v>
      </c>
      <c r="K33" s="135" t="e">
        <f t="shared" si="9"/>
        <v>#VALUE!</v>
      </c>
      <c r="L33" s="117">
        <f>'Scen EffectivelyVax'!A32</f>
        <v>0</v>
      </c>
      <c r="M33" s="115" t="e">
        <f>C33*L33*HelperFunctions!G$31</f>
        <v>#VALUE!</v>
      </c>
      <c r="N33" s="116" t="e">
        <f>C33*L33*(1-HelperFunctions!G$31)</f>
        <v>#VALUE!</v>
      </c>
      <c r="O33" s="136" t="e">
        <f t="shared" si="15"/>
        <v>#DIV/0!</v>
      </c>
      <c r="P33" s="137">
        <f>SUM('Scen EffectivelyVax'!D32:BK32)</f>
        <v>0</v>
      </c>
      <c r="Q33" s="138" t="e">
        <f t="shared" si="11"/>
        <v>#DIV/0!</v>
      </c>
      <c r="R33" s="138" t="e">
        <f t="shared" si="12"/>
        <v>#DIV/0!</v>
      </c>
      <c r="S33" s="137" t="e">
        <f t="shared" si="0"/>
        <v>#DIV/0!</v>
      </c>
      <c r="T33" s="138" t="e">
        <f>IF(Export!M31&lt;&gt;"",Q33*Export!K31*(1/Export!M31),Q33*Export!K31)</f>
        <v>#DIV/0!</v>
      </c>
      <c r="U33" s="139" t="e">
        <f>S33*Export!J31</f>
        <v>#DIV/0!</v>
      </c>
      <c r="V33" s="140" t="e">
        <f>SUM('Scen NotEffectivelyVax (hypo)'!F33,'Scen NotEffectivelyVax (hypo)'!I33,'Scen NotEffectivelyVax (hypo)'!L33,'Scen NotEffectivelyVax (hypo)'!O33,'Scen NotEffectivelyVax (hypo)'!R33,'Scen NotEffectivelyVax (hypo)'!U33,'Scen NotEffectivelyVax (hypo)'!X33,'Scen NotEffectivelyVax (hypo)'!AA33,'Scen NotEffectivelyVax (hypo)'!AD33,'Scen NotEffectivelyVax (hypo)'!AG33,'Scen NotEffectivelyVax (hypo)'!AJ33,'Scen NotEffectivelyVax (hypo)'!AM33,'Scen NotEffectivelyVax (hypo)'!AP33,'Scen NotEffectivelyVax (hypo)'!AS33,'Scen NotEffectivelyVax (hypo)'!AV33,'Scen NotEffectivelyVax (hypo)'!AY33,'Scen NotEffectivelyVax (hypo)'!BB33,'Scen NotEffectivelyVax (hypo)'!BE33,'Scen NotEffectivelyVax (hypo)'!BH33,'Scen NotEffectivelyVax (hypo)'!BK33,'Scen NotEffectivelyVax (hypo)'!BN33,'Scen NotEffectivelyVax (hypo)'!BQ33,'Scen NotEffectivelyVax (hypo)'!BT33,'Scen NotEffectivelyVax (hypo)'!BW33,'Scen NotEffectivelyVax (hypo)'!BZ33,'Scen NotEffectivelyVax (hypo)'!CC33,'Scen NotEffectivelyVax (hypo)'!CF33,'Scen NotEffectivelyVax (hypo)'!CI33,'Scen NotEffectivelyVax (hypo)'!CL33,'Scen NotEffectivelyVax (hypo)'!CO33,'Scen NotEffectivelyVax (hypo)'!CR33,'Scen NotEffectivelyVax (hypo)'!CU33,'Scen NotEffectivelyVax (hypo)'!CX33,'Scen NotEffectivelyVax (hypo)'!DA33,'Scen NotEffectivelyVax (hypo)'!DD33,'Scen NotEffectivelyVax (hypo)'!DG33,'Scen NotEffectivelyVax (hypo)'!DJ33,'Scen NotEffectivelyVax (hypo)'!DM33,'Scen NotEffectivelyVax (hypo)'!DQ33,'Scen NotEffectivelyVax (hypo)'!DP33,'Scen NotEffectivelyVax (hypo)'!DS33,'Scen NotEffectivelyVax (hypo)'!DV33,'Scen NotEffectivelyVax (hypo)'!DY33,'Scen NotEffectivelyVax (hypo)'!EB33,'Scen NotEffectivelyVax (hypo)'!EE33,'Scen NotEffectivelyVax (hypo)'!EH33,'Scen NotEffectivelyVax (hypo)'!EK33,'Scen NotEffectivelyVax (hypo)'!EN33,'Scen NotEffectivelyVax (hypo)'!EQ33,'Scen NotEffectivelyVax (hypo)'!ET33,'Scen NotEffectivelyVax (hypo)'!EW33,'Scen NotEffectivelyVax (hypo)'!EZ33,'Scen NotEffectivelyVax (hypo)'!FC33,'Scen NotEffectivelyVax (hypo)'!FF33,'Scen NotEffectivelyVax (hypo)'!FI33,'Scen NotEffectivelyVax (hypo)'!FL33,'Scen NotEffectivelyVax (hypo)'!FO33,'Scen NotEffectivelyVax (hypo)'!FR33,'Scen NotEffectivelyVax (hypo)'!FU33,'Scen NotEffectivelyVax (hypo)'!FX33,'Scen NotEffectivelyVax (hypo)'!GA33)</f>
        <v>#VALUE!</v>
      </c>
      <c r="W33" s="141" t="e">
        <f>SUM('Scen NotEffectivelyVax (hypo)'!D33,'Scen NotEffectivelyVax (hypo)'!G33,'Scen NotEffectivelyVax (hypo)'!J33,'Scen NotEffectivelyVax (hypo)'!M33,'Scen NotEffectivelyVax (hypo)'!P33,'Scen NotEffectivelyVax (hypo)'!S33,'Scen NotEffectivelyVax (hypo)'!V33,'Scen NotEffectivelyVax (hypo)'!Y33,'Scen NotEffectivelyVax (hypo)'!AB33,'Scen NotEffectivelyVax (hypo)'!AE33,'Scen NotEffectivelyVax (hypo)'!AH33,'Scen NotEffectivelyVax (hypo)'!AK33,'Scen NotEffectivelyVax (hypo)'!AN33,'Scen NotEffectivelyVax (hypo)'!AQ33,'Scen NotEffectivelyVax (hypo)'!AT33,'Scen NotEffectivelyVax (hypo)'!AW33,'Scen NotEffectivelyVax (hypo)'!AZ33,'Scen NotEffectivelyVax (hypo)'!BC33,'Scen NotEffectivelyVax (hypo)'!BF33,'Scen NotEffectivelyVax (hypo)'!BI33,'Scen NotEffectivelyVax (hypo)'!BL33,'Scen NotEffectivelyVax (hypo)'!BO33,'Scen NotEffectivelyVax (hypo)'!BR33,'Scen NotEffectivelyVax (hypo)'!BU33,'Scen NotEffectivelyVax (hypo)'!BX33,'Scen NotEffectivelyVax (hypo)'!CA33,'Scen NotEffectivelyVax (hypo)'!CD33,'Scen NotEffectivelyVax (hypo)'!CG33,'Scen NotEffectivelyVax (hypo)'!CJ33,'Scen NotEffectivelyVax (hypo)'!CM33,'Scen NotEffectivelyVax (hypo)'!CP33,'Scen NotEffectivelyVax (hypo)'!CS33,'Scen NotEffectivelyVax (hypo)'!CV33,'Scen NotEffectivelyVax (hypo)'!CY33,'Scen NotEffectivelyVax (hypo)'!DB33,'Scen NotEffectivelyVax (hypo)'!DE33,'Scen NotEffectivelyVax (hypo)'!DH33,'Scen NotEffectivelyVax (hypo)'!DK33,'Scen NotEffectivelyVax (hypo)'!DN33,'Scen NotEffectivelyVax (hypo)'!DQ33,'Scen NotEffectivelyVax (hypo)'!DT33,'Scen NotEffectivelyVax (hypo)'!DW33,'Scen NotEffectivelyVax (hypo)'!DZ33,'Scen NotEffectivelyVax (hypo)'!EC33,'Scen NotEffectivelyVax (hypo)'!EF33,'Scen NotEffectivelyVax (hypo)'!EI33,'Scen NotEffectivelyVax (hypo)'!EL33,'Scen NotEffectivelyVax (hypo)'!EO33,'Scen NotEffectivelyVax (hypo)'!ER33,'Scen NotEffectivelyVax (hypo)'!EU33,'Scen NotEffectivelyVax (hypo)'!EX33,'Scen NotEffectivelyVax (hypo)'!FA33,'Scen NotEffectivelyVax (hypo)'!FD33,'Scen NotEffectivelyVax (hypo)'!FG33,'Scen NotEffectivelyVax (hypo)'!FJ33,'Scen NotEffectivelyVax (hypo)'!FM33,'Scen NotEffectivelyVax (hypo)'!FP33,'Scen NotEffectivelyVax (hypo)'!FS33,'Scen NotEffectivelyVax (hypo)'!FV33,'Scen NotEffectivelyVax (hypo)'!FY33)</f>
        <v>#VALUE!</v>
      </c>
      <c r="X33" s="141" t="e">
        <f>SUM('Scen NotEffectivelyVax (hypo)'!E33,'Scen NotEffectivelyVax (hypo)'!H33,'Scen NotEffectivelyVax (hypo)'!K33,'Scen NotEffectivelyVax (hypo)'!N33,'Scen NotEffectivelyVax (hypo)'!Q33,'Scen NotEffectivelyVax (hypo)'!T33,'Scen NotEffectivelyVax (hypo)'!Z33,'Scen NotEffectivelyVax (hypo)'!W33,'Scen NotEffectivelyVax (hypo)'!AC33,'Scen NotEffectivelyVax (hypo)'!AF33,'Scen NotEffectivelyVax (hypo)'!AI33,'Scen NotEffectivelyVax (hypo)'!AL33,'Scen NotEffectivelyVax (hypo)'!AO33,'Scen NotEffectivelyVax (hypo)'!AR33,'Scen NotEffectivelyVax (hypo)'!AU33,'Scen NotEffectivelyVax (hypo)'!AX33,'Scen NotEffectivelyVax (hypo)'!BA33,'Scen NotEffectivelyVax (hypo)'!BD33,'Scen NotEffectivelyVax (hypo)'!BG33,'Scen NotEffectivelyVax (hypo)'!BJ33,'Scen NotEffectivelyVax (hypo)'!BM33,'Scen NotEffectivelyVax (hypo)'!BP33,'Scen NotEffectivelyVax (hypo)'!BS33,'Scen NotEffectivelyVax (hypo)'!BV33,'Scen NotEffectivelyVax (hypo)'!BY33,'Scen NotEffectivelyVax (hypo)'!CB33,'Scen NotEffectivelyVax (hypo)'!CE33,'Scen NotEffectivelyVax (hypo)'!CH33,'Scen NotEffectivelyVax (hypo)'!CK33,'Scen NotEffectivelyVax (hypo)'!CN33,'Scen NotEffectivelyVax (hypo)'!CQ33,'Scen NotEffectivelyVax (hypo)'!CT33,'Scen NotEffectivelyVax (hypo)'!CW33,'Scen NotEffectivelyVax (hypo)'!CZ33,'Scen NotEffectivelyVax (hypo)'!DC33,'Scen NotEffectivelyVax (hypo)'!DF33,'Scen NotEffectivelyVax (hypo)'!DI33,'Scen NotEffectivelyVax (hypo)'!DL33,'Scen NotEffectivelyVax (hypo)'!DO33,'Scen NotEffectivelyVax (hypo)'!DR33,'Scen NotEffectivelyVax (hypo)'!DU33,'Scen NotEffectivelyVax (hypo)'!DX33,'Scen NotEffectivelyVax (hypo)'!EA33,'Scen NotEffectivelyVax (hypo)'!ED33,'Scen NotEffectivelyVax (hypo)'!EG33,'Scen NotEffectivelyVax (hypo)'!EJ33,'Scen NotEffectivelyVax (hypo)'!EM33,'Scen NotEffectivelyVax (hypo)'!EP33,'Scen NotEffectivelyVax (hypo)'!ES33,'Scen NotEffectivelyVax (hypo)'!EV33,'Scen NotEffectivelyVax (hypo)'!EY33,'Scen NotEffectivelyVax (hypo)'!FB33,'Scen NotEffectivelyVax (hypo)'!FE33,'Scen NotEffectivelyVax (hypo)'!FH33,'Scen NotEffectivelyVax (hypo)'!FK33,'Scen NotEffectivelyVax (hypo)'!FN33,'Scen NotEffectivelyVax (hypo)'!FQ33,'Scen NotEffectivelyVax (hypo)'!FT33,'Scen NotEffectivelyVax (hypo)'!FW33,'Scen NotEffectivelyVax (hypo)'!FZ33)</f>
        <v>#VALUE!</v>
      </c>
      <c r="Y33" s="142" t="e">
        <f t="shared" si="1"/>
        <v>#VALUE!</v>
      </c>
      <c r="Z33" s="142" t="e">
        <f>IF(Export!M31&lt;&gt;"",W33*Export!K31*(1/Export!M31),W33*Export!K31)</f>
        <v>#VALUE!</v>
      </c>
      <c r="AA33" s="139" t="e">
        <f>Y33*Export!J31</f>
        <v>#VALUE!</v>
      </c>
      <c r="AC33" s="143" t="e">
        <f t="shared" si="2"/>
        <v>#VALUE!</v>
      </c>
      <c r="AD33" s="144" t="e">
        <f t="shared" si="19"/>
        <v>#VALUE!</v>
      </c>
      <c r="AE33" s="144" t="e">
        <f t="shared" si="3"/>
        <v>#VALUE!</v>
      </c>
      <c r="AF33" s="144" t="e">
        <f t="shared" si="4"/>
        <v>#VALUE!</v>
      </c>
      <c r="AG33" s="144" t="e">
        <f t="shared" si="5"/>
        <v>#VALUE!</v>
      </c>
      <c r="AH33" s="145"/>
      <c r="AI33" s="145"/>
      <c r="AJ33" s="145"/>
      <c r="AK33" s="145"/>
      <c r="AL33" s="146"/>
      <c r="AM33" s="145"/>
      <c r="AN33" s="145"/>
      <c r="AO33" s="145"/>
      <c r="AP33" s="145"/>
      <c r="AQ33" s="146"/>
      <c r="AR33" s="150"/>
      <c r="AS33" s="150"/>
      <c r="AT33" s="150"/>
      <c r="AU33" s="150"/>
      <c r="AV33" s="151"/>
    </row>
    <row r="34" spans="1:48" x14ac:dyDescent="0.35">
      <c r="A34" s="130">
        <f>EffectivelyVax!B33</f>
        <v>2</v>
      </c>
      <c r="B34" s="131" t="str">
        <f>EffectivelyVax!C33</f>
        <v/>
      </c>
      <c r="C34" s="132" t="str">
        <f>Export!N32</f>
        <v/>
      </c>
      <c r="D34" s="133" t="str">
        <f>IF(Inputs!$F$10="1. Actual program", 'Current vaccine model'!W34, Export!C32)</f>
        <v/>
      </c>
      <c r="E34" s="133" t="e">
        <f>D34*Export!L32</f>
        <v>#VALUE!</v>
      </c>
      <c r="F34" s="133" t="e">
        <f t="shared" si="18"/>
        <v>#VALUE!</v>
      </c>
      <c r="G34" s="133" t="e">
        <f>IF(Export!M32&lt;&gt;"",D34*Export!K32*(1/Export!M32),D34*Export!K32)</f>
        <v>#VALUE!</v>
      </c>
      <c r="H34" s="133" t="e">
        <f>F34*Export!J32</f>
        <v>#VALUE!</v>
      </c>
      <c r="I34" s="133" t="e">
        <f t="shared" si="14"/>
        <v>#VALUE!</v>
      </c>
      <c r="J34" s="134" t="e">
        <f t="shared" si="8"/>
        <v>#VALUE!</v>
      </c>
      <c r="K34" s="135" t="e">
        <f t="shared" si="9"/>
        <v>#VALUE!</v>
      </c>
      <c r="L34" s="117">
        <f>'Scen EffectivelyVax'!A33</f>
        <v>0</v>
      </c>
      <c r="M34" s="115" t="e">
        <f>C34*L34*HelperFunctions!G$31</f>
        <v>#VALUE!</v>
      </c>
      <c r="N34" s="116" t="e">
        <f>C34*L34*(1-HelperFunctions!G$31)</f>
        <v>#VALUE!</v>
      </c>
      <c r="O34" s="136" t="e">
        <f t="shared" si="15"/>
        <v>#DIV/0!</v>
      </c>
      <c r="P34" s="137">
        <f>SUM('Scen EffectivelyVax'!D33:BK33)</f>
        <v>0</v>
      </c>
      <c r="Q34" s="138" t="e">
        <f t="shared" si="11"/>
        <v>#DIV/0!</v>
      </c>
      <c r="R34" s="138" t="e">
        <f t="shared" si="12"/>
        <v>#DIV/0!</v>
      </c>
      <c r="S34" s="137" t="e">
        <f t="shared" si="0"/>
        <v>#DIV/0!</v>
      </c>
      <c r="T34" s="138" t="e">
        <f>IF(Export!M32&lt;&gt;"",Q34*Export!K32*(1/Export!M32),Q34*Export!K32)</f>
        <v>#DIV/0!</v>
      </c>
      <c r="U34" s="139" t="e">
        <f>S34*Export!J32</f>
        <v>#DIV/0!</v>
      </c>
      <c r="V34" s="140" t="e">
        <f>SUM('Scen NotEffectivelyVax (hypo)'!F34,'Scen NotEffectivelyVax (hypo)'!I34,'Scen NotEffectivelyVax (hypo)'!L34,'Scen NotEffectivelyVax (hypo)'!O34,'Scen NotEffectivelyVax (hypo)'!R34,'Scen NotEffectivelyVax (hypo)'!U34,'Scen NotEffectivelyVax (hypo)'!X34,'Scen NotEffectivelyVax (hypo)'!AA34,'Scen NotEffectivelyVax (hypo)'!AD34,'Scen NotEffectivelyVax (hypo)'!AG34,'Scen NotEffectivelyVax (hypo)'!AJ34,'Scen NotEffectivelyVax (hypo)'!AM34,'Scen NotEffectivelyVax (hypo)'!AP34,'Scen NotEffectivelyVax (hypo)'!AS34,'Scen NotEffectivelyVax (hypo)'!AV34,'Scen NotEffectivelyVax (hypo)'!AY34,'Scen NotEffectivelyVax (hypo)'!BB34,'Scen NotEffectivelyVax (hypo)'!BE34,'Scen NotEffectivelyVax (hypo)'!BH34,'Scen NotEffectivelyVax (hypo)'!BK34,'Scen NotEffectivelyVax (hypo)'!BN34,'Scen NotEffectivelyVax (hypo)'!BQ34,'Scen NotEffectivelyVax (hypo)'!BT34,'Scen NotEffectivelyVax (hypo)'!BW34,'Scen NotEffectivelyVax (hypo)'!BZ34,'Scen NotEffectivelyVax (hypo)'!CC34,'Scen NotEffectivelyVax (hypo)'!CF34,'Scen NotEffectivelyVax (hypo)'!CI34,'Scen NotEffectivelyVax (hypo)'!CL34,'Scen NotEffectivelyVax (hypo)'!CO34,'Scen NotEffectivelyVax (hypo)'!CR34,'Scen NotEffectivelyVax (hypo)'!CU34,'Scen NotEffectivelyVax (hypo)'!CX34,'Scen NotEffectivelyVax (hypo)'!DA34,'Scen NotEffectivelyVax (hypo)'!DD34,'Scen NotEffectivelyVax (hypo)'!DG34,'Scen NotEffectivelyVax (hypo)'!DJ34,'Scen NotEffectivelyVax (hypo)'!DM34,'Scen NotEffectivelyVax (hypo)'!DQ34,'Scen NotEffectivelyVax (hypo)'!DP34,'Scen NotEffectivelyVax (hypo)'!DS34,'Scen NotEffectivelyVax (hypo)'!DV34,'Scen NotEffectivelyVax (hypo)'!DY34,'Scen NotEffectivelyVax (hypo)'!EB34,'Scen NotEffectivelyVax (hypo)'!EE34,'Scen NotEffectivelyVax (hypo)'!EH34,'Scen NotEffectivelyVax (hypo)'!EK34,'Scen NotEffectivelyVax (hypo)'!EN34,'Scen NotEffectivelyVax (hypo)'!EQ34,'Scen NotEffectivelyVax (hypo)'!ET34,'Scen NotEffectivelyVax (hypo)'!EW34,'Scen NotEffectivelyVax (hypo)'!EZ34,'Scen NotEffectivelyVax (hypo)'!FC34,'Scen NotEffectivelyVax (hypo)'!FF34,'Scen NotEffectivelyVax (hypo)'!FI34,'Scen NotEffectivelyVax (hypo)'!FL34,'Scen NotEffectivelyVax (hypo)'!FO34,'Scen NotEffectivelyVax (hypo)'!FR34,'Scen NotEffectivelyVax (hypo)'!FU34,'Scen NotEffectivelyVax (hypo)'!FX34,'Scen NotEffectivelyVax (hypo)'!GA34)</f>
        <v>#VALUE!</v>
      </c>
      <c r="W34" s="141" t="e">
        <f>SUM('Scen NotEffectivelyVax (hypo)'!D34,'Scen NotEffectivelyVax (hypo)'!G34,'Scen NotEffectivelyVax (hypo)'!J34,'Scen NotEffectivelyVax (hypo)'!M34,'Scen NotEffectivelyVax (hypo)'!P34,'Scen NotEffectivelyVax (hypo)'!S34,'Scen NotEffectivelyVax (hypo)'!V34,'Scen NotEffectivelyVax (hypo)'!Y34,'Scen NotEffectivelyVax (hypo)'!AB34,'Scen NotEffectivelyVax (hypo)'!AE34,'Scen NotEffectivelyVax (hypo)'!AH34,'Scen NotEffectivelyVax (hypo)'!AK34,'Scen NotEffectivelyVax (hypo)'!AN34,'Scen NotEffectivelyVax (hypo)'!AQ34,'Scen NotEffectivelyVax (hypo)'!AT34,'Scen NotEffectivelyVax (hypo)'!AW34,'Scen NotEffectivelyVax (hypo)'!AZ34,'Scen NotEffectivelyVax (hypo)'!BC34,'Scen NotEffectivelyVax (hypo)'!BF34,'Scen NotEffectivelyVax (hypo)'!BI34,'Scen NotEffectivelyVax (hypo)'!BL34,'Scen NotEffectivelyVax (hypo)'!BO34,'Scen NotEffectivelyVax (hypo)'!BR34,'Scen NotEffectivelyVax (hypo)'!BU34,'Scen NotEffectivelyVax (hypo)'!BX34,'Scen NotEffectivelyVax (hypo)'!CA34,'Scen NotEffectivelyVax (hypo)'!CD34,'Scen NotEffectivelyVax (hypo)'!CG34,'Scen NotEffectivelyVax (hypo)'!CJ34,'Scen NotEffectivelyVax (hypo)'!CM34,'Scen NotEffectivelyVax (hypo)'!CP34,'Scen NotEffectivelyVax (hypo)'!CS34,'Scen NotEffectivelyVax (hypo)'!CV34,'Scen NotEffectivelyVax (hypo)'!CY34,'Scen NotEffectivelyVax (hypo)'!DB34,'Scen NotEffectivelyVax (hypo)'!DE34,'Scen NotEffectivelyVax (hypo)'!DH34,'Scen NotEffectivelyVax (hypo)'!DK34,'Scen NotEffectivelyVax (hypo)'!DN34,'Scen NotEffectivelyVax (hypo)'!DQ34,'Scen NotEffectivelyVax (hypo)'!DT34,'Scen NotEffectivelyVax (hypo)'!DW34,'Scen NotEffectivelyVax (hypo)'!DZ34,'Scen NotEffectivelyVax (hypo)'!EC34,'Scen NotEffectivelyVax (hypo)'!EF34,'Scen NotEffectivelyVax (hypo)'!EI34,'Scen NotEffectivelyVax (hypo)'!EL34,'Scen NotEffectivelyVax (hypo)'!EO34,'Scen NotEffectivelyVax (hypo)'!ER34,'Scen NotEffectivelyVax (hypo)'!EU34,'Scen NotEffectivelyVax (hypo)'!EX34,'Scen NotEffectivelyVax (hypo)'!FA34,'Scen NotEffectivelyVax (hypo)'!FD34,'Scen NotEffectivelyVax (hypo)'!FG34,'Scen NotEffectivelyVax (hypo)'!FJ34,'Scen NotEffectivelyVax (hypo)'!FM34,'Scen NotEffectivelyVax (hypo)'!FP34,'Scen NotEffectivelyVax (hypo)'!FS34,'Scen NotEffectivelyVax (hypo)'!FV34,'Scen NotEffectivelyVax (hypo)'!FY34)</f>
        <v>#VALUE!</v>
      </c>
      <c r="X34" s="141" t="e">
        <f>SUM('Scen NotEffectivelyVax (hypo)'!E34,'Scen NotEffectivelyVax (hypo)'!H34,'Scen NotEffectivelyVax (hypo)'!K34,'Scen NotEffectivelyVax (hypo)'!N34,'Scen NotEffectivelyVax (hypo)'!Q34,'Scen NotEffectivelyVax (hypo)'!T34,'Scen NotEffectivelyVax (hypo)'!Z34,'Scen NotEffectivelyVax (hypo)'!W34,'Scen NotEffectivelyVax (hypo)'!AC34,'Scen NotEffectivelyVax (hypo)'!AF34,'Scen NotEffectivelyVax (hypo)'!AI34,'Scen NotEffectivelyVax (hypo)'!AL34,'Scen NotEffectivelyVax (hypo)'!AO34,'Scen NotEffectivelyVax (hypo)'!AR34,'Scen NotEffectivelyVax (hypo)'!AU34,'Scen NotEffectivelyVax (hypo)'!AX34,'Scen NotEffectivelyVax (hypo)'!BA34,'Scen NotEffectivelyVax (hypo)'!BD34,'Scen NotEffectivelyVax (hypo)'!BG34,'Scen NotEffectivelyVax (hypo)'!BJ34,'Scen NotEffectivelyVax (hypo)'!BM34,'Scen NotEffectivelyVax (hypo)'!BP34,'Scen NotEffectivelyVax (hypo)'!BS34,'Scen NotEffectivelyVax (hypo)'!BV34,'Scen NotEffectivelyVax (hypo)'!BY34,'Scen NotEffectivelyVax (hypo)'!CB34,'Scen NotEffectivelyVax (hypo)'!CE34,'Scen NotEffectivelyVax (hypo)'!CH34,'Scen NotEffectivelyVax (hypo)'!CK34,'Scen NotEffectivelyVax (hypo)'!CN34,'Scen NotEffectivelyVax (hypo)'!CQ34,'Scen NotEffectivelyVax (hypo)'!CT34,'Scen NotEffectivelyVax (hypo)'!CW34,'Scen NotEffectivelyVax (hypo)'!CZ34,'Scen NotEffectivelyVax (hypo)'!DC34,'Scen NotEffectivelyVax (hypo)'!DF34,'Scen NotEffectivelyVax (hypo)'!DI34,'Scen NotEffectivelyVax (hypo)'!DL34,'Scen NotEffectivelyVax (hypo)'!DO34,'Scen NotEffectivelyVax (hypo)'!DR34,'Scen NotEffectivelyVax (hypo)'!DU34,'Scen NotEffectivelyVax (hypo)'!DX34,'Scen NotEffectivelyVax (hypo)'!EA34,'Scen NotEffectivelyVax (hypo)'!ED34,'Scen NotEffectivelyVax (hypo)'!EG34,'Scen NotEffectivelyVax (hypo)'!EJ34,'Scen NotEffectivelyVax (hypo)'!EM34,'Scen NotEffectivelyVax (hypo)'!EP34,'Scen NotEffectivelyVax (hypo)'!ES34,'Scen NotEffectivelyVax (hypo)'!EV34,'Scen NotEffectivelyVax (hypo)'!EY34,'Scen NotEffectivelyVax (hypo)'!FB34,'Scen NotEffectivelyVax (hypo)'!FE34,'Scen NotEffectivelyVax (hypo)'!FH34,'Scen NotEffectivelyVax (hypo)'!FK34,'Scen NotEffectivelyVax (hypo)'!FN34,'Scen NotEffectivelyVax (hypo)'!FQ34,'Scen NotEffectivelyVax (hypo)'!FT34,'Scen NotEffectivelyVax (hypo)'!FW34,'Scen NotEffectivelyVax (hypo)'!FZ34)</f>
        <v>#VALUE!</v>
      </c>
      <c r="Y34" s="142" t="e">
        <f t="shared" si="1"/>
        <v>#VALUE!</v>
      </c>
      <c r="Z34" s="142" t="e">
        <f>IF(Export!M32&lt;&gt;"",W34*Export!K32*(1/Export!M32),W34*Export!K32)</f>
        <v>#VALUE!</v>
      </c>
      <c r="AA34" s="139" t="e">
        <f>Y34*Export!J32</f>
        <v>#VALUE!</v>
      </c>
      <c r="AC34" s="143" t="e">
        <f t="shared" si="2"/>
        <v>#VALUE!</v>
      </c>
      <c r="AD34" s="144" t="e">
        <f t="shared" si="19"/>
        <v>#VALUE!</v>
      </c>
      <c r="AE34" s="144" t="e">
        <f t="shared" si="3"/>
        <v>#VALUE!</v>
      </c>
      <c r="AF34" s="144" t="e">
        <f t="shared" si="4"/>
        <v>#VALUE!</v>
      </c>
      <c r="AG34" s="144" t="e">
        <f t="shared" si="5"/>
        <v>#VALUE!</v>
      </c>
      <c r="AH34" s="145"/>
      <c r="AI34" s="145"/>
      <c r="AJ34" s="145"/>
      <c r="AK34" s="145"/>
      <c r="AL34" s="146"/>
      <c r="AM34" s="145"/>
      <c r="AN34" s="145"/>
      <c r="AO34" s="145"/>
      <c r="AP34" s="145"/>
      <c r="AQ34" s="146"/>
      <c r="AR34" s="150"/>
      <c r="AS34" s="150"/>
      <c r="AT34" s="150"/>
      <c r="AU34" s="150"/>
      <c r="AV34" s="151"/>
    </row>
    <row r="35" spans="1:48" x14ac:dyDescent="0.35">
      <c r="A35" s="130">
        <f>EffectivelyVax!B34</f>
        <v>2</v>
      </c>
      <c r="B35" s="131" t="str">
        <f>EffectivelyVax!C34</f>
        <v/>
      </c>
      <c r="C35" s="132" t="str">
        <f>Export!N33</f>
        <v/>
      </c>
      <c r="D35" s="133" t="str">
        <f>IF(Inputs!$F$10="1. Actual program", 'Current vaccine model'!W35, Export!C33)</f>
        <v/>
      </c>
      <c r="E35" s="133" t="e">
        <f>D35*Export!L33</f>
        <v>#VALUE!</v>
      </c>
      <c r="F35" s="133" t="e">
        <f t="shared" si="18"/>
        <v>#VALUE!</v>
      </c>
      <c r="G35" s="133" t="e">
        <f>IF(Export!M33&lt;&gt;"",D35*Export!K33*(1/Export!M33),D35*Export!K33)</f>
        <v>#VALUE!</v>
      </c>
      <c r="H35" s="133" t="e">
        <f>F35*Export!J33</f>
        <v>#VALUE!</v>
      </c>
      <c r="I35" s="133" t="e">
        <f t="shared" si="14"/>
        <v>#VALUE!</v>
      </c>
      <c r="J35" s="134" t="e">
        <f t="shared" si="8"/>
        <v>#VALUE!</v>
      </c>
      <c r="K35" s="135" t="e">
        <f t="shared" si="9"/>
        <v>#VALUE!</v>
      </c>
      <c r="L35" s="117">
        <f>'Scen EffectivelyVax'!A34</f>
        <v>0</v>
      </c>
      <c r="M35" s="115" t="e">
        <f>C35*L35*HelperFunctions!G$31</f>
        <v>#VALUE!</v>
      </c>
      <c r="N35" s="116" t="e">
        <f>C35*L35*(1-HelperFunctions!G$31)</f>
        <v>#VALUE!</v>
      </c>
      <c r="O35" s="136" t="e">
        <f t="shared" si="15"/>
        <v>#DIV/0!</v>
      </c>
      <c r="P35" s="137">
        <f>SUM('Scen EffectivelyVax'!D34:BK34)</f>
        <v>0</v>
      </c>
      <c r="Q35" s="138" t="e">
        <f t="shared" si="11"/>
        <v>#DIV/0!</v>
      </c>
      <c r="R35" s="138" t="e">
        <f t="shared" si="12"/>
        <v>#DIV/0!</v>
      </c>
      <c r="S35" s="137" t="e">
        <f t="shared" si="0"/>
        <v>#DIV/0!</v>
      </c>
      <c r="T35" s="138" t="e">
        <f>IF(Export!M33&lt;&gt;"",Q35*Export!K33*(1/Export!M33),Q35*Export!K33)</f>
        <v>#DIV/0!</v>
      </c>
      <c r="U35" s="139" t="e">
        <f>S35*Export!J33</f>
        <v>#DIV/0!</v>
      </c>
      <c r="V35" s="140" t="e">
        <f>SUM('Scen NotEffectivelyVax (hypo)'!F35,'Scen NotEffectivelyVax (hypo)'!I35,'Scen NotEffectivelyVax (hypo)'!L35,'Scen NotEffectivelyVax (hypo)'!O35,'Scen NotEffectivelyVax (hypo)'!R35,'Scen NotEffectivelyVax (hypo)'!U35,'Scen NotEffectivelyVax (hypo)'!X35,'Scen NotEffectivelyVax (hypo)'!AA35,'Scen NotEffectivelyVax (hypo)'!AD35,'Scen NotEffectivelyVax (hypo)'!AG35,'Scen NotEffectivelyVax (hypo)'!AJ35,'Scen NotEffectivelyVax (hypo)'!AM35,'Scen NotEffectivelyVax (hypo)'!AP35,'Scen NotEffectivelyVax (hypo)'!AS35,'Scen NotEffectivelyVax (hypo)'!AV35,'Scen NotEffectivelyVax (hypo)'!AY35,'Scen NotEffectivelyVax (hypo)'!BB35,'Scen NotEffectivelyVax (hypo)'!BE35,'Scen NotEffectivelyVax (hypo)'!BH35,'Scen NotEffectivelyVax (hypo)'!BK35,'Scen NotEffectivelyVax (hypo)'!BN35,'Scen NotEffectivelyVax (hypo)'!BQ35,'Scen NotEffectivelyVax (hypo)'!BT35,'Scen NotEffectivelyVax (hypo)'!BW35,'Scen NotEffectivelyVax (hypo)'!BZ35,'Scen NotEffectivelyVax (hypo)'!CC35,'Scen NotEffectivelyVax (hypo)'!CF35,'Scen NotEffectivelyVax (hypo)'!CI35,'Scen NotEffectivelyVax (hypo)'!CL35,'Scen NotEffectivelyVax (hypo)'!CO35,'Scen NotEffectivelyVax (hypo)'!CR35,'Scen NotEffectivelyVax (hypo)'!CU35,'Scen NotEffectivelyVax (hypo)'!CX35,'Scen NotEffectivelyVax (hypo)'!DA35,'Scen NotEffectivelyVax (hypo)'!DD35,'Scen NotEffectivelyVax (hypo)'!DG35,'Scen NotEffectivelyVax (hypo)'!DJ35,'Scen NotEffectivelyVax (hypo)'!DM35,'Scen NotEffectivelyVax (hypo)'!DQ35,'Scen NotEffectivelyVax (hypo)'!DP35,'Scen NotEffectivelyVax (hypo)'!DS35,'Scen NotEffectivelyVax (hypo)'!DV35,'Scen NotEffectivelyVax (hypo)'!DY35,'Scen NotEffectivelyVax (hypo)'!EB35,'Scen NotEffectivelyVax (hypo)'!EE35,'Scen NotEffectivelyVax (hypo)'!EH35,'Scen NotEffectivelyVax (hypo)'!EK35,'Scen NotEffectivelyVax (hypo)'!EN35,'Scen NotEffectivelyVax (hypo)'!EQ35,'Scen NotEffectivelyVax (hypo)'!ET35,'Scen NotEffectivelyVax (hypo)'!EW35,'Scen NotEffectivelyVax (hypo)'!EZ35,'Scen NotEffectivelyVax (hypo)'!FC35,'Scen NotEffectivelyVax (hypo)'!FF35,'Scen NotEffectivelyVax (hypo)'!FI35,'Scen NotEffectivelyVax (hypo)'!FL35,'Scen NotEffectivelyVax (hypo)'!FO35,'Scen NotEffectivelyVax (hypo)'!FR35,'Scen NotEffectivelyVax (hypo)'!FU35,'Scen NotEffectivelyVax (hypo)'!FX35,'Scen NotEffectivelyVax (hypo)'!GA35)</f>
        <v>#VALUE!</v>
      </c>
      <c r="W35" s="141" t="e">
        <f>SUM('Scen NotEffectivelyVax (hypo)'!D35,'Scen NotEffectivelyVax (hypo)'!G35,'Scen NotEffectivelyVax (hypo)'!J35,'Scen NotEffectivelyVax (hypo)'!M35,'Scen NotEffectivelyVax (hypo)'!P35,'Scen NotEffectivelyVax (hypo)'!S35,'Scen NotEffectivelyVax (hypo)'!V35,'Scen NotEffectivelyVax (hypo)'!Y35,'Scen NotEffectivelyVax (hypo)'!AB35,'Scen NotEffectivelyVax (hypo)'!AE35,'Scen NotEffectivelyVax (hypo)'!AH35,'Scen NotEffectivelyVax (hypo)'!AK35,'Scen NotEffectivelyVax (hypo)'!AN35,'Scen NotEffectivelyVax (hypo)'!AQ35,'Scen NotEffectivelyVax (hypo)'!AT35,'Scen NotEffectivelyVax (hypo)'!AW35,'Scen NotEffectivelyVax (hypo)'!AZ35,'Scen NotEffectivelyVax (hypo)'!BC35,'Scen NotEffectivelyVax (hypo)'!BF35,'Scen NotEffectivelyVax (hypo)'!BI35,'Scen NotEffectivelyVax (hypo)'!BL35,'Scen NotEffectivelyVax (hypo)'!BO35,'Scen NotEffectivelyVax (hypo)'!BR35,'Scen NotEffectivelyVax (hypo)'!BU35,'Scen NotEffectivelyVax (hypo)'!BX35,'Scen NotEffectivelyVax (hypo)'!CA35,'Scen NotEffectivelyVax (hypo)'!CD35,'Scen NotEffectivelyVax (hypo)'!CG35,'Scen NotEffectivelyVax (hypo)'!CJ35,'Scen NotEffectivelyVax (hypo)'!CM35,'Scen NotEffectivelyVax (hypo)'!CP35,'Scen NotEffectivelyVax (hypo)'!CS35,'Scen NotEffectivelyVax (hypo)'!CV35,'Scen NotEffectivelyVax (hypo)'!CY35,'Scen NotEffectivelyVax (hypo)'!DB35,'Scen NotEffectivelyVax (hypo)'!DE35,'Scen NotEffectivelyVax (hypo)'!DH35,'Scen NotEffectivelyVax (hypo)'!DK35,'Scen NotEffectivelyVax (hypo)'!DN35,'Scen NotEffectivelyVax (hypo)'!DQ35,'Scen NotEffectivelyVax (hypo)'!DT35,'Scen NotEffectivelyVax (hypo)'!DW35,'Scen NotEffectivelyVax (hypo)'!DZ35,'Scen NotEffectivelyVax (hypo)'!EC35,'Scen NotEffectivelyVax (hypo)'!EF35,'Scen NotEffectivelyVax (hypo)'!EI35,'Scen NotEffectivelyVax (hypo)'!EL35,'Scen NotEffectivelyVax (hypo)'!EO35,'Scen NotEffectivelyVax (hypo)'!ER35,'Scen NotEffectivelyVax (hypo)'!EU35,'Scen NotEffectivelyVax (hypo)'!EX35,'Scen NotEffectivelyVax (hypo)'!FA35,'Scen NotEffectivelyVax (hypo)'!FD35,'Scen NotEffectivelyVax (hypo)'!FG35,'Scen NotEffectivelyVax (hypo)'!FJ35,'Scen NotEffectivelyVax (hypo)'!FM35,'Scen NotEffectivelyVax (hypo)'!FP35,'Scen NotEffectivelyVax (hypo)'!FS35,'Scen NotEffectivelyVax (hypo)'!FV35,'Scen NotEffectivelyVax (hypo)'!FY35)</f>
        <v>#VALUE!</v>
      </c>
      <c r="X35" s="141" t="e">
        <f>SUM('Scen NotEffectivelyVax (hypo)'!E35,'Scen NotEffectivelyVax (hypo)'!H35,'Scen NotEffectivelyVax (hypo)'!K35,'Scen NotEffectivelyVax (hypo)'!N35,'Scen NotEffectivelyVax (hypo)'!Q35,'Scen NotEffectivelyVax (hypo)'!T35,'Scen NotEffectivelyVax (hypo)'!Z35,'Scen NotEffectivelyVax (hypo)'!W35,'Scen NotEffectivelyVax (hypo)'!AC35,'Scen NotEffectivelyVax (hypo)'!AF35,'Scen NotEffectivelyVax (hypo)'!AI35,'Scen NotEffectivelyVax (hypo)'!AL35,'Scen NotEffectivelyVax (hypo)'!AO35,'Scen NotEffectivelyVax (hypo)'!AR35,'Scen NotEffectivelyVax (hypo)'!AU35,'Scen NotEffectivelyVax (hypo)'!AX35,'Scen NotEffectivelyVax (hypo)'!BA35,'Scen NotEffectivelyVax (hypo)'!BD35,'Scen NotEffectivelyVax (hypo)'!BG35,'Scen NotEffectivelyVax (hypo)'!BJ35,'Scen NotEffectivelyVax (hypo)'!BM35,'Scen NotEffectivelyVax (hypo)'!BP35,'Scen NotEffectivelyVax (hypo)'!BS35,'Scen NotEffectivelyVax (hypo)'!BV35,'Scen NotEffectivelyVax (hypo)'!BY35,'Scen NotEffectivelyVax (hypo)'!CB35,'Scen NotEffectivelyVax (hypo)'!CE35,'Scen NotEffectivelyVax (hypo)'!CH35,'Scen NotEffectivelyVax (hypo)'!CK35,'Scen NotEffectivelyVax (hypo)'!CN35,'Scen NotEffectivelyVax (hypo)'!CQ35,'Scen NotEffectivelyVax (hypo)'!CT35,'Scen NotEffectivelyVax (hypo)'!CW35,'Scen NotEffectivelyVax (hypo)'!CZ35,'Scen NotEffectivelyVax (hypo)'!DC35,'Scen NotEffectivelyVax (hypo)'!DF35,'Scen NotEffectivelyVax (hypo)'!DI35,'Scen NotEffectivelyVax (hypo)'!DL35,'Scen NotEffectivelyVax (hypo)'!DO35,'Scen NotEffectivelyVax (hypo)'!DR35,'Scen NotEffectivelyVax (hypo)'!DU35,'Scen NotEffectivelyVax (hypo)'!DX35,'Scen NotEffectivelyVax (hypo)'!EA35,'Scen NotEffectivelyVax (hypo)'!ED35,'Scen NotEffectivelyVax (hypo)'!EG35,'Scen NotEffectivelyVax (hypo)'!EJ35,'Scen NotEffectivelyVax (hypo)'!EM35,'Scen NotEffectivelyVax (hypo)'!EP35,'Scen NotEffectivelyVax (hypo)'!ES35,'Scen NotEffectivelyVax (hypo)'!EV35,'Scen NotEffectivelyVax (hypo)'!EY35,'Scen NotEffectivelyVax (hypo)'!FB35,'Scen NotEffectivelyVax (hypo)'!FE35,'Scen NotEffectivelyVax (hypo)'!FH35,'Scen NotEffectivelyVax (hypo)'!FK35,'Scen NotEffectivelyVax (hypo)'!FN35,'Scen NotEffectivelyVax (hypo)'!FQ35,'Scen NotEffectivelyVax (hypo)'!FT35,'Scen NotEffectivelyVax (hypo)'!FW35,'Scen NotEffectivelyVax (hypo)'!FZ35)</f>
        <v>#VALUE!</v>
      </c>
      <c r="Y35" s="142" t="e">
        <f t="shared" si="1"/>
        <v>#VALUE!</v>
      </c>
      <c r="Z35" s="142" t="e">
        <f>IF(Export!M33&lt;&gt;"",W35*Export!K33*(1/Export!M33),W35*Export!K33)</f>
        <v>#VALUE!</v>
      </c>
      <c r="AA35" s="139" t="e">
        <f>Y35*Export!J33</f>
        <v>#VALUE!</v>
      </c>
      <c r="AC35" s="143" t="e">
        <f t="shared" si="2"/>
        <v>#VALUE!</v>
      </c>
      <c r="AD35" s="144" t="e">
        <f t="shared" si="19"/>
        <v>#VALUE!</v>
      </c>
      <c r="AE35" s="144" t="e">
        <f t="shared" si="3"/>
        <v>#VALUE!</v>
      </c>
      <c r="AF35" s="144" t="e">
        <f t="shared" si="4"/>
        <v>#VALUE!</v>
      </c>
      <c r="AG35" s="144" t="e">
        <f t="shared" si="5"/>
        <v>#VALUE!</v>
      </c>
      <c r="AH35" s="145"/>
      <c r="AI35" s="145"/>
      <c r="AJ35" s="145"/>
      <c r="AK35" s="145"/>
      <c r="AL35" s="146"/>
      <c r="AM35" s="145"/>
      <c r="AN35" s="145"/>
      <c r="AO35" s="145"/>
      <c r="AP35" s="145"/>
      <c r="AQ35" s="146"/>
      <c r="AR35" s="150"/>
      <c r="AS35" s="150"/>
      <c r="AT35" s="150"/>
      <c r="AU35" s="150"/>
      <c r="AV35" s="151"/>
    </row>
    <row r="36" spans="1:48" x14ac:dyDescent="0.35">
      <c r="A36" s="130">
        <f>EffectivelyVax!B35</f>
        <v>2</v>
      </c>
      <c r="B36" s="131" t="str">
        <f>EffectivelyVax!C35</f>
        <v/>
      </c>
      <c r="C36" s="132" t="str">
        <f>Export!N34</f>
        <v/>
      </c>
      <c r="D36" s="133" t="str">
        <f>IF(Inputs!$F$10="1. Actual program", 'Current vaccine model'!W36, Export!C34)</f>
        <v/>
      </c>
      <c r="E36" s="133" t="e">
        <f>D36*Export!L34</f>
        <v>#VALUE!</v>
      </c>
      <c r="F36" s="133" t="e">
        <f t="shared" si="18"/>
        <v>#VALUE!</v>
      </c>
      <c r="G36" s="133" t="e">
        <f>IF(Export!M34&lt;&gt;"",D36*Export!K34*(1/Export!M34),D36*Export!K34)</f>
        <v>#VALUE!</v>
      </c>
      <c r="H36" s="133" t="e">
        <f>F36*Export!J34</f>
        <v>#VALUE!</v>
      </c>
      <c r="I36" s="133" t="e">
        <f t="shared" si="14"/>
        <v>#VALUE!</v>
      </c>
      <c r="J36" s="134" t="e">
        <f t="shared" si="8"/>
        <v>#VALUE!</v>
      </c>
      <c r="K36" s="135" t="e">
        <f t="shared" si="9"/>
        <v>#VALUE!</v>
      </c>
      <c r="L36" s="117">
        <f>'Scen EffectivelyVax'!A35</f>
        <v>0</v>
      </c>
      <c r="M36" s="115" t="e">
        <f>C36*L36*HelperFunctions!G$31</f>
        <v>#VALUE!</v>
      </c>
      <c r="N36" s="116" t="e">
        <f>C36*L36*(1-HelperFunctions!G$31)</f>
        <v>#VALUE!</v>
      </c>
      <c r="O36" s="136" t="e">
        <f t="shared" si="15"/>
        <v>#DIV/0!</v>
      </c>
      <c r="P36" s="137">
        <f>SUM('Scen EffectivelyVax'!D35:BK35)</f>
        <v>0</v>
      </c>
      <c r="Q36" s="138" t="e">
        <f t="shared" si="11"/>
        <v>#DIV/0!</v>
      </c>
      <c r="R36" s="138" t="e">
        <f t="shared" si="12"/>
        <v>#DIV/0!</v>
      </c>
      <c r="S36" s="137" t="e">
        <f t="shared" si="0"/>
        <v>#DIV/0!</v>
      </c>
      <c r="T36" s="138" t="e">
        <f>IF(Export!M34&lt;&gt;"",Q36*Export!K34*(1/Export!M34),Q36*Export!K34)</f>
        <v>#DIV/0!</v>
      </c>
      <c r="U36" s="139" t="e">
        <f>S36*Export!J34</f>
        <v>#DIV/0!</v>
      </c>
      <c r="V36" s="140" t="e">
        <f>SUM('Scen NotEffectivelyVax (hypo)'!F36,'Scen NotEffectivelyVax (hypo)'!I36,'Scen NotEffectivelyVax (hypo)'!L36,'Scen NotEffectivelyVax (hypo)'!O36,'Scen NotEffectivelyVax (hypo)'!R36,'Scen NotEffectivelyVax (hypo)'!U36,'Scen NotEffectivelyVax (hypo)'!X36,'Scen NotEffectivelyVax (hypo)'!AA36,'Scen NotEffectivelyVax (hypo)'!AD36,'Scen NotEffectivelyVax (hypo)'!AG36,'Scen NotEffectivelyVax (hypo)'!AJ36,'Scen NotEffectivelyVax (hypo)'!AM36,'Scen NotEffectivelyVax (hypo)'!AP36,'Scen NotEffectivelyVax (hypo)'!AS36,'Scen NotEffectivelyVax (hypo)'!AV36,'Scen NotEffectivelyVax (hypo)'!AY36,'Scen NotEffectivelyVax (hypo)'!BB36,'Scen NotEffectivelyVax (hypo)'!BE36,'Scen NotEffectivelyVax (hypo)'!BH36,'Scen NotEffectivelyVax (hypo)'!BK36,'Scen NotEffectivelyVax (hypo)'!BN36,'Scen NotEffectivelyVax (hypo)'!BQ36,'Scen NotEffectivelyVax (hypo)'!BT36,'Scen NotEffectivelyVax (hypo)'!BW36,'Scen NotEffectivelyVax (hypo)'!BZ36,'Scen NotEffectivelyVax (hypo)'!CC36,'Scen NotEffectivelyVax (hypo)'!CF36,'Scen NotEffectivelyVax (hypo)'!CI36,'Scen NotEffectivelyVax (hypo)'!CL36,'Scen NotEffectivelyVax (hypo)'!CO36,'Scen NotEffectivelyVax (hypo)'!CR36,'Scen NotEffectivelyVax (hypo)'!CU36,'Scen NotEffectivelyVax (hypo)'!CX36,'Scen NotEffectivelyVax (hypo)'!DA36,'Scen NotEffectivelyVax (hypo)'!DD36,'Scen NotEffectivelyVax (hypo)'!DG36,'Scen NotEffectivelyVax (hypo)'!DJ36,'Scen NotEffectivelyVax (hypo)'!DM36,'Scen NotEffectivelyVax (hypo)'!DQ36,'Scen NotEffectivelyVax (hypo)'!DP36,'Scen NotEffectivelyVax (hypo)'!DS36,'Scen NotEffectivelyVax (hypo)'!DV36,'Scen NotEffectivelyVax (hypo)'!DY36,'Scen NotEffectivelyVax (hypo)'!EB36,'Scen NotEffectivelyVax (hypo)'!EE36,'Scen NotEffectivelyVax (hypo)'!EH36,'Scen NotEffectivelyVax (hypo)'!EK36,'Scen NotEffectivelyVax (hypo)'!EN36,'Scen NotEffectivelyVax (hypo)'!EQ36,'Scen NotEffectivelyVax (hypo)'!ET36,'Scen NotEffectivelyVax (hypo)'!EW36,'Scen NotEffectivelyVax (hypo)'!EZ36,'Scen NotEffectivelyVax (hypo)'!FC36,'Scen NotEffectivelyVax (hypo)'!FF36,'Scen NotEffectivelyVax (hypo)'!FI36,'Scen NotEffectivelyVax (hypo)'!FL36,'Scen NotEffectivelyVax (hypo)'!FO36,'Scen NotEffectivelyVax (hypo)'!FR36,'Scen NotEffectivelyVax (hypo)'!FU36,'Scen NotEffectivelyVax (hypo)'!FX36,'Scen NotEffectivelyVax (hypo)'!GA36)</f>
        <v>#VALUE!</v>
      </c>
      <c r="W36" s="141" t="e">
        <f>SUM('Scen NotEffectivelyVax (hypo)'!D36,'Scen NotEffectivelyVax (hypo)'!G36,'Scen NotEffectivelyVax (hypo)'!J36,'Scen NotEffectivelyVax (hypo)'!M36,'Scen NotEffectivelyVax (hypo)'!P36,'Scen NotEffectivelyVax (hypo)'!S36,'Scen NotEffectivelyVax (hypo)'!V36,'Scen NotEffectivelyVax (hypo)'!Y36,'Scen NotEffectivelyVax (hypo)'!AB36,'Scen NotEffectivelyVax (hypo)'!AE36,'Scen NotEffectivelyVax (hypo)'!AH36,'Scen NotEffectivelyVax (hypo)'!AK36,'Scen NotEffectivelyVax (hypo)'!AN36,'Scen NotEffectivelyVax (hypo)'!AQ36,'Scen NotEffectivelyVax (hypo)'!AT36,'Scen NotEffectivelyVax (hypo)'!AW36,'Scen NotEffectivelyVax (hypo)'!AZ36,'Scen NotEffectivelyVax (hypo)'!BC36,'Scen NotEffectivelyVax (hypo)'!BF36,'Scen NotEffectivelyVax (hypo)'!BI36,'Scen NotEffectivelyVax (hypo)'!BL36,'Scen NotEffectivelyVax (hypo)'!BO36,'Scen NotEffectivelyVax (hypo)'!BR36,'Scen NotEffectivelyVax (hypo)'!BU36,'Scen NotEffectivelyVax (hypo)'!BX36,'Scen NotEffectivelyVax (hypo)'!CA36,'Scen NotEffectivelyVax (hypo)'!CD36,'Scen NotEffectivelyVax (hypo)'!CG36,'Scen NotEffectivelyVax (hypo)'!CJ36,'Scen NotEffectivelyVax (hypo)'!CM36,'Scen NotEffectivelyVax (hypo)'!CP36,'Scen NotEffectivelyVax (hypo)'!CS36,'Scen NotEffectivelyVax (hypo)'!CV36,'Scen NotEffectivelyVax (hypo)'!CY36,'Scen NotEffectivelyVax (hypo)'!DB36,'Scen NotEffectivelyVax (hypo)'!DE36,'Scen NotEffectivelyVax (hypo)'!DH36,'Scen NotEffectivelyVax (hypo)'!DK36,'Scen NotEffectivelyVax (hypo)'!DN36,'Scen NotEffectivelyVax (hypo)'!DQ36,'Scen NotEffectivelyVax (hypo)'!DT36,'Scen NotEffectivelyVax (hypo)'!DW36,'Scen NotEffectivelyVax (hypo)'!DZ36,'Scen NotEffectivelyVax (hypo)'!EC36,'Scen NotEffectivelyVax (hypo)'!EF36,'Scen NotEffectivelyVax (hypo)'!EI36,'Scen NotEffectivelyVax (hypo)'!EL36,'Scen NotEffectivelyVax (hypo)'!EO36,'Scen NotEffectivelyVax (hypo)'!ER36,'Scen NotEffectivelyVax (hypo)'!EU36,'Scen NotEffectivelyVax (hypo)'!EX36,'Scen NotEffectivelyVax (hypo)'!FA36,'Scen NotEffectivelyVax (hypo)'!FD36,'Scen NotEffectivelyVax (hypo)'!FG36,'Scen NotEffectivelyVax (hypo)'!FJ36,'Scen NotEffectivelyVax (hypo)'!FM36,'Scen NotEffectivelyVax (hypo)'!FP36,'Scen NotEffectivelyVax (hypo)'!FS36,'Scen NotEffectivelyVax (hypo)'!FV36,'Scen NotEffectivelyVax (hypo)'!FY36)</f>
        <v>#VALUE!</v>
      </c>
      <c r="X36" s="141" t="e">
        <f>SUM('Scen NotEffectivelyVax (hypo)'!E36,'Scen NotEffectivelyVax (hypo)'!H36,'Scen NotEffectivelyVax (hypo)'!K36,'Scen NotEffectivelyVax (hypo)'!N36,'Scen NotEffectivelyVax (hypo)'!Q36,'Scen NotEffectivelyVax (hypo)'!T36,'Scen NotEffectivelyVax (hypo)'!Z36,'Scen NotEffectivelyVax (hypo)'!W36,'Scen NotEffectivelyVax (hypo)'!AC36,'Scen NotEffectivelyVax (hypo)'!AF36,'Scen NotEffectivelyVax (hypo)'!AI36,'Scen NotEffectivelyVax (hypo)'!AL36,'Scen NotEffectivelyVax (hypo)'!AO36,'Scen NotEffectivelyVax (hypo)'!AR36,'Scen NotEffectivelyVax (hypo)'!AU36,'Scen NotEffectivelyVax (hypo)'!AX36,'Scen NotEffectivelyVax (hypo)'!BA36,'Scen NotEffectivelyVax (hypo)'!BD36,'Scen NotEffectivelyVax (hypo)'!BG36,'Scen NotEffectivelyVax (hypo)'!BJ36,'Scen NotEffectivelyVax (hypo)'!BM36,'Scen NotEffectivelyVax (hypo)'!BP36,'Scen NotEffectivelyVax (hypo)'!BS36,'Scen NotEffectivelyVax (hypo)'!BV36,'Scen NotEffectivelyVax (hypo)'!BY36,'Scen NotEffectivelyVax (hypo)'!CB36,'Scen NotEffectivelyVax (hypo)'!CE36,'Scen NotEffectivelyVax (hypo)'!CH36,'Scen NotEffectivelyVax (hypo)'!CK36,'Scen NotEffectivelyVax (hypo)'!CN36,'Scen NotEffectivelyVax (hypo)'!CQ36,'Scen NotEffectivelyVax (hypo)'!CT36,'Scen NotEffectivelyVax (hypo)'!CW36,'Scen NotEffectivelyVax (hypo)'!CZ36,'Scen NotEffectivelyVax (hypo)'!DC36,'Scen NotEffectivelyVax (hypo)'!DF36,'Scen NotEffectivelyVax (hypo)'!DI36,'Scen NotEffectivelyVax (hypo)'!DL36,'Scen NotEffectivelyVax (hypo)'!DO36,'Scen NotEffectivelyVax (hypo)'!DR36,'Scen NotEffectivelyVax (hypo)'!DU36,'Scen NotEffectivelyVax (hypo)'!DX36,'Scen NotEffectivelyVax (hypo)'!EA36,'Scen NotEffectivelyVax (hypo)'!ED36,'Scen NotEffectivelyVax (hypo)'!EG36,'Scen NotEffectivelyVax (hypo)'!EJ36,'Scen NotEffectivelyVax (hypo)'!EM36,'Scen NotEffectivelyVax (hypo)'!EP36,'Scen NotEffectivelyVax (hypo)'!ES36,'Scen NotEffectivelyVax (hypo)'!EV36,'Scen NotEffectivelyVax (hypo)'!EY36,'Scen NotEffectivelyVax (hypo)'!FB36,'Scen NotEffectivelyVax (hypo)'!FE36,'Scen NotEffectivelyVax (hypo)'!FH36,'Scen NotEffectivelyVax (hypo)'!FK36,'Scen NotEffectivelyVax (hypo)'!FN36,'Scen NotEffectivelyVax (hypo)'!FQ36,'Scen NotEffectivelyVax (hypo)'!FT36,'Scen NotEffectivelyVax (hypo)'!FW36,'Scen NotEffectivelyVax (hypo)'!FZ36)</f>
        <v>#VALUE!</v>
      </c>
      <c r="Y36" s="142" t="e">
        <f t="shared" si="1"/>
        <v>#VALUE!</v>
      </c>
      <c r="Z36" s="142" t="e">
        <f>IF(Export!M34&lt;&gt;"",W36*Export!K34*(1/Export!M34),W36*Export!K34)</f>
        <v>#VALUE!</v>
      </c>
      <c r="AA36" s="139" t="e">
        <f>Y36*Export!J34</f>
        <v>#VALUE!</v>
      </c>
      <c r="AC36" s="143" t="e">
        <f t="shared" si="2"/>
        <v>#VALUE!</v>
      </c>
      <c r="AD36" s="144" t="e">
        <f t="shared" si="19"/>
        <v>#VALUE!</v>
      </c>
      <c r="AE36" s="144" t="e">
        <f t="shared" si="3"/>
        <v>#VALUE!</v>
      </c>
      <c r="AF36" s="144" t="e">
        <f t="shared" si="4"/>
        <v>#VALUE!</v>
      </c>
      <c r="AG36" s="144" t="e">
        <f t="shared" si="5"/>
        <v>#VALUE!</v>
      </c>
      <c r="AH36" s="145"/>
      <c r="AI36" s="145"/>
      <c r="AJ36" s="145"/>
      <c r="AK36" s="145"/>
      <c r="AL36" s="146"/>
      <c r="AM36" s="145"/>
      <c r="AN36" s="145"/>
      <c r="AO36" s="145"/>
      <c r="AP36" s="145"/>
      <c r="AQ36" s="146"/>
      <c r="AR36" s="150"/>
      <c r="AS36" s="150"/>
      <c r="AT36" s="150"/>
      <c r="AU36" s="150"/>
      <c r="AV36" s="151"/>
    </row>
    <row r="37" spans="1:48" x14ac:dyDescent="0.35">
      <c r="A37" s="130">
        <f>EffectivelyVax!B36</f>
        <v>2</v>
      </c>
      <c r="B37" s="131" t="str">
        <f>EffectivelyVax!C36</f>
        <v/>
      </c>
      <c r="C37" s="132" t="str">
        <f>Export!N35</f>
        <v/>
      </c>
      <c r="D37" s="133" t="str">
        <f>IF(Inputs!$F$10="1. Actual program", 'Current vaccine model'!W37, Export!C35)</f>
        <v/>
      </c>
      <c r="E37" s="133" t="e">
        <f>D37*Export!L35</f>
        <v>#VALUE!</v>
      </c>
      <c r="F37" s="133" t="e">
        <f t="shared" si="18"/>
        <v>#VALUE!</v>
      </c>
      <c r="G37" s="133" t="e">
        <f>IF(Export!M35&lt;&gt;"",D37*Export!K35*(1/Export!M35),D37*Export!K35)</f>
        <v>#VALUE!</v>
      </c>
      <c r="H37" s="133" t="e">
        <f>F37*Export!J35</f>
        <v>#VALUE!</v>
      </c>
      <c r="I37" s="133" t="e">
        <f t="shared" si="14"/>
        <v>#VALUE!</v>
      </c>
      <c r="J37" s="134" t="e">
        <f t="shared" si="8"/>
        <v>#VALUE!</v>
      </c>
      <c r="K37" s="135" t="e">
        <f t="shared" si="9"/>
        <v>#VALUE!</v>
      </c>
      <c r="L37" s="117">
        <f>'Scen EffectivelyVax'!A36</f>
        <v>0</v>
      </c>
      <c r="M37" s="115" t="e">
        <f>C37*L37*HelperFunctions!G$31</f>
        <v>#VALUE!</v>
      </c>
      <c r="N37" s="116" t="e">
        <f>C37*L37*(1-HelperFunctions!G$31)</f>
        <v>#VALUE!</v>
      </c>
      <c r="O37" s="136" t="e">
        <f t="shared" si="15"/>
        <v>#DIV/0!</v>
      </c>
      <c r="P37" s="137">
        <f>SUM('Scen EffectivelyVax'!D36:BK36)</f>
        <v>0</v>
      </c>
      <c r="Q37" s="138" t="e">
        <f t="shared" si="11"/>
        <v>#DIV/0!</v>
      </c>
      <c r="R37" s="138" t="e">
        <f t="shared" si="12"/>
        <v>#DIV/0!</v>
      </c>
      <c r="S37" s="137" t="e">
        <f t="shared" si="0"/>
        <v>#DIV/0!</v>
      </c>
      <c r="T37" s="138" t="e">
        <f>IF(Export!M35&lt;&gt;"",Q37*Export!K35*(1/Export!M35),Q37*Export!K35)</f>
        <v>#DIV/0!</v>
      </c>
      <c r="U37" s="139" t="e">
        <f>S37*Export!J35</f>
        <v>#DIV/0!</v>
      </c>
      <c r="V37" s="140" t="e">
        <f>SUM('Scen NotEffectivelyVax (hypo)'!F37,'Scen NotEffectivelyVax (hypo)'!I37,'Scen NotEffectivelyVax (hypo)'!L37,'Scen NotEffectivelyVax (hypo)'!O37,'Scen NotEffectivelyVax (hypo)'!R37,'Scen NotEffectivelyVax (hypo)'!U37,'Scen NotEffectivelyVax (hypo)'!X37,'Scen NotEffectivelyVax (hypo)'!AA37,'Scen NotEffectivelyVax (hypo)'!AD37,'Scen NotEffectivelyVax (hypo)'!AG37,'Scen NotEffectivelyVax (hypo)'!AJ37,'Scen NotEffectivelyVax (hypo)'!AM37,'Scen NotEffectivelyVax (hypo)'!AP37,'Scen NotEffectivelyVax (hypo)'!AS37,'Scen NotEffectivelyVax (hypo)'!AV37,'Scen NotEffectivelyVax (hypo)'!AY37,'Scen NotEffectivelyVax (hypo)'!BB37,'Scen NotEffectivelyVax (hypo)'!BE37,'Scen NotEffectivelyVax (hypo)'!BH37,'Scen NotEffectivelyVax (hypo)'!BK37,'Scen NotEffectivelyVax (hypo)'!BN37,'Scen NotEffectivelyVax (hypo)'!BQ37,'Scen NotEffectivelyVax (hypo)'!BT37,'Scen NotEffectivelyVax (hypo)'!BW37,'Scen NotEffectivelyVax (hypo)'!BZ37,'Scen NotEffectivelyVax (hypo)'!CC37,'Scen NotEffectivelyVax (hypo)'!CF37,'Scen NotEffectivelyVax (hypo)'!CI37,'Scen NotEffectivelyVax (hypo)'!CL37,'Scen NotEffectivelyVax (hypo)'!CO37,'Scen NotEffectivelyVax (hypo)'!CR37,'Scen NotEffectivelyVax (hypo)'!CU37,'Scen NotEffectivelyVax (hypo)'!CX37,'Scen NotEffectivelyVax (hypo)'!DA37,'Scen NotEffectivelyVax (hypo)'!DD37,'Scen NotEffectivelyVax (hypo)'!DG37,'Scen NotEffectivelyVax (hypo)'!DJ37,'Scen NotEffectivelyVax (hypo)'!DM37,'Scen NotEffectivelyVax (hypo)'!DQ37,'Scen NotEffectivelyVax (hypo)'!DP37,'Scen NotEffectivelyVax (hypo)'!DS37,'Scen NotEffectivelyVax (hypo)'!DV37,'Scen NotEffectivelyVax (hypo)'!DY37,'Scen NotEffectivelyVax (hypo)'!EB37,'Scen NotEffectivelyVax (hypo)'!EE37,'Scen NotEffectivelyVax (hypo)'!EH37,'Scen NotEffectivelyVax (hypo)'!EK37,'Scen NotEffectivelyVax (hypo)'!EN37,'Scen NotEffectivelyVax (hypo)'!EQ37,'Scen NotEffectivelyVax (hypo)'!ET37,'Scen NotEffectivelyVax (hypo)'!EW37,'Scen NotEffectivelyVax (hypo)'!EZ37,'Scen NotEffectivelyVax (hypo)'!FC37,'Scen NotEffectivelyVax (hypo)'!FF37,'Scen NotEffectivelyVax (hypo)'!FI37,'Scen NotEffectivelyVax (hypo)'!FL37,'Scen NotEffectivelyVax (hypo)'!FO37,'Scen NotEffectivelyVax (hypo)'!FR37,'Scen NotEffectivelyVax (hypo)'!FU37,'Scen NotEffectivelyVax (hypo)'!FX37,'Scen NotEffectivelyVax (hypo)'!GA37)</f>
        <v>#VALUE!</v>
      </c>
      <c r="W37" s="141" t="e">
        <f>SUM('Scen NotEffectivelyVax (hypo)'!D37,'Scen NotEffectivelyVax (hypo)'!G37,'Scen NotEffectivelyVax (hypo)'!J37,'Scen NotEffectivelyVax (hypo)'!M37,'Scen NotEffectivelyVax (hypo)'!P37,'Scen NotEffectivelyVax (hypo)'!S37,'Scen NotEffectivelyVax (hypo)'!V37,'Scen NotEffectivelyVax (hypo)'!Y37,'Scen NotEffectivelyVax (hypo)'!AB37,'Scen NotEffectivelyVax (hypo)'!AE37,'Scen NotEffectivelyVax (hypo)'!AH37,'Scen NotEffectivelyVax (hypo)'!AK37,'Scen NotEffectivelyVax (hypo)'!AN37,'Scen NotEffectivelyVax (hypo)'!AQ37,'Scen NotEffectivelyVax (hypo)'!AT37,'Scen NotEffectivelyVax (hypo)'!AW37,'Scen NotEffectivelyVax (hypo)'!AZ37,'Scen NotEffectivelyVax (hypo)'!BC37,'Scen NotEffectivelyVax (hypo)'!BF37,'Scen NotEffectivelyVax (hypo)'!BI37,'Scen NotEffectivelyVax (hypo)'!BL37,'Scen NotEffectivelyVax (hypo)'!BO37,'Scen NotEffectivelyVax (hypo)'!BR37,'Scen NotEffectivelyVax (hypo)'!BU37,'Scen NotEffectivelyVax (hypo)'!BX37,'Scen NotEffectivelyVax (hypo)'!CA37,'Scen NotEffectivelyVax (hypo)'!CD37,'Scen NotEffectivelyVax (hypo)'!CG37,'Scen NotEffectivelyVax (hypo)'!CJ37,'Scen NotEffectivelyVax (hypo)'!CM37,'Scen NotEffectivelyVax (hypo)'!CP37,'Scen NotEffectivelyVax (hypo)'!CS37,'Scen NotEffectivelyVax (hypo)'!CV37,'Scen NotEffectivelyVax (hypo)'!CY37,'Scen NotEffectivelyVax (hypo)'!DB37,'Scen NotEffectivelyVax (hypo)'!DE37,'Scen NotEffectivelyVax (hypo)'!DH37,'Scen NotEffectivelyVax (hypo)'!DK37,'Scen NotEffectivelyVax (hypo)'!DN37,'Scen NotEffectivelyVax (hypo)'!DQ37,'Scen NotEffectivelyVax (hypo)'!DT37,'Scen NotEffectivelyVax (hypo)'!DW37,'Scen NotEffectivelyVax (hypo)'!DZ37,'Scen NotEffectivelyVax (hypo)'!EC37,'Scen NotEffectivelyVax (hypo)'!EF37,'Scen NotEffectivelyVax (hypo)'!EI37,'Scen NotEffectivelyVax (hypo)'!EL37,'Scen NotEffectivelyVax (hypo)'!EO37,'Scen NotEffectivelyVax (hypo)'!ER37,'Scen NotEffectivelyVax (hypo)'!EU37,'Scen NotEffectivelyVax (hypo)'!EX37,'Scen NotEffectivelyVax (hypo)'!FA37,'Scen NotEffectivelyVax (hypo)'!FD37,'Scen NotEffectivelyVax (hypo)'!FG37,'Scen NotEffectivelyVax (hypo)'!FJ37,'Scen NotEffectivelyVax (hypo)'!FM37,'Scen NotEffectivelyVax (hypo)'!FP37,'Scen NotEffectivelyVax (hypo)'!FS37,'Scen NotEffectivelyVax (hypo)'!FV37,'Scen NotEffectivelyVax (hypo)'!FY37)</f>
        <v>#VALUE!</v>
      </c>
      <c r="X37" s="141" t="e">
        <f>SUM('Scen NotEffectivelyVax (hypo)'!E37,'Scen NotEffectivelyVax (hypo)'!H37,'Scen NotEffectivelyVax (hypo)'!K37,'Scen NotEffectivelyVax (hypo)'!N37,'Scen NotEffectivelyVax (hypo)'!Q37,'Scen NotEffectivelyVax (hypo)'!T37,'Scen NotEffectivelyVax (hypo)'!Z37,'Scen NotEffectivelyVax (hypo)'!W37,'Scen NotEffectivelyVax (hypo)'!AC37,'Scen NotEffectivelyVax (hypo)'!AF37,'Scen NotEffectivelyVax (hypo)'!AI37,'Scen NotEffectivelyVax (hypo)'!AL37,'Scen NotEffectivelyVax (hypo)'!AO37,'Scen NotEffectivelyVax (hypo)'!AR37,'Scen NotEffectivelyVax (hypo)'!AU37,'Scen NotEffectivelyVax (hypo)'!AX37,'Scen NotEffectivelyVax (hypo)'!BA37,'Scen NotEffectivelyVax (hypo)'!BD37,'Scen NotEffectivelyVax (hypo)'!BG37,'Scen NotEffectivelyVax (hypo)'!BJ37,'Scen NotEffectivelyVax (hypo)'!BM37,'Scen NotEffectivelyVax (hypo)'!BP37,'Scen NotEffectivelyVax (hypo)'!BS37,'Scen NotEffectivelyVax (hypo)'!BV37,'Scen NotEffectivelyVax (hypo)'!BY37,'Scen NotEffectivelyVax (hypo)'!CB37,'Scen NotEffectivelyVax (hypo)'!CE37,'Scen NotEffectivelyVax (hypo)'!CH37,'Scen NotEffectivelyVax (hypo)'!CK37,'Scen NotEffectivelyVax (hypo)'!CN37,'Scen NotEffectivelyVax (hypo)'!CQ37,'Scen NotEffectivelyVax (hypo)'!CT37,'Scen NotEffectivelyVax (hypo)'!CW37,'Scen NotEffectivelyVax (hypo)'!CZ37,'Scen NotEffectivelyVax (hypo)'!DC37,'Scen NotEffectivelyVax (hypo)'!DF37,'Scen NotEffectivelyVax (hypo)'!DI37,'Scen NotEffectivelyVax (hypo)'!DL37,'Scen NotEffectivelyVax (hypo)'!DO37,'Scen NotEffectivelyVax (hypo)'!DR37,'Scen NotEffectivelyVax (hypo)'!DU37,'Scen NotEffectivelyVax (hypo)'!DX37,'Scen NotEffectivelyVax (hypo)'!EA37,'Scen NotEffectivelyVax (hypo)'!ED37,'Scen NotEffectivelyVax (hypo)'!EG37,'Scen NotEffectivelyVax (hypo)'!EJ37,'Scen NotEffectivelyVax (hypo)'!EM37,'Scen NotEffectivelyVax (hypo)'!EP37,'Scen NotEffectivelyVax (hypo)'!ES37,'Scen NotEffectivelyVax (hypo)'!EV37,'Scen NotEffectivelyVax (hypo)'!EY37,'Scen NotEffectivelyVax (hypo)'!FB37,'Scen NotEffectivelyVax (hypo)'!FE37,'Scen NotEffectivelyVax (hypo)'!FH37,'Scen NotEffectivelyVax (hypo)'!FK37,'Scen NotEffectivelyVax (hypo)'!FN37,'Scen NotEffectivelyVax (hypo)'!FQ37,'Scen NotEffectivelyVax (hypo)'!FT37,'Scen NotEffectivelyVax (hypo)'!FW37,'Scen NotEffectivelyVax (hypo)'!FZ37)</f>
        <v>#VALUE!</v>
      </c>
      <c r="Y37" s="142" t="e">
        <f t="shared" si="1"/>
        <v>#VALUE!</v>
      </c>
      <c r="Z37" s="142" t="e">
        <f>IF(Export!M35&lt;&gt;"",W37*Export!K35*(1/Export!M35),W37*Export!K35)</f>
        <v>#VALUE!</v>
      </c>
      <c r="AA37" s="139" t="e">
        <f>Y37*Export!J35</f>
        <v>#VALUE!</v>
      </c>
      <c r="AC37" s="143" t="e">
        <f t="shared" si="2"/>
        <v>#VALUE!</v>
      </c>
      <c r="AD37" s="144" t="e">
        <f t="shared" si="19"/>
        <v>#VALUE!</v>
      </c>
      <c r="AE37" s="144" t="e">
        <f t="shared" si="3"/>
        <v>#VALUE!</v>
      </c>
      <c r="AF37" s="144" t="e">
        <f t="shared" si="4"/>
        <v>#VALUE!</v>
      </c>
      <c r="AG37" s="144" t="e">
        <f t="shared" si="5"/>
        <v>#VALUE!</v>
      </c>
      <c r="AH37" s="145"/>
      <c r="AI37" s="145"/>
      <c r="AJ37" s="145"/>
      <c r="AK37" s="145"/>
      <c r="AL37" s="146"/>
      <c r="AM37" s="145"/>
      <c r="AN37" s="145"/>
      <c r="AO37" s="145"/>
      <c r="AP37" s="145"/>
      <c r="AQ37" s="146"/>
      <c r="AR37" s="150"/>
      <c r="AS37" s="150"/>
      <c r="AT37" s="150"/>
      <c r="AU37" s="150"/>
      <c r="AV37" s="151"/>
    </row>
    <row r="38" spans="1:48" x14ac:dyDescent="0.35">
      <c r="A38" s="130">
        <f>EffectivelyVax!B37</f>
        <v>2</v>
      </c>
      <c r="B38" s="131" t="str">
        <f>EffectivelyVax!C37</f>
        <v/>
      </c>
      <c r="C38" s="132" t="str">
        <f>Export!N36</f>
        <v/>
      </c>
      <c r="D38" s="133" t="str">
        <f>IF(Inputs!$F$10="1. Actual program", 'Current vaccine model'!W38, Export!C36)</f>
        <v/>
      </c>
      <c r="E38" s="133" t="e">
        <f>D38*Export!L36</f>
        <v>#VALUE!</v>
      </c>
      <c r="F38" s="133" t="e">
        <f t="shared" si="18"/>
        <v>#VALUE!</v>
      </c>
      <c r="G38" s="133" t="e">
        <f>IF(Export!M36&lt;&gt;"",D38*Export!K36*(1/Export!M36),D38*Export!K36)</f>
        <v>#VALUE!</v>
      </c>
      <c r="H38" s="133" t="e">
        <f>F38*Export!J36</f>
        <v>#VALUE!</v>
      </c>
      <c r="I38" s="133" t="e">
        <f t="shared" si="14"/>
        <v>#VALUE!</v>
      </c>
      <c r="J38" s="134" t="e">
        <f t="shared" si="8"/>
        <v>#VALUE!</v>
      </c>
      <c r="K38" s="135" t="e">
        <f t="shared" si="9"/>
        <v>#VALUE!</v>
      </c>
      <c r="L38" s="117">
        <f>'Scen EffectivelyVax'!A37</f>
        <v>0</v>
      </c>
      <c r="M38" s="115" t="e">
        <f>C38*L38*HelperFunctions!G$31</f>
        <v>#VALUE!</v>
      </c>
      <c r="N38" s="116" t="e">
        <f>C38*L38*(1-HelperFunctions!G$31)</f>
        <v>#VALUE!</v>
      </c>
      <c r="O38" s="136" t="e">
        <f t="shared" si="15"/>
        <v>#DIV/0!</v>
      </c>
      <c r="P38" s="137">
        <f>SUM('Scen EffectivelyVax'!D37:BK37)</f>
        <v>0</v>
      </c>
      <c r="Q38" s="138" t="e">
        <f t="shared" si="11"/>
        <v>#DIV/0!</v>
      </c>
      <c r="R38" s="138" t="e">
        <f t="shared" si="12"/>
        <v>#DIV/0!</v>
      </c>
      <c r="S38" s="137" t="e">
        <f t="shared" si="0"/>
        <v>#DIV/0!</v>
      </c>
      <c r="T38" s="138" t="e">
        <f>IF(Export!M36&lt;&gt;"",Q38*Export!K36*(1/Export!M36),Q38*Export!K36)</f>
        <v>#DIV/0!</v>
      </c>
      <c r="U38" s="139" t="e">
        <f>S38*Export!J36</f>
        <v>#DIV/0!</v>
      </c>
      <c r="V38" s="140" t="e">
        <f>SUM('Scen NotEffectivelyVax (hypo)'!F38,'Scen NotEffectivelyVax (hypo)'!I38,'Scen NotEffectivelyVax (hypo)'!L38,'Scen NotEffectivelyVax (hypo)'!O38,'Scen NotEffectivelyVax (hypo)'!R38,'Scen NotEffectivelyVax (hypo)'!U38,'Scen NotEffectivelyVax (hypo)'!X38,'Scen NotEffectivelyVax (hypo)'!AA38,'Scen NotEffectivelyVax (hypo)'!AD38,'Scen NotEffectivelyVax (hypo)'!AG38,'Scen NotEffectivelyVax (hypo)'!AJ38,'Scen NotEffectivelyVax (hypo)'!AM38,'Scen NotEffectivelyVax (hypo)'!AP38,'Scen NotEffectivelyVax (hypo)'!AS38,'Scen NotEffectivelyVax (hypo)'!AV38,'Scen NotEffectivelyVax (hypo)'!AY38,'Scen NotEffectivelyVax (hypo)'!BB38,'Scen NotEffectivelyVax (hypo)'!BE38,'Scen NotEffectivelyVax (hypo)'!BH38,'Scen NotEffectivelyVax (hypo)'!BK38,'Scen NotEffectivelyVax (hypo)'!BN38,'Scen NotEffectivelyVax (hypo)'!BQ38,'Scen NotEffectivelyVax (hypo)'!BT38,'Scen NotEffectivelyVax (hypo)'!BW38,'Scen NotEffectivelyVax (hypo)'!BZ38,'Scen NotEffectivelyVax (hypo)'!CC38,'Scen NotEffectivelyVax (hypo)'!CF38,'Scen NotEffectivelyVax (hypo)'!CI38,'Scen NotEffectivelyVax (hypo)'!CL38,'Scen NotEffectivelyVax (hypo)'!CO38,'Scen NotEffectivelyVax (hypo)'!CR38,'Scen NotEffectivelyVax (hypo)'!CU38,'Scen NotEffectivelyVax (hypo)'!CX38,'Scen NotEffectivelyVax (hypo)'!DA38,'Scen NotEffectivelyVax (hypo)'!DD38,'Scen NotEffectivelyVax (hypo)'!DG38,'Scen NotEffectivelyVax (hypo)'!DJ38,'Scen NotEffectivelyVax (hypo)'!DM38,'Scen NotEffectivelyVax (hypo)'!DQ38,'Scen NotEffectivelyVax (hypo)'!DP38,'Scen NotEffectivelyVax (hypo)'!DS38,'Scen NotEffectivelyVax (hypo)'!DV38,'Scen NotEffectivelyVax (hypo)'!DY38,'Scen NotEffectivelyVax (hypo)'!EB38,'Scen NotEffectivelyVax (hypo)'!EE38,'Scen NotEffectivelyVax (hypo)'!EH38,'Scen NotEffectivelyVax (hypo)'!EK38,'Scen NotEffectivelyVax (hypo)'!EN38,'Scen NotEffectivelyVax (hypo)'!EQ38,'Scen NotEffectivelyVax (hypo)'!ET38,'Scen NotEffectivelyVax (hypo)'!EW38,'Scen NotEffectivelyVax (hypo)'!EZ38,'Scen NotEffectivelyVax (hypo)'!FC38,'Scen NotEffectivelyVax (hypo)'!FF38,'Scen NotEffectivelyVax (hypo)'!FI38,'Scen NotEffectivelyVax (hypo)'!FL38,'Scen NotEffectivelyVax (hypo)'!FO38,'Scen NotEffectivelyVax (hypo)'!FR38,'Scen NotEffectivelyVax (hypo)'!FU38,'Scen NotEffectivelyVax (hypo)'!FX38,'Scen NotEffectivelyVax (hypo)'!GA38)</f>
        <v>#VALUE!</v>
      </c>
      <c r="W38" s="141" t="e">
        <f>SUM('Scen NotEffectivelyVax (hypo)'!D38,'Scen NotEffectivelyVax (hypo)'!G38,'Scen NotEffectivelyVax (hypo)'!J38,'Scen NotEffectivelyVax (hypo)'!M38,'Scen NotEffectivelyVax (hypo)'!P38,'Scen NotEffectivelyVax (hypo)'!S38,'Scen NotEffectivelyVax (hypo)'!V38,'Scen NotEffectivelyVax (hypo)'!Y38,'Scen NotEffectivelyVax (hypo)'!AB38,'Scen NotEffectivelyVax (hypo)'!AE38,'Scen NotEffectivelyVax (hypo)'!AH38,'Scen NotEffectivelyVax (hypo)'!AK38,'Scen NotEffectivelyVax (hypo)'!AN38,'Scen NotEffectivelyVax (hypo)'!AQ38,'Scen NotEffectivelyVax (hypo)'!AT38,'Scen NotEffectivelyVax (hypo)'!AW38,'Scen NotEffectivelyVax (hypo)'!AZ38,'Scen NotEffectivelyVax (hypo)'!BC38,'Scen NotEffectivelyVax (hypo)'!BF38,'Scen NotEffectivelyVax (hypo)'!BI38,'Scen NotEffectivelyVax (hypo)'!BL38,'Scen NotEffectivelyVax (hypo)'!BO38,'Scen NotEffectivelyVax (hypo)'!BR38,'Scen NotEffectivelyVax (hypo)'!BU38,'Scen NotEffectivelyVax (hypo)'!BX38,'Scen NotEffectivelyVax (hypo)'!CA38,'Scen NotEffectivelyVax (hypo)'!CD38,'Scen NotEffectivelyVax (hypo)'!CG38,'Scen NotEffectivelyVax (hypo)'!CJ38,'Scen NotEffectivelyVax (hypo)'!CM38,'Scen NotEffectivelyVax (hypo)'!CP38,'Scen NotEffectivelyVax (hypo)'!CS38,'Scen NotEffectivelyVax (hypo)'!CV38,'Scen NotEffectivelyVax (hypo)'!CY38,'Scen NotEffectivelyVax (hypo)'!DB38,'Scen NotEffectivelyVax (hypo)'!DE38,'Scen NotEffectivelyVax (hypo)'!DH38,'Scen NotEffectivelyVax (hypo)'!DK38,'Scen NotEffectivelyVax (hypo)'!DN38,'Scen NotEffectivelyVax (hypo)'!DQ38,'Scen NotEffectivelyVax (hypo)'!DT38,'Scen NotEffectivelyVax (hypo)'!DW38,'Scen NotEffectivelyVax (hypo)'!DZ38,'Scen NotEffectivelyVax (hypo)'!EC38,'Scen NotEffectivelyVax (hypo)'!EF38,'Scen NotEffectivelyVax (hypo)'!EI38,'Scen NotEffectivelyVax (hypo)'!EL38,'Scen NotEffectivelyVax (hypo)'!EO38,'Scen NotEffectivelyVax (hypo)'!ER38,'Scen NotEffectivelyVax (hypo)'!EU38,'Scen NotEffectivelyVax (hypo)'!EX38,'Scen NotEffectivelyVax (hypo)'!FA38,'Scen NotEffectivelyVax (hypo)'!FD38,'Scen NotEffectivelyVax (hypo)'!FG38,'Scen NotEffectivelyVax (hypo)'!FJ38,'Scen NotEffectivelyVax (hypo)'!FM38,'Scen NotEffectivelyVax (hypo)'!FP38,'Scen NotEffectivelyVax (hypo)'!FS38,'Scen NotEffectivelyVax (hypo)'!FV38,'Scen NotEffectivelyVax (hypo)'!FY38)</f>
        <v>#VALUE!</v>
      </c>
      <c r="X38" s="141" t="e">
        <f>SUM('Scen NotEffectivelyVax (hypo)'!E38,'Scen NotEffectivelyVax (hypo)'!H38,'Scen NotEffectivelyVax (hypo)'!K38,'Scen NotEffectivelyVax (hypo)'!N38,'Scen NotEffectivelyVax (hypo)'!Q38,'Scen NotEffectivelyVax (hypo)'!T38,'Scen NotEffectivelyVax (hypo)'!Z38,'Scen NotEffectivelyVax (hypo)'!W38,'Scen NotEffectivelyVax (hypo)'!AC38,'Scen NotEffectivelyVax (hypo)'!AF38,'Scen NotEffectivelyVax (hypo)'!AI38,'Scen NotEffectivelyVax (hypo)'!AL38,'Scen NotEffectivelyVax (hypo)'!AO38,'Scen NotEffectivelyVax (hypo)'!AR38,'Scen NotEffectivelyVax (hypo)'!AU38,'Scen NotEffectivelyVax (hypo)'!AX38,'Scen NotEffectivelyVax (hypo)'!BA38,'Scen NotEffectivelyVax (hypo)'!BD38,'Scen NotEffectivelyVax (hypo)'!BG38,'Scen NotEffectivelyVax (hypo)'!BJ38,'Scen NotEffectivelyVax (hypo)'!BM38,'Scen NotEffectivelyVax (hypo)'!BP38,'Scen NotEffectivelyVax (hypo)'!BS38,'Scen NotEffectivelyVax (hypo)'!BV38,'Scen NotEffectivelyVax (hypo)'!BY38,'Scen NotEffectivelyVax (hypo)'!CB38,'Scen NotEffectivelyVax (hypo)'!CE38,'Scen NotEffectivelyVax (hypo)'!CH38,'Scen NotEffectivelyVax (hypo)'!CK38,'Scen NotEffectivelyVax (hypo)'!CN38,'Scen NotEffectivelyVax (hypo)'!CQ38,'Scen NotEffectivelyVax (hypo)'!CT38,'Scen NotEffectivelyVax (hypo)'!CW38,'Scen NotEffectivelyVax (hypo)'!CZ38,'Scen NotEffectivelyVax (hypo)'!DC38,'Scen NotEffectivelyVax (hypo)'!DF38,'Scen NotEffectivelyVax (hypo)'!DI38,'Scen NotEffectivelyVax (hypo)'!DL38,'Scen NotEffectivelyVax (hypo)'!DO38,'Scen NotEffectivelyVax (hypo)'!DR38,'Scen NotEffectivelyVax (hypo)'!DU38,'Scen NotEffectivelyVax (hypo)'!DX38,'Scen NotEffectivelyVax (hypo)'!EA38,'Scen NotEffectivelyVax (hypo)'!ED38,'Scen NotEffectivelyVax (hypo)'!EG38,'Scen NotEffectivelyVax (hypo)'!EJ38,'Scen NotEffectivelyVax (hypo)'!EM38,'Scen NotEffectivelyVax (hypo)'!EP38,'Scen NotEffectivelyVax (hypo)'!ES38,'Scen NotEffectivelyVax (hypo)'!EV38,'Scen NotEffectivelyVax (hypo)'!EY38,'Scen NotEffectivelyVax (hypo)'!FB38,'Scen NotEffectivelyVax (hypo)'!FE38,'Scen NotEffectivelyVax (hypo)'!FH38,'Scen NotEffectivelyVax (hypo)'!FK38,'Scen NotEffectivelyVax (hypo)'!FN38,'Scen NotEffectivelyVax (hypo)'!FQ38,'Scen NotEffectivelyVax (hypo)'!FT38,'Scen NotEffectivelyVax (hypo)'!FW38,'Scen NotEffectivelyVax (hypo)'!FZ38)</f>
        <v>#VALUE!</v>
      </c>
      <c r="Y38" s="142" t="e">
        <f t="shared" si="1"/>
        <v>#VALUE!</v>
      </c>
      <c r="Z38" s="142" t="e">
        <f>IF(Export!M36&lt;&gt;"",W38*Export!K36*(1/Export!M36),W38*Export!K36)</f>
        <v>#VALUE!</v>
      </c>
      <c r="AA38" s="139" t="e">
        <f>Y38*Export!J36</f>
        <v>#VALUE!</v>
      </c>
      <c r="AC38" s="143" t="e">
        <f t="shared" si="2"/>
        <v>#VALUE!</v>
      </c>
      <c r="AD38" s="144" t="e">
        <f t="shared" si="19"/>
        <v>#VALUE!</v>
      </c>
      <c r="AE38" s="144" t="e">
        <f t="shared" si="3"/>
        <v>#VALUE!</v>
      </c>
      <c r="AF38" s="144" t="e">
        <f t="shared" si="4"/>
        <v>#VALUE!</v>
      </c>
      <c r="AG38" s="144" t="e">
        <f t="shared" si="5"/>
        <v>#VALUE!</v>
      </c>
      <c r="AH38" s="145"/>
      <c r="AI38" s="145"/>
      <c r="AJ38" s="145"/>
      <c r="AK38" s="145"/>
      <c r="AL38" s="146"/>
      <c r="AM38" s="145"/>
      <c r="AN38" s="145"/>
      <c r="AO38" s="145"/>
      <c r="AP38" s="145"/>
      <c r="AQ38" s="146"/>
      <c r="AR38" s="150"/>
      <c r="AS38" s="150"/>
      <c r="AT38" s="150"/>
      <c r="AU38" s="150"/>
      <c r="AV38" s="151"/>
    </row>
    <row r="39" spans="1:48" ht="15.75" customHeight="1" x14ac:dyDescent="0.35">
      <c r="A39" s="95">
        <f>EffectivelyVax!B38</f>
        <v>2</v>
      </c>
      <c r="B39" s="96" t="str">
        <f>EffectivelyVax!C38</f>
        <v/>
      </c>
      <c r="C39" s="97" t="str">
        <f>Export!N37</f>
        <v/>
      </c>
      <c r="D39" s="98" t="str">
        <f>IF(Inputs!$F$10="1. Actual program", 'Current vaccine model'!W39, Export!C37)</f>
        <v/>
      </c>
      <c r="E39" s="98" t="e">
        <f>D39*Export!L37</f>
        <v>#VALUE!</v>
      </c>
      <c r="F39" s="98" t="e">
        <f t="shared" si="18"/>
        <v>#VALUE!</v>
      </c>
      <c r="G39" s="98" t="e">
        <f>IF(Export!M37&lt;&gt;"",D39*Export!K37*(1/Export!M37),D39*Export!K37)</f>
        <v>#VALUE!</v>
      </c>
      <c r="H39" s="98" t="e">
        <f>F39*Export!J37</f>
        <v>#VALUE!</v>
      </c>
      <c r="I39" s="98" t="e">
        <f t="shared" si="14"/>
        <v>#VALUE!</v>
      </c>
      <c r="J39" s="99" t="e">
        <f t="shared" si="8"/>
        <v>#VALUE!</v>
      </c>
      <c r="K39" s="100" t="e">
        <f t="shared" si="9"/>
        <v>#VALUE!</v>
      </c>
      <c r="L39" s="101">
        <f>'Scen EffectivelyVax'!A38</f>
        <v>0</v>
      </c>
      <c r="M39" s="102" t="e">
        <f>C39*L39*HelperFunctions!G$31</f>
        <v>#VALUE!</v>
      </c>
      <c r="N39" s="103" t="e">
        <f>C39*L39*(1-HelperFunctions!G$31)</f>
        <v>#VALUE!</v>
      </c>
      <c r="O39" s="104" t="e">
        <f t="shared" si="15"/>
        <v>#DIV/0!</v>
      </c>
      <c r="P39" s="105">
        <f>SUM('Scen EffectivelyVax'!D38:BK38)</f>
        <v>0</v>
      </c>
      <c r="Q39" s="106" t="e">
        <f t="shared" si="11"/>
        <v>#DIV/0!</v>
      </c>
      <c r="R39" s="106" t="e">
        <f t="shared" si="12"/>
        <v>#DIV/0!</v>
      </c>
      <c r="S39" s="105" t="e">
        <f t="shared" si="0"/>
        <v>#DIV/0!</v>
      </c>
      <c r="T39" s="106" t="e">
        <f>IF(Export!M37&lt;&gt;"",Q39*Export!K37*(1/Export!M37),Q39*Export!K37)</f>
        <v>#DIV/0!</v>
      </c>
      <c r="U39" s="107" t="e">
        <f>S39*Export!J37</f>
        <v>#DIV/0!</v>
      </c>
      <c r="V39" s="108" t="e">
        <f>SUM('Scen NotEffectivelyVax (hypo)'!F39,'Scen NotEffectivelyVax (hypo)'!I39,'Scen NotEffectivelyVax (hypo)'!L39,'Scen NotEffectivelyVax (hypo)'!O39,'Scen NotEffectivelyVax (hypo)'!R39,'Scen NotEffectivelyVax (hypo)'!U39,'Scen NotEffectivelyVax (hypo)'!X39,'Scen NotEffectivelyVax (hypo)'!AA39,'Scen NotEffectivelyVax (hypo)'!AD39,'Scen NotEffectivelyVax (hypo)'!AG39,'Scen NotEffectivelyVax (hypo)'!AJ39,'Scen NotEffectivelyVax (hypo)'!AM39,'Scen NotEffectivelyVax (hypo)'!AP39,'Scen NotEffectivelyVax (hypo)'!AS39,'Scen NotEffectivelyVax (hypo)'!AV39,'Scen NotEffectivelyVax (hypo)'!AY39,'Scen NotEffectivelyVax (hypo)'!BB39,'Scen NotEffectivelyVax (hypo)'!BE39,'Scen NotEffectivelyVax (hypo)'!BH39,'Scen NotEffectivelyVax (hypo)'!BK39,'Scen NotEffectivelyVax (hypo)'!BN39,'Scen NotEffectivelyVax (hypo)'!BQ39,'Scen NotEffectivelyVax (hypo)'!BT39,'Scen NotEffectivelyVax (hypo)'!BW39,'Scen NotEffectivelyVax (hypo)'!BZ39,'Scen NotEffectivelyVax (hypo)'!CC39,'Scen NotEffectivelyVax (hypo)'!CF39,'Scen NotEffectivelyVax (hypo)'!CI39,'Scen NotEffectivelyVax (hypo)'!CL39,'Scen NotEffectivelyVax (hypo)'!CO39,'Scen NotEffectivelyVax (hypo)'!CR39,'Scen NotEffectivelyVax (hypo)'!CU39,'Scen NotEffectivelyVax (hypo)'!CX39,'Scen NotEffectivelyVax (hypo)'!DA39,'Scen NotEffectivelyVax (hypo)'!DD39,'Scen NotEffectivelyVax (hypo)'!DG39,'Scen NotEffectivelyVax (hypo)'!DJ39,'Scen NotEffectivelyVax (hypo)'!DM39,'Scen NotEffectivelyVax (hypo)'!DQ39,'Scen NotEffectivelyVax (hypo)'!DP39,'Scen NotEffectivelyVax (hypo)'!DS39,'Scen NotEffectivelyVax (hypo)'!DV39,'Scen NotEffectivelyVax (hypo)'!DY39,'Scen NotEffectivelyVax (hypo)'!EB39,'Scen NotEffectivelyVax (hypo)'!EE39,'Scen NotEffectivelyVax (hypo)'!EH39,'Scen NotEffectivelyVax (hypo)'!EK39,'Scen NotEffectivelyVax (hypo)'!EN39,'Scen NotEffectivelyVax (hypo)'!EQ39,'Scen NotEffectivelyVax (hypo)'!ET39,'Scen NotEffectivelyVax (hypo)'!EW39,'Scen NotEffectivelyVax (hypo)'!EZ39,'Scen NotEffectivelyVax (hypo)'!FC39,'Scen NotEffectivelyVax (hypo)'!FF39,'Scen NotEffectivelyVax (hypo)'!FI39,'Scen NotEffectivelyVax (hypo)'!FL39,'Scen NotEffectivelyVax (hypo)'!FO39,'Scen NotEffectivelyVax (hypo)'!FR39,'Scen NotEffectivelyVax (hypo)'!FU39,'Scen NotEffectivelyVax (hypo)'!FX39,'Scen NotEffectivelyVax (hypo)'!GA39)</f>
        <v>#VALUE!</v>
      </c>
      <c r="W39" s="109" t="e">
        <f>SUM('Scen NotEffectivelyVax (hypo)'!D39,'Scen NotEffectivelyVax (hypo)'!G39,'Scen NotEffectivelyVax (hypo)'!J39,'Scen NotEffectivelyVax (hypo)'!M39,'Scen NotEffectivelyVax (hypo)'!P39,'Scen NotEffectivelyVax (hypo)'!S39,'Scen NotEffectivelyVax (hypo)'!V39,'Scen NotEffectivelyVax (hypo)'!Y39,'Scen NotEffectivelyVax (hypo)'!AB39,'Scen NotEffectivelyVax (hypo)'!AE39,'Scen NotEffectivelyVax (hypo)'!AH39,'Scen NotEffectivelyVax (hypo)'!AK39,'Scen NotEffectivelyVax (hypo)'!AN39,'Scen NotEffectivelyVax (hypo)'!AQ39,'Scen NotEffectivelyVax (hypo)'!AT39,'Scen NotEffectivelyVax (hypo)'!AW39,'Scen NotEffectivelyVax (hypo)'!AZ39,'Scen NotEffectivelyVax (hypo)'!BC39,'Scen NotEffectivelyVax (hypo)'!BF39,'Scen NotEffectivelyVax (hypo)'!BI39,'Scen NotEffectivelyVax (hypo)'!BL39,'Scen NotEffectivelyVax (hypo)'!BO39,'Scen NotEffectivelyVax (hypo)'!BR39,'Scen NotEffectivelyVax (hypo)'!BU39,'Scen NotEffectivelyVax (hypo)'!BX39,'Scen NotEffectivelyVax (hypo)'!CA39,'Scen NotEffectivelyVax (hypo)'!CD39,'Scen NotEffectivelyVax (hypo)'!CG39,'Scen NotEffectivelyVax (hypo)'!CJ39,'Scen NotEffectivelyVax (hypo)'!CM39,'Scen NotEffectivelyVax (hypo)'!CP39,'Scen NotEffectivelyVax (hypo)'!CS39,'Scen NotEffectivelyVax (hypo)'!CV39,'Scen NotEffectivelyVax (hypo)'!CY39,'Scen NotEffectivelyVax (hypo)'!DB39,'Scen NotEffectivelyVax (hypo)'!DE39,'Scen NotEffectivelyVax (hypo)'!DH39,'Scen NotEffectivelyVax (hypo)'!DK39,'Scen NotEffectivelyVax (hypo)'!DN39,'Scen NotEffectivelyVax (hypo)'!DQ39,'Scen NotEffectivelyVax (hypo)'!DT39,'Scen NotEffectivelyVax (hypo)'!DW39,'Scen NotEffectivelyVax (hypo)'!DZ39,'Scen NotEffectivelyVax (hypo)'!EC39,'Scen NotEffectivelyVax (hypo)'!EF39,'Scen NotEffectivelyVax (hypo)'!EI39,'Scen NotEffectivelyVax (hypo)'!EL39,'Scen NotEffectivelyVax (hypo)'!EO39,'Scen NotEffectivelyVax (hypo)'!ER39,'Scen NotEffectivelyVax (hypo)'!EU39,'Scen NotEffectivelyVax (hypo)'!EX39,'Scen NotEffectivelyVax (hypo)'!FA39,'Scen NotEffectivelyVax (hypo)'!FD39,'Scen NotEffectivelyVax (hypo)'!FG39,'Scen NotEffectivelyVax (hypo)'!FJ39,'Scen NotEffectivelyVax (hypo)'!FM39,'Scen NotEffectivelyVax (hypo)'!FP39,'Scen NotEffectivelyVax (hypo)'!FS39,'Scen NotEffectivelyVax (hypo)'!FV39,'Scen NotEffectivelyVax (hypo)'!FY39)</f>
        <v>#VALUE!</v>
      </c>
      <c r="X39" s="109" t="e">
        <f>SUM('Scen NotEffectivelyVax (hypo)'!E39,'Scen NotEffectivelyVax (hypo)'!H39,'Scen NotEffectivelyVax (hypo)'!K39,'Scen NotEffectivelyVax (hypo)'!N39,'Scen NotEffectivelyVax (hypo)'!Q39,'Scen NotEffectivelyVax (hypo)'!T39,'Scen NotEffectivelyVax (hypo)'!Z39,'Scen NotEffectivelyVax (hypo)'!W39,'Scen NotEffectivelyVax (hypo)'!AC39,'Scen NotEffectivelyVax (hypo)'!AF39,'Scen NotEffectivelyVax (hypo)'!AI39,'Scen NotEffectivelyVax (hypo)'!AL39,'Scen NotEffectivelyVax (hypo)'!AO39,'Scen NotEffectivelyVax (hypo)'!AR39,'Scen NotEffectivelyVax (hypo)'!AU39,'Scen NotEffectivelyVax (hypo)'!AX39,'Scen NotEffectivelyVax (hypo)'!BA39,'Scen NotEffectivelyVax (hypo)'!BD39,'Scen NotEffectivelyVax (hypo)'!BG39,'Scen NotEffectivelyVax (hypo)'!BJ39,'Scen NotEffectivelyVax (hypo)'!BM39,'Scen NotEffectivelyVax (hypo)'!BP39,'Scen NotEffectivelyVax (hypo)'!BS39,'Scen NotEffectivelyVax (hypo)'!BV39,'Scen NotEffectivelyVax (hypo)'!BY39,'Scen NotEffectivelyVax (hypo)'!CB39,'Scen NotEffectivelyVax (hypo)'!CE39,'Scen NotEffectivelyVax (hypo)'!CH39,'Scen NotEffectivelyVax (hypo)'!CK39,'Scen NotEffectivelyVax (hypo)'!CN39,'Scen NotEffectivelyVax (hypo)'!CQ39,'Scen NotEffectivelyVax (hypo)'!CT39,'Scen NotEffectivelyVax (hypo)'!CW39,'Scen NotEffectivelyVax (hypo)'!CZ39,'Scen NotEffectivelyVax (hypo)'!DC39,'Scen NotEffectivelyVax (hypo)'!DF39,'Scen NotEffectivelyVax (hypo)'!DI39,'Scen NotEffectivelyVax (hypo)'!DL39,'Scen NotEffectivelyVax (hypo)'!DO39,'Scen NotEffectivelyVax (hypo)'!DR39,'Scen NotEffectivelyVax (hypo)'!DU39,'Scen NotEffectivelyVax (hypo)'!DX39,'Scen NotEffectivelyVax (hypo)'!EA39,'Scen NotEffectivelyVax (hypo)'!ED39,'Scen NotEffectivelyVax (hypo)'!EG39,'Scen NotEffectivelyVax (hypo)'!EJ39,'Scen NotEffectivelyVax (hypo)'!EM39,'Scen NotEffectivelyVax (hypo)'!EP39,'Scen NotEffectivelyVax (hypo)'!ES39,'Scen NotEffectivelyVax (hypo)'!EV39,'Scen NotEffectivelyVax (hypo)'!EY39,'Scen NotEffectivelyVax (hypo)'!FB39,'Scen NotEffectivelyVax (hypo)'!FE39,'Scen NotEffectivelyVax (hypo)'!FH39,'Scen NotEffectivelyVax (hypo)'!FK39,'Scen NotEffectivelyVax (hypo)'!FN39,'Scen NotEffectivelyVax (hypo)'!FQ39,'Scen NotEffectivelyVax (hypo)'!FT39,'Scen NotEffectivelyVax (hypo)'!FW39,'Scen NotEffectivelyVax (hypo)'!FZ39)</f>
        <v>#VALUE!</v>
      </c>
      <c r="Y39" s="110" t="e">
        <f t="shared" si="1"/>
        <v>#VALUE!</v>
      </c>
      <c r="Z39" s="110" t="e">
        <f>IF(Export!M37&lt;&gt;"",W39*Export!K37*(1/Export!M37),W39*Export!K37)</f>
        <v>#VALUE!</v>
      </c>
      <c r="AA39" s="107" t="e">
        <f>Y39*Export!J37</f>
        <v>#VALUE!</v>
      </c>
      <c r="AC39" s="156" t="e">
        <f t="shared" si="2"/>
        <v>#VALUE!</v>
      </c>
      <c r="AD39" s="157" t="e">
        <f t="shared" si="19"/>
        <v>#VALUE!</v>
      </c>
      <c r="AE39" s="157" t="e">
        <f t="shared" si="3"/>
        <v>#VALUE!</v>
      </c>
      <c r="AF39" s="157" t="e">
        <f t="shared" si="4"/>
        <v>#VALUE!</v>
      </c>
      <c r="AG39" s="157" t="e">
        <f t="shared" si="5"/>
        <v>#VALUE!</v>
      </c>
      <c r="AH39" s="268" t="e">
        <f>SUM(AC28:AC39)</f>
        <v>#VALUE!</v>
      </c>
      <c r="AI39" s="268" t="e">
        <f t="shared" ref="AI39" si="25">SUM(AD28:AD39)</f>
        <v>#VALUE!</v>
      </c>
      <c r="AJ39" s="268" t="e">
        <f t="shared" ref="AJ39" si="26">SUM(AE28:AE39)</f>
        <v>#VALUE!</v>
      </c>
      <c r="AK39" s="268" t="e">
        <f t="shared" ref="AK39" si="27">SUM(AF28:AF39)</f>
        <v>#VALUE!</v>
      </c>
      <c r="AL39" s="268" t="e">
        <f t="shared" ref="AL39" si="28">SUM(AG28:AG39)</f>
        <v>#VALUE!</v>
      </c>
      <c r="AM39" s="147" t="e">
        <f>SUM(AC28:AC39)/SUM(D28:D39)</f>
        <v>#VALUE!</v>
      </c>
      <c r="AN39" s="147" t="e">
        <f>SUM(AD28:AD39)/SUM(E28:E39)</f>
        <v>#VALUE!</v>
      </c>
      <c r="AO39" s="112" t="e">
        <f>SUM(AE28:AE39)/SUM(G28:G39)</f>
        <v>#VALUE!</v>
      </c>
      <c r="AP39" s="112" t="e">
        <f>SUM(AF28:AF39)/SUM(H28:H39)</f>
        <v>#VALUE!</v>
      </c>
      <c r="AQ39" s="111" t="e">
        <f>SUM(AG28:AG39)/SUM(F28:F39)</f>
        <v>#VALUE!</v>
      </c>
      <c r="AR39" s="148" t="e">
        <f>SUM($M28:$N39)/SUM(AC28:AC39)</f>
        <v>#VALUE!</v>
      </c>
      <c r="AS39" s="148" t="e">
        <f t="shared" ref="AS39" si="29">SUM($M28:$N39)/SUM(AD28:AD39)</f>
        <v>#VALUE!</v>
      </c>
      <c r="AT39" s="148" t="e">
        <f t="shared" ref="AT39" si="30">SUM($M28:$N39)/SUM(AE28:AE39)</f>
        <v>#VALUE!</v>
      </c>
      <c r="AU39" s="148" t="e">
        <f t="shared" ref="AU39" si="31">SUM($M28:$N39)/SUM(AF28:AF39)</f>
        <v>#VALUE!</v>
      </c>
      <c r="AV39" s="149" t="e">
        <f>SUM($M28:$N39)/SUM(AC28:AD39)</f>
        <v>#VALUE!</v>
      </c>
    </row>
    <row r="40" spans="1:48" x14ac:dyDescent="0.35">
      <c r="A40" s="158">
        <f>EffectivelyVax!B39</f>
        <v>3</v>
      </c>
      <c r="B40" s="159" t="str">
        <f>EffectivelyVax!C39</f>
        <v/>
      </c>
      <c r="C40" s="160" t="str">
        <f>Export!N38</f>
        <v/>
      </c>
      <c r="D40" s="161" t="str">
        <f>IF(Inputs!$F$10="1. Actual program", 'Current vaccine model'!W40, Export!C38)</f>
        <v/>
      </c>
      <c r="E40" s="133" t="e">
        <f>D40*Export!L38</f>
        <v>#VALUE!</v>
      </c>
      <c r="F40" s="161" t="e">
        <f t="shared" si="18"/>
        <v>#VALUE!</v>
      </c>
      <c r="G40" s="161" t="e">
        <f>IF(Export!M38&lt;&gt;"",D40*Export!K38*(1/Export!M38),D40*Export!K38)</f>
        <v>#VALUE!</v>
      </c>
      <c r="H40" s="161" t="e">
        <f>F40*Export!J38</f>
        <v>#VALUE!</v>
      </c>
      <c r="I40" s="161" t="e">
        <f t="shared" si="14"/>
        <v>#VALUE!</v>
      </c>
      <c r="J40" s="153" t="e">
        <f t="shared" si="8"/>
        <v>#VALUE!</v>
      </c>
      <c r="K40" s="162" t="e">
        <f t="shared" si="9"/>
        <v>#VALUE!</v>
      </c>
      <c r="L40" s="163">
        <f>'Scen EffectivelyVax'!A39</f>
        <v>0</v>
      </c>
      <c r="M40" s="164" t="e">
        <f>C40*L40*HelperFunctions!G$45</f>
        <v>#VALUE!</v>
      </c>
      <c r="N40" s="165" t="e">
        <f>C40*L40*(1-HelperFunctions!G$45)</f>
        <v>#VALUE!</v>
      </c>
      <c r="O40" s="166" t="e">
        <f t="shared" si="15"/>
        <v>#DIV/0!</v>
      </c>
      <c r="P40" s="167">
        <f>SUM('Scen EffectivelyVax'!D39:BK39)</f>
        <v>0</v>
      </c>
      <c r="Q40" s="155" t="e">
        <f t="shared" si="11"/>
        <v>#DIV/0!</v>
      </c>
      <c r="R40" s="155" t="e">
        <f t="shared" si="12"/>
        <v>#DIV/0!</v>
      </c>
      <c r="S40" s="167" t="e">
        <f t="shared" si="0"/>
        <v>#DIV/0!</v>
      </c>
      <c r="T40" s="155" t="e">
        <f>IF(Export!M38&lt;&gt;"",Q40*Export!K38*(1/Export!M38),Q40*Export!K38)</f>
        <v>#DIV/0!</v>
      </c>
      <c r="U40" s="154" t="e">
        <f>S40*Export!J38</f>
        <v>#DIV/0!</v>
      </c>
      <c r="V40" s="168" t="e">
        <f>SUM('Scen NotEffectivelyVax (hypo)'!F40,'Scen NotEffectivelyVax (hypo)'!I40,'Scen NotEffectivelyVax (hypo)'!L40,'Scen NotEffectivelyVax (hypo)'!O40,'Scen NotEffectivelyVax (hypo)'!R40,'Scen NotEffectivelyVax (hypo)'!U40,'Scen NotEffectivelyVax (hypo)'!X40,'Scen NotEffectivelyVax (hypo)'!AA40,'Scen NotEffectivelyVax (hypo)'!AD40,'Scen NotEffectivelyVax (hypo)'!AG40,'Scen NotEffectivelyVax (hypo)'!AJ40,'Scen NotEffectivelyVax (hypo)'!AM40,'Scen NotEffectivelyVax (hypo)'!AP40,'Scen NotEffectivelyVax (hypo)'!AS40,'Scen NotEffectivelyVax (hypo)'!AV40,'Scen NotEffectivelyVax (hypo)'!AY40,'Scen NotEffectivelyVax (hypo)'!BB40,'Scen NotEffectivelyVax (hypo)'!BE40,'Scen NotEffectivelyVax (hypo)'!BH40,'Scen NotEffectivelyVax (hypo)'!BK40,'Scen NotEffectivelyVax (hypo)'!BN40,'Scen NotEffectivelyVax (hypo)'!BQ40,'Scen NotEffectivelyVax (hypo)'!BT40,'Scen NotEffectivelyVax (hypo)'!BW40,'Scen NotEffectivelyVax (hypo)'!BZ40,'Scen NotEffectivelyVax (hypo)'!CC40,'Scen NotEffectivelyVax (hypo)'!CF40,'Scen NotEffectivelyVax (hypo)'!CI40,'Scen NotEffectivelyVax (hypo)'!CL40,'Scen NotEffectivelyVax (hypo)'!CO40,'Scen NotEffectivelyVax (hypo)'!CR40,'Scen NotEffectivelyVax (hypo)'!CU40,'Scen NotEffectivelyVax (hypo)'!CX40,'Scen NotEffectivelyVax (hypo)'!DA40,'Scen NotEffectivelyVax (hypo)'!DD40,'Scen NotEffectivelyVax (hypo)'!DG40,'Scen NotEffectivelyVax (hypo)'!DJ40,'Scen NotEffectivelyVax (hypo)'!DM40,'Scen NotEffectivelyVax (hypo)'!DQ40,'Scen NotEffectivelyVax (hypo)'!DP40,'Scen NotEffectivelyVax (hypo)'!DS40,'Scen NotEffectivelyVax (hypo)'!DV40,'Scen NotEffectivelyVax (hypo)'!DY40,'Scen NotEffectivelyVax (hypo)'!EB40,'Scen NotEffectivelyVax (hypo)'!EE40,'Scen NotEffectivelyVax (hypo)'!EH40,'Scen NotEffectivelyVax (hypo)'!EK40,'Scen NotEffectivelyVax (hypo)'!EN40,'Scen NotEffectivelyVax (hypo)'!EQ40,'Scen NotEffectivelyVax (hypo)'!ET40,'Scen NotEffectivelyVax (hypo)'!EW40,'Scen NotEffectivelyVax (hypo)'!EZ40,'Scen NotEffectivelyVax (hypo)'!FC40,'Scen NotEffectivelyVax (hypo)'!FF40,'Scen NotEffectivelyVax (hypo)'!FI40,'Scen NotEffectivelyVax (hypo)'!FL40,'Scen NotEffectivelyVax (hypo)'!FO40,'Scen NotEffectivelyVax (hypo)'!FR40,'Scen NotEffectivelyVax (hypo)'!FU40,'Scen NotEffectivelyVax (hypo)'!FX40,'Scen NotEffectivelyVax (hypo)'!GA40)</f>
        <v>#VALUE!</v>
      </c>
      <c r="W40" s="169" t="e">
        <f>SUM('Scen NotEffectivelyVax (hypo)'!D40,'Scen NotEffectivelyVax (hypo)'!G40,'Scen NotEffectivelyVax (hypo)'!J40,'Scen NotEffectivelyVax (hypo)'!M40,'Scen NotEffectivelyVax (hypo)'!P40,'Scen NotEffectivelyVax (hypo)'!S40,'Scen NotEffectivelyVax (hypo)'!V40,'Scen NotEffectivelyVax (hypo)'!Y40,'Scen NotEffectivelyVax (hypo)'!AB40,'Scen NotEffectivelyVax (hypo)'!AE40,'Scen NotEffectivelyVax (hypo)'!AH40,'Scen NotEffectivelyVax (hypo)'!AK40,'Scen NotEffectivelyVax (hypo)'!AN40,'Scen NotEffectivelyVax (hypo)'!AQ40,'Scen NotEffectivelyVax (hypo)'!AT40,'Scen NotEffectivelyVax (hypo)'!AW40,'Scen NotEffectivelyVax (hypo)'!AZ40,'Scen NotEffectivelyVax (hypo)'!BC40,'Scen NotEffectivelyVax (hypo)'!BF40,'Scen NotEffectivelyVax (hypo)'!BI40,'Scen NotEffectivelyVax (hypo)'!BL40,'Scen NotEffectivelyVax (hypo)'!BO40,'Scen NotEffectivelyVax (hypo)'!BR40,'Scen NotEffectivelyVax (hypo)'!BU40,'Scen NotEffectivelyVax (hypo)'!BX40,'Scen NotEffectivelyVax (hypo)'!CA40,'Scen NotEffectivelyVax (hypo)'!CD40,'Scen NotEffectivelyVax (hypo)'!CG40,'Scen NotEffectivelyVax (hypo)'!CJ40,'Scen NotEffectivelyVax (hypo)'!CM40,'Scen NotEffectivelyVax (hypo)'!CP40,'Scen NotEffectivelyVax (hypo)'!CS40,'Scen NotEffectivelyVax (hypo)'!CV40,'Scen NotEffectivelyVax (hypo)'!CY40,'Scen NotEffectivelyVax (hypo)'!DB40,'Scen NotEffectivelyVax (hypo)'!DE40,'Scen NotEffectivelyVax (hypo)'!DH40,'Scen NotEffectivelyVax (hypo)'!DK40,'Scen NotEffectivelyVax (hypo)'!DN40,'Scen NotEffectivelyVax (hypo)'!DQ40,'Scen NotEffectivelyVax (hypo)'!DT40,'Scen NotEffectivelyVax (hypo)'!DW40,'Scen NotEffectivelyVax (hypo)'!DZ40,'Scen NotEffectivelyVax (hypo)'!EC40,'Scen NotEffectivelyVax (hypo)'!EF40,'Scen NotEffectivelyVax (hypo)'!EI40,'Scen NotEffectivelyVax (hypo)'!EL40,'Scen NotEffectivelyVax (hypo)'!EO40,'Scen NotEffectivelyVax (hypo)'!ER40,'Scen NotEffectivelyVax (hypo)'!EU40,'Scen NotEffectivelyVax (hypo)'!EX40,'Scen NotEffectivelyVax (hypo)'!FA40,'Scen NotEffectivelyVax (hypo)'!FD40,'Scen NotEffectivelyVax (hypo)'!FG40,'Scen NotEffectivelyVax (hypo)'!FJ40,'Scen NotEffectivelyVax (hypo)'!FM40,'Scen NotEffectivelyVax (hypo)'!FP40,'Scen NotEffectivelyVax (hypo)'!FS40,'Scen NotEffectivelyVax (hypo)'!FV40,'Scen NotEffectivelyVax (hypo)'!FY40)</f>
        <v>#VALUE!</v>
      </c>
      <c r="X40" s="169" t="e">
        <f>SUM('Scen NotEffectivelyVax (hypo)'!E40,'Scen NotEffectivelyVax (hypo)'!H40,'Scen NotEffectivelyVax (hypo)'!K40,'Scen NotEffectivelyVax (hypo)'!N40,'Scen NotEffectivelyVax (hypo)'!Q40,'Scen NotEffectivelyVax (hypo)'!T40,'Scen NotEffectivelyVax (hypo)'!Z40,'Scen NotEffectivelyVax (hypo)'!W40,'Scen NotEffectivelyVax (hypo)'!AC40,'Scen NotEffectivelyVax (hypo)'!AF40,'Scen NotEffectivelyVax (hypo)'!AI40,'Scen NotEffectivelyVax (hypo)'!AL40,'Scen NotEffectivelyVax (hypo)'!AO40,'Scen NotEffectivelyVax (hypo)'!AR40,'Scen NotEffectivelyVax (hypo)'!AU40,'Scen NotEffectivelyVax (hypo)'!AX40,'Scen NotEffectivelyVax (hypo)'!BA40,'Scen NotEffectivelyVax (hypo)'!BD40,'Scen NotEffectivelyVax (hypo)'!BG40,'Scen NotEffectivelyVax (hypo)'!BJ40,'Scen NotEffectivelyVax (hypo)'!BM40,'Scen NotEffectivelyVax (hypo)'!BP40,'Scen NotEffectivelyVax (hypo)'!BS40,'Scen NotEffectivelyVax (hypo)'!BV40,'Scen NotEffectivelyVax (hypo)'!BY40,'Scen NotEffectivelyVax (hypo)'!CB40,'Scen NotEffectivelyVax (hypo)'!CE40,'Scen NotEffectivelyVax (hypo)'!CH40,'Scen NotEffectivelyVax (hypo)'!CK40,'Scen NotEffectivelyVax (hypo)'!CN40,'Scen NotEffectivelyVax (hypo)'!CQ40,'Scen NotEffectivelyVax (hypo)'!CT40,'Scen NotEffectivelyVax (hypo)'!CW40,'Scen NotEffectivelyVax (hypo)'!CZ40,'Scen NotEffectivelyVax (hypo)'!DC40,'Scen NotEffectivelyVax (hypo)'!DF40,'Scen NotEffectivelyVax (hypo)'!DI40,'Scen NotEffectivelyVax (hypo)'!DL40,'Scen NotEffectivelyVax (hypo)'!DO40,'Scen NotEffectivelyVax (hypo)'!DR40,'Scen NotEffectivelyVax (hypo)'!DU40,'Scen NotEffectivelyVax (hypo)'!DX40,'Scen NotEffectivelyVax (hypo)'!EA40,'Scen NotEffectivelyVax (hypo)'!ED40,'Scen NotEffectivelyVax (hypo)'!EG40,'Scen NotEffectivelyVax (hypo)'!EJ40,'Scen NotEffectivelyVax (hypo)'!EM40,'Scen NotEffectivelyVax (hypo)'!EP40,'Scen NotEffectivelyVax (hypo)'!ES40,'Scen NotEffectivelyVax (hypo)'!EV40,'Scen NotEffectivelyVax (hypo)'!EY40,'Scen NotEffectivelyVax (hypo)'!FB40,'Scen NotEffectivelyVax (hypo)'!FE40,'Scen NotEffectivelyVax (hypo)'!FH40,'Scen NotEffectivelyVax (hypo)'!FK40,'Scen NotEffectivelyVax (hypo)'!FN40,'Scen NotEffectivelyVax (hypo)'!FQ40,'Scen NotEffectivelyVax (hypo)'!FT40,'Scen NotEffectivelyVax (hypo)'!FW40,'Scen NotEffectivelyVax (hypo)'!FZ40)</f>
        <v>#VALUE!</v>
      </c>
      <c r="Y40" s="170" t="e">
        <f t="shared" si="1"/>
        <v>#VALUE!</v>
      </c>
      <c r="Z40" s="170" t="e">
        <f>IF(Export!M38&lt;&gt;"",W40*Export!K38*(1/Export!M38),W40*Export!K38)</f>
        <v>#VALUE!</v>
      </c>
      <c r="AA40" s="154" t="e">
        <f>Y40*Export!J38</f>
        <v>#VALUE!</v>
      </c>
      <c r="AC40" s="143" t="e">
        <f t="shared" si="2"/>
        <v>#VALUE!</v>
      </c>
      <c r="AD40" s="144" t="e">
        <f t="shared" si="19"/>
        <v>#VALUE!</v>
      </c>
      <c r="AE40" s="144" t="e">
        <f t="shared" si="3"/>
        <v>#VALUE!</v>
      </c>
      <c r="AF40" s="144" t="e">
        <f t="shared" si="4"/>
        <v>#VALUE!</v>
      </c>
      <c r="AG40" s="144" t="e">
        <f t="shared" si="5"/>
        <v>#VALUE!</v>
      </c>
      <c r="AH40" s="145"/>
      <c r="AI40" s="145"/>
      <c r="AJ40" s="145"/>
      <c r="AK40" s="145"/>
      <c r="AL40" s="146"/>
      <c r="AM40" s="145"/>
      <c r="AN40" s="145"/>
      <c r="AO40" s="145"/>
      <c r="AP40" s="145"/>
      <c r="AQ40" s="146"/>
      <c r="AR40" s="150"/>
      <c r="AS40" s="150"/>
      <c r="AT40" s="150"/>
      <c r="AU40" s="150"/>
      <c r="AV40" s="151"/>
    </row>
    <row r="41" spans="1:48" x14ac:dyDescent="0.35">
      <c r="A41" s="130">
        <f>EffectivelyVax!B40</f>
        <v>3</v>
      </c>
      <c r="B41" s="131" t="str">
        <f>EffectivelyVax!C40</f>
        <v/>
      </c>
      <c r="C41" s="132" t="str">
        <f>Export!N39</f>
        <v/>
      </c>
      <c r="D41" s="133" t="str">
        <f>IF(Inputs!$F$10="1. Actual program", 'Current vaccine model'!W41, Export!C39)</f>
        <v/>
      </c>
      <c r="E41" s="133" t="e">
        <f>D41*Export!L39</f>
        <v>#VALUE!</v>
      </c>
      <c r="F41" s="133" t="e">
        <f t="shared" si="18"/>
        <v>#VALUE!</v>
      </c>
      <c r="G41" s="133" t="e">
        <f>IF(Export!M39&lt;&gt;"",D41*Export!K39*(1/Export!M39),D41*Export!K39)</f>
        <v>#VALUE!</v>
      </c>
      <c r="H41" s="133" t="e">
        <f>F41*Export!J39</f>
        <v>#VALUE!</v>
      </c>
      <c r="I41" s="133" t="e">
        <f t="shared" si="14"/>
        <v>#VALUE!</v>
      </c>
      <c r="J41" s="134" t="e">
        <f t="shared" si="8"/>
        <v>#VALUE!</v>
      </c>
      <c r="K41" s="135" t="e">
        <f t="shared" si="9"/>
        <v>#VALUE!</v>
      </c>
      <c r="L41" s="117">
        <f>'Scen EffectivelyVax'!A40</f>
        <v>0</v>
      </c>
      <c r="M41" s="115" t="e">
        <f>C41*L41*HelperFunctions!G$45</f>
        <v>#VALUE!</v>
      </c>
      <c r="N41" s="116" t="e">
        <f>C41*L41*(1-HelperFunctions!G$45)</f>
        <v>#VALUE!</v>
      </c>
      <c r="O41" s="136" t="e">
        <f t="shared" si="15"/>
        <v>#DIV/0!</v>
      </c>
      <c r="P41" s="137">
        <f>SUM('Scen EffectivelyVax'!D40:BK40)</f>
        <v>0</v>
      </c>
      <c r="Q41" s="138" t="e">
        <f t="shared" si="11"/>
        <v>#DIV/0!</v>
      </c>
      <c r="R41" s="138" t="e">
        <f t="shared" si="12"/>
        <v>#DIV/0!</v>
      </c>
      <c r="S41" s="137" t="e">
        <f t="shared" si="0"/>
        <v>#DIV/0!</v>
      </c>
      <c r="T41" s="138" t="e">
        <f>IF(Export!M39&lt;&gt;"",Q41*Export!K39*(1/Export!M39),Q41*Export!K39)</f>
        <v>#DIV/0!</v>
      </c>
      <c r="U41" s="139" t="e">
        <f>S41*Export!J39</f>
        <v>#DIV/0!</v>
      </c>
      <c r="V41" s="140" t="e">
        <f>SUM('Scen NotEffectivelyVax (hypo)'!F41,'Scen NotEffectivelyVax (hypo)'!I41,'Scen NotEffectivelyVax (hypo)'!L41,'Scen NotEffectivelyVax (hypo)'!O41,'Scen NotEffectivelyVax (hypo)'!R41,'Scen NotEffectivelyVax (hypo)'!U41,'Scen NotEffectivelyVax (hypo)'!X41,'Scen NotEffectivelyVax (hypo)'!AA41,'Scen NotEffectivelyVax (hypo)'!AD41,'Scen NotEffectivelyVax (hypo)'!AG41,'Scen NotEffectivelyVax (hypo)'!AJ41,'Scen NotEffectivelyVax (hypo)'!AM41,'Scen NotEffectivelyVax (hypo)'!AP41,'Scen NotEffectivelyVax (hypo)'!AS41,'Scen NotEffectivelyVax (hypo)'!AV41,'Scen NotEffectivelyVax (hypo)'!AY41,'Scen NotEffectivelyVax (hypo)'!BB41,'Scen NotEffectivelyVax (hypo)'!BE41,'Scen NotEffectivelyVax (hypo)'!BH41,'Scen NotEffectivelyVax (hypo)'!BK41,'Scen NotEffectivelyVax (hypo)'!BN41,'Scen NotEffectivelyVax (hypo)'!BQ41,'Scen NotEffectivelyVax (hypo)'!BT41,'Scen NotEffectivelyVax (hypo)'!BW41,'Scen NotEffectivelyVax (hypo)'!BZ41,'Scen NotEffectivelyVax (hypo)'!CC41,'Scen NotEffectivelyVax (hypo)'!CF41,'Scen NotEffectivelyVax (hypo)'!CI41,'Scen NotEffectivelyVax (hypo)'!CL41,'Scen NotEffectivelyVax (hypo)'!CO41,'Scen NotEffectivelyVax (hypo)'!CR41,'Scen NotEffectivelyVax (hypo)'!CU41,'Scen NotEffectivelyVax (hypo)'!CX41,'Scen NotEffectivelyVax (hypo)'!DA41,'Scen NotEffectivelyVax (hypo)'!DD41,'Scen NotEffectivelyVax (hypo)'!DG41,'Scen NotEffectivelyVax (hypo)'!DJ41,'Scen NotEffectivelyVax (hypo)'!DM41,'Scen NotEffectivelyVax (hypo)'!DQ41,'Scen NotEffectivelyVax (hypo)'!DP41,'Scen NotEffectivelyVax (hypo)'!DS41,'Scen NotEffectivelyVax (hypo)'!DV41,'Scen NotEffectivelyVax (hypo)'!DY41,'Scen NotEffectivelyVax (hypo)'!EB41,'Scen NotEffectivelyVax (hypo)'!EE41,'Scen NotEffectivelyVax (hypo)'!EH41,'Scen NotEffectivelyVax (hypo)'!EK41,'Scen NotEffectivelyVax (hypo)'!EN41,'Scen NotEffectivelyVax (hypo)'!EQ41,'Scen NotEffectivelyVax (hypo)'!ET41,'Scen NotEffectivelyVax (hypo)'!EW41,'Scen NotEffectivelyVax (hypo)'!EZ41,'Scen NotEffectivelyVax (hypo)'!FC41,'Scen NotEffectivelyVax (hypo)'!FF41,'Scen NotEffectivelyVax (hypo)'!FI41,'Scen NotEffectivelyVax (hypo)'!FL41,'Scen NotEffectivelyVax (hypo)'!FO41,'Scen NotEffectivelyVax (hypo)'!FR41,'Scen NotEffectivelyVax (hypo)'!FU41,'Scen NotEffectivelyVax (hypo)'!FX41,'Scen NotEffectivelyVax (hypo)'!GA41)</f>
        <v>#VALUE!</v>
      </c>
      <c r="W41" s="141" t="e">
        <f>SUM('Scen NotEffectivelyVax (hypo)'!D41,'Scen NotEffectivelyVax (hypo)'!G41,'Scen NotEffectivelyVax (hypo)'!J41,'Scen NotEffectivelyVax (hypo)'!M41,'Scen NotEffectivelyVax (hypo)'!P41,'Scen NotEffectivelyVax (hypo)'!S41,'Scen NotEffectivelyVax (hypo)'!V41,'Scen NotEffectivelyVax (hypo)'!Y41,'Scen NotEffectivelyVax (hypo)'!AB41,'Scen NotEffectivelyVax (hypo)'!AE41,'Scen NotEffectivelyVax (hypo)'!AH41,'Scen NotEffectivelyVax (hypo)'!AK41,'Scen NotEffectivelyVax (hypo)'!AN41,'Scen NotEffectivelyVax (hypo)'!AQ41,'Scen NotEffectivelyVax (hypo)'!AT41,'Scen NotEffectivelyVax (hypo)'!AW41,'Scen NotEffectivelyVax (hypo)'!AZ41,'Scen NotEffectivelyVax (hypo)'!BC41,'Scen NotEffectivelyVax (hypo)'!BF41,'Scen NotEffectivelyVax (hypo)'!BI41,'Scen NotEffectivelyVax (hypo)'!BL41,'Scen NotEffectivelyVax (hypo)'!BO41,'Scen NotEffectivelyVax (hypo)'!BR41,'Scen NotEffectivelyVax (hypo)'!BU41,'Scen NotEffectivelyVax (hypo)'!BX41,'Scen NotEffectivelyVax (hypo)'!CA41,'Scen NotEffectivelyVax (hypo)'!CD41,'Scen NotEffectivelyVax (hypo)'!CG41,'Scen NotEffectivelyVax (hypo)'!CJ41,'Scen NotEffectivelyVax (hypo)'!CM41,'Scen NotEffectivelyVax (hypo)'!CP41,'Scen NotEffectivelyVax (hypo)'!CS41,'Scen NotEffectivelyVax (hypo)'!CV41,'Scen NotEffectivelyVax (hypo)'!CY41,'Scen NotEffectivelyVax (hypo)'!DB41,'Scen NotEffectivelyVax (hypo)'!DE41,'Scen NotEffectivelyVax (hypo)'!DH41,'Scen NotEffectivelyVax (hypo)'!DK41,'Scen NotEffectivelyVax (hypo)'!DN41,'Scen NotEffectivelyVax (hypo)'!DQ41,'Scen NotEffectivelyVax (hypo)'!DT41,'Scen NotEffectivelyVax (hypo)'!DW41,'Scen NotEffectivelyVax (hypo)'!DZ41,'Scen NotEffectivelyVax (hypo)'!EC41,'Scen NotEffectivelyVax (hypo)'!EF41,'Scen NotEffectivelyVax (hypo)'!EI41,'Scen NotEffectivelyVax (hypo)'!EL41,'Scen NotEffectivelyVax (hypo)'!EO41,'Scen NotEffectivelyVax (hypo)'!ER41,'Scen NotEffectivelyVax (hypo)'!EU41,'Scen NotEffectivelyVax (hypo)'!EX41,'Scen NotEffectivelyVax (hypo)'!FA41,'Scen NotEffectivelyVax (hypo)'!FD41,'Scen NotEffectivelyVax (hypo)'!FG41,'Scen NotEffectivelyVax (hypo)'!FJ41,'Scen NotEffectivelyVax (hypo)'!FM41,'Scen NotEffectivelyVax (hypo)'!FP41,'Scen NotEffectivelyVax (hypo)'!FS41,'Scen NotEffectivelyVax (hypo)'!FV41,'Scen NotEffectivelyVax (hypo)'!FY41)</f>
        <v>#VALUE!</v>
      </c>
      <c r="X41" s="141" t="e">
        <f>SUM('Scen NotEffectivelyVax (hypo)'!E41,'Scen NotEffectivelyVax (hypo)'!H41,'Scen NotEffectivelyVax (hypo)'!K41,'Scen NotEffectivelyVax (hypo)'!N41,'Scen NotEffectivelyVax (hypo)'!Q41,'Scen NotEffectivelyVax (hypo)'!T41,'Scen NotEffectivelyVax (hypo)'!Z41,'Scen NotEffectivelyVax (hypo)'!W41,'Scen NotEffectivelyVax (hypo)'!AC41,'Scen NotEffectivelyVax (hypo)'!AF41,'Scen NotEffectivelyVax (hypo)'!AI41,'Scen NotEffectivelyVax (hypo)'!AL41,'Scen NotEffectivelyVax (hypo)'!AO41,'Scen NotEffectivelyVax (hypo)'!AR41,'Scen NotEffectivelyVax (hypo)'!AU41,'Scen NotEffectivelyVax (hypo)'!AX41,'Scen NotEffectivelyVax (hypo)'!BA41,'Scen NotEffectivelyVax (hypo)'!BD41,'Scen NotEffectivelyVax (hypo)'!BG41,'Scen NotEffectivelyVax (hypo)'!BJ41,'Scen NotEffectivelyVax (hypo)'!BM41,'Scen NotEffectivelyVax (hypo)'!BP41,'Scen NotEffectivelyVax (hypo)'!BS41,'Scen NotEffectivelyVax (hypo)'!BV41,'Scen NotEffectivelyVax (hypo)'!BY41,'Scen NotEffectivelyVax (hypo)'!CB41,'Scen NotEffectivelyVax (hypo)'!CE41,'Scen NotEffectivelyVax (hypo)'!CH41,'Scen NotEffectivelyVax (hypo)'!CK41,'Scen NotEffectivelyVax (hypo)'!CN41,'Scen NotEffectivelyVax (hypo)'!CQ41,'Scen NotEffectivelyVax (hypo)'!CT41,'Scen NotEffectivelyVax (hypo)'!CW41,'Scen NotEffectivelyVax (hypo)'!CZ41,'Scen NotEffectivelyVax (hypo)'!DC41,'Scen NotEffectivelyVax (hypo)'!DF41,'Scen NotEffectivelyVax (hypo)'!DI41,'Scen NotEffectivelyVax (hypo)'!DL41,'Scen NotEffectivelyVax (hypo)'!DO41,'Scen NotEffectivelyVax (hypo)'!DR41,'Scen NotEffectivelyVax (hypo)'!DU41,'Scen NotEffectivelyVax (hypo)'!DX41,'Scen NotEffectivelyVax (hypo)'!EA41,'Scen NotEffectivelyVax (hypo)'!ED41,'Scen NotEffectivelyVax (hypo)'!EG41,'Scen NotEffectivelyVax (hypo)'!EJ41,'Scen NotEffectivelyVax (hypo)'!EM41,'Scen NotEffectivelyVax (hypo)'!EP41,'Scen NotEffectivelyVax (hypo)'!ES41,'Scen NotEffectivelyVax (hypo)'!EV41,'Scen NotEffectivelyVax (hypo)'!EY41,'Scen NotEffectivelyVax (hypo)'!FB41,'Scen NotEffectivelyVax (hypo)'!FE41,'Scen NotEffectivelyVax (hypo)'!FH41,'Scen NotEffectivelyVax (hypo)'!FK41,'Scen NotEffectivelyVax (hypo)'!FN41,'Scen NotEffectivelyVax (hypo)'!FQ41,'Scen NotEffectivelyVax (hypo)'!FT41,'Scen NotEffectivelyVax (hypo)'!FW41,'Scen NotEffectivelyVax (hypo)'!FZ41)</f>
        <v>#VALUE!</v>
      </c>
      <c r="Y41" s="142" t="e">
        <f t="shared" si="1"/>
        <v>#VALUE!</v>
      </c>
      <c r="Z41" s="142" t="e">
        <f>IF(Export!M39&lt;&gt;"",W41*Export!K39*(1/Export!M39),W41*Export!K39)</f>
        <v>#VALUE!</v>
      </c>
      <c r="AA41" s="139" t="e">
        <f>Y41*Export!J39</f>
        <v>#VALUE!</v>
      </c>
      <c r="AC41" s="143" t="e">
        <f t="shared" si="2"/>
        <v>#VALUE!</v>
      </c>
      <c r="AD41" s="144" t="e">
        <f t="shared" si="19"/>
        <v>#VALUE!</v>
      </c>
      <c r="AE41" s="144" t="e">
        <f t="shared" si="3"/>
        <v>#VALUE!</v>
      </c>
      <c r="AF41" s="144" t="e">
        <f t="shared" si="4"/>
        <v>#VALUE!</v>
      </c>
      <c r="AG41" s="144" t="e">
        <f t="shared" si="5"/>
        <v>#VALUE!</v>
      </c>
      <c r="AH41" s="145"/>
      <c r="AI41" s="145"/>
      <c r="AJ41" s="145"/>
      <c r="AK41" s="145"/>
      <c r="AL41" s="146"/>
      <c r="AM41" s="145"/>
      <c r="AN41" s="145"/>
      <c r="AO41" s="145"/>
      <c r="AP41" s="145"/>
      <c r="AQ41" s="146"/>
      <c r="AR41" s="150"/>
      <c r="AS41" s="150"/>
      <c r="AT41" s="150"/>
      <c r="AU41" s="150"/>
      <c r="AV41" s="151"/>
    </row>
    <row r="42" spans="1:48" x14ac:dyDescent="0.35">
      <c r="A42" s="130">
        <f>EffectivelyVax!B41</f>
        <v>3</v>
      </c>
      <c r="B42" s="131" t="str">
        <f>EffectivelyVax!C41</f>
        <v/>
      </c>
      <c r="C42" s="132" t="str">
        <f>Export!N40</f>
        <v/>
      </c>
      <c r="D42" s="133" t="str">
        <f>IF(Inputs!$F$10="1. Actual program", 'Current vaccine model'!W42, Export!C40)</f>
        <v/>
      </c>
      <c r="E42" s="133" t="e">
        <f>D42*Export!L40</f>
        <v>#VALUE!</v>
      </c>
      <c r="F42" s="133" t="e">
        <f t="shared" si="18"/>
        <v>#VALUE!</v>
      </c>
      <c r="G42" s="133" t="e">
        <f>IF(Export!M40&lt;&gt;"",D42*Export!K40*(1/Export!M40),D42*Export!K40)</f>
        <v>#VALUE!</v>
      </c>
      <c r="H42" s="133" t="e">
        <f>F42*Export!J40</f>
        <v>#VALUE!</v>
      </c>
      <c r="I42" s="133" t="e">
        <f t="shared" si="14"/>
        <v>#VALUE!</v>
      </c>
      <c r="J42" s="134" t="e">
        <f t="shared" si="8"/>
        <v>#VALUE!</v>
      </c>
      <c r="K42" s="135" t="e">
        <f t="shared" si="9"/>
        <v>#VALUE!</v>
      </c>
      <c r="L42" s="117">
        <f>'Scen EffectivelyVax'!A41</f>
        <v>0</v>
      </c>
      <c r="M42" s="115" t="e">
        <f>C42*L42*HelperFunctions!G$45</f>
        <v>#VALUE!</v>
      </c>
      <c r="N42" s="116" t="e">
        <f>C42*L42*(1-HelperFunctions!G$45)</f>
        <v>#VALUE!</v>
      </c>
      <c r="O42" s="136" t="e">
        <f t="shared" si="15"/>
        <v>#DIV/0!</v>
      </c>
      <c r="P42" s="137">
        <f>SUM('Scen EffectivelyVax'!D41:BK41)</f>
        <v>0</v>
      </c>
      <c r="Q42" s="138" t="e">
        <f t="shared" si="11"/>
        <v>#DIV/0!</v>
      </c>
      <c r="R42" s="138" t="e">
        <f t="shared" si="12"/>
        <v>#DIV/0!</v>
      </c>
      <c r="S42" s="137" t="e">
        <f t="shared" si="0"/>
        <v>#DIV/0!</v>
      </c>
      <c r="T42" s="138" t="e">
        <f>IF(Export!M40&lt;&gt;"",Q42*Export!K40*(1/Export!M40),Q42*Export!K40)</f>
        <v>#DIV/0!</v>
      </c>
      <c r="U42" s="139" t="e">
        <f>S42*Export!J40</f>
        <v>#DIV/0!</v>
      </c>
      <c r="V42" s="140" t="e">
        <f>SUM('Scen NotEffectivelyVax (hypo)'!F42,'Scen NotEffectivelyVax (hypo)'!I42,'Scen NotEffectivelyVax (hypo)'!L42,'Scen NotEffectivelyVax (hypo)'!O42,'Scen NotEffectivelyVax (hypo)'!R42,'Scen NotEffectivelyVax (hypo)'!U42,'Scen NotEffectivelyVax (hypo)'!X42,'Scen NotEffectivelyVax (hypo)'!AA42,'Scen NotEffectivelyVax (hypo)'!AD42,'Scen NotEffectivelyVax (hypo)'!AG42,'Scen NotEffectivelyVax (hypo)'!AJ42,'Scen NotEffectivelyVax (hypo)'!AM42,'Scen NotEffectivelyVax (hypo)'!AP42,'Scen NotEffectivelyVax (hypo)'!AS42,'Scen NotEffectivelyVax (hypo)'!AV42,'Scen NotEffectivelyVax (hypo)'!AY42,'Scen NotEffectivelyVax (hypo)'!BB42,'Scen NotEffectivelyVax (hypo)'!BE42,'Scen NotEffectivelyVax (hypo)'!BH42,'Scen NotEffectivelyVax (hypo)'!BK42,'Scen NotEffectivelyVax (hypo)'!BN42,'Scen NotEffectivelyVax (hypo)'!BQ42,'Scen NotEffectivelyVax (hypo)'!BT42,'Scen NotEffectivelyVax (hypo)'!BW42,'Scen NotEffectivelyVax (hypo)'!BZ42,'Scen NotEffectivelyVax (hypo)'!CC42,'Scen NotEffectivelyVax (hypo)'!CF42,'Scen NotEffectivelyVax (hypo)'!CI42,'Scen NotEffectivelyVax (hypo)'!CL42,'Scen NotEffectivelyVax (hypo)'!CO42,'Scen NotEffectivelyVax (hypo)'!CR42,'Scen NotEffectivelyVax (hypo)'!CU42,'Scen NotEffectivelyVax (hypo)'!CX42,'Scen NotEffectivelyVax (hypo)'!DA42,'Scen NotEffectivelyVax (hypo)'!DD42,'Scen NotEffectivelyVax (hypo)'!DG42,'Scen NotEffectivelyVax (hypo)'!DJ42,'Scen NotEffectivelyVax (hypo)'!DM42,'Scen NotEffectivelyVax (hypo)'!DQ42,'Scen NotEffectivelyVax (hypo)'!DP42,'Scen NotEffectivelyVax (hypo)'!DS42,'Scen NotEffectivelyVax (hypo)'!DV42,'Scen NotEffectivelyVax (hypo)'!DY42,'Scen NotEffectivelyVax (hypo)'!EB42,'Scen NotEffectivelyVax (hypo)'!EE42,'Scen NotEffectivelyVax (hypo)'!EH42,'Scen NotEffectivelyVax (hypo)'!EK42,'Scen NotEffectivelyVax (hypo)'!EN42,'Scen NotEffectivelyVax (hypo)'!EQ42,'Scen NotEffectivelyVax (hypo)'!ET42,'Scen NotEffectivelyVax (hypo)'!EW42,'Scen NotEffectivelyVax (hypo)'!EZ42,'Scen NotEffectivelyVax (hypo)'!FC42,'Scen NotEffectivelyVax (hypo)'!FF42,'Scen NotEffectivelyVax (hypo)'!FI42,'Scen NotEffectivelyVax (hypo)'!FL42,'Scen NotEffectivelyVax (hypo)'!FO42,'Scen NotEffectivelyVax (hypo)'!FR42,'Scen NotEffectivelyVax (hypo)'!FU42,'Scen NotEffectivelyVax (hypo)'!FX42,'Scen NotEffectivelyVax (hypo)'!GA42)</f>
        <v>#VALUE!</v>
      </c>
      <c r="W42" s="141" t="e">
        <f>SUM('Scen NotEffectivelyVax (hypo)'!D42,'Scen NotEffectivelyVax (hypo)'!G42,'Scen NotEffectivelyVax (hypo)'!J42,'Scen NotEffectivelyVax (hypo)'!M42,'Scen NotEffectivelyVax (hypo)'!P42,'Scen NotEffectivelyVax (hypo)'!S42,'Scen NotEffectivelyVax (hypo)'!V42,'Scen NotEffectivelyVax (hypo)'!Y42,'Scen NotEffectivelyVax (hypo)'!AB42,'Scen NotEffectivelyVax (hypo)'!AE42,'Scen NotEffectivelyVax (hypo)'!AH42,'Scen NotEffectivelyVax (hypo)'!AK42,'Scen NotEffectivelyVax (hypo)'!AN42,'Scen NotEffectivelyVax (hypo)'!AQ42,'Scen NotEffectivelyVax (hypo)'!AT42,'Scen NotEffectivelyVax (hypo)'!AW42,'Scen NotEffectivelyVax (hypo)'!AZ42,'Scen NotEffectivelyVax (hypo)'!BC42,'Scen NotEffectivelyVax (hypo)'!BF42,'Scen NotEffectivelyVax (hypo)'!BI42,'Scen NotEffectivelyVax (hypo)'!BL42,'Scen NotEffectivelyVax (hypo)'!BO42,'Scen NotEffectivelyVax (hypo)'!BR42,'Scen NotEffectivelyVax (hypo)'!BU42,'Scen NotEffectivelyVax (hypo)'!BX42,'Scen NotEffectivelyVax (hypo)'!CA42,'Scen NotEffectivelyVax (hypo)'!CD42,'Scen NotEffectivelyVax (hypo)'!CG42,'Scen NotEffectivelyVax (hypo)'!CJ42,'Scen NotEffectivelyVax (hypo)'!CM42,'Scen NotEffectivelyVax (hypo)'!CP42,'Scen NotEffectivelyVax (hypo)'!CS42,'Scen NotEffectivelyVax (hypo)'!CV42,'Scen NotEffectivelyVax (hypo)'!CY42,'Scen NotEffectivelyVax (hypo)'!DB42,'Scen NotEffectivelyVax (hypo)'!DE42,'Scen NotEffectivelyVax (hypo)'!DH42,'Scen NotEffectivelyVax (hypo)'!DK42,'Scen NotEffectivelyVax (hypo)'!DN42,'Scen NotEffectivelyVax (hypo)'!DQ42,'Scen NotEffectivelyVax (hypo)'!DT42,'Scen NotEffectivelyVax (hypo)'!DW42,'Scen NotEffectivelyVax (hypo)'!DZ42,'Scen NotEffectivelyVax (hypo)'!EC42,'Scen NotEffectivelyVax (hypo)'!EF42,'Scen NotEffectivelyVax (hypo)'!EI42,'Scen NotEffectivelyVax (hypo)'!EL42,'Scen NotEffectivelyVax (hypo)'!EO42,'Scen NotEffectivelyVax (hypo)'!ER42,'Scen NotEffectivelyVax (hypo)'!EU42,'Scen NotEffectivelyVax (hypo)'!EX42,'Scen NotEffectivelyVax (hypo)'!FA42,'Scen NotEffectivelyVax (hypo)'!FD42,'Scen NotEffectivelyVax (hypo)'!FG42,'Scen NotEffectivelyVax (hypo)'!FJ42,'Scen NotEffectivelyVax (hypo)'!FM42,'Scen NotEffectivelyVax (hypo)'!FP42,'Scen NotEffectivelyVax (hypo)'!FS42,'Scen NotEffectivelyVax (hypo)'!FV42,'Scen NotEffectivelyVax (hypo)'!FY42)</f>
        <v>#VALUE!</v>
      </c>
      <c r="X42" s="141" t="e">
        <f>SUM('Scen NotEffectivelyVax (hypo)'!E42,'Scen NotEffectivelyVax (hypo)'!H42,'Scen NotEffectivelyVax (hypo)'!K42,'Scen NotEffectivelyVax (hypo)'!N42,'Scen NotEffectivelyVax (hypo)'!Q42,'Scen NotEffectivelyVax (hypo)'!T42,'Scen NotEffectivelyVax (hypo)'!Z42,'Scen NotEffectivelyVax (hypo)'!W42,'Scen NotEffectivelyVax (hypo)'!AC42,'Scen NotEffectivelyVax (hypo)'!AF42,'Scen NotEffectivelyVax (hypo)'!AI42,'Scen NotEffectivelyVax (hypo)'!AL42,'Scen NotEffectivelyVax (hypo)'!AO42,'Scen NotEffectivelyVax (hypo)'!AR42,'Scen NotEffectivelyVax (hypo)'!AU42,'Scen NotEffectivelyVax (hypo)'!AX42,'Scen NotEffectivelyVax (hypo)'!BA42,'Scen NotEffectivelyVax (hypo)'!BD42,'Scen NotEffectivelyVax (hypo)'!BG42,'Scen NotEffectivelyVax (hypo)'!BJ42,'Scen NotEffectivelyVax (hypo)'!BM42,'Scen NotEffectivelyVax (hypo)'!BP42,'Scen NotEffectivelyVax (hypo)'!BS42,'Scen NotEffectivelyVax (hypo)'!BV42,'Scen NotEffectivelyVax (hypo)'!BY42,'Scen NotEffectivelyVax (hypo)'!CB42,'Scen NotEffectivelyVax (hypo)'!CE42,'Scen NotEffectivelyVax (hypo)'!CH42,'Scen NotEffectivelyVax (hypo)'!CK42,'Scen NotEffectivelyVax (hypo)'!CN42,'Scen NotEffectivelyVax (hypo)'!CQ42,'Scen NotEffectivelyVax (hypo)'!CT42,'Scen NotEffectivelyVax (hypo)'!CW42,'Scen NotEffectivelyVax (hypo)'!CZ42,'Scen NotEffectivelyVax (hypo)'!DC42,'Scen NotEffectivelyVax (hypo)'!DF42,'Scen NotEffectivelyVax (hypo)'!DI42,'Scen NotEffectivelyVax (hypo)'!DL42,'Scen NotEffectivelyVax (hypo)'!DO42,'Scen NotEffectivelyVax (hypo)'!DR42,'Scen NotEffectivelyVax (hypo)'!DU42,'Scen NotEffectivelyVax (hypo)'!DX42,'Scen NotEffectivelyVax (hypo)'!EA42,'Scen NotEffectivelyVax (hypo)'!ED42,'Scen NotEffectivelyVax (hypo)'!EG42,'Scen NotEffectivelyVax (hypo)'!EJ42,'Scen NotEffectivelyVax (hypo)'!EM42,'Scen NotEffectivelyVax (hypo)'!EP42,'Scen NotEffectivelyVax (hypo)'!ES42,'Scen NotEffectivelyVax (hypo)'!EV42,'Scen NotEffectivelyVax (hypo)'!EY42,'Scen NotEffectivelyVax (hypo)'!FB42,'Scen NotEffectivelyVax (hypo)'!FE42,'Scen NotEffectivelyVax (hypo)'!FH42,'Scen NotEffectivelyVax (hypo)'!FK42,'Scen NotEffectivelyVax (hypo)'!FN42,'Scen NotEffectivelyVax (hypo)'!FQ42,'Scen NotEffectivelyVax (hypo)'!FT42,'Scen NotEffectivelyVax (hypo)'!FW42,'Scen NotEffectivelyVax (hypo)'!FZ42)</f>
        <v>#VALUE!</v>
      </c>
      <c r="Y42" s="142" t="e">
        <f t="shared" si="1"/>
        <v>#VALUE!</v>
      </c>
      <c r="Z42" s="142" t="e">
        <f>IF(Export!M40&lt;&gt;"",W42*Export!K40*(1/Export!M40),W42*Export!K40)</f>
        <v>#VALUE!</v>
      </c>
      <c r="AA42" s="139" t="e">
        <f>Y42*Export!J40</f>
        <v>#VALUE!</v>
      </c>
      <c r="AC42" s="143" t="e">
        <f t="shared" si="2"/>
        <v>#VALUE!</v>
      </c>
      <c r="AD42" s="144" t="e">
        <f t="shared" si="19"/>
        <v>#VALUE!</v>
      </c>
      <c r="AE42" s="144" t="e">
        <f t="shared" si="3"/>
        <v>#VALUE!</v>
      </c>
      <c r="AF42" s="144" t="e">
        <f t="shared" si="4"/>
        <v>#VALUE!</v>
      </c>
      <c r="AG42" s="144" t="e">
        <f t="shared" si="5"/>
        <v>#VALUE!</v>
      </c>
      <c r="AH42" s="145"/>
      <c r="AI42" s="145"/>
      <c r="AJ42" s="145"/>
      <c r="AK42" s="145"/>
      <c r="AL42" s="146"/>
      <c r="AM42" s="145"/>
      <c r="AN42" s="145"/>
      <c r="AO42" s="145"/>
      <c r="AP42" s="145"/>
      <c r="AQ42" s="146"/>
      <c r="AR42" s="150"/>
      <c r="AS42" s="150"/>
      <c r="AT42" s="150"/>
      <c r="AU42" s="150"/>
      <c r="AV42" s="151"/>
    </row>
    <row r="43" spans="1:48" x14ac:dyDescent="0.35">
      <c r="A43" s="130">
        <f>EffectivelyVax!B42</f>
        <v>3</v>
      </c>
      <c r="B43" s="131" t="str">
        <f>EffectivelyVax!C42</f>
        <v/>
      </c>
      <c r="C43" s="132" t="str">
        <f>Export!N41</f>
        <v/>
      </c>
      <c r="D43" s="133" t="str">
        <f>IF(Inputs!$F$10="1. Actual program", 'Current vaccine model'!W43, Export!C41)</f>
        <v/>
      </c>
      <c r="E43" s="133" t="e">
        <f>D43*Export!L41</f>
        <v>#VALUE!</v>
      </c>
      <c r="F43" s="133" t="e">
        <f t="shared" si="18"/>
        <v>#VALUE!</v>
      </c>
      <c r="G43" s="133" t="e">
        <f>IF(Export!M41&lt;&gt;"",D43*Export!K41*(1/Export!M41),D43*Export!K41)</f>
        <v>#VALUE!</v>
      </c>
      <c r="H43" s="133" t="e">
        <f>F43*Export!J41</f>
        <v>#VALUE!</v>
      </c>
      <c r="I43" s="133" t="e">
        <f t="shared" si="14"/>
        <v>#VALUE!</v>
      </c>
      <c r="J43" s="134" t="e">
        <f t="shared" si="8"/>
        <v>#VALUE!</v>
      </c>
      <c r="K43" s="135" t="e">
        <f t="shared" si="9"/>
        <v>#VALUE!</v>
      </c>
      <c r="L43" s="117">
        <f>'Scen EffectivelyVax'!A42</f>
        <v>0</v>
      </c>
      <c r="M43" s="115" t="e">
        <f>C43*L43*HelperFunctions!G$45</f>
        <v>#VALUE!</v>
      </c>
      <c r="N43" s="116" t="e">
        <f>C43*L43*(1-HelperFunctions!G$45)</f>
        <v>#VALUE!</v>
      </c>
      <c r="O43" s="136" t="e">
        <f t="shared" si="15"/>
        <v>#DIV/0!</v>
      </c>
      <c r="P43" s="137">
        <f>SUM('Scen EffectivelyVax'!D42:BK42)</f>
        <v>0</v>
      </c>
      <c r="Q43" s="138" t="e">
        <f t="shared" si="11"/>
        <v>#DIV/0!</v>
      </c>
      <c r="R43" s="138" t="e">
        <f t="shared" si="12"/>
        <v>#DIV/0!</v>
      </c>
      <c r="S43" s="137" t="e">
        <f t="shared" si="0"/>
        <v>#DIV/0!</v>
      </c>
      <c r="T43" s="138" t="e">
        <f>IF(Export!M41&lt;&gt;"",Q43*Export!K41*(1/Export!M41),Q43*Export!K41)</f>
        <v>#DIV/0!</v>
      </c>
      <c r="U43" s="139" t="e">
        <f>S43*Export!J41</f>
        <v>#DIV/0!</v>
      </c>
      <c r="V43" s="140" t="e">
        <f>SUM('Scen NotEffectivelyVax (hypo)'!F43,'Scen NotEffectivelyVax (hypo)'!I43,'Scen NotEffectivelyVax (hypo)'!L43,'Scen NotEffectivelyVax (hypo)'!O43,'Scen NotEffectivelyVax (hypo)'!R43,'Scen NotEffectivelyVax (hypo)'!U43,'Scen NotEffectivelyVax (hypo)'!X43,'Scen NotEffectivelyVax (hypo)'!AA43,'Scen NotEffectivelyVax (hypo)'!AD43,'Scen NotEffectivelyVax (hypo)'!AG43,'Scen NotEffectivelyVax (hypo)'!AJ43,'Scen NotEffectivelyVax (hypo)'!AM43,'Scen NotEffectivelyVax (hypo)'!AP43,'Scen NotEffectivelyVax (hypo)'!AS43,'Scen NotEffectivelyVax (hypo)'!AV43,'Scen NotEffectivelyVax (hypo)'!AY43,'Scen NotEffectivelyVax (hypo)'!BB43,'Scen NotEffectivelyVax (hypo)'!BE43,'Scen NotEffectivelyVax (hypo)'!BH43,'Scen NotEffectivelyVax (hypo)'!BK43,'Scen NotEffectivelyVax (hypo)'!BN43,'Scen NotEffectivelyVax (hypo)'!BQ43,'Scen NotEffectivelyVax (hypo)'!BT43,'Scen NotEffectivelyVax (hypo)'!BW43,'Scen NotEffectivelyVax (hypo)'!BZ43,'Scen NotEffectivelyVax (hypo)'!CC43,'Scen NotEffectivelyVax (hypo)'!CF43,'Scen NotEffectivelyVax (hypo)'!CI43,'Scen NotEffectivelyVax (hypo)'!CL43,'Scen NotEffectivelyVax (hypo)'!CO43,'Scen NotEffectivelyVax (hypo)'!CR43,'Scen NotEffectivelyVax (hypo)'!CU43,'Scen NotEffectivelyVax (hypo)'!CX43,'Scen NotEffectivelyVax (hypo)'!DA43,'Scen NotEffectivelyVax (hypo)'!DD43,'Scen NotEffectivelyVax (hypo)'!DG43,'Scen NotEffectivelyVax (hypo)'!DJ43,'Scen NotEffectivelyVax (hypo)'!DM43,'Scen NotEffectivelyVax (hypo)'!DQ43,'Scen NotEffectivelyVax (hypo)'!DP43,'Scen NotEffectivelyVax (hypo)'!DS43,'Scen NotEffectivelyVax (hypo)'!DV43,'Scen NotEffectivelyVax (hypo)'!DY43,'Scen NotEffectivelyVax (hypo)'!EB43,'Scen NotEffectivelyVax (hypo)'!EE43,'Scen NotEffectivelyVax (hypo)'!EH43,'Scen NotEffectivelyVax (hypo)'!EK43,'Scen NotEffectivelyVax (hypo)'!EN43,'Scen NotEffectivelyVax (hypo)'!EQ43,'Scen NotEffectivelyVax (hypo)'!ET43,'Scen NotEffectivelyVax (hypo)'!EW43,'Scen NotEffectivelyVax (hypo)'!EZ43,'Scen NotEffectivelyVax (hypo)'!FC43,'Scen NotEffectivelyVax (hypo)'!FF43,'Scen NotEffectivelyVax (hypo)'!FI43,'Scen NotEffectivelyVax (hypo)'!FL43,'Scen NotEffectivelyVax (hypo)'!FO43,'Scen NotEffectivelyVax (hypo)'!FR43,'Scen NotEffectivelyVax (hypo)'!FU43,'Scen NotEffectivelyVax (hypo)'!FX43,'Scen NotEffectivelyVax (hypo)'!GA43)</f>
        <v>#VALUE!</v>
      </c>
      <c r="W43" s="141" t="e">
        <f>SUM('Scen NotEffectivelyVax (hypo)'!D43,'Scen NotEffectivelyVax (hypo)'!G43,'Scen NotEffectivelyVax (hypo)'!J43,'Scen NotEffectivelyVax (hypo)'!M43,'Scen NotEffectivelyVax (hypo)'!P43,'Scen NotEffectivelyVax (hypo)'!S43,'Scen NotEffectivelyVax (hypo)'!V43,'Scen NotEffectivelyVax (hypo)'!Y43,'Scen NotEffectivelyVax (hypo)'!AB43,'Scen NotEffectivelyVax (hypo)'!AE43,'Scen NotEffectivelyVax (hypo)'!AH43,'Scen NotEffectivelyVax (hypo)'!AK43,'Scen NotEffectivelyVax (hypo)'!AN43,'Scen NotEffectivelyVax (hypo)'!AQ43,'Scen NotEffectivelyVax (hypo)'!AT43,'Scen NotEffectivelyVax (hypo)'!AW43,'Scen NotEffectivelyVax (hypo)'!AZ43,'Scen NotEffectivelyVax (hypo)'!BC43,'Scen NotEffectivelyVax (hypo)'!BF43,'Scen NotEffectivelyVax (hypo)'!BI43,'Scen NotEffectivelyVax (hypo)'!BL43,'Scen NotEffectivelyVax (hypo)'!BO43,'Scen NotEffectivelyVax (hypo)'!BR43,'Scen NotEffectivelyVax (hypo)'!BU43,'Scen NotEffectivelyVax (hypo)'!BX43,'Scen NotEffectivelyVax (hypo)'!CA43,'Scen NotEffectivelyVax (hypo)'!CD43,'Scen NotEffectivelyVax (hypo)'!CG43,'Scen NotEffectivelyVax (hypo)'!CJ43,'Scen NotEffectivelyVax (hypo)'!CM43,'Scen NotEffectivelyVax (hypo)'!CP43,'Scen NotEffectivelyVax (hypo)'!CS43,'Scen NotEffectivelyVax (hypo)'!CV43,'Scen NotEffectivelyVax (hypo)'!CY43,'Scen NotEffectivelyVax (hypo)'!DB43,'Scen NotEffectivelyVax (hypo)'!DE43,'Scen NotEffectivelyVax (hypo)'!DH43,'Scen NotEffectivelyVax (hypo)'!DK43,'Scen NotEffectivelyVax (hypo)'!DN43,'Scen NotEffectivelyVax (hypo)'!DQ43,'Scen NotEffectivelyVax (hypo)'!DT43,'Scen NotEffectivelyVax (hypo)'!DW43,'Scen NotEffectivelyVax (hypo)'!DZ43,'Scen NotEffectivelyVax (hypo)'!EC43,'Scen NotEffectivelyVax (hypo)'!EF43,'Scen NotEffectivelyVax (hypo)'!EI43,'Scen NotEffectivelyVax (hypo)'!EL43,'Scen NotEffectivelyVax (hypo)'!EO43,'Scen NotEffectivelyVax (hypo)'!ER43,'Scen NotEffectivelyVax (hypo)'!EU43,'Scen NotEffectivelyVax (hypo)'!EX43,'Scen NotEffectivelyVax (hypo)'!FA43,'Scen NotEffectivelyVax (hypo)'!FD43,'Scen NotEffectivelyVax (hypo)'!FG43,'Scen NotEffectivelyVax (hypo)'!FJ43,'Scen NotEffectivelyVax (hypo)'!FM43,'Scen NotEffectivelyVax (hypo)'!FP43,'Scen NotEffectivelyVax (hypo)'!FS43,'Scen NotEffectivelyVax (hypo)'!FV43,'Scen NotEffectivelyVax (hypo)'!FY43)</f>
        <v>#VALUE!</v>
      </c>
      <c r="X43" s="141" t="e">
        <f>SUM('Scen NotEffectivelyVax (hypo)'!E43,'Scen NotEffectivelyVax (hypo)'!H43,'Scen NotEffectivelyVax (hypo)'!K43,'Scen NotEffectivelyVax (hypo)'!N43,'Scen NotEffectivelyVax (hypo)'!Q43,'Scen NotEffectivelyVax (hypo)'!T43,'Scen NotEffectivelyVax (hypo)'!Z43,'Scen NotEffectivelyVax (hypo)'!W43,'Scen NotEffectivelyVax (hypo)'!AC43,'Scen NotEffectivelyVax (hypo)'!AF43,'Scen NotEffectivelyVax (hypo)'!AI43,'Scen NotEffectivelyVax (hypo)'!AL43,'Scen NotEffectivelyVax (hypo)'!AO43,'Scen NotEffectivelyVax (hypo)'!AR43,'Scen NotEffectivelyVax (hypo)'!AU43,'Scen NotEffectivelyVax (hypo)'!AX43,'Scen NotEffectivelyVax (hypo)'!BA43,'Scen NotEffectivelyVax (hypo)'!BD43,'Scen NotEffectivelyVax (hypo)'!BG43,'Scen NotEffectivelyVax (hypo)'!BJ43,'Scen NotEffectivelyVax (hypo)'!BM43,'Scen NotEffectivelyVax (hypo)'!BP43,'Scen NotEffectivelyVax (hypo)'!BS43,'Scen NotEffectivelyVax (hypo)'!BV43,'Scen NotEffectivelyVax (hypo)'!BY43,'Scen NotEffectivelyVax (hypo)'!CB43,'Scen NotEffectivelyVax (hypo)'!CE43,'Scen NotEffectivelyVax (hypo)'!CH43,'Scen NotEffectivelyVax (hypo)'!CK43,'Scen NotEffectivelyVax (hypo)'!CN43,'Scen NotEffectivelyVax (hypo)'!CQ43,'Scen NotEffectivelyVax (hypo)'!CT43,'Scen NotEffectivelyVax (hypo)'!CW43,'Scen NotEffectivelyVax (hypo)'!CZ43,'Scen NotEffectivelyVax (hypo)'!DC43,'Scen NotEffectivelyVax (hypo)'!DF43,'Scen NotEffectivelyVax (hypo)'!DI43,'Scen NotEffectivelyVax (hypo)'!DL43,'Scen NotEffectivelyVax (hypo)'!DO43,'Scen NotEffectivelyVax (hypo)'!DR43,'Scen NotEffectivelyVax (hypo)'!DU43,'Scen NotEffectivelyVax (hypo)'!DX43,'Scen NotEffectivelyVax (hypo)'!EA43,'Scen NotEffectivelyVax (hypo)'!ED43,'Scen NotEffectivelyVax (hypo)'!EG43,'Scen NotEffectivelyVax (hypo)'!EJ43,'Scen NotEffectivelyVax (hypo)'!EM43,'Scen NotEffectivelyVax (hypo)'!EP43,'Scen NotEffectivelyVax (hypo)'!ES43,'Scen NotEffectivelyVax (hypo)'!EV43,'Scen NotEffectivelyVax (hypo)'!EY43,'Scen NotEffectivelyVax (hypo)'!FB43,'Scen NotEffectivelyVax (hypo)'!FE43,'Scen NotEffectivelyVax (hypo)'!FH43,'Scen NotEffectivelyVax (hypo)'!FK43,'Scen NotEffectivelyVax (hypo)'!FN43,'Scen NotEffectivelyVax (hypo)'!FQ43,'Scen NotEffectivelyVax (hypo)'!FT43,'Scen NotEffectivelyVax (hypo)'!FW43,'Scen NotEffectivelyVax (hypo)'!FZ43)</f>
        <v>#VALUE!</v>
      </c>
      <c r="Y43" s="142" t="e">
        <f t="shared" si="1"/>
        <v>#VALUE!</v>
      </c>
      <c r="Z43" s="142" t="e">
        <f>IF(Export!M41&lt;&gt;"",W43*Export!K41*(1/Export!M41),W43*Export!K41)</f>
        <v>#VALUE!</v>
      </c>
      <c r="AA43" s="139" t="e">
        <f>Y43*Export!J41</f>
        <v>#VALUE!</v>
      </c>
      <c r="AC43" s="143" t="e">
        <f t="shared" si="2"/>
        <v>#VALUE!</v>
      </c>
      <c r="AD43" s="144" t="e">
        <f t="shared" si="19"/>
        <v>#VALUE!</v>
      </c>
      <c r="AE43" s="144" t="e">
        <f t="shared" si="3"/>
        <v>#VALUE!</v>
      </c>
      <c r="AF43" s="144" t="e">
        <f t="shared" si="4"/>
        <v>#VALUE!</v>
      </c>
      <c r="AG43" s="144" t="e">
        <f t="shared" si="5"/>
        <v>#VALUE!</v>
      </c>
      <c r="AH43" s="145"/>
      <c r="AI43" s="145"/>
      <c r="AJ43" s="145"/>
      <c r="AK43" s="145"/>
      <c r="AL43" s="146"/>
      <c r="AM43" s="145"/>
      <c r="AN43" s="145"/>
      <c r="AO43" s="145"/>
      <c r="AP43" s="145"/>
      <c r="AQ43" s="146"/>
      <c r="AR43" s="150"/>
      <c r="AS43" s="150"/>
      <c r="AT43" s="150"/>
      <c r="AU43" s="150"/>
      <c r="AV43" s="151"/>
    </row>
    <row r="44" spans="1:48" x14ac:dyDescent="0.35">
      <c r="A44" s="130">
        <f>EffectivelyVax!B43</f>
        <v>3</v>
      </c>
      <c r="B44" s="131" t="str">
        <f>EffectivelyVax!C43</f>
        <v/>
      </c>
      <c r="C44" s="132" t="str">
        <f>Export!N42</f>
        <v/>
      </c>
      <c r="D44" s="133" t="str">
        <f>IF(Inputs!$F$10="1. Actual program", 'Current vaccine model'!W44, Export!C42)</f>
        <v/>
      </c>
      <c r="E44" s="133" t="e">
        <f>D44*Export!L42</f>
        <v>#VALUE!</v>
      </c>
      <c r="F44" s="133" t="e">
        <f t="shared" si="18"/>
        <v>#VALUE!</v>
      </c>
      <c r="G44" s="133" t="e">
        <f>IF(Export!M42&lt;&gt;"",D44*Export!K42*(1/Export!M42),D44*Export!K42)</f>
        <v>#VALUE!</v>
      </c>
      <c r="H44" s="133" t="e">
        <f>F44*Export!J42</f>
        <v>#VALUE!</v>
      </c>
      <c r="I44" s="133" t="e">
        <f t="shared" si="14"/>
        <v>#VALUE!</v>
      </c>
      <c r="J44" s="134" t="e">
        <f t="shared" si="8"/>
        <v>#VALUE!</v>
      </c>
      <c r="K44" s="135" t="e">
        <f t="shared" si="9"/>
        <v>#VALUE!</v>
      </c>
      <c r="L44" s="117">
        <f>'Scen EffectivelyVax'!A43</f>
        <v>0</v>
      </c>
      <c r="M44" s="115" t="e">
        <f>C44*L44*HelperFunctions!G$45</f>
        <v>#VALUE!</v>
      </c>
      <c r="N44" s="116" t="e">
        <f>C44*L44*(1-HelperFunctions!G$45)</f>
        <v>#VALUE!</v>
      </c>
      <c r="O44" s="136" t="e">
        <f t="shared" si="15"/>
        <v>#DIV/0!</v>
      </c>
      <c r="P44" s="137">
        <f>SUM('Scen EffectivelyVax'!D43:BK43)</f>
        <v>0</v>
      </c>
      <c r="Q44" s="138" t="e">
        <f t="shared" si="11"/>
        <v>#DIV/0!</v>
      </c>
      <c r="R44" s="138" t="e">
        <f t="shared" si="12"/>
        <v>#DIV/0!</v>
      </c>
      <c r="S44" s="137" t="e">
        <f t="shared" si="0"/>
        <v>#DIV/0!</v>
      </c>
      <c r="T44" s="138" t="e">
        <f>IF(Export!M42&lt;&gt;"",Q44*Export!K42*(1/Export!M42),Q44*Export!K42)</f>
        <v>#DIV/0!</v>
      </c>
      <c r="U44" s="139" t="e">
        <f>S44*Export!J42</f>
        <v>#DIV/0!</v>
      </c>
      <c r="V44" s="140" t="e">
        <f>SUM('Scen NotEffectivelyVax (hypo)'!F44,'Scen NotEffectivelyVax (hypo)'!I44,'Scen NotEffectivelyVax (hypo)'!L44,'Scen NotEffectivelyVax (hypo)'!O44,'Scen NotEffectivelyVax (hypo)'!R44,'Scen NotEffectivelyVax (hypo)'!U44,'Scen NotEffectivelyVax (hypo)'!X44,'Scen NotEffectivelyVax (hypo)'!AA44,'Scen NotEffectivelyVax (hypo)'!AD44,'Scen NotEffectivelyVax (hypo)'!AG44,'Scen NotEffectivelyVax (hypo)'!AJ44,'Scen NotEffectivelyVax (hypo)'!AM44,'Scen NotEffectivelyVax (hypo)'!AP44,'Scen NotEffectivelyVax (hypo)'!AS44,'Scen NotEffectivelyVax (hypo)'!AV44,'Scen NotEffectivelyVax (hypo)'!AY44,'Scen NotEffectivelyVax (hypo)'!BB44,'Scen NotEffectivelyVax (hypo)'!BE44,'Scen NotEffectivelyVax (hypo)'!BH44,'Scen NotEffectivelyVax (hypo)'!BK44,'Scen NotEffectivelyVax (hypo)'!BN44,'Scen NotEffectivelyVax (hypo)'!BQ44,'Scen NotEffectivelyVax (hypo)'!BT44,'Scen NotEffectivelyVax (hypo)'!BW44,'Scen NotEffectivelyVax (hypo)'!BZ44,'Scen NotEffectivelyVax (hypo)'!CC44,'Scen NotEffectivelyVax (hypo)'!CF44,'Scen NotEffectivelyVax (hypo)'!CI44,'Scen NotEffectivelyVax (hypo)'!CL44,'Scen NotEffectivelyVax (hypo)'!CO44,'Scen NotEffectivelyVax (hypo)'!CR44,'Scen NotEffectivelyVax (hypo)'!CU44,'Scen NotEffectivelyVax (hypo)'!CX44,'Scen NotEffectivelyVax (hypo)'!DA44,'Scen NotEffectivelyVax (hypo)'!DD44,'Scen NotEffectivelyVax (hypo)'!DG44,'Scen NotEffectivelyVax (hypo)'!DJ44,'Scen NotEffectivelyVax (hypo)'!DM44,'Scen NotEffectivelyVax (hypo)'!DQ44,'Scen NotEffectivelyVax (hypo)'!DP44,'Scen NotEffectivelyVax (hypo)'!DS44,'Scen NotEffectivelyVax (hypo)'!DV44,'Scen NotEffectivelyVax (hypo)'!DY44,'Scen NotEffectivelyVax (hypo)'!EB44,'Scen NotEffectivelyVax (hypo)'!EE44,'Scen NotEffectivelyVax (hypo)'!EH44,'Scen NotEffectivelyVax (hypo)'!EK44,'Scen NotEffectivelyVax (hypo)'!EN44,'Scen NotEffectivelyVax (hypo)'!EQ44,'Scen NotEffectivelyVax (hypo)'!ET44,'Scen NotEffectivelyVax (hypo)'!EW44,'Scen NotEffectivelyVax (hypo)'!EZ44,'Scen NotEffectivelyVax (hypo)'!FC44,'Scen NotEffectivelyVax (hypo)'!FF44,'Scen NotEffectivelyVax (hypo)'!FI44,'Scen NotEffectivelyVax (hypo)'!FL44,'Scen NotEffectivelyVax (hypo)'!FO44,'Scen NotEffectivelyVax (hypo)'!FR44,'Scen NotEffectivelyVax (hypo)'!FU44,'Scen NotEffectivelyVax (hypo)'!FX44,'Scen NotEffectivelyVax (hypo)'!GA44)</f>
        <v>#VALUE!</v>
      </c>
      <c r="W44" s="141" t="e">
        <f>SUM('Scen NotEffectivelyVax (hypo)'!D44,'Scen NotEffectivelyVax (hypo)'!G44,'Scen NotEffectivelyVax (hypo)'!J44,'Scen NotEffectivelyVax (hypo)'!M44,'Scen NotEffectivelyVax (hypo)'!P44,'Scen NotEffectivelyVax (hypo)'!S44,'Scen NotEffectivelyVax (hypo)'!V44,'Scen NotEffectivelyVax (hypo)'!Y44,'Scen NotEffectivelyVax (hypo)'!AB44,'Scen NotEffectivelyVax (hypo)'!AE44,'Scen NotEffectivelyVax (hypo)'!AH44,'Scen NotEffectivelyVax (hypo)'!AK44,'Scen NotEffectivelyVax (hypo)'!AN44,'Scen NotEffectivelyVax (hypo)'!AQ44,'Scen NotEffectivelyVax (hypo)'!AT44,'Scen NotEffectivelyVax (hypo)'!AW44,'Scen NotEffectivelyVax (hypo)'!AZ44,'Scen NotEffectivelyVax (hypo)'!BC44,'Scen NotEffectivelyVax (hypo)'!BF44,'Scen NotEffectivelyVax (hypo)'!BI44,'Scen NotEffectivelyVax (hypo)'!BL44,'Scen NotEffectivelyVax (hypo)'!BO44,'Scen NotEffectivelyVax (hypo)'!BR44,'Scen NotEffectivelyVax (hypo)'!BU44,'Scen NotEffectivelyVax (hypo)'!BX44,'Scen NotEffectivelyVax (hypo)'!CA44,'Scen NotEffectivelyVax (hypo)'!CD44,'Scen NotEffectivelyVax (hypo)'!CG44,'Scen NotEffectivelyVax (hypo)'!CJ44,'Scen NotEffectivelyVax (hypo)'!CM44,'Scen NotEffectivelyVax (hypo)'!CP44,'Scen NotEffectivelyVax (hypo)'!CS44,'Scen NotEffectivelyVax (hypo)'!CV44,'Scen NotEffectivelyVax (hypo)'!CY44,'Scen NotEffectivelyVax (hypo)'!DB44,'Scen NotEffectivelyVax (hypo)'!DE44,'Scen NotEffectivelyVax (hypo)'!DH44,'Scen NotEffectivelyVax (hypo)'!DK44,'Scen NotEffectivelyVax (hypo)'!DN44,'Scen NotEffectivelyVax (hypo)'!DQ44,'Scen NotEffectivelyVax (hypo)'!DT44,'Scen NotEffectivelyVax (hypo)'!DW44,'Scen NotEffectivelyVax (hypo)'!DZ44,'Scen NotEffectivelyVax (hypo)'!EC44,'Scen NotEffectivelyVax (hypo)'!EF44,'Scen NotEffectivelyVax (hypo)'!EI44,'Scen NotEffectivelyVax (hypo)'!EL44,'Scen NotEffectivelyVax (hypo)'!EO44,'Scen NotEffectivelyVax (hypo)'!ER44,'Scen NotEffectivelyVax (hypo)'!EU44,'Scen NotEffectivelyVax (hypo)'!EX44,'Scen NotEffectivelyVax (hypo)'!FA44,'Scen NotEffectivelyVax (hypo)'!FD44,'Scen NotEffectivelyVax (hypo)'!FG44,'Scen NotEffectivelyVax (hypo)'!FJ44,'Scen NotEffectivelyVax (hypo)'!FM44,'Scen NotEffectivelyVax (hypo)'!FP44,'Scen NotEffectivelyVax (hypo)'!FS44,'Scen NotEffectivelyVax (hypo)'!FV44,'Scen NotEffectivelyVax (hypo)'!FY44)</f>
        <v>#VALUE!</v>
      </c>
      <c r="X44" s="141" t="e">
        <f>SUM('Scen NotEffectivelyVax (hypo)'!E44,'Scen NotEffectivelyVax (hypo)'!H44,'Scen NotEffectivelyVax (hypo)'!K44,'Scen NotEffectivelyVax (hypo)'!N44,'Scen NotEffectivelyVax (hypo)'!Q44,'Scen NotEffectivelyVax (hypo)'!T44,'Scen NotEffectivelyVax (hypo)'!Z44,'Scen NotEffectivelyVax (hypo)'!W44,'Scen NotEffectivelyVax (hypo)'!AC44,'Scen NotEffectivelyVax (hypo)'!AF44,'Scen NotEffectivelyVax (hypo)'!AI44,'Scen NotEffectivelyVax (hypo)'!AL44,'Scen NotEffectivelyVax (hypo)'!AO44,'Scen NotEffectivelyVax (hypo)'!AR44,'Scen NotEffectivelyVax (hypo)'!AU44,'Scen NotEffectivelyVax (hypo)'!AX44,'Scen NotEffectivelyVax (hypo)'!BA44,'Scen NotEffectivelyVax (hypo)'!BD44,'Scen NotEffectivelyVax (hypo)'!BG44,'Scen NotEffectivelyVax (hypo)'!BJ44,'Scen NotEffectivelyVax (hypo)'!BM44,'Scen NotEffectivelyVax (hypo)'!BP44,'Scen NotEffectivelyVax (hypo)'!BS44,'Scen NotEffectivelyVax (hypo)'!BV44,'Scen NotEffectivelyVax (hypo)'!BY44,'Scen NotEffectivelyVax (hypo)'!CB44,'Scen NotEffectivelyVax (hypo)'!CE44,'Scen NotEffectivelyVax (hypo)'!CH44,'Scen NotEffectivelyVax (hypo)'!CK44,'Scen NotEffectivelyVax (hypo)'!CN44,'Scen NotEffectivelyVax (hypo)'!CQ44,'Scen NotEffectivelyVax (hypo)'!CT44,'Scen NotEffectivelyVax (hypo)'!CW44,'Scen NotEffectivelyVax (hypo)'!CZ44,'Scen NotEffectivelyVax (hypo)'!DC44,'Scen NotEffectivelyVax (hypo)'!DF44,'Scen NotEffectivelyVax (hypo)'!DI44,'Scen NotEffectivelyVax (hypo)'!DL44,'Scen NotEffectivelyVax (hypo)'!DO44,'Scen NotEffectivelyVax (hypo)'!DR44,'Scen NotEffectivelyVax (hypo)'!DU44,'Scen NotEffectivelyVax (hypo)'!DX44,'Scen NotEffectivelyVax (hypo)'!EA44,'Scen NotEffectivelyVax (hypo)'!ED44,'Scen NotEffectivelyVax (hypo)'!EG44,'Scen NotEffectivelyVax (hypo)'!EJ44,'Scen NotEffectivelyVax (hypo)'!EM44,'Scen NotEffectivelyVax (hypo)'!EP44,'Scen NotEffectivelyVax (hypo)'!ES44,'Scen NotEffectivelyVax (hypo)'!EV44,'Scen NotEffectivelyVax (hypo)'!EY44,'Scen NotEffectivelyVax (hypo)'!FB44,'Scen NotEffectivelyVax (hypo)'!FE44,'Scen NotEffectivelyVax (hypo)'!FH44,'Scen NotEffectivelyVax (hypo)'!FK44,'Scen NotEffectivelyVax (hypo)'!FN44,'Scen NotEffectivelyVax (hypo)'!FQ44,'Scen NotEffectivelyVax (hypo)'!FT44,'Scen NotEffectivelyVax (hypo)'!FW44,'Scen NotEffectivelyVax (hypo)'!FZ44)</f>
        <v>#VALUE!</v>
      </c>
      <c r="Y44" s="142" t="e">
        <f t="shared" si="1"/>
        <v>#VALUE!</v>
      </c>
      <c r="Z44" s="142" t="e">
        <f>IF(Export!M42&lt;&gt;"",W44*Export!K42*(1/Export!M42),W44*Export!K42)</f>
        <v>#VALUE!</v>
      </c>
      <c r="AA44" s="139" t="e">
        <f>Y44*Export!J42</f>
        <v>#VALUE!</v>
      </c>
      <c r="AC44" s="143" t="e">
        <f t="shared" si="2"/>
        <v>#VALUE!</v>
      </c>
      <c r="AD44" s="144" t="e">
        <f t="shared" si="19"/>
        <v>#VALUE!</v>
      </c>
      <c r="AE44" s="144" t="e">
        <f t="shared" si="3"/>
        <v>#VALUE!</v>
      </c>
      <c r="AF44" s="144" t="e">
        <f t="shared" si="4"/>
        <v>#VALUE!</v>
      </c>
      <c r="AG44" s="144" t="e">
        <f t="shared" si="5"/>
        <v>#VALUE!</v>
      </c>
      <c r="AH44" s="145"/>
      <c r="AI44" s="145"/>
      <c r="AJ44" s="145"/>
      <c r="AK44" s="145"/>
      <c r="AL44" s="146"/>
      <c r="AM44" s="145"/>
      <c r="AN44" s="145"/>
      <c r="AO44" s="145"/>
      <c r="AP44" s="145"/>
      <c r="AQ44" s="146"/>
      <c r="AR44" s="150"/>
      <c r="AS44" s="150"/>
      <c r="AT44" s="150"/>
      <c r="AU44" s="150"/>
      <c r="AV44" s="151"/>
    </row>
    <row r="45" spans="1:48" x14ac:dyDescent="0.35">
      <c r="A45" s="130">
        <f>EffectivelyVax!B44</f>
        <v>3</v>
      </c>
      <c r="B45" s="131" t="str">
        <f>EffectivelyVax!C44</f>
        <v/>
      </c>
      <c r="C45" s="132" t="str">
        <f>Export!N43</f>
        <v/>
      </c>
      <c r="D45" s="133" t="str">
        <f>IF(Inputs!$F$10="1. Actual program", 'Current vaccine model'!W45, Export!C43)</f>
        <v/>
      </c>
      <c r="E45" s="133" t="e">
        <f>D45*Export!L43</f>
        <v>#VALUE!</v>
      </c>
      <c r="F45" s="133" t="e">
        <f t="shared" si="18"/>
        <v>#VALUE!</v>
      </c>
      <c r="G45" s="133" t="e">
        <f>IF(Export!M43&lt;&gt;"",D45*Export!K43*(1/Export!M43),D45*Export!K43)</f>
        <v>#VALUE!</v>
      </c>
      <c r="H45" s="133" t="e">
        <f>F45*Export!J43</f>
        <v>#VALUE!</v>
      </c>
      <c r="I45" s="133" t="e">
        <f t="shared" si="14"/>
        <v>#VALUE!</v>
      </c>
      <c r="J45" s="134" t="e">
        <f t="shared" si="8"/>
        <v>#VALUE!</v>
      </c>
      <c r="K45" s="135" t="e">
        <f t="shared" si="9"/>
        <v>#VALUE!</v>
      </c>
      <c r="L45" s="117">
        <f>'Scen EffectivelyVax'!A44</f>
        <v>0</v>
      </c>
      <c r="M45" s="115" t="e">
        <f>C45*L45*HelperFunctions!G$45</f>
        <v>#VALUE!</v>
      </c>
      <c r="N45" s="116" t="e">
        <f>C45*L45*(1-HelperFunctions!G$45)</f>
        <v>#VALUE!</v>
      </c>
      <c r="O45" s="136" t="e">
        <f t="shared" si="15"/>
        <v>#DIV/0!</v>
      </c>
      <c r="P45" s="137">
        <f>SUM('Scen EffectivelyVax'!D44:BK44)</f>
        <v>0</v>
      </c>
      <c r="Q45" s="138" t="e">
        <f t="shared" si="11"/>
        <v>#DIV/0!</v>
      </c>
      <c r="R45" s="138" t="e">
        <f t="shared" si="12"/>
        <v>#DIV/0!</v>
      </c>
      <c r="S45" s="137" t="e">
        <f t="shared" si="0"/>
        <v>#DIV/0!</v>
      </c>
      <c r="T45" s="138" t="e">
        <f>IF(Export!M43&lt;&gt;"",Q45*Export!K43*(1/Export!M43),Q45*Export!K43)</f>
        <v>#DIV/0!</v>
      </c>
      <c r="U45" s="139" t="e">
        <f>S45*Export!J43</f>
        <v>#DIV/0!</v>
      </c>
      <c r="V45" s="140" t="e">
        <f>SUM('Scen NotEffectivelyVax (hypo)'!F45,'Scen NotEffectivelyVax (hypo)'!I45,'Scen NotEffectivelyVax (hypo)'!L45,'Scen NotEffectivelyVax (hypo)'!O45,'Scen NotEffectivelyVax (hypo)'!R45,'Scen NotEffectivelyVax (hypo)'!U45,'Scen NotEffectivelyVax (hypo)'!X45,'Scen NotEffectivelyVax (hypo)'!AA45,'Scen NotEffectivelyVax (hypo)'!AD45,'Scen NotEffectivelyVax (hypo)'!AG45,'Scen NotEffectivelyVax (hypo)'!AJ45,'Scen NotEffectivelyVax (hypo)'!AM45,'Scen NotEffectivelyVax (hypo)'!AP45,'Scen NotEffectivelyVax (hypo)'!AS45,'Scen NotEffectivelyVax (hypo)'!AV45,'Scen NotEffectivelyVax (hypo)'!AY45,'Scen NotEffectivelyVax (hypo)'!BB45,'Scen NotEffectivelyVax (hypo)'!BE45,'Scen NotEffectivelyVax (hypo)'!BH45,'Scen NotEffectivelyVax (hypo)'!BK45,'Scen NotEffectivelyVax (hypo)'!BN45,'Scen NotEffectivelyVax (hypo)'!BQ45,'Scen NotEffectivelyVax (hypo)'!BT45,'Scen NotEffectivelyVax (hypo)'!BW45,'Scen NotEffectivelyVax (hypo)'!BZ45,'Scen NotEffectivelyVax (hypo)'!CC45,'Scen NotEffectivelyVax (hypo)'!CF45,'Scen NotEffectivelyVax (hypo)'!CI45,'Scen NotEffectivelyVax (hypo)'!CL45,'Scen NotEffectivelyVax (hypo)'!CO45,'Scen NotEffectivelyVax (hypo)'!CR45,'Scen NotEffectivelyVax (hypo)'!CU45,'Scen NotEffectivelyVax (hypo)'!CX45,'Scen NotEffectivelyVax (hypo)'!DA45,'Scen NotEffectivelyVax (hypo)'!DD45,'Scen NotEffectivelyVax (hypo)'!DG45,'Scen NotEffectivelyVax (hypo)'!DJ45,'Scen NotEffectivelyVax (hypo)'!DM45,'Scen NotEffectivelyVax (hypo)'!DQ45,'Scen NotEffectivelyVax (hypo)'!DP45,'Scen NotEffectivelyVax (hypo)'!DS45,'Scen NotEffectivelyVax (hypo)'!DV45,'Scen NotEffectivelyVax (hypo)'!DY45,'Scen NotEffectivelyVax (hypo)'!EB45,'Scen NotEffectivelyVax (hypo)'!EE45,'Scen NotEffectivelyVax (hypo)'!EH45,'Scen NotEffectivelyVax (hypo)'!EK45,'Scen NotEffectivelyVax (hypo)'!EN45,'Scen NotEffectivelyVax (hypo)'!EQ45,'Scen NotEffectivelyVax (hypo)'!ET45,'Scen NotEffectivelyVax (hypo)'!EW45,'Scen NotEffectivelyVax (hypo)'!EZ45,'Scen NotEffectivelyVax (hypo)'!FC45,'Scen NotEffectivelyVax (hypo)'!FF45,'Scen NotEffectivelyVax (hypo)'!FI45,'Scen NotEffectivelyVax (hypo)'!FL45,'Scen NotEffectivelyVax (hypo)'!FO45,'Scen NotEffectivelyVax (hypo)'!FR45,'Scen NotEffectivelyVax (hypo)'!FU45,'Scen NotEffectivelyVax (hypo)'!FX45,'Scen NotEffectivelyVax (hypo)'!GA45)</f>
        <v>#VALUE!</v>
      </c>
      <c r="W45" s="141" t="e">
        <f>SUM('Scen NotEffectivelyVax (hypo)'!D45,'Scen NotEffectivelyVax (hypo)'!G45,'Scen NotEffectivelyVax (hypo)'!J45,'Scen NotEffectivelyVax (hypo)'!M45,'Scen NotEffectivelyVax (hypo)'!P45,'Scen NotEffectivelyVax (hypo)'!S45,'Scen NotEffectivelyVax (hypo)'!V45,'Scen NotEffectivelyVax (hypo)'!Y45,'Scen NotEffectivelyVax (hypo)'!AB45,'Scen NotEffectivelyVax (hypo)'!AE45,'Scen NotEffectivelyVax (hypo)'!AH45,'Scen NotEffectivelyVax (hypo)'!AK45,'Scen NotEffectivelyVax (hypo)'!AN45,'Scen NotEffectivelyVax (hypo)'!AQ45,'Scen NotEffectivelyVax (hypo)'!AT45,'Scen NotEffectivelyVax (hypo)'!AW45,'Scen NotEffectivelyVax (hypo)'!AZ45,'Scen NotEffectivelyVax (hypo)'!BC45,'Scen NotEffectivelyVax (hypo)'!BF45,'Scen NotEffectivelyVax (hypo)'!BI45,'Scen NotEffectivelyVax (hypo)'!BL45,'Scen NotEffectivelyVax (hypo)'!BO45,'Scen NotEffectivelyVax (hypo)'!BR45,'Scen NotEffectivelyVax (hypo)'!BU45,'Scen NotEffectivelyVax (hypo)'!BX45,'Scen NotEffectivelyVax (hypo)'!CA45,'Scen NotEffectivelyVax (hypo)'!CD45,'Scen NotEffectivelyVax (hypo)'!CG45,'Scen NotEffectivelyVax (hypo)'!CJ45,'Scen NotEffectivelyVax (hypo)'!CM45,'Scen NotEffectivelyVax (hypo)'!CP45,'Scen NotEffectivelyVax (hypo)'!CS45,'Scen NotEffectivelyVax (hypo)'!CV45,'Scen NotEffectivelyVax (hypo)'!CY45,'Scen NotEffectivelyVax (hypo)'!DB45,'Scen NotEffectivelyVax (hypo)'!DE45,'Scen NotEffectivelyVax (hypo)'!DH45,'Scen NotEffectivelyVax (hypo)'!DK45,'Scen NotEffectivelyVax (hypo)'!DN45,'Scen NotEffectivelyVax (hypo)'!DQ45,'Scen NotEffectivelyVax (hypo)'!DT45,'Scen NotEffectivelyVax (hypo)'!DW45,'Scen NotEffectivelyVax (hypo)'!DZ45,'Scen NotEffectivelyVax (hypo)'!EC45,'Scen NotEffectivelyVax (hypo)'!EF45,'Scen NotEffectivelyVax (hypo)'!EI45,'Scen NotEffectivelyVax (hypo)'!EL45,'Scen NotEffectivelyVax (hypo)'!EO45,'Scen NotEffectivelyVax (hypo)'!ER45,'Scen NotEffectivelyVax (hypo)'!EU45,'Scen NotEffectivelyVax (hypo)'!EX45,'Scen NotEffectivelyVax (hypo)'!FA45,'Scen NotEffectivelyVax (hypo)'!FD45,'Scen NotEffectivelyVax (hypo)'!FG45,'Scen NotEffectivelyVax (hypo)'!FJ45,'Scen NotEffectivelyVax (hypo)'!FM45,'Scen NotEffectivelyVax (hypo)'!FP45,'Scen NotEffectivelyVax (hypo)'!FS45,'Scen NotEffectivelyVax (hypo)'!FV45,'Scen NotEffectivelyVax (hypo)'!FY45)</f>
        <v>#VALUE!</v>
      </c>
      <c r="X45" s="141" t="e">
        <f>SUM('Scen NotEffectivelyVax (hypo)'!E45,'Scen NotEffectivelyVax (hypo)'!H45,'Scen NotEffectivelyVax (hypo)'!K45,'Scen NotEffectivelyVax (hypo)'!N45,'Scen NotEffectivelyVax (hypo)'!Q45,'Scen NotEffectivelyVax (hypo)'!T45,'Scen NotEffectivelyVax (hypo)'!Z45,'Scen NotEffectivelyVax (hypo)'!W45,'Scen NotEffectivelyVax (hypo)'!AC45,'Scen NotEffectivelyVax (hypo)'!AF45,'Scen NotEffectivelyVax (hypo)'!AI45,'Scen NotEffectivelyVax (hypo)'!AL45,'Scen NotEffectivelyVax (hypo)'!AO45,'Scen NotEffectivelyVax (hypo)'!AR45,'Scen NotEffectivelyVax (hypo)'!AU45,'Scen NotEffectivelyVax (hypo)'!AX45,'Scen NotEffectivelyVax (hypo)'!BA45,'Scen NotEffectivelyVax (hypo)'!BD45,'Scen NotEffectivelyVax (hypo)'!BG45,'Scen NotEffectivelyVax (hypo)'!BJ45,'Scen NotEffectivelyVax (hypo)'!BM45,'Scen NotEffectivelyVax (hypo)'!BP45,'Scen NotEffectivelyVax (hypo)'!BS45,'Scen NotEffectivelyVax (hypo)'!BV45,'Scen NotEffectivelyVax (hypo)'!BY45,'Scen NotEffectivelyVax (hypo)'!CB45,'Scen NotEffectivelyVax (hypo)'!CE45,'Scen NotEffectivelyVax (hypo)'!CH45,'Scen NotEffectivelyVax (hypo)'!CK45,'Scen NotEffectivelyVax (hypo)'!CN45,'Scen NotEffectivelyVax (hypo)'!CQ45,'Scen NotEffectivelyVax (hypo)'!CT45,'Scen NotEffectivelyVax (hypo)'!CW45,'Scen NotEffectivelyVax (hypo)'!CZ45,'Scen NotEffectivelyVax (hypo)'!DC45,'Scen NotEffectivelyVax (hypo)'!DF45,'Scen NotEffectivelyVax (hypo)'!DI45,'Scen NotEffectivelyVax (hypo)'!DL45,'Scen NotEffectivelyVax (hypo)'!DO45,'Scen NotEffectivelyVax (hypo)'!DR45,'Scen NotEffectivelyVax (hypo)'!DU45,'Scen NotEffectivelyVax (hypo)'!DX45,'Scen NotEffectivelyVax (hypo)'!EA45,'Scen NotEffectivelyVax (hypo)'!ED45,'Scen NotEffectivelyVax (hypo)'!EG45,'Scen NotEffectivelyVax (hypo)'!EJ45,'Scen NotEffectivelyVax (hypo)'!EM45,'Scen NotEffectivelyVax (hypo)'!EP45,'Scen NotEffectivelyVax (hypo)'!ES45,'Scen NotEffectivelyVax (hypo)'!EV45,'Scen NotEffectivelyVax (hypo)'!EY45,'Scen NotEffectivelyVax (hypo)'!FB45,'Scen NotEffectivelyVax (hypo)'!FE45,'Scen NotEffectivelyVax (hypo)'!FH45,'Scen NotEffectivelyVax (hypo)'!FK45,'Scen NotEffectivelyVax (hypo)'!FN45,'Scen NotEffectivelyVax (hypo)'!FQ45,'Scen NotEffectivelyVax (hypo)'!FT45,'Scen NotEffectivelyVax (hypo)'!FW45,'Scen NotEffectivelyVax (hypo)'!FZ45)</f>
        <v>#VALUE!</v>
      </c>
      <c r="Y45" s="142" t="e">
        <f t="shared" si="1"/>
        <v>#VALUE!</v>
      </c>
      <c r="Z45" s="142" t="e">
        <f>IF(Export!M43&lt;&gt;"",W45*Export!K43*(1/Export!M43),W45*Export!K43)</f>
        <v>#VALUE!</v>
      </c>
      <c r="AA45" s="139" t="e">
        <f>Y45*Export!J43</f>
        <v>#VALUE!</v>
      </c>
      <c r="AC45" s="143" t="e">
        <f t="shared" si="2"/>
        <v>#VALUE!</v>
      </c>
      <c r="AD45" s="144" t="e">
        <f t="shared" si="19"/>
        <v>#VALUE!</v>
      </c>
      <c r="AE45" s="144" t="e">
        <f t="shared" si="3"/>
        <v>#VALUE!</v>
      </c>
      <c r="AF45" s="144" t="e">
        <f t="shared" si="4"/>
        <v>#VALUE!</v>
      </c>
      <c r="AG45" s="144" t="e">
        <f t="shared" si="5"/>
        <v>#VALUE!</v>
      </c>
      <c r="AH45" s="145"/>
      <c r="AI45" s="145"/>
      <c r="AJ45" s="145"/>
      <c r="AK45" s="145"/>
      <c r="AL45" s="146"/>
      <c r="AM45" s="145"/>
      <c r="AN45" s="145"/>
      <c r="AO45" s="145"/>
      <c r="AP45" s="145"/>
      <c r="AQ45" s="146"/>
      <c r="AR45" s="150"/>
      <c r="AS45" s="150"/>
      <c r="AT45" s="150"/>
      <c r="AU45" s="150"/>
      <c r="AV45" s="151"/>
    </row>
    <row r="46" spans="1:48" x14ac:dyDescent="0.35">
      <c r="A46" s="130">
        <f>EffectivelyVax!B45</f>
        <v>3</v>
      </c>
      <c r="B46" s="131" t="str">
        <f>EffectivelyVax!C45</f>
        <v/>
      </c>
      <c r="C46" s="132" t="str">
        <f>Export!N44</f>
        <v/>
      </c>
      <c r="D46" s="133" t="str">
        <f>IF(Inputs!$F$10="1. Actual program", 'Current vaccine model'!W46, Export!C44)</f>
        <v/>
      </c>
      <c r="E46" s="133" t="e">
        <f>D46*Export!L44</f>
        <v>#VALUE!</v>
      </c>
      <c r="F46" s="133" t="e">
        <f t="shared" si="18"/>
        <v>#VALUE!</v>
      </c>
      <c r="G46" s="133" t="e">
        <f>IF(Export!M44&lt;&gt;"",D46*Export!K44*(1/Export!M44),D46*Export!K44)</f>
        <v>#VALUE!</v>
      </c>
      <c r="H46" s="133" t="e">
        <f>F46*Export!J44</f>
        <v>#VALUE!</v>
      </c>
      <c r="I46" s="133" t="e">
        <f t="shared" si="14"/>
        <v>#VALUE!</v>
      </c>
      <c r="J46" s="134" t="e">
        <f t="shared" si="8"/>
        <v>#VALUE!</v>
      </c>
      <c r="K46" s="135" t="e">
        <f t="shared" si="9"/>
        <v>#VALUE!</v>
      </c>
      <c r="L46" s="117">
        <f>'Scen EffectivelyVax'!A45</f>
        <v>0</v>
      </c>
      <c r="M46" s="115" t="e">
        <f>C46*L46*HelperFunctions!G$45</f>
        <v>#VALUE!</v>
      </c>
      <c r="N46" s="116" t="e">
        <f>C46*L46*(1-HelperFunctions!G$45)</f>
        <v>#VALUE!</v>
      </c>
      <c r="O46" s="136" t="e">
        <f t="shared" si="15"/>
        <v>#DIV/0!</v>
      </c>
      <c r="P46" s="137">
        <f>SUM('Scen EffectivelyVax'!D45:BK45)</f>
        <v>0</v>
      </c>
      <c r="Q46" s="138" t="e">
        <f t="shared" si="11"/>
        <v>#DIV/0!</v>
      </c>
      <c r="R46" s="138" t="e">
        <f t="shared" si="12"/>
        <v>#DIV/0!</v>
      </c>
      <c r="S46" s="137" t="e">
        <f t="shared" si="0"/>
        <v>#DIV/0!</v>
      </c>
      <c r="T46" s="138" t="e">
        <f>IF(Export!M44&lt;&gt;"",Q46*Export!K44*(1/Export!M44),Q46*Export!K44)</f>
        <v>#DIV/0!</v>
      </c>
      <c r="U46" s="139" t="e">
        <f>S46*Export!J44</f>
        <v>#DIV/0!</v>
      </c>
      <c r="V46" s="140" t="e">
        <f>SUM('Scen NotEffectivelyVax (hypo)'!F46,'Scen NotEffectivelyVax (hypo)'!I46,'Scen NotEffectivelyVax (hypo)'!L46,'Scen NotEffectivelyVax (hypo)'!O46,'Scen NotEffectivelyVax (hypo)'!R46,'Scen NotEffectivelyVax (hypo)'!U46,'Scen NotEffectivelyVax (hypo)'!X46,'Scen NotEffectivelyVax (hypo)'!AA46,'Scen NotEffectivelyVax (hypo)'!AD46,'Scen NotEffectivelyVax (hypo)'!AG46,'Scen NotEffectivelyVax (hypo)'!AJ46,'Scen NotEffectivelyVax (hypo)'!AM46,'Scen NotEffectivelyVax (hypo)'!AP46,'Scen NotEffectivelyVax (hypo)'!AS46,'Scen NotEffectivelyVax (hypo)'!AV46,'Scen NotEffectivelyVax (hypo)'!AY46,'Scen NotEffectivelyVax (hypo)'!BB46,'Scen NotEffectivelyVax (hypo)'!BE46,'Scen NotEffectivelyVax (hypo)'!BH46,'Scen NotEffectivelyVax (hypo)'!BK46,'Scen NotEffectivelyVax (hypo)'!BN46,'Scen NotEffectivelyVax (hypo)'!BQ46,'Scen NotEffectivelyVax (hypo)'!BT46,'Scen NotEffectivelyVax (hypo)'!BW46,'Scen NotEffectivelyVax (hypo)'!BZ46,'Scen NotEffectivelyVax (hypo)'!CC46,'Scen NotEffectivelyVax (hypo)'!CF46,'Scen NotEffectivelyVax (hypo)'!CI46,'Scen NotEffectivelyVax (hypo)'!CL46,'Scen NotEffectivelyVax (hypo)'!CO46,'Scen NotEffectivelyVax (hypo)'!CR46,'Scen NotEffectivelyVax (hypo)'!CU46,'Scen NotEffectivelyVax (hypo)'!CX46,'Scen NotEffectivelyVax (hypo)'!DA46,'Scen NotEffectivelyVax (hypo)'!DD46,'Scen NotEffectivelyVax (hypo)'!DG46,'Scen NotEffectivelyVax (hypo)'!DJ46,'Scen NotEffectivelyVax (hypo)'!DM46,'Scen NotEffectivelyVax (hypo)'!DQ46,'Scen NotEffectivelyVax (hypo)'!DP46,'Scen NotEffectivelyVax (hypo)'!DS46,'Scen NotEffectivelyVax (hypo)'!DV46,'Scen NotEffectivelyVax (hypo)'!DY46,'Scen NotEffectivelyVax (hypo)'!EB46,'Scen NotEffectivelyVax (hypo)'!EE46,'Scen NotEffectivelyVax (hypo)'!EH46,'Scen NotEffectivelyVax (hypo)'!EK46,'Scen NotEffectivelyVax (hypo)'!EN46,'Scen NotEffectivelyVax (hypo)'!EQ46,'Scen NotEffectivelyVax (hypo)'!ET46,'Scen NotEffectivelyVax (hypo)'!EW46,'Scen NotEffectivelyVax (hypo)'!EZ46,'Scen NotEffectivelyVax (hypo)'!FC46,'Scen NotEffectivelyVax (hypo)'!FF46,'Scen NotEffectivelyVax (hypo)'!FI46,'Scen NotEffectivelyVax (hypo)'!FL46,'Scen NotEffectivelyVax (hypo)'!FO46,'Scen NotEffectivelyVax (hypo)'!FR46,'Scen NotEffectivelyVax (hypo)'!FU46,'Scen NotEffectivelyVax (hypo)'!FX46,'Scen NotEffectivelyVax (hypo)'!GA46)</f>
        <v>#VALUE!</v>
      </c>
      <c r="W46" s="141" t="e">
        <f>SUM('Scen NotEffectivelyVax (hypo)'!D46,'Scen NotEffectivelyVax (hypo)'!G46,'Scen NotEffectivelyVax (hypo)'!J46,'Scen NotEffectivelyVax (hypo)'!M46,'Scen NotEffectivelyVax (hypo)'!P46,'Scen NotEffectivelyVax (hypo)'!S46,'Scen NotEffectivelyVax (hypo)'!V46,'Scen NotEffectivelyVax (hypo)'!Y46,'Scen NotEffectivelyVax (hypo)'!AB46,'Scen NotEffectivelyVax (hypo)'!AE46,'Scen NotEffectivelyVax (hypo)'!AH46,'Scen NotEffectivelyVax (hypo)'!AK46,'Scen NotEffectivelyVax (hypo)'!AN46,'Scen NotEffectivelyVax (hypo)'!AQ46,'Scen NotEffectivelyVax (hypo)'!AT46,'Scen NotEffectivelyVax (hypo)'!AW46,'Scen NotEffectivelyVax (hypo)'!AZ46,'Scen NotEffectivelyVax (hypo)'!BC46,'Scen NotEffectivelyVax (hypo)'!BF46,'Scen NotEffectivelyVax (hypo)'!BI46,'Scen NotEffectivelyVax (hypo)'!BL46,'Scen NotEffectivelyVax (hypo)'!BO46,'Scen NotEffectivelyVax (hypo)'!BR46,'Scen NotEffectivelyVax (hypo)'!BU46,'Scen NotEffectivelyVax (hypo)'!BX46,'Scen NotEffectivelyVax (hypo)'!CA46,'Scen NotEffectivelyVax (hypo)'!CD46,'Scen NotEffectivelyVax (hypo)'!CG46,'Scen NotEffectivelyVax (hypo)'!CJ46,'Scen NotEffectivelyVax (hypo)'!CM46,'Scen NotEffectivelyVax (hypo)'!CP46,'Scen NotEffectivelyVax (hypo)'!CS46,'Scen NotEffectivelyVax (hypo)'!CV46,'Scen NotEffectivelyVax (hypo)'!CY46,'Scen NotEffectivelyVax (hypo)'!DB46,'Scen NotEffectivelyVax (hypo)'!DE46,'Scen NotEffectivelyVax (hypo)'!DH46,'Scen NotEffectivelyVax (hypo)'!DK46,'Scen NotEffectivelyVax (hypo)'!DN46,'Scen NotEffectivelyVax (hypo)'!DQ46,'Scen NotEffectivelyVax (hypo)'!DT46,'Scen NotEffectivelyVax (hypo)'!DW46,'Scen NotEffectivelyVax (hypo)'!DZ46,'Scen NotEffectivelyVax (hypo)'!EC46,'Scen NotEffectivelyVax (hypo)'!EF46,'Scen NotEffectivelyVax (hypo)'!EI46,'Scen NotEffectivelyVax (hypo)'!EL46,'Scen NotEffectivelyVax (hypo)'!EO46,'Scen NotEffectivelyVax (hypo)'!ER46,'Scen NotEffectivelyVax (hypo)'!EU46,'Scen NotEffectivelyVax (hypo)'!EX46,'Scen NotEffectivelyVax (hypo)'!FA46,'Scen NotEffectivelyVax (hypo)'!FD46,'Scen NotEffectivelyVax (hypo)'!FG46,'Scen NotEffectivelyVax (hypo)'!FJ46,'Scen NotEffectivelyVax (hypo)'!FM46,'Scen NotEffectivelyVax (hypo)'!FP46,'Scen NotEffectivelyVax (hypo)'!FS46,'Scen NotEffectivelyVax (hypo)'!FV46,'Scen NotEffectivelyVax (hypo)'!FY46)</f>
        <v>#VALUE!</v>
      </c>
      <c r="X46" s="141" t="e">
        <f>SUM('Scen NotEffectivelyVax (hypo)'!E46,'Scen NotEffectivelyVax (hypo)'!H46,'Scen NotEffectivelyVax (hypo)'!K46,'Scen NotEffectivelyVax (hypo)'!N46,'Scen NotEffectivelyVax (hypo)'!Q46,'Scen NotEffectivelyVax (hypo)'!T46,'Scen NotEffectivelyVax (hypo)'!Z46,'Scen NotEffectivelyVax (hypo)'!W46,'Scen NotEffectivelyVax (hypo)'!AC46,'Scen NotEffectivelyVax (hypo)'!AF46,'Scen NotEffectivelyVax (hypo)'!AI46,'Scen NotEffectivelyVax (hypo)'!AL46,'Scen NotEffectivelyVax (hypo)'!AO46,'Scen NotEffectivelyVax (hypo)'!AR46,'Scen NotEffectivelyVax (hypo)'!AU46,'Scen NotEffectivelyVax (hypo)'!AX46,'Scen NotEffectivelyVax (hypo)'!BA46,'Scen NotEffectivelyVax (hypo)'!BD46,'Scen NotEffectivelyVax (hypo)'!BG46,'Scen NotEffectivelyVax (hypo)'!BJ46,'Scen NotEffectivelyVax (hypo)'!BM46,'Scen NotEffectivelyVax (hypo)'!BP46,'Scen NotEffectivelyVax (hypo)'!BS46,'Scen NotEffectivelyVax (hypo)'!BV46,'Scen NotEffectivelyVax (hypo)'!BY46,'Scen NotEffectivelyVax (hypo)'!CB46,'Scen NotEffectivelyVax (hypo)'!CE46,'Scen NotEffectivelyVax (hypo)'!CH46,'Scen NotEffectivelyVax (hypo)'!CK46,'Scen NotEffectivelyVax (hypo)'!CN46,'Scen NotEffectivelyVax (hypo)'!CQ46,'Scen NotEffectivelyVax (hypo)'!CT46,'Scen NotEffectivelyVax (hypo)'!CW46,'Scen NotEffectivelyVax (hypo)'!CZ46,'Scen NotEffectivelyVax (hypo)'!DC46,'Scen NotEffectivelyVax (hypo)'!DF46,'Scen NotEffectivelyVax (hypo)'!DI46,'Scen NotEffectivelyVax (hypo)'!DL46,'Scen NotEffectivelyVax (hypo)'!DO46,'Scen NotEffectivelyVax (hypo)'!DR46,'Scen NotEffectivelyVax (hypo)'!DU46,'Scen NotEffectivelyVax (hypo)'!DX46,'Scen NotEffectivelyVax (hypo)'!EA46,'Scen NotEffectivelyVax (hypo)'!ED46,'Scen NotEffectivelyVax (hypo)'!EG46,'Scen NotEffectivelyVax (hypo)'!EJ46,'Scen NotEffectivelyVax (hypo)'!EM46,'Scen NotEffectivelyVax (hypo)'!EP46,'Scen NotEffectivelyVax (hypo)'!ES46,'Scen NotEffectivelyVax (hypo)'!EV46,'Scen NotEffectivelyVax (hypo)'!EY46,'Scen NotEffectivelyVax (hypo)'!FB46,'Scen NotEffectivelyVax (hypo)'!FE46,'Scen NotEffectivelyVax (hypo)'!FH46,'Scen NotEffectivelyVax (hypo)'!FK46,'Scen NotEffectivelyVax (hypo)'!FN46,'Scen NotEffectivelyVax (hypo)'!FQ46,'Scen NotEffectivelyVax (hypo)'!FT46,'Scen NotEffectivelyVax (hypo)'!FW46,'Scen NotEffectivelyVax (hypo)'!FZ46)</f>
        <v>#VALUE!</v>
      </c>
      <c r="Y46" s="142" t="e">
        <f t="shared" si="1"/>
        <v>#VALUE!</v>
      </c>
      <c r="Z46" s="142" t="e">
        <f>IF(Export!M44&lt;&gt;"",W46*Export!K44*(1/Export!M44),W46*Export!K44)</f>
        <v>#VALUE!</v>
      </c>
      <c r="AA46" s="139" t="e">
        <f>Y46*Export!J44</f>
        <v>#VALUE!</v>
      </c>
      <c r="AC46" s="143" t="e">
        <f t="shared" si="2"/>
        <v>#VALUE!</v>
      </c>
      <c r="AD46" s="144" t="e">
        <f t="shared" si="19"/>
        <v>#VALUE!</v>
      </c>
      <c r="AE46" s="144" t="e">
        <f t="shared" si="3"/>
        <v>#VALUE!</v>
      </c>
      <c r="AF46" s="144" t="e">
        <f t="shared" si="4"/>
        <v>#VALUE!</v>
      </c>
      <c r="AG46" s="144" t="e">
        <f t="shared" si="5"/>
        <v>#VALUE!</v>
      </c>
      <c r="AH46" s="145"/>
      <c r="AI46" s="145"/>
      <c r="AJ46" s="145"/>
      <c r="AK46" s="145"/>
      <c r="AL46" s="146"/>
      <c r="AM46" s="145"/>
      <c r="AN46" s="145"/>
      <c r="AO46" s="145"/>
      <c r="AP46" s="145"/>
      <c r="AQ46" s="146"/>
      <c r="AR46" s="150"/>
      <c r="AS46" s="150"/>
      <c r="AT46" s="150"/>
      <c r="AU46" s="150"/>
      <c r="AV46" s="151"/>
    </row>
    <row r="47" spans="1:48" x14ac:dyDescent="0.35">
      <c r="A47" s="130">
        <f>EffectivelyVax!B46</f>
        <v>3</v>
      </c>
      <c r="B47" s="131" t="str">
        <f>EffectivelyVax!C46</f>
        <v/>
      </c>
      <c r="C47" s="132" t="str">
        <f>Export!N45</f>
        <v/>
      </c>
      <c r="D47" s="133" t="str">
        <f>IF(Inputs!$F$10="1. Actual program", 'Current vaccine model'!W47, Export!C45)</f>
        <v/>
      </c>
      <c r="E47" s="133" t="e">
        <f>D47*Export!L45</f>
        <v>#VALUE!</v>
      </c>
      <c r="F47" s="133" t="e">
        <f t="shared" si="18"/>
        <v>#VALUE!</v>
      </c>
      <c r="G47" s="133" t="e">
        <f>IF(Export!M45&lt;&gt;"",D47*Export!K45*(1/Export!M45),D47*Export!K45)</f>
        <v>#VALUE!</v>
      </c>
      <c r="H47" s="133" t="e">
        <f>F47*Export!J45</f>
        <v>#VALUE!</v>
      </c>
      <c r="I47" s="133" t="e">
        <f t="shared" si="14"/>
        <v>#VALUE!</v>
      </c>
      <c r="J47" s="134" t="e">
        <f t="shared" si="8"/>
        <v>#VALUE!</v>
      </c>
      <c r="K47" s="135" t="e">
        <f t="shared" si="9"/>
        <v>#VALUE!</v>
      </c>
      <c r="L47" s="117">
        <f>'Scen EffectivelyVax'!A46</f>
        <v>0</v>
      </c>
      <c r="M47" s="115" t="e">
        <f>C47*L47*HelperFunctions!G$45</f>
        <v>#VALUE!</v>
      </c>
      <c r="N47" s="116" t="e">
        <f>C47*L47*(1-HelperFunctions!G$45)</f>
        <v>#VALUE!</v>
      </c>
      <c r="O47" s="136" t="e">
        <f t="shared" si="15"/>
        <v>#DIV/0!</v>
      </c>
      <c r="P47" s="137">
        <f>SUM('Scen EffectivelyVax'!D46:BK46)</f>
        <v>0</v>
      </c>
      <c r="Q47" s="138" t="e">
        <f t="shared" si="11"/>
        <v>#DIV/0!</v>
      </c>
      <c r="R47" s="138" t="e">
        <f t="shared" si="12"/>
        <v>#DIV/0!</v>
      </c>
      <c r="S47" s="137" t="e">
        <f t="shared" si="0"/>
        <v>#DIV/0!</v>
      </c>
      <c r="T47" s="138" t="e">
        <f>IF(Export!M45&lt;&gt;"",Q47*Export!K45*(1/Export!M45),Q47*Export!K45)</f>
        <v>#DIV/0!</v>
      </c>
      <c r="U47" s="139" t="e">
        <f>S47*Export!J45</f>
        <v>#DIV/0!</v>
      </c>
      <c r="V47" s="140" t="e">
        <f>SUM('Scen NotEffectivelyVax (hypo)'!F47,'Scen NotEffectivelyVax (hypo)'!I47,'Scen NotEffectivelyVax (hypo)'!L47,'Scen NotEffectivelyVax (hypo)'!O47,'Scen NotEffectivelyVax (hypo)'!R47,'Scen NotEffectivelyVax (hypo)'!U47,'Scen NotEffectivelyVax (hypo)'!X47,'Scen NotEffectivelyVax (hypo)'!AA47,'Scen NotEffectivelyVax (hypo)'!AD47,'Scen NotEffectivelyVax (hypo)'!AG47,'Scen NotEffectivelyVax (hypo)'!AJ47,'Scen NotEffectivelyVax (hypo)'!AM47,'Scen NotEffectivelyVax (hypo)'!AP47,'Scen NotEffectivelyVax (hypo)'!AS47,'Scen NotEffectivelyVax (hypo)'!AV47,'Scen NotEffectivelyVax (hypo)'!AY47,'Scen NotEffectivelyVax (hypo)'!BB47,'Scen NotEffectivelyVax (hypo)'!BE47,'Scen NotEffectivelyVax (hypo)'!BH47,'Scen NotEffectivelyVax (hypo)'!BK47,'Scen NotEffectivelyVax (hypo)'!BN47,'Scen NotEffectivelyVax (hypo)'!BQ47,'Scen NotEffectivelyVax (hypo)'!BT47,'Scen NotEffectivelyVax (hypo)'!BW47,'Scen NotEffectivelyVax (hypo)'!BZ47,'Scen NotEffectivelyVax (hypo)'!CC47,'Scen NotEffectivelyVax (hypo)'!CF47,'Scen NotEffectivelyVax (hypo)'!CI47,'Scen NotEffectivelyVax (hypo)'!CL47,'Scen NotEffectivelyVax (hypo)'!CO47,'Scen NotEffectivelyVax (hypo)'!CR47,'Scen NotEffectivelyVax (hypo)'!CU47,'Scen NotEffectivelyVax (hypo)'!CX47,'Scen NotEffectivelyVax (hypo)'!DA47,'Scen NotEffectivelyVax (hypo)'!DD47,'Scen NotEffectivelyVax (hypo)'!DG47,'Scen NotEffectivelyVax (hypo)'!DJ47,'Scen NotEffectivelyVax (hypo)'!DM47,'Scen NotEffectivelyVax (hypo)'!DQ47,'Scen NotEffectivelyVax (hypo)'!DP47,'Scen NotEffectivelyVax (hypo)'!DS47,'Scen NotEffectivelyVax (hypo)'!DV47,'Scen NotEffectivelyVax (hypo)'!DY47,'Scen NotEffectivelyVax (hypo)'!EB47,'Scen NotEffectivelyVax (hypo)'!EE47,'Scen NotEffectivelyVax (hypo)'!EH47,'Scen NotEffectivelyVax (hypo)'!EK47,'Scen NotEffectivelyVax (hypo)'!EN47,'Scen NotEffectivelyVax (hypo)'!EQ47,'Scen NotEffectivelyVax (hypo)'!ET47,'Scen NotEffectivelyVax (hypo)'!EW47,'Scen NotEffectivelyVax (hypo)'!EZ47,'Scen NotEffectivelyVax (hypo)'!FC47,'Scen NotEffectivelyVax (hypo)'!FF47,'Scen NotEffectivelyVax (hypo)'!FI47,'Scen NotEffectivelyVax (hypo)'!FL47,'Scen NotEffectivelyVax (hypo)'!FO47,'Scen NotEffectivelyVax (hypo)'!FR47,'Scen NotEffectivelyVax (hypo)'!FU47,'Scen NotEffectivelyVax (hypo)'!FX47,'Scen NotEffectivelyVax (hypo)'!GA47)</f>
        <v>#VALUE!</v>
      </c>
      <c r="W47" s="141" t="e">
        <f>SUM('Scen NotEffectivelyVax (hypo)'!D47,'Scen NotEffectivelyVax (hypo)'!G47,'Scen NotEffectivelyVax (hypo)'!J47,'Scen NotEffectivelyVax (hypo)'!M47,'Scen NotEffectivelyVax (hypo)'!P47,'Scen NotEffectivelyVax (hypo)'!S47,'Scen NotEffectivelyVax (hypo)'!V47,'Scen NotEffectivelyVax (hypo)'!Y47,'Scen NotEffectivelyVax (hypo)'!AB47,'Scen NotEffectivelyVax (hypo)'!AE47,'Scen NotEffectivelyVax (hypo)'!AH47,'Scen NotEffectivelyVax (hypo)'!AK47,'Scen NotEffectivelyVax (hypo)'!AN47,'Scen NotEffectivelyVax (hypo)'!AQ47,'Scen NotEffectivelyVax (hypo)'!AT47,'Scen NotEffectivelyVax (hypo)'!AW47,'Scen NotEffectivelyVax (hypo)'!AZ47,'Scen NotEffectivelyVax (hypo)'!BC47,'Scen NotEffectivelyVax (hypo)'!BF47,'Scen NotEffectivelyVax (hypo)'!BI47,'Scen NotEffectivelyVax (hypo)'!BL47,'Scen NotEffectivelyVax (hypo)'!BO47,'Scen NotEffectivelyVax (hypo)'!BR47,'Scen NotEffectivelyVax (hypo)'!BU47,'Scen NotEffectivelyVax (hypo)'!BX47,'Scen NotEffectivelyVax (hypo)'!CA47,'Scen NotEffectivelyVax (hypo)'!CD47,'Scen NotEffectivelyVax (hypo)'!CG47,'Scen NotEffectivelyVax (hypo)'!CJ47,'Scen NotEffectivelyVax (hypo)'!CM47,'Scen NotEffectivelyVax (hypo)'!CP47,'Scen NotEffectivelyVax (hypo)'!CS47,'Scen NotEffectivelyVax (hypo)'!CV47,'Scen NotEffectivelyVax (hypo)'!CY47,'Scen NotEffectivelyVax (hypo)'!DB47,'Scen NotEffectivelyVax (hypo)'!DE47,'Scen NotEffectivelyVax (hypo)'!DH47,'Scen NotEffectivelyVax (hypo)'!DK47,'Scen NotEffectivelyVax (hypo)'!DN47,'Scen NotEffectivelyVax (hypo)'!DQ47,'Scen NotEffectivelyVax (hypo)'!DT47,'Scen NotEffectivelyVax (hypo)'!DW47,'Scen NotEffectivelyVax (hypo)'!DZ47,'Scen NotEffectivelyVax (hypo)'!EC47,'Scen NotEffectivelyVax (hypo)'!EF47,'Scen NotEffectivelyVax (hypo)'!EI47,'Scen NotEffectivelyVax (hypo)'!EL47,'Scen NotEffectivelyVax (hypo)'!EO47,'Scen NotEffectivelyVax (hypo)'!ER47,'Scen NotEffectivelyVax (hypo)'!EU47,'Scen NotEffectivelyVax (hypo)'!EX47,'Scen NotEffectivelyVax (hypo)'!FA47,'Scen NotEffectivelyVax (hypo)'!FD47,'Scen NotEffectivelyVax (hypo)'!FG47,'Scen NotEffectivelyVax (hypo)'!FJ47,'Scen NotEffectivelyVax (hypo)'!FM47,'Scen NotEffectivelyVax (hypo)'!FP47,'Scen NotEffectivelyVax (hypo)'!FS47,'Scen NotEffectivelyVax (hypo)'!FV47,'Scen NotEffectivelyVax (hypo)'!FY47)</f>
        <v>#VALUE!</v>
      </c>
      <c r="X47" s="141" t="e">
        <f>SUM('Scen NotEffectivelyVax (hypo)'!E47,'Scen NotEffectivelyVax (hypo)'!H47,'Scen NotEffectivelyVax (hypo)'!K47,'Scen NotEffectivelyVax (hypo)'!N47,'Scen NotEffectivelyVax (hypo)'!Q47,'Scen NotEffectivelyVax (hypo)'!T47,'Scen NotEffectivelyVax (hypo)'!Z47,'Scen NotEffectivelyVax (hypo)'!W47,'Scen NotEffectivelyVax (hypo)'!AC47,'Scen NotEffectivelyVax (hypo)'!AF47,'Scen NotEffectivelyVax (hypo)'!AI47,'Scen NotEffectivelyVax (hypo)'!AL47,'Scen NotEffectivelyVax (hypo)'!AO47,'Scen NotEffectivelyVax (hypo)'!AR47,'Scen NotEffectivelyVax (hypo)'!AU47,'Scen NotEffectivelyVax (hypo)'!AX47,'Scen NotEffectivelyVax (hypo)'!BA47,'Scen NotEffectivelyVax (hypo)'!BD47,'Scen NotEffectivelyVax (hypo)'!BG47,'Scen NotEffectivelyVax (hypo)'!BJ47,'Scen NotEffectivelyVax (hypo)'!BM47,'Scen NotEffectivelyVax (hypo)'!BP47,'Scen NotEffectivelyVax (hypo)'!BS47,'Scen NotEffectivelyVax (hypo)'!BV47,'Scen NotEffectivelyVax (hypo)'!BY47,'Scen NotEffectivelyVax (hypo)'!CB47,'Scen NotEffectivelyVax (hypo)'!CE47,'Scen NotEffectivelyVax (hypo)'!CH47,'Scen NotEffectivelyVax (hypo)'!CK47,'Scen NotEffectivelyVax (hypo)'!CN47,'Scen NotEffectivelyVax (hypo)'!CQ47,'Scen NotEffectivelyVax (hypo)'!CT47,'Scen NotEffectivelyVax (hypo)'!CW47,'Scen NotEffectivelyVax (hypo)'!CZ47,'Scen NotEffectivelyVax (hypo)'!DC47,'Scen NotEffectivelyVax (hypo)'!DF47,'Scen NotEffectivelyVax (hypo)'!DI47,'Scen NotEffectivelyVax (hypo)'!DL47,'Scen NotEffectivelyVax (hypo)'!DO47,'Scen NotEffectivelyVax (hypo)'!DR47,'Scen NotEffectivelyVax (hypo)'!DU47,'Scen NotEffectivelyVax (hypo)'!DX47,'Scen NotEffectivelyVax (hypo)'!EA47,'Scen NotEffectivelyVax (hypo)'!ED47,'Scen NotEffectivelyVax (hypo)'!EG47,'Scen NotEffectivelyVax (hypo)'!EJ47,'Scen NotEffectivelyVax (hypo)'!EM47,'Scen NotEffectivelyVax (hypo)'!EP47,'Scen NotEffectivelyVax (hypo)'!ES47,'Scen NotEffectivelyVax (hypo)'!EV47,'Scen NotEffectivelyVax (hypo)'!EY47,'Scen NotEffectivelyVax (hypo)'!FB47,'Scen NotEffectivelyVax (hypo)'!FE47,'Scen NotEffectivelyVax (hypo)'!FH47,'Scen NotEffectivelyVax (hypo)'!FK47,'Scen NotEffectivelyVax (hypo)'!FN47,'Scen NotEffectivelyVax (hypo)'!FQ47,'Scen NotEffectivelyVax (hypo)'!FT47,'Scen NotEffectivelyVax (hypo)'!FW47,'Scen NotEffectivelyVax (hypo)'!FZ47)</f>
        <v>#VALUE!</v>
      </c>
      <c r="Y47" s="142" t="e">
        <f t="shared" si="1"/>
        <v>#VALUE!</v>
      </c>
      <c r="Z47" s="142" t="e">
        <f>IF(Export!M45&lt;&gt;"",W47*Export!K45*(1/Export!M45),W47*Export!K45)</f>
        <v>#VALUE!</v>
      </c>
      <c r="AA47" s="139" t="e">
        <f>Y47*Export!J45</f>
        <v>#VALUE!</v>
      </c>
      <c r="AC47" s="143" t="e">
        <f t="shared" si="2"/>
        <v>#VALUE!</v>
      </c>
      <c r="AD47" s="144" t="e">
        <f t="shared" si="19"/>
        <v>#VALUE!</v>
      </c>
      <c r="AE47" s="144" t="e">
        <f t="shared" si="3"/>
        <v>#VALUE!</v>
      </c>
      <c r="AF47" s="144" t="e">
        <f t="shared" si="4"/>
        <v>#VALUE!</v>
      </c>
      <c r="AG47" s="144" t="e">
        <f t="shared" si="5"/>
        <v>#VALUE!</v>
      </c>
      <c r="AH47" s="145"/>
      <c r="AI47" s="145"/>
      <c r="AJ47" s="145"/>
      <c r="AK47" s="145"/>
      <c r="AL47" s="146"/>
      <c r="AM47" s="145"/>
      <c r="AN47" s="145"/>
      <c r="AO47" s="145"/>
      <c r="AP47" s="145"/>
      <c r="AQ47" s="146"/>
      <c r="AR47" s="150"/>
      <c r="AS47" s="150"/>
      <c r="AT47" s="150"/>
      <c r="AU47" s="150"/>
      <c r="AV47" s="151"/>
    </row>
    <row r="48" spans="1:48" x14ac:dyDescent="0.35">
      <c r="A48" s="130">
        <f>EffectivelyVax!B47</f>
        <v>3</v>
      </c>
      <c r="B48" s="131" t="str">
        <f>EffectivelyVax!C47</f>
        <v/>
      </c>
      <c r="C48" s="132" t="str">
        <f>Export!N46</f>
        <v/>
      </c>
      <c r="D48" s="133" t="str">
        <f>IF(Inputs!$F$10="1. Actual program", 'Current vaccine model'!W48, Export!C46)</f>
        <v/>
      </c>
      <c r="E48" s="133" t="e">
        <f>D48*Export!L46</f>
        <v>#VALUE!</v>
      </c>
      <c r="F48" s="133" t="e">
        <f t="shared" si="18"/>
        <v>#VALUE!</v>
      </c>
      <c r="G48" s="133" t="e">
        <f>IF(Export!M46&lt;&gt;"",D48*Export!K46*(1/Export!M46),D48*Export!K46)</f>
        <v>#VALUE!</v>
      </c>
      <c r="H48" s="133" t="e">
        <f>F48*Export!J46</f>
        <v>#VALUE!</v>
      </c>
      <c r="I48" s="133" t="e">
        <f t="shared" si="14"/>
        <v>#VALUE!</v>
      </c>
      <c r="J48" s="134" t="e">
        <f t="shared" si="8"/>
        <v>#VALUE!</v>
      </c>
      <c r="K48" s="135" t="e">
        <f t="shared" si="9"/>
        <v>#VALUE!</v>
      </c>
      <c r="L48" s="117">
        <f>'Scen EffectivelyVax'!A47</f>
        <v>0</v>
      </c>
      <c r="M48" s="115" t="e">
        <f>C48*L48*HelperFunctions!G$45</f>
        <v>#VALUE!</v>
      </c>
      <c r="N48" s="116" t="e">
        <f>C48*L48*(1-HelperFunctions!G$45)</f>
        <v>#VALUE!</v>
      </c>
      <c r="O48" s="136" t="e">
        <f t="shared" si="15"/>
        <v>#DIV/0!</v>
      </c>
      <c r="P48" s="137">
        <f>SUM('Scen EffectivelyVax'!D47:BK47)</f>
        <v>0</v>
      </c>
      <c r="Q48" s="138" t="e">
        <f t="shared" si="11"/>
        <v>#DIV/0!</v>
      </c>
      <c r="R48" s="138" t="e">
        <f t="shared" si="12"/>
        <v>#DIV/0!</v>
      </c>
      <c r="S48" s="137" t="e">
        <f t="shared" si="0"/>
        <v>#DIV/0!</v>
      </c>
      <c r="T48" s="138" t="e">
        <f>IF(Export!M46&lt;&gt;"",Q48*Export!K46*(1/Export!M46),Q48*Export!K46)</f>
        <v>#DIV/0!</v>
      </c>
      <c r="U48" s="139" t="e">
        <f>S48*Export!J46</f>
        <v>#DIV/0!</v>
      </c>
      <c r="V48" s="140" t="e">
        <f>SUM('Scen NotEffectivelyVax (hypo)'!F48,'Scen NotEffectivelyVax (hypo)'!I48,'Scen NotEffectivelyVax (hypo)'!L48,'Scen NotEffectivelyVax (hypo)'!O48,'Scen NotEffectivelyVax (hypo)'!R48,'Scen NotEffectivelyVax (hypo)'!U48,'Scen NotEffectivelyVax (hypo)'!X48,'Scen NotEffectivelyVax (hypo)'!AA48,'Scen NotEffectivelyVax (hypo)'!AD48,'Scen NotEffectivelyVax (hypo)'!AG48,'Scen NotEffectivelyVax (hypo)'!AJ48,'Scen NotEffectivelyVax (hypo)'!AM48,'Scen NotEffectivelyVax (hypo)'!AP48,'Scen NotEffectivelyVax (hypo)'!AS48,'Scen NotEffectivelyVax (hypo)'!AV48,'Scen NotEffectivelyVax (hypo)'!AY48,'Scen NotEffectivelyVax (hypo)'!BB48,'Scen NotEffectivelyVax (hypo)'!BE48,'Scen NotEffectivelyVax (hypo)'!BH48,'Scen NotEffectivelyVax (hypo)'!BK48,'Scen NotEffectivelyVax (hypo)'!BN48,'Scen NotEffectivelyVax (hypo)'!BQ48,'Scen NotEffectivelyVax (hypo)'!BT48,'Scen NotEffectivelyVax (hypo)'!BW48,'Scen NotEffectivelyVax (hypo)'!BZ48,'Scen NotEffectivelyVax (hypo)'!CC48,'Scen NotEffectivelyVax (hypo)'!CF48,'Scen NotEffectivelyVax (hypo)'!CI48,'Scen NotEffectivelyVax (hypo)'!CL48,'Scen NotEffectivelyVax (hypo)'!CO48,'Scen NotEffectivelyVax (hypo)'!CR48,'Scen NotEffectivelyVax (hypo)'!CU48,'Scen NotEffectivelyVax (hypo)'!CX48,'Scen NotEffectivelyVax (hypo)'!DA48,'Scen NotEffectivelyVax (hypo)'!DD48,'Scen NotEffectivelyVax (hypo)'!DG48,'Scen NotEffectivelyVax (hypo)'!DJ48,'Scen NotEffectivelyVax (hypo)'!DM48,'Scen NotEffectivelyVax (hypo)'!DQ48,'Scen NotEffectivelyVax (hypo)'!DP48,'Scen NotEffectivelyVax (hypo)'!DS48,'Scen NotEffectivelyVax (hypo)'!DV48,'Scen NotEffectivelyVax (hypo)'!DY48,'Scen NotEffectivelyVax (hypo)'!EB48,'Scen NotEffectivelyVax (hypo)'!EE48,'Scen NotEffectivelyVax (hypo)'!EH48,'Scen NotEffectivelyVax (hypo)'!EK48,'Scen NotEffectivelyVax (hypo)'!EN48,'Scen NotEffectivelyVax (hypo)'!EQ48,'Scen NotEffectivelyVax (hypo)'!ET48,'Scen NotEffectivelyVax (hypo)'!EW48,'Scen NotEffectivelyVax (hypo)'!EZ48,'Scen NotEffectivelyVax (hypo)'!FC48,'Scen NotEffectivelyVax (hypo)'!FF48,'Scen NotEffectivelyVax (hypo)'!FI48,'Scen NotEffectivelyVax (hypo)'!FL48,'Scen NotEffectivelyVax (hypo)'!FO48,'Scen NotEffectivelyVax (hypo)'!FR48,'Scen NotEffectivelyVax (hypo)'!FU48,'Scen NotEffectivelyVax (hypo)'!FX48,'Scen NotEffectivelyVax (hypo)'!GA48)</f>
        <v>#VALUE!</v>
      </c>
      <c r="W48" s="141" t="e">
        <f>SUM('Scen NotEffectivelyVax (hypo)'!D48,'Scen NotEffectivelyVax (hypo)'!G48,'Scen NotEffectivelyVax (hypo)'!J48,'Scen NotEffectivelyVax (hypo)'!M48,'Scen NotEffectivelyVax (hypo)'!P48,'Scen NotEffectivelyVax (hypo)'!S48,'Scen NotEffectivelyVax (hypo)'!V48,'Scen NotEffectivelyVax (hypo)'!Y48,'Scen NotEffectivelyVax (hypo)'!AB48,'Scen NotEffectivelyVax (hypo)'!AE48,'Scen NotEffectivelyVax (hypo)'!AH48,'Scen NotEffectivelyVax (hypo)'!AK48,'Scen NotEffectivelyVax (hypo)'!AN48,'Scen NotEffectivelyVax (hypo)'!AQ48,'Scen NotEffectivelyVax (hypo)'!AT48,'Scen NotEffectivelyVax (hypo)'!AW48,'Scen NotEffectivelyVax (hypo)'!AZ48,'Scen NotEffectivelyVax (hypo)'!BC48,'Scen NotEffectivelyVax (hypo)'!BF48,'Scen NotEffectivelyVax (hypo)'!BI48,'Scen NotEffectivelyVax (hypo)'!BL48,'Scen NotEffectivelyVax (hypo)'!BO48,'Scen NotEffectivelyVax (hypo)'!BR48,'Scen NotEffectivelyVax (hypo)'!BU48,'Scen NotEffectivelyVax (hypo)'!BX48,'Scen NotEffectivelyVax (hypo)'!CA48,'Scen NotEffectivelyVax (hypo)'!CD48,'Scen NotEffectivelyVax (hypo)'!CG48,'Scen NotEffectivelyVax (hypo)'!CJ48,'Scen NotEffectivelyVax (hypo)'!CM48,'Scen NotEffectivelyVax (hypo)'!CP48,'Scen NotEffectivelyVax (hypo)'!CS48,'Scen NotEffectivelyVax (hypo)'!CV48,'Scen NotEffectivelyVax (hypo)'!CY48,'Scen NotEffectivelyVax (hypo)'!DB48,'Scen NotEffectivelyVax (hypo)'!DE48,'Scen NotEffectivelyVax (hypo)'!DH48,'Scen NotEffectivelyVax (hypo)'!DK48,'Scen NotEffectivelyVax (hypo)'!DN48,'Scen NotEffectivelyVax (hypo)'!DQ48,'Scen NotEffectivelyVax (hypo)'!DT48,'Scen NotEffectivelyVax (hypo)'!DW48,'Scen NotEffectivelyVax (hypo)'!DZ48,'Scen NotEffectivelyVax (hypo)'!EC48,'Scen NotEffectivelyVax (hypo)'!EF48,'Scen NotEffectivelyVax (hypo)'!EI48,'Scen NotEffectivelyVax (hypo)'!EL48,'Scen NotEffectivelyVax (hypo)'!EO48,'Scen NotEffectivelyVax (hypo)'!ER48,'Scen NotEffectivelyVax (hypo)'!EU48,'Scen NotEffectivelyVax (hypo)'!EX48,'Scen NotEffectivelyVax (hypo)'!FA48,'Scen NotEffectivelyVax (hypo)'!FD48,'Scen NotEffectivelyVax (hypo)'!FG48,'Scen NotEffectivelyVax (hypo)'!FJ48,'Scen NotEffectivelyVax (hypo)'!FM48,'Scen NotEffectivelyVax (hypo)'!FP48,'Scen NotEffectivelyVax (hypo)'!FS48,'Scen NotEffectivelyVax (hypo)'!FV48,'Scen NotEffectivelyVax (hypo)'!FY48)</f>
        <v>#VALUE!</v>
      </c>
      <c r="X48" s="141" t="e">
        <f>SUM('Scen NotEffectivelyVax (hypo)'!E48,'Scen NotEffectivelyVax (hypo)'!H48,'Scen NotEffectivelyVax (hypo)'!K48,'Scen NotEffectivelyVax (hypo)'!N48,'Scen NotEffectivelyVax (hypo)'!Q48,'Scen NotEffectivelyVax (hypo)'!T48,'Scen NotEffectivelyVax (hypo)'!Z48,'Scen NotEffectivelyVax (hypo)'!W48,'Scen NotEffectivelyVax (hypo)'!AC48,'Scen NotEffectivelyVax (hypo)'!AF48,'Scen NotEffectivelyVax (hypo)'!AI48,'Scen NotEffectivelyVax (hypo)'!AL48,'Scen NotEffectivelyVax (hypo)'!AO48,'Scen NotEffectivelyVax (hypo)'!AR48,'Scen NotEffectivelyVax (hypo)'!AU48,'Scen NotEffectivelyVax (hypo)'!AX48,'Scen NotEffectivelyVax (hypo)'!BA48,'Scen NotEffectivelyVax (hypo)'!BD48,'Scen NotEffectivelyVax (hypo)'!BG48,'Scen NotEffectivelyVax (hypo)'!BJ48,'Scen NotEffectivelyVax (hypo)'!BM48,'Scen NotEffectivelyVax (hypo)'!BP48,'Scen NotEffectivelyVax (hypo)'!BS48,'Scen NotEffectivelyVax (hypo)'!BV48,'Scen NotEffectivelyVax (hypo)'!BY48,'Scen NotEffectivelyVax (hypo)'!CB48,'Scen NotEffectivelyVax (hypo)'!CE48,'Scen NotEffectivelyVax (hypo)'!CH48,'Scen NotEffectivelyVax (hypo)'!CK48,'Scen NotEffectivelyVax (hypo)'!CN48,'Scen NotEffectivelyVax (hypo)'!CQ48,'Scen NotEffectivelyVax (hypo)'!CT48,'Scen NotEffectivelyVax (hypo)'!CW48,'Scen NotEffectivelyVax (hypo)'!CZ48,'Scen NotEffectivelyVax (hypo)'!DC48,'Scen NotEffectivelyVax (hypo)'!DF48,'Scen NotEffectivelyVax (hypo)'!DI48,'Scen NotEffectivelyVax (hypo)'!DL48,'Scen NotEffectivelyVax (hypo)'!DO48,'Scen NotEffectivelyVax (hypo)'!DR48,'Scen NotEffectivelyVax (hypo)'!DU48,'Scen NotEffectivelyVax (hypo)'!DX48,'Scen NotEffectivelyVax (hypo)'!EA48,'Scen NotEffectivelyVax (hypo)'!ED48,'Scen NotEffectivelyVax (hypo)'!EG48,'Scen NotEffectivelyVax (hypo)'!EJ48,'Scen NotEffectivelyVax (hypo)'!EM48,'Scen NotEffectivelyVax (hypo)'!EP48,'Scen NotEffectivelyVax (hypo)'!ES48,'Scen NotEffectivelyVax (hypo)'!EV48,'Scen NotEffectivelyVax (hypo)'!EY48,'Scen NotEffectivelyVax (hypo)'!FB48,'Scen NotEffectivelyVax (hypo)'!FE48,'Scen NotEffectivelyVax (hypo)'!FH48,'Scen NotEffectivelyVax (hypo)'!FK48,'Scen NotEffectivelyVax (hypo)'!FN48,'Scen NotEffectivelyVax (hypo)'!FQ48,'Scen NotEffectivelyVax (hypo)'!FT48,'Scen NotEffectivelyVax (hypo)'!FW48,'Scen NotEffectivelyVax (hypo)'!FZ48)</f>
        <v>#VALUE!</v>
      </c>
      <c r="Y48" s="142" t="e">
        <f t="shared" si="1"/>
        <v>#VALUE!</v>
      </c>
      <c r="Z48" s="142" t="e">
        <f>IF(Export!M46&lt;&gt;"",W48*Export!K46*(1/Export!M46),W48*Export!K46)</f>
        <v>#VALUE!</v>
      </c>
      <c r="AA48" s="139" t="e">
        <f>Y48*Export!J46</f>
        <v>#VALUE!</v>
      </c>
      <c r="AC48" s="143" t="e">
        <f t="shared" si="2"/>
        <v>#VALUE!</v>
      </c>
      <c r="AD48" s="144" t="e">
        <f t="shared" si="19"/>
        <v>#VALUE!</v>
      </c>
      <c r="AE48" s="144" t="e">
        <f t="shared" si="3"/>
        <v>#VALUE!</v>
      </c>
      <c r="AF48" s="144" t="e">
        <f t="shared" si="4"/>
        <v>#VALUE!</v>
      </c>
      <c r="AG48" s="144" t="e">
        <f t="shared" si="5"/>
        <v>#VALUE!</v>
      </c>
      <c r="AH48" s="145"/>
      <c r="AI48" s="145"/>
      <c r="AJ48" s="145"/>
      <c r="AK48" s="145"/>
      <c r="AL48" s="146"/>
      <c r="AM48" s="145"/>
      <c r="AN48" s="145"/>
      <c r="AO48" s="145"/>
      <c r="AP48" s="145"/>
      <c r="AQ48" s="146"/>
      <c r="AR48" s="150"/>
      <c r="AS48" s="150"/>
      <c r="AT48" s="150"/>
      <c r="AU48" s="150"/>
      <c r="AV48" s="151"/>
    </row>
    <row r="49" spans="1:48" x14ac:dyDescent="0.35">
      <c r="A49" s="130">
        <f>EffectivelyVax!B48</f>
        <v>3</v>
      </c>
      <c r="B49" s="131" t="str">
        <f>EffectivelyVax!C48</f>
        <v/>
      </c>
      <c r="C49" s="132" t="str">
        <f>Export!N47</f>
        <v/>
      </c>
      <c r="D49" s="133" t="str">
        <f>IF(Inputs!$F$10="1. Actual program", 'Current vaccine model'!W49, Export!C47)</f>
        <v/>
      </c>
      <c r="E49" s="133" t="e">
        <f>D49*Export!L47</f>
        <v>#VALUE!</v>
      </c>
      <c r="F49" s="133" t="e">
        <f t="shared" si="18"/>
        <v>#VALUE!</v>
      </c>
      <c r="G49" s="133" t="e">
        <f>IF(Export!M47&lt;&gt;"",D49*Export!K47*(1/Export!M47),D49*Export!K47)</f>
        <v>#VALUE!</v>
      </c>
      <c r="H49" s="133" t="e">
        <f>F49*Export!J47</f>
        <v>#VALUE!</v>
      </c>
      <c r="I49" s="133" t="e">
        <f t="shared" si="14"/>
        <v>#VALUE!</v>
      </c>
      <c r="J49" s="134" t="e">
        <f t="shared" si="8"/>
        <v>#VALUE!</v>
      </c>
      <c r="K49" s="135" t="e">
        <f t="shared" si="9"/>
        <v>#VALUE!</v>
      </c>
      <c r="L49" s="117">
        <f>'Scen EffectivelyVax'!A48</f>
        <v>0</v>
      </c>
      <c r="M49" s="115" t="e">
        <f>C49*L49*HelperFunctions!G$45</f>
        <v>#VALUE!</v>
      </c>
      <c r="N49" s="116" t="e">
        <f>C49*L49*(1-HelperFunctions!G$45)</f>
        <v>#VALUE!</v>
      </c>
      <c r="O49" s="136" t="e">
        <f t="shared" si="15"/>
        <v>#DIV/0!</v>
      </c>
      <c r="P49" s="137">
        <f>SUM('Scen EffectivelyVax'!D48:BK48)</f>
        <v>0</v>
      </c>
      <c r="Q49" s="138" t="e">
        <f t="shared" si="11"/>
        <v>#DIV/0!</v>
      </c>
      <c r="R49" s="138" t="e">
        <f t="shared" si="12"/>
        <v>#DIV/0!</v>
      </c>
      <c r="S49" s="137" t="e">
        <f t="shared" si="0"/>
        <v>#DIV/0!</v>
      </c>
      <c r="T49" s="138" t="e">
        <f>IF(Export!M47&lt;&gt;"",Q49*Export!K47*(1/Export!M47),Q49*Export!K47)</f>
        <v>#DIV/0!</v>
      </c>
      <c r="U49" s="139" t="e">
        <f>S49*Export!J47</f>
        <v>#DIV/0!</v>
      </c>
      <c r="V49" s="140" t="e">
        <f>SUM('Scen NotEffectivelyVax (hypo)'!F49,'Scen NotEffectivelyVax (hypo)'!I49,'Scen NotEffectivelyVax (hypo)'!L49,'Scen NotEffectivelyVax (hypo)'!O49,'Scen NotEffectivelyVax (hypo)'!R49,'Scen NotEffectivelyVax (hypo)'!U49,'Scen NotEffectivelyVax (hypo)'!X49,'Scen NotEffectivelyVax (hypo)'!AA49,'Scen NotEffectivelyVax (hypo)'!AD49,'Scen NotEffectivelyVax (hypo)'!AG49,'Scen NotEffectivelyVax (hypo)'!AJ49,'Scen NotEffectivelyVax (hypo)'!AM49,'Scen NotEffectivelyVax (hypo)'!AP49,'Scen NotEffectivelyVax (hypo)'!AS49,'Scen NotEffectivelyVax (hypo)'!AV49,'Scen NotEffectivelyVax (hypo)'!AY49,'Scen NotEffectivelyVax (hypo)'!BB49,'Scen NotEffectivelyVax (hypo)'!BE49,'Scen NotEffectivelyVax (hypo)'!BH49,'Scen NotEffectivelyVax (hypo)'!BK49,'Scen NotEffectivelyVax (hypo)'!BN49,'Scen NotEffectivelyVax (hypo)'!BQ49,'Scen NotEffectivelyVax (hypo)'!BT49,'Scen NotEffectivelyVax (hypo)'!BW49,'Scen NotEffectivelyVax (hypo)'!BZ49,'Scen NotEffectivelyVax (hypo)'!CC49,'Scen NotEffectivelyVax (hypo)'!CF49,'Scen NotEffectivelyVax (hypo)'!CI49,'Scen NotEffectivelyVax (hypo)'!CL49,'Scen NotEffectivelyVax (hypo)'!CO49,'Scen NotEffectivelyVax (hypo)'!CR49,'Scen NotEffectivelyVax (hypo)'!CU49,'Scen NotEffectivelyVax (hypo)'!CX49,'Scen NotEffectivelyVax (hypo)'!DA49,'Scen NotEffectivelyVax (hypo)'!DD49,'Scen NotEffectivelyVax (hypo)'!DG49,'Scen NotEffectivelyVax (hypo)'!DJ49,'Scen NotEffectivelyVax (hypo)'!DM49,'Scen NotEffectivelyVax (hypo)'!DQ49,'Scen NotEffectivelyVax (hypo)'!DP49,'Scen NotEffectivelyVax (hypo)'!DS49,'Scen NotEffectivelyVax (hypo)'!DV49,'Scen NotEffectivelyVax (hypo)'!DY49,'Scen NotEffectivelyVax (hypo)'!EB49,'Scen NotEffectivelyVax (hypo)'!EE49,'Scen NotEffectivelyVax (hypo)'!EH49,'Scen NotEffectivelyVax (hypo)'!EK49,'Scen NotEffectivelyVax (hypo)'!EN49,'Scen NotEffectivelyVax (hypo)'!EQ49,'Scen NotEffectivelyVax (hypo)'!ET49,'Scen NotEffectivelyVax (hypo)'!EW49,'Scen NotEffectivelyVax (hypo)'!EZ49,'Scen NotEffectivelyVax (hypo)'!FC49,'Scen NotEffectivelyVax (hypo)'!FF49,'Scen NotEffectivelyVax (hypo)'!FI49,'Scen NotEffectivelyVax (hypo)'!FL49,'Scen NotEffectivelyVax (hypo)'!FO49,'Scen NotEffectivelyVax (hypo)'!FR49,'Scen NotEffectivelyVax (hypo)'!FU49,'Scen NotEffectivelyVax (hypo)'!FX49,'Scen NotEffectivelyVax (hypo)'!GA49)</f>
        <v>#VALUE!</v>
      </c>
      <c r="W49" s="141" t="e">
        <f>SUM('Scen NotEffectivelyVax (hypo)'!D49,'Scen NotEffectivelyVax (hypo)'!G49,'Scen NotEffectivelyVax (hypo)'!J49,'Scen NotEffectivelyVax (hypo)'!M49,'Scen NotEffectivelyVax (hypo)'!P49,'Scen NotEffectivelyVax (hypo)'!S49,'Scen NotEffectivelyVax (hypo)'!V49,'Scen NotEffectivelyVax (hypo)'!Y49,'Scen NotEffectivelyVax (hypo)'!AB49,'Scen NotEffectivelyVax (hypo)'!AE49,'Scen NotEffectivelyVax (hypo)'!AH49,'Scen NotEffectivelyVax (hypo)'!AK49,'Scen NotEffectivelyVax (hypo)'!AN49,'Scen NotEffectivelyVax (hypo)'!AQ49,'Scen NotEffectivelyVax (hypo)'!AT49,'Scen NotEffectivelyVax (hypo)'!AW49,'Scen NotEffectivelyVax (hypo)'!AZ49,'Scen NotEffectivelyVax (hypo)'!BC49,'Scen NotEffectivelyVax (hypo)'!BF49,'Scen NotEffectivelyVax (hypo)'!BI49,'Scen NotEffectivelyVax (hypo)'!BL49,'Scen NotEffectivelyVax (hypo)'!BO49,'Scen NotEffectivelyVax (hypo)'!BR49,'Scen NotEffectivelyVax (hypo)'!BU49,'Scen NotEffectivelyVax (hypo)'!BX49,'Scen NotEffectivelyVax (hypo)'!CA49,'Scen NotEffectivelyVax (hypo)'!CD49,'Scen NotEffectivelyVax (hypo)'!CG49,'Scen NotEffectivelyVax (hypo)'!CJ49,'Scen NotEffectivelyVax (hypo)'!CM49,'Scen NotEffectivelyVax (hypo)'!CP49,'Scen NotEffectivelyVax (hypo)'!CS49,'Scen NotEffectivelyVax (hypo)'!CV49,'Scen NotEffectivelyVax (hypo)'!CY49,'Scen NotEffectivelyVax (hypo)'!DB49,'Scen NotEffectivelyVax (hypo)'!DE49,'Scen NotEffectivelyVax (hypo)'!DH49,'Scen NotEffectivelyVax (hypo)'!DK49,'Scen NotEffectivelyVax (hypo)'!DN49,'Scen NotEffectivelyVax (hypo)'!DQ49,'Scen NotEffectivelyVax (hypo)'!DT49,'Scen NotEffectivelyVax (hypo)'!DW49,'Scen NotEffectivelyVax (hypo)'!DZ49,'Scen NotEffectivelyVax (hypo)'!EC49,'Scen NotEffectivelyVax (hypo)'!EF49,'Scen NotEffectivelyVax (hypo)'!EI49,'Scen NotEffectivelyVax (hypo)'!EL49,'Scen NotEffectivelyVax (hypo)'!EO49,'Scen NotEffectivelyVax (hypo)'!ER49,'Scen NotEffectivelyVax (hypo)'!EU49,'Scen NotEffectivelyVax (hypo)'!EX49,'Scen NotEffectivelyVax (hypo)'!FA49,'Scen NotEffectivelyVax (hypo)'!FD49,'Scen NotEffectivelyVax (hypo)'!FG49,'Scen NotEffectivelyVax (hypo)'!FJ49,'Scen NotEffectivelyVax (hypo)'!FM49,'Scen NotEffectivelyVax (hypo)'!FP49,'Scen NotEffectivelyVax (hypo)'!FS49,'Scen NotEffectivelyVax (hypo)'!FV49,'Scen NotEffectivelyVax (hypo)'!FY49)</f>
        <v>#VALUE!</v>
      </c>
      <c r="X49" s="141" t="e">
        <f>SUM('Scen NotEffectivelyVax (hypo)'!E49,'Scen NotEffectivelyVax (hypo)'!H49,'Scen NotEffectivelyVax (hypo)'!K49,'Scen NotEffectivelyVax (hypo)'!N49,'Scen NotEffectivelyVax (hypo)'!Q49,'Scen NotEffectivelyVax (hypo)'!T49,'Scen NotEffectivelyVax (hypo)'!Z49,'Scen NotEffectivelyVax (hypo)'!W49,'Scen NotEffectivelyVax (hypo)'!AC49,'Scen NotEffectivelyVax (hypo)'!AF49,'Scen NotEffectivelyVax (hypo)'!AI49,'Scen NotEffectivelyVax (hypo)'!AL49,'Scen NotEffectivelyVax (hypo)'!AO49,'Scen NotEffectivelyVax (hypo)'!AR49,'Scen NotEffectivelyVax (hypo)'!AU49,'Scen NotEffectivelyVax (hypo)'!AX49,'Scen NotEffectivelyVax (hypo)'!BA49,'Scen NotEffectivelyVax (hypo)'!BD49,'Scen NotEffectivelyVax (hypo)'!BG49,'Scen NotEffectivelyVax (hypo)'!BJ49,'Scen NotEffectivelyVax (hypo)'!BM49,'Scen NotEffectivelyVax (hypo)'!BP49,'Scen NotEffectivelyVax (hypo)'!BS49,'Scen NotEffectivelyVax (hypo)'!BV49,'Scen NotEffectivelyVax (hypo)'!BY49,'Scen NotEffectivelyVax (hypo)'!CB49,'Scen NotEffectivelyVax (hypo)'!CE49,'Scen NotEffectivelyVax (hypo)'!CH49,'Scen NotEffectivelyVax (hypo)'!CK49,'Scen NotEffectivelyVax (hypo)'!CN49,'Scen NotEffectivelyVax (hypo)'!CQ49,'Scen NotEffectivelyVax (hypo)'!CT49,'Scen NotEffectivelyVax (hypo)'!CW49,'Scen NotEffectivelyVax (hypo)'!CZ49,'Scen NotEffectivelyVax (hypo)'!DC49,'Scen NotEffectivelyVax (hypo)'!DF49,'Scen NotEffectivelyVax (hypo)'!DI49,'Scen NotEffectivelyVax (hypo)'!DL49,'Scen NotEffectivelyVax (hypo)'!DO49,'Scen NotEffectivelyVax (hypo)'!DR49,'Scen NotEffectivelyVax (hypo)'!DU49,'Scen NotEffectivelyVax (hypo)'!DX49,'Scen NotEffectivelyVax (hypo)'!EA49,'Scen NotEffectivelyVax (hypo)'!ED49,'Scen NotEffectivelyVax (hypo)'!EG49,'Scen NotEffectivelyVax (hypo)'!EJ49,'Scen NotEffectivelyVax (hypo)'!EM49,'Scen NotEffectivelyVax (hypo)'!EP49,'Scen NotEffectivelyVax (hypo)'!ES49,'Scen NotEffectivelyVax (hypo)'!EV49,'Scen NotEffectivelyVax (hypo)'!EY49,'Scen NotEffectivelyVax (hypo)'!FB49,'Scen NotEffectivelyVax (hypo)'!FE49,'Scen NotEffectivelyVax (hypo)'!FH49,'Scen NotEffectivelyVax (hypo)'!FK49,'Scen NotEffectivelyVax (hypo)'!FN49,'Scen NotEffectivelyVax (hypo)'!FQ49,'Scen NotEffectivelyVax (hypo)'!FT49,'Scen NotEffectivelyVax (hypo)'!FW49,'Scen NotEffectivelyVax (hypo)'!FZ49)</f>
        <v>#VALUE!</v>
      </c>
      <c r="Y49" s="142" t="e">
        <f t="shared" si="1"/>
        <v>#VALUE!</v>
      </c>
      <c r="Z49" s="142" t="e">
        <f>IF(Export!M47&lt;&gt;"",W49*Export!K47*(1/Export!M47),W49*Export!K47)</f>
        <v>#VALUE!</v>
      </c>
      <c r="AA49" s="139" t="e">
        <f>Y49*Export!J47</f>
        <v>#VALUE!</v>
      </c>
      <c r="AC49" s="143" t="e">
        <f t="shared" si="2"/>
        <v>#VALUE!</v>
      </c>
      <c r="AD49" s="144" t="e">
        <f t="shared" si="19"/>
        <v>#VALUE!</v>
      </c>
      <c r="AE49" s="144" t="e">
        <f t="shared" si="3"/>
        <v>#VALUE!</v>
      </c>
      <c r="AF49" s="144" t="e">
        <f t="shared" si="4"/>
        <v>#VALUE!</v>
      </c>
      <c r="AG49" s="144" t="e">
        <f t="shared" si="5"/>
        <v>#VALUE!</v>
      </c>
      <c r="AH49" s="145"/>
      <c r="AI49" s="145"/>
      <c r="AJ49" s="145"/>
      <c r="AK49" s="145"/>
      <c r="AL49" s="146"/>
      <c r="AM49" s="145"/>
      <c r="AN49" s="145"/>
      <c r="AO49" s="145"/>
      <c r="AP49" s="145"/>
      <c r="AQ49" s="146"/>
      <c r="AR49" s="150"/>
      <c r="AS49" s="150"/>
      <c r="AT49" s="150"/>
      <c r="AU49" s="150"/>
      <c r="AV49" s="151"/>
    </row>
    <row r="50" spans="1:48" x14ac:dyDescent="0.35">
      <c r="A50" s="130">
        <f>EffectivelyVax!B49</f>
        <v>3</v>
      </c>
      <c r="B50" s="131" t="str">
        <f>EffectivelyVax!C49</f>
        <v/>
      </c>
      <c r="C50" s="132" t="str">
        <f>Export!N48</f>
        <v/>
      </c>
      <c r="D50" s="133" t="str">
        <f>IF(Inputs!$F$10="1. Actual program", 'Current vaccine model'!W50, Export!C48)</f>
        <v/>
      </c>
      <c r="E50" s="133" t="e">
        <f>D50*Export!L48</f>
        <v>#VALUE!</v>
      </c>
      <c r="F50" s="133" t="e">
        <f t="shared" si="18"/>
        <v>#VALUE!</v>
      </c>
      <c r="G50" s="133" t="e">
        <f>IF(Export!M48&lt;&gt;"",D50*Export!K48*(1/Export!M48),D50*Export!K48)</f>
        <v>#VALUE!</v>
      </c>
      <c r="H50" s="133" t="e">
        <f>F50*Export!J48</f>
        <v>#VALUE!</v>
      </c>
      <c r="I50" s="133" t="e">
        <f t="shared" si="14"/>
        <v>#VALUE!</v>
      </c>
      <c r="J50" s="134" t="e">
        <f t="shared" si="8"/>
        <v>#VALUE!</v>
      </c>
      <c r="K50" s="135" t="e">
        <f t="shared" si="9"/>
        <v>#VALUE!</v>
      </c>
      <c r="L50" s="117">
        <f>'Scen EffectivelyVax'!A49</f>
        <v>0</v>
      </c>
      <c r="M50" s="115" t="e">
        <f>C50*L50*HelperFunctions!G$45</f>
        <v>#VALUE!</v>
      </c>
      <c r="N50" s="116" t="e">
        <f>C50*L50*(1-HelperFunctions!G$45)</f>
        <v>#VALUE!</v>
      </c>
      <c r="O50" s="136" t="e">
        <f t="shared" si="15"/>
        <v>#DIV/0!</v>
      </c>
      <c r="P50" s="137">
        <f>SUM('Scen EffectivelyVax'!D49:BK49)</f>
        <v>0</v>
      </c>
      <c r="Q50" s="138" t="e">
        <f t="shared" si="11"/>
        <v>#DIV/0!</v>
      </c>
      <c r="R50" s="138" t="e">
        <f t="shared" si="12"/>
        <v>#DIV/0!</v>
      </c>
      <c r="S50" s="137" t="e">
        <f t="shared" si="0"/>
        <v>#DIV/0!</v>
      </c>
      <c r="T50" s="138" t="e">
        <f>IF(Export!M48&lt;&gt;"",Q50*Export!K48*(1/Export!M48),Q50*Export!K48)</f>
        <v>#DIV/0!</v>
      </c>
      <c r="U50" s="139" t="e">
        <f>S50*Export!J48</f>
        <v>#DIV/0!</v>
      </c>
      <c r="V50" s="140" t="e">
        <f>SUM('Scen NotEffectivelyVax (hypo)'!F50,'Scen NotEffectivelyVax (hypo)'!I50,'Scen NotEffectivelyVax (hypo)'!L50,'Scen NotEffectivelyVax (hypo)'!O50,'Scen NotEffectivelyVax (hypo)'!R50,'Scen NotEffectivelyVax (hypo)'!U50,'Scen NotEffectivelyVax (hypo)'!X50,'Scen NotEffectivelyVax (hypo)'!AA50,'Scen NotEffectivelyVax (hypo)'!AD50,'Scen NotEffectivelyVax (hypo)'!AG50,'Scen NotEffectivelyVax (hypo)'!AJ50,'Scen NotEffectivelyVax (hypo)'!AM50,'Scen NotEffectivelyVax (hypo)'!AP50,'Scen NotEffectivelyVax (hypo)'!AS50,'Scen NotEffectivelyVax (hypo)'!AV50,'Scen NotEffectivelyVax (hypo)'!AY50,'Scen NotEffectivelyVax (hypo)'!BB50,'Scen NotEffectivelyVax (hypo)'!BE50,'Scen NotEffectivelyVax (hypo)'!BH50,'Scen NotEffectivelyVax (hypo)'!BK50,'Scen NotEffectivelyVax (hypo)'!BN50,'Scen NotEffectivelyVax (hypo)'!BQ50,'Scen NotEffectivelyVax (hypo)'!BT50,'Scen NotEffectivelyVax (hypo)'!BW50,'Scen NotEffectivelyVax (hypo)'!BZ50,'Scen NotEffectivelyVax (hypo)'!CC50,'Scen NotEffectivelyVax (hypo)'!CF50,'Scen NotEffectivelyVax (hypo)'!CI50,'Scen NotEffectivelyVax (hypo)'!CL50,'Scen NotEffectivelyVax (hypo)'!CO50,'Scen NotEffectivelyVax (hypo)'!CR50,'Scen NotEffectivelyVax (hypo)'!CU50,'Scen NotEffectivelyVax (hypo)'!CX50,'Scen NotEffectivelyVax (hypo)'!DA50,'Scen NotEffectivelyVax (hypo)'!DD50,'Scen NotEffectivelyVax (hypo)'!DG50,'Scen NotEffectivelyVax (hypo)'!DJ50,'Scen NotEffectivelyVax (hypo)'!DM50,'Scen NotEffectivelyVax (hypo)'!DQ50,'Scen NotEffectivelyVax (hypo)'!DP50,'Scen NotEffectivelyVax (hypo)'!DS50,'Scen NotEffectivelyVax (hypo)'!DV50,'Scen NotEffectivelyVax (hypo)'!DY50,'Scen NotEffectivelyVax (hypo)'!EB50,'Scen NotEffectivelyVax (hypo)'!EE50,'Scen NotEffectivelyVax (hypo)'!EH50,'Scen NotEffectivelyVax (hypo)'!EK50,'Scen NotEffectivelyVax (hypo)'!EN50,'Scen NotEffectivelyVax (hypo)'!EQ50,'Scen NotEffectivelyVax (hypo)'!ET50,'Scen NotEffectivelyVax (hypo)'!EW50,'Scen NotEffectivelyVax (hypo)'!EZ50,'Scen NotEffectivelyVax (hypo)'!FC50,'Scen NotEffectivelyVax (hypo)'!FF50,'Scen NotEffectivelyVax (hypo)'!FI50,'Scen NotEffectivelyVax (hypo)'!FL50,'Scen NotEffectivelyVax (hypo)'!FO50,'Scen NotEffectivelyVax (hypo)'!FR50,'Scen NotEffectivelyVax (hypo)'!FU50,'Scen NotEffectivelyVax (hypo)'!FX50,'Scen NotEffectivelyVax (hypo)'!GA50)</f>
        <v>#VALUE!</v>
      </c>
      <c r="W50" s="141" t="e">
        <f>SUM('Scen NotEffectivelyVax (hypo)'!D50,'Scen NotEffectivelyVax (hypo)'!G50,'Scen NotEffectivelyVax (hypo)'!J50,'Scen NotEffectivelyVax (hypo)'!M50,'Scen NotEffectivelyVax (hypo)'!P50,'Scen NotEffectivelyVax (hypo)'!S50,'Scen NotEffectivelyVax (hypo)'!V50,'Scen NotEffectivelyVax (hypo)'!Y50,'Scen NotEffectivelyVax (hypo)'!AB50,'Scen NotEffectivelyVax (hypo)'!AE50,'Scen NotEffectivelyVax (hypo)'!AH50,'Scen NotEffectivelyVax (hypo)'!AK50,'Scen NotEffectivelyVax (hypo)'!AN50,'Scen NotEffectivelyVax (hypo)'!AQ50,'Scen NotEffectivelyVax (hypo)'!AT50,'Scen NotEffectivelyVax (hypo)'!AW50,'Scen NotEffectivelyVax (hypo)'!AZ50,'Scen NotEffectivelyVax (hypo)'!BC50,'Scen NotEffectivelyVax (hypo)'!BF50,'Scen NotEffectivelyVax (hypo)'!BI50,'Scen NotEffectivelyVax (hypo)'!BL50,'Scen NotEffectivelyVax (hypo)'!BO50,'Scen NotEffectivelyVax (hypo)'!BR50,'Scen NotEffectivelyVax (hypo)'!BU50,'Scen NotEffectivelyVax (hypo)'!BX50,'Scen NotEffectivelyVax (hypo)'!CA50,'Scen NotEffectivelyVax (hypo)'!CD50,'Scen NotEffectivelyVax (hypo)'!CG50,'Scen NotEffectivelyVax (hypo)'!CJ50,'Scen NotEffectivelyVax (hypo)'!CM50,'Scen NotEffectivelyVax (hypo)'!CP50,'Scen NotEffectivelyVax (hypo)'!CS50,'Scen NotEffectivelyVax (hypo)'!CV50,'Scen NotEffectivelyVax (hypo)'!CY50,'Scen NotEffectivelyVax (hypo)'!DB50,'Scen NotEffectivelyVax (hypo)'!DE50,'Scen NotEffectivelyVax (hypo)'!DH50,'Scen NotEffectivelyVax (hypo)'!DK50,'Scen NotEffectivelyVax (hypo)'!DN50,'Scen NotEffectivelyVax (hypo)'!DQ50,'Scen NotEffectivelyVax (hypo)'!DT50,'Scen NotEffectivelyVax (hypo)'!DW50,'Scen NotEffectivelyVax (hypo)'!DZ50,'Scen NotEffectivelyVax (hypo)'!EC50,'Scen NotEffectivelyVax (hypo)'!EF50,'Scen NotEffectivelyVax (hypo)'!EI50,'Scen NotEffectivelyVax (hypo)'!EL50,'Scen NotEffectivelyVax (hypo)'!EO50,'Scen NotEffectivelyVax (hypo)'!ER50,'Scen NotEffectivelyVax (hypo)'!EU50,'Scen NotEffectivelyVax (hypo)'!EX50,'Scen NotEffectivelyVax (hypo)'!FA50,'Scen NotEffectivelyVax (hypo)'!FD50,'Scen NotEffectivelyVax (hypo)'!FG50,'Scen NotEffectivelyVax (hypo)'!FJ50,'Scen NotEffectivelyVax (hypo)'!FM50,'Scen NotEffectivelyVax (hypo)'!FP50,'Scen NotEffectivelyVax (hypo)'!FS50,'Scen NotEffectivelyVax (hypo)'!FV50,'Scen NotEffectivelyVax (hypo)'!FY50)</f>
        <v>#VALUE!</v>
      </c>
      <c r="X50" s="141" t="e">
        <f>SUM('Scen NotEffectivelyVax (hypo)'!E50,'Scen NotEffectivelyVax (hypo)'!H50,'Scen NotEffectivelyVax (hypo)'!K50,'Scen NotEffectivelyVax (hypo)'!N50,'Scen NotEffectivelyVax (hypo)'!Q50,'Scen NotEffectivelyVax (hypo)'!T50,'Scen NotEffectivelyVax (hypo)'!Z50,'Scen NotEffectivelyVax (hypo)'!W50,'Scen NotEffectivelyVax (hypo)'!AC50,'Scen NotEffectivelyVax (hypo)'!AF50,'Scen NotEffectivelyVax (hypo)'!AI50,'Scen NotEffectivelyVax (hypo)'!AL50,'Scen NotEffectivelyVax (hypo)'!AO50,'Scen NotEffectivelyVax (hypo)'!AR50,'Scen NotEffectivelyVax (hypo)'!AU50,'Scen NotEffectivelyVax (hypo)'!AX50,'Scen NotEffectivelyVax (hypo)'!BA50,'Scen NotEffectivelyVax (hypo)'!BD50,'Scen NotEffectivelyVax (hypo)'!BG50,'Scen NotEffectivelyVax (hypo)'!BJ50,'Scen NotEffectivelyVax (hypo)'!BM50,'Scen NotEffectivelyVax (hypo)'!BP50,'Scen NotEffectivelyVax (hypo)'!BS50,'Scen NotEffectivelyVax (hypo)'!BV50,'Scen NotEffectivelyVax (hypo)'!BY50,'Scen NotEffectivelyVax (hypo)'!CB50,'Scen NotEffectivelyVax (hypo)'!CE50,'Scen NotEffectivelyVax (hypo)'!CH50,'Scen NotEffectivelyVax (hypo)'!CK50,'Scen NotEffectivelyVax (hypo)'!CN50,'Scen NotEffectivelyVax (hypo)'!CQ50,'Scen NotEffectivelyVax (hypo)'!CT50,'Scen NotEffectivelyVax (hypo)'!CW50,'Scen NotEffectivelyVax (hypo)'!CZ50,'Scen NotEffectivelyVax (hypo)'!DC50,'Scen NotEffectivelyVax (hypo)'!DF50,'Scen NotEffectivelyVax (hypo)'!DI50,'Scen NotEffectivelyVax (hypo)'!DL50,'Scen NotEffectivelyVax (hypo)'!DO50,'Scen NotEffectivelyVax (hypo)'!DR50,'Scen NotEffectivelyVax (hypo)'!DU50,'Scen NotEffectivelyVax (hypo)'!DX50,'Scen NotEffectivelyVax (hypo)'!EA50,'Scen NotEffectivelyVax (hypo)'!ED50,'Scen NotEffectivelyVax (hypo)'!EG50,'Scen NotEffectivelyVax (hypo)'!EJ50,'Scen NotEffectivelyVax (hypo)'!EM50,'Scen NotEffectivelyVax (hypo)'!EP50,'Scen NotEffectivelyVax (hypo)'!ES50,'Scen NotEffectivelyVax (hypo)'!EV50,'Scen NotEffectivelyVax (hypo)'!EY50,'Scen NotEffectivelyVax (hypo)'!FB50,'Scen NotEffectivelyVax (hypo)'!FE50,'Scen NotEffectivelyVax (hypo)'!FH50,'Scen NotEffectivelyVax (hypo)'!FK50,'Scen NotEffectivelyVax (hypo)'!FN50,'Scen NotEffectivelyVax (hypo)'!FQ50,'Scen NotEffectivelyVax (hypo)'!FT50,'Scen NotEffectivelyVax (hypo)'!FW50,'Scen NotEffectivelyVax (hypo)'!FZ50)</f>
        <v>#VALUE!</v>
      </c>
      <c r="Y50" s="142" t="e">
        <f t="shared" si="1"/>
        <v>#VALUE!</v>
      </c>
      <c r="Z50" s="142" t="e">
        <f>IF(Export!M48&lt;&gt;"",W50*Export!K48*(1/Export!M48),W50*Export!K48)</f>
        <v>#VALUE!</v>
      </c>
      <c r="AA50" s="139" t="e">
        <f>Y50*Export!J48</f>
        <v>#VALUE!</v>
      </c>
      <c r="AC50" s="143" t="e">
        <f t="shared" si="2"/>
        <v>#VALUE!</v>
      </c>
      <c r="AD50" s="144" t="e">
        <f t="shared" si="19"/>
        <v>#VALUE!</v>
      </c>
      <c r="AE50" s="144" t="e">
        <f t="shared" si="3"/>
        <v>#VALUE!</v>
      </c>
      <c r="AF50" s="144" t="e">
        <f t="shared" si="4"/>
        <v>#VALUE!</v>
      </c>
      <c r="AG50" s="144" t="e">
        <f t="shared" si="5"/>
        <v>#VALUE!</v>
      </c>
      <c r="AH50" s="145"/>
      <c r="AI50" s="145"/>
      <c r="AJ50" s="145"/>
      <c r="AK50" s="145"/>
      <c r="AL50" s="146"/>
      <c r="AM50" s="145"/>
      <c r="AN50" s="145"/>
      <c r="AO50" s="145"/>
      <c r="AP50" s="145"/>
      <c r="AQ50" s="146"/>
      <c r="AR50" s="150"/>
      <c r="AS50" s="150"/>
      <c r="AT50" s="150"/>
      <c r="AU50" s="150"/>
      <c r="AV50" s="151"/>
    </row>
    <row r="51" spans="1:48" ht="15.75" customHeight="1" x14ac:dyDescent="0.35">
      <c r="A51" s="95">
        <f>EffectivelyVax!B50</f>
        <v>3</v>
      </c>
      <c r="B51" s="96" t="str">
        <f>EffectivelyVax!C50</f>
        <v/>
      </c>
      <c r="C51" s="97" t="str">
        <f>Export!N49</f>
        <v/>
      </c>
      <c r="D51" s="98" t="str">
        <f>IF(Inputs!$F$10="1. Actual program", 'Current vaccine model'!W51, Export!C49)</f>
        <v/>
      </c>
      <c r="E51" s="98" t="e">
        <f>D51*Export!L49</f>
        <v>#VALUE!</v>
      </c>
      <c r="F51" s="98" t="e">
        <f t="shared" si="18"/>
        <v>#VALUE!</v>
      </c>
      <c r="G51" s="98" t="e">
        <f>IF(Export!M49&lt;&gt;"",D51*Export!K49*(1/Export!M49),D51*Export!K49)</f>
        <v>#VALUE!</v>
      </c>
      <c r="H51" s="98" t="e">
        <f>F51*Export!J49</f>
        <v>#VALUE!</v>
      </c>
      <c r="I51" s="98" t="e">
        <f t="shared" si="14"/>
        <v>#VALUE!</v>
      </c>
      <c r="J51" s="99" t="e">
        <f t="shared" si="8"/>
        <v>#VALUE!</v>
      </c>
      <c r="K51" s="100" t="e">
        <f t="shared" si="9"/>
        <v>#VALUE!</v>
      </c>
      <c r="L51" s="101">
        <f>'Scen EffectivelyVax'!A50</f>
        <v>0</v>
      </c>
      <c r="M51" s="102" t="e">
        <f>C51*L51*HelperFunctions!G$45</f>
        <v>#VALUE!</v>
      </c>
      <c r="N51" s="103" t="e">
        <f>C51*L51*(1-HelperFunctions!G$45)</f>
        <v>#VALUE!</v>
      </c>
      <c r="O51" s="104" t="e">
        <f t="shared" si="15"/>
        <v>#DIV/0!</v>
      </c>
      <c r="P51" s="105">
        <f>SUM('Scen EffectivelyVax'!D50:BK50)</f>
        <v>0</v>
      </c>
      <c r="Q51" s="106" t="e">
        <f t="shared" si="11"/>
        <v>#DIV/0!</v>
      </c>
      <c r="R51" s="106" t="e">
        <f t="shared" si="12"/>
        <v>#DIV/0!</v>
      </c>
      <c r="S51" s="105" t="e">
        <f t="shared" si="0"/>
        <v>#DIV/0!</v>
      </c>
      <c r="T51" s="106" t="e">
        <f>IF(Export!M49&lt;&gt;"",Q51*Export!K49*(1/Export!M49),Q51*Export!K49)</f>
        <v>#DIV/0!</v>
      </c>
      <c r="U51" s="107" t="e">
        <f>S51*Export!J49</f>
        <v>#DIV/0!</v>
      </c>
      <c r="V51" s="108" t="e">
        <f>SUM('Scen NotEffectivelyVax (hypo)'!F51,'Scen NotEffectivelyVax (hypo)'!I51,'Scen NotEffectivelyVax (hypo)'!L51,'Scen NotEffectivelyVax (hypo)'!O51,'Scen NotEffectivelyVax (hypo)'!R51,'Scen NotEffectivelyVax (hypo)'!U51,'Scen NotEffectivelyVax (hypo)'!X51,'Scen NotEffectivelyVax (hypo)'!AA51,'Scen NotEffectivelyVax (hypo)'!AD51,'Scen NotEffectivelyVax (hypo)'!AG51,'Scen NotEffectivelyVax (hypo)'!AJ51,'Scen NotEffectivelyVax (hypo)'!AM51,'Scen NotEffectivelyVax (hypo)'!AP51,'Scen NotEffectivelyVax (hypo)'!AS51,'Scen NotEffectivelyVax (hypo)'!AV51,'Scen NotEffectivelyVax (hypo)'!AY51,'Scen NotEffectivelyVax (hypo)'!BB51,'Scen NotEffectivelyVax (hypo)'!BE51,'Scen NotEffectivelyVax (hypo)'!BH51,'Scen NotEffectivelyVax (hypo)'!BK51,'Scen NotEffectivelyVax (hypo)'!BN51,'Scen NotEffectivelyVax (hypo)'!BQ51,'Scen NotEffectivelyVax (hypo)'!BT51,'Scen NotEffectivelyVax (hypo)'!BW51,'Scen NotEffectivelyVax (hypo)'!BZ51,'Scen NotEffectivelyVax (hypo)'!CC51,'Scen NotEffectivelyVax (hypo)'!CF51,'Scen NotEffectivelyVax (hypo)'!CI51,'Scen NotEffectivelyVax (hypo)'!CL51,'Scen NotEffectivelyVax (hypo)'!CO51,'Scen NotEffectivelyVax (hypo)'!CR51,'Scen NotEffectivelyVax (hypo)'!CU51,'Scen NotEffectivelyVax (hypo)'!CX51,'Scen NotEffectivelyVax (hypo)'!DA51,'Scen NotEffectivelyVax (hypo)'!DD51,'Scen NotEffectivelyVax (hypo)'!DG51,'Scen NotEffectivelyVax (hypo)'!DJ51,'Scen NotEffectivelyVax (hypo)'!DM51,'Scen NotEffectivelyVax (hypo)'!DQ51,'Scen NotEffectivelyVax (hypo)'!DP51,'Scen NotEffectivelyVax (hypo)'!DS51,'Scen NotEffectivelyVax (hypo)'!DV51,'Scen NotEffectivelyVax (hypo)'!DY51,'Scen NotEffectivelyVax (hypo)'!EB51,'Scen NotEffectivelyVax (hypo)'!EE51,'Scen NotEffectivelyVax (hypo)'!EH51,'Scen NotEffectivelyVax (hypo)'!EK51,'Scen NotEffectivelyVax (hypo)'!EN51,'Scen NotEffectivelyVax (hypo)'!EQ51,'Scen NotEffectivelyVax (hypo)'!ET51,'Scen NotEffectivelyVax (hypo)'!EW51,'Scen NotEffectivelyVax (hypo)'!EZ51,'Scen NotEffectivelyVax (hypo)'!FC51,'Scen NotEffectivelyVax (hypo)'!FF51,'Scen NotEffectivelyVax (hypo)'!FI51,'Scen NotEffectivelyVax (hypo)'!FL51,'Scen NotEffectivelyVax (hypo)'!FO51,'Scen NotEffectivelyVax (hypo)'!FR51,'Scen NotEffectivelyVax (hypo)'!FU51,'Scen NotEffectivelyVax (hypo)'!FX51,'Scen NotEffectivelyVax (hypo)'!GA51)</f>
        <v>#VALUE!</v>
      </c>
      <c r="W51" s="109" t="e">
        <f>SUM('Scen NotEffectivelyVax (hypo)'!D51,'Scen NotEffectivelyVax (hypo)'!G51,'Scen NotEffectivelyVax (hypo)'!J51,'Scen NotEffectivelyVax (hypo)'!M51,'Scen NotEffectivelyVax (hypo)'!P51,'Scen NotEffectivelyVax (hypo)'!S51,'Scen NotEffectivelyVax (hypo)'!V51,'Scen NotEffectivelyVax (hypo)'!Y51,'Scen NotEffectivelyVax (hypo)'!AB51,'Scen NotEffectivelyVax (hypo)'!AE51,'Scen NotEffectivelyVax (hypo)'!AH51,'Scen NotEffectivelyVax (hypo)'!AK51,'Scen NotEffectivelyVax (hypo)'!AN51,'Scen NotEffectivelyVax (hypo)'!AQ51,'Scen NotEffectivelyVax (hypo)'!AT51,'Scen NotEffectivelyVax (hypo)'!AW51,'Scen NotEffectivelyVax (hypo)'!AZ51,'Scen NotEffectivelyVax (hypo)'!BC51,'Scen NotEffectivelyVax (hypo)'!BF51,'Scen NotEffectivelyVax (hypo)'!BI51,'Scen NotEffectivelyVax (hypo)'!BL51,'Scen NotEffectivelyVax (hypo)'!BO51,'Scen NotEffectivelyVax (hypo)'!BR51,'Scen NotEffectivelyVax (hypo)'!BU51,'Scen NotEffectivelyVax (hypo)'!BX51,'Scen NotEffectivelyVax (hypo)'!CA51,'Scen NotEffectivelyVax (hypo)'!CD51,'Scen NotEffectivelyVax (hypo)'!CG51,'Scen NotEffectivelyVax (hypo)'!CJ51,'Scen NotEffectivelyVax (hypo)'!CM51,'Scen NotEffectivelyVax (hypo)'!CP51,'Scen NotEffectivelyVax (hypo)'!CS51,'Scen NotEffectivelyVax (hypo)'!CV51,'Scen NotEffectivelyVax (hypo)'!CY51,'Scen NotEffectivelyVax (hypo)'!DB51,'Scen NotEffectivelyVax (hypo)'!DE51,'Scen NotEffectivelyVax (hypo)'!DH51,'Scen NotEffectivelyVax (hypo)'!DK51,'Scen NotEffectivelyVax (hypo)'!DN51,'Scen NotEffectivelyVax (hypo)'!DQ51,'Scen NotEffectivelyVax (hypo)'!DT51,'Scen NotEffectivelyVax (hypo)'!DW51,'Scen NotEffectivelyVax (hypo)'!DZ51,'Scen NotEffectivelyVax (hypo)'!EC51,'Scen NotEffectivelyVax (hypo)'!EF51,'Scen NotEffectivelyVax (hypo)'!EI51,'Scen NotEffectivelyVax (hypo)'!EL51,'Scen NotEffectivelyVax (hypo)'!EO51,'Scen NotEffectivelyVax (hypo)'!ER51,'Scen NotEffectivelyVax (hypo)'!EU51,'Scen NotEffectivelyVax (hypo)'!EX51,'Scen NotEffectivelyVax (hypo)'!FA51,'Scen NotEffectivelyVax (hypo)'!FD51,'Scen NotEffectivelyVax (hypo)'!FG51,'Scen NotEffectivelyVax (hypo)'!FJ51,'Scen NotEffectivelyVax (hypo)'!FM51,'Scen NotEffectivelyVax (hypo)'!FP51,'Scen NotEffectivelyVax (hypo)'!FS51,'Scen NotEffectivelyVax (hypo)'!FV51,'Scen NotEffectivelyVax (hypo)'!FY51)</f>
        <v>#VALUE!</v>
      </c>
      <c r="X51" s="109" t="e">
        <f>SUM('Scen NotEffectivelyVax (hypo)'!E51,'Scen NotEffectivelyVax (hypo)'!H51,'Scen NotEffectivelyVax (hypo)'!K51,'Scen NotEffectivelyVax (hypo)'!N51,'Scen NotEffectivelyVax (hypo)'!Q51,'Scen NotEffectivelyVax (hypo)'!T51,'Scen NotEffectivelyVax (hypo)'!Z51,'Scen NotEffectivelyVax (hypo)'!W51,'Scen NotEffectivelyVax (hypo)'!AC51,'Scen NotEffectivelyVax (hypo)'!AF51,'Scen NotEffectivelyVax (hypo)'!AI51,'Scen NotEffectivelyVax (hypo)'!AL51,'Scen NotEffectivelyVax (hypo)'!AO51,'Scen NotEffectivelyVax (hypo)'!AR51,'Scen NotEffectivelyVax (hypo)'!AU51,'Scen NotEffectivelyVax (hypo)'!AX51,'Scen NotEffectivelyVax (hypo)'!BA51,'Scen NotEffectivelyVax (hypo)'!BD51,'Scen NotEffectivelyVax (hypo)'!BG51,'Scen NotEffectivelyVax (hypo)'!BJ51,'Scen NotEffectivelyVax (hypo)'!BM51,'Scen NotEffectivelyVax (hypo)'!BP51,'Scen NotEffectivelyVax (hypo)'!BS51,'Scen NotEffectivelyVax (hypo)'!BV51,'Scen NotEffectivelyVax (hypo)'!BY51,'Scen NotEffectivelyVax (hypo)'!CB51,'Scen NotEffectivelyVax (hypo)'!CE51,'Scen NotEffectivelyVax (hypo)'!CH51,'Scen NotEffectivelyVax (hypo)'!CK51,'Scen NotEffectivelyVax (hypo)'!CN51,'Scen NotEffectivelyVax (hypo)'!CQ51,'Scen NotEffectivelyVax (hypo)'!CT51,'Scen NotEffectivelyVax (hypo)'!CW51,'Scen NotEffectivelyVax (hypo)'!CZ51,'Scen NotEffectivelyVax (hypo)'!DC51,'Scen NotEffectivelyVax (hypo)'!DF51,'Scen NotEffectivelyVax (hypo)'!DI51,'Scen NotEffectivelyVax (hypo)'!DL51,'Scen NotEffectivelyVax (hypo)'!DO51,'Scen NotEffectivelyVax (hypo)'!DR51,'Scen NotEffectivelyVax (hypo)'!DU51,'Scen NotEffectivelyVax (hypo)'!DX51,'Scen NotEffectivelyVax (hypo)'!EA51,'Scen NotEffectivelyVax (hypo)'!ED51,'Scen NotEffectivelyVax (hypo)'!EG51,'Scen NotEffectivelyVax (hypo)'!EJ51,'Scen NotEffectivelyVax (hypo)'!EM51,'Scen NotEffectivelyVax (hypo)'!EP51,'Scen NotEffectivelyVax (hypo)'!ES51,'Scen NotEffectivelyVax (hypo)'!EV51,'Scen NotEffectivelyVax (hypo)'!EY51,'Scen NotEffectivelyVax (hypo)'!FB51,'Scen NotEffectivelyVax (hypo)'!FE51,'Scen NotEffectivelyVax (hypo)'!FH51,'Scen NotEffectivelyVax (hypo)'!FK51,'Scen NotEffectivelyVax (hypo)'!FN51,'Scen NotEffectivelyVax (hypo)'!FQ51,'Scen NotEffectivelyVax (hypo)'!FT51,'Scen NotEffectivelyVax (hypo)'!FW51,'Scen NotEffectivelyVax (hypo)'!FZ51)</f>
        <v>#VALUE!</v>
      </c>
      <c r="Y51" s="110" t="e">
        <f t="shared" si="1"/>
        <v>#VALUE!</v>
      </c>
      <c r="Z51" s="110" t="e">
        <f>IF(Export!M49&lt;&gt;"",W51*Export!K49*(1/Export!M49),W51*Export!K49)</f>
        <v>#VALUE!</v>
      </c>
      <c r="AA51" s="107" t="e">
        <f>Y51*Export!J49</f>
        <v>#VALUE!</v>
      </c>
      <c r="AC51" s="156" t="e">
        <f t="shared" si="2"/>
        <v>#VALUE!</v>
      </c>
      <c r="AD51" s="157" t="e">
        <f t="shared" si="19"/>
        <v>#VALUE!</v>
      </c>
      <c r="AE51" s="157" t="e">
        <f t="shared" si="3"/>
        <v>#VALUE!</v>
      </c>
      <c r="AF51" s="157" t="e">
        <f t="shared" si="4"/>
        <v>#VALUE!</v>
      </c>
      <c r="AG51" s="157" t="e">
        <f t="shared" si="5"/>
        <v>#VALUE!</v>
      </c>
      <c r="AH51" s="268" t="e">
        <f>SUM(AC40:AC51)</f>
        <v>#VALUE!</v>
      </c>
      <c r="AI51" s="268" t="e">
        <f t="shared" ref="AI51" si="32">SUM(AD40:AD51)</f>
        <v>#VALUE!</v>
      </c>
      <c r="AJ51" s="268" t="e">
        <f t="shared" ref="AJ51" si="33">SUM(AE40:AE51)</f>
        <v>#VALUE!</v>
      </c>
      <c r="AK51" s="268" t="e">
        <f t="shared" ref="AK51" si="34">SUM(AF40:AF51)</f>
        <v>#VALUE!</v>
      </c>
      <c r="AL51" s="268" t="e">
        <f t="shared" ref="AL51" si="35">SUM(AG40:AG51)</f>
        <v>#VALUE!</v>
      </c>
      <c r="AM51" s="147" t="e">
        <f>SUM(AC40:AC51)/SUM(D40:D51)</f>
        <v>#VALUE!</v>
      </c>
      <c r="AN51" s="147" t="e">
        <f>SUM(AD40:AD51)/SUM(E40:E51)</f>
        <v>#VALUE!</v>
      </c>
      <c r="AO51" s="112" t="e">
        <f>SUM(AE40:AE51)/SUM(G40:G51)</f>
        <v>#VALUE!</v>
      </c>
      <c r="AP51" s="112" t="e">
        <f>SUM(AF40:AF51)/SUM(H40:H51)</f>
        <v>#VALUE!</v>
      </c>
      <c r="AQ51" s="111" t="e">
        <f>SUM(AG40:AG51)/SUM(F40:F51)</f>
        <v>#VALUE!</v>
      </c>
      <c r="AR51" s="148" t="e">
        <f>SUM($M40:$N51)/SUM(AC40:AC51)</f>
        <v>#VALUE!</v>
      </c>
      <c r="AS51" s="148" t="e">
        <f t="shared" ref="AS51" si="36">SUM($M40:$N51)/SUM(AD40:AD51)</f>
        <v>#VALUE!</v>
      </c>
      <c r="AT51" s="148" t="e">
        <f t="shared" ref="AT51" si="37">SUM($M40:$N51)/SUM(AE40:AE51)</f>
        <v>#VALUE!</v>
      </c>
      <c r="AU51" s="148" t="e">
        <f t="shared" ref="AU51" si="38">SUM($M40:$N51)/SUM(AF40:AF51)</f>
        <v>#VALUE!</v>
      </c>
      <c r="AV51" s="149" t="e">
        <f>SUM($M40:$N51)/SUM(AC40:AD51)</f>
        <v>#VALUE!</v>
      </c>
    </row>
    <row r="52" spans="1:48" x14ac:dyDescent="0.35">
      <c r="A52" s="158">
        <f>EffectivelyVax!B51</f>
        <v>4</v>
      </c>
      <c r="B52" s="159" t="str">
        <f>EffectivelyVax!C51</f>
        <v/>
      </c>
      <c r="C52" s="160" t="str">
        <f>Export!N50</f>
        <v/>
      </c>
      <c r="D52" s="161" t="str">
        <f>IF(Inputs!$F$10="1. Actual program", 'Current vaccine model'!W52, Export!C50)</f>
        <v/>
      </c>
      <c r="E52" s="133" t="e">
        <f>D52*Export!L50</f>
        <v>#VALUE!</v>
      </c>
      <c r="F52" s="161" t="e">
        <f t="shared" si="18"/>
        <v>#VALUE!</v>
      </c>
      <c r="G52" s="161" t="e">
        <f>IF(Export!M50&lt;&gt;"",D52*Export!K50*(1/Export!M50),D52*Export!K50)</f>
        <v>#VALUE!</v>
      </c>
      <c r="H52" s="161" t="e">
        <f>F52*Export!J50</f>
        <v>#VALUE!</v>
      </c>
      <c r="I52" s="161" t="e">
        <f t="shared" si="14"/>
        <v>#VALUE!</v>
      </c>
      <c r="J52" s="153" t="e">
        <f t="shared" si="8"/>
        <v>#VALUE!</v>
      </c>
      <c r="K52" s="162" t="e">
        <f t="shared" si="9"/>
        <v>#VALUE!</v>
      </c>
      <c r="L52" s="163">
        <f>'Scen EffectivelyVax'!A51</f>
        <v>0</v>
      </c>
      <c r="M52" s="164" t="e">
        <f>C52*L52*HelperFunctions!G$59</f>
        <v>#VALUE!</v>
      </c>
      <c r="N52" s="165" t="e">
        <f>C52*L52*(1-HelperFunctions!G$59)</f>
        <v>#VALUE!</v>
      </c>
      <c r="O52" s="166" t="e">
        <f t="shared" si="15"/>
        <v>#DIV/0!</v>
      </c>
      <c r="P52" s="167">
        <f>SUM('Scen EffectivelyVax'!D51:BK51)</f>
        <v>0</v>
      </c>
      <c r="Q52" s="155" t="e">
        <f t="shared" si="11"/>
        <v>#DIV/0!</v>
      </c>
      <c r="R52" s="155" t="e">
        <f t="shared" si="12"/>
        <v>#DIV/0!</v>
      </c>
      <c r="S52" s="167" t="e">
        <f t="shared" si="0"/>
        <v>#DIV/0!</v>
      </c>
      <c r="T52" s="155" t="e">
        <f>IF(Export!M50&lt;&gt;"",Q52*Export!K50*(1/Export!M50),Q52*Export!K50)</f>
        <v>#DIV/0!</v>
      </c>
      <c r="U52" s="154" t="e">
        <f>S52*Export!J50</f>
        <v>#DIV/0!</v>
      </c>
      <c r="V52" s="168" t="e">
        <f>SUM('Scen NotEffectivelyVax (hypo)'!F52,'Scen NotEffectivelyVax (hypo)'!I52,'Scen NotEffectivelyVax (hypo)'!L52,'Scen NotEffectivelyVax (hypo)'!O52,'Scen NotEffectivelyVax (hypo)'!R52,'Scen NotEffectivelyVax (hypo)'!U52,'Scen NotEffectivelyVax (hypo)'!X52,'Scen NotEffectivelyVax (hypo)'!AA52,'Scen NotEffectivelyVax (hypo)'!AD52,'Scen NotEffectivelyVax (hypo)'!AG52,'Scen NotEffectivelyVax (hypo)'!AJ52,'Scen NotEffectivelyVax (hypo)'!AM52,'Scen NotEffectivelyVax (hypo)'!AP52,'Scen NotEffectivelyVax (hypo)'!AS52,'Scen NotEffectivelyVax (hypo)'!AV52,'Scen NotEffectivelyVax (hypo)'!AY52,'Scen NotEffectivelyVax (hypo)'!BB52,'Scen NotEffectivelyVax (hypo)'!BE52,'Scen NotEffectivelyVax (hypo)'!BH52,'Scen NotEffectivelyVax (hypo)'!BK52,'Scen NotEffectivelyVax (hypo)'!BN52,'Scen NotEffectivelyVax (hypo)'!BQ52,'Scen NotEffectivelyVax (hypo)'!BT52,'Scen NotEffectivelyVax (hypo)'!BW52,'Scen NotEffectivelyVax (hypo)'!BZ52,'Scen NotEffectivelyVax (hypo)'!CC52,'Scen NotEffectivelyVax (hypo)'!CF52,'Scen NotEffectivelyVax (hypo)'!CI52,'Scen NotEffectivelyVax (hypo)'!CL52,'Scen NotEffectivelyVax (hypo)'!CO52,'Scen NotEffectivelyVax (hypo)'!CR52,'Scen NotEffectivelyVax (hypo)'!CU52,'Scen NotEffectivelyVax (hypo)'!CX52,'Scen NotEffectivelyVax (hypo)'!DA52,'Scen NotEffectivelyVax (hypo)'!DD52,'Scen NotEffectivelyVax (hypo)'!DG52,'Scen NotEffectivelyVax (hypo)'!DJ52,'Scen NotEffectivelyVax (hypo)'!DM52,'Scen NotEffectivelyVax (hypo)'!DQ52,'Scen NotEffectivelyVax (hypo)'!DP52,'Scen NotEffectivelyVax (hypo)'!DS52,'Scen NotEffectivelyVax (hypo)'!DV52,'Scen NotEffectivelyVax (hypo)'!DY52,'Scen NotEffectivelyVax (hypo)'!EB52,'Scen NotEffectivelyVax (hypo)'!EE52,'Scen NotEffectivelyVax (hypo)'!EH52,'Scen NotEffectivelyVax (hypo)'!EK52,'Scen NotEffectivelyVax (hypo)'!EN52,'Scen NotEffectivelyVax (hypo)'!EQ52,'Scen NotEffectivelyVax (hypo)'!ET52,'Scen NotEffectivelyVax (hypo)'!EW52,'Scen NotEffectivelyVax (hypo)'!EZ52,'Scen NotEffectivelyVax (hypo)'!FC52,'Scen NotEffectivelyVax (hypo)'!FF52,'Scen NotEffectivelyVax (hypo)'!FI52,'Scen NotEffectivelyVax (hypo)'!FL52,'Scen NotEffectivelyVax (hypo)'!FO52,'Scen NotEffectivelyVax (hypo)'!FR52,'Scen NotEffectivelyVax (hypo)'!FU52,'Scen NotEffectivelyVax (hypo)'!FX52,'Scen NotEffectivelyVax (hypo)'!GA52)</f>
        <v>#VALUE!</v>
      </c>
      <c r="W52" s="169" t="e">
        <f>SUM('Scen NotEffectivelyVax (hypo)'!D52,'Scen NotEffectivelyVax (hypo)'!G52,'Scen NotEffectivelyVax (hypo)'!J52,'Scen NotEffectivelyVax (hypo)'!M52,'Scen NotEffectivelyVax (hypo)'!P52,'Scen NotEffectivelyVax (hypo)'!S52,'Scen NotEffectivelyVax (hypo)'!V52,'Scen NotEffectivelyVax (hypo)'!Y52,'Scen NotEffectivelyVax (hypo)'!AB52,'Scen NotEffectivelyVax (hypo)'!AE52,'Scen NotEffectivelyVax (hypo)'!AH52,'Scen NotEffectivelyVax (hypo)'!AK52,'Scen NotEffectivelyVax (hypo)'!AN52,'Scen NotEffectivelyVax (hypo)'!AQ52,'Scen NotEffectivelyVax (hypo)'!AT52,'Scen NotEffectivelyVax (hypo)'!AW52,'Scen NotEffectivelyVax (hypo)'!AZ52,'Scen NotEffectivelyVax (hypo)'!BC52,'Scen NotEffectivelyVax (hypo)'!BF52,'Scen NotEffectivelyVax (hypo)'!BI52,'Scen NotEffectivelyVax (hypo)'!BL52,'Scen NotEffectivelyVax (hypo)'!BO52,'Scen NotEffectivelyVax (hypo)'!BR52,'Scen NotEffectivelyVax (hypo)'!BU52,'Scen NotEffectivelyVax (hypo)'!BX52,'Scen NotEffectivelyVax (hypo)'!CA52,'Scen NotEffectivelyVax (hypo)'!CD52,'Scen NotEffectivelyVax (hypo)'!CG52,'Scen NotEffectivelyVax (hypo)'!CJ52,'Scen NotEffectivelyVax (hypo)'!CM52,'Scen NotEffectivelyVax (hypo)'!CP52,'Scen NotEffectivelyVax (hypo)'!CS52,'Scen NotEffectivelyVax (hypo)'!CV52,'Scen NotEffectivelyVax (hypo)'!CY52,'Scen NotEffectivelyVax (hypo)'!DB52,'Scen NotEffectivelyVax (hypo)'!DE52,'Scen NotEffectivelyVax (hypo)'!DH52,'Scen NotEffectivelyVax (hypo)'!DK52,'Scen NotEffectivelyVax (hypo)'!DN52,'Scen NotEffectivelyVax (hypo)'!DQ52,'Scen NotEffectivelyVax (hypo)'!DT52,'Scen NotEffectivelyVax (hypo)'!DW52,'Scen NotEffectivelyVax (hypo)'!DZ52,'Scen NotEffectivelyVax (hypo)'!EC52,'Scen NotEffectivelyVax (hypo)'!EF52,'Scen NotEffectivelyVax (hypo)'!EI52,'Scen NotEffectivelyVax (hypo)'!EL52,'Scen NotEffectivelyVax (hypo)'!EO52,'Scen NotEffectivelyVax (hypo)'!ER52,'Scen NotEffectivelyVax (hypo)'!EU52,'Scen NotEffectivelyVax (hypo)'!EX52,'Scen NotEffectivelyVax (hypo)'!FA52,'Scen NotEffectivelyVax (hypo)'!FD52,'Scen NotEffectivelyVax (hypo)'!FG52,'Scen NotEffectivelyVax (hypo)'!FJ52,'Scen NotEffectivelyVax (hypo)'!FM52,'Scen NotEffectivelyVax (hypo)'!FP52,'Scen NotEffectivelyVax (hypo)'!FS52,'Scen NotEffectivelyVax (hypo)'!FV52,'Scen NotEffectivelyVax (hypo)'!FY52)</f>
        <v>#VALUE!</v>
      </c>
      <c r="X52" s="169" t="e">
        <f>SUM('Scen NotEffectivelyVax (hypo)'!E52,'Scen NotEffectivelyVax (hypo)'!H52,'Scen NotEffectivelyVax (hypo)'!K52,'Scen NotEffectivelyVax (hypo)'!N52,'Scen NotEffectivelyVax (hypo)'!Q52,'Scen NotEffectivelyVax (hypo)'!T52,'Scen NotEffectivelyVax (hypo)'!Z52,'Scen NotEffectivelyVax (hypo)'!W52,'Scen NotEffectivelyVax (hypo)'!AC52,'Scen NotEffectivelyVax (hypo)'!AF52,'Scen NotEffectivelyVax (hypo)'!AI52,'Scen NotEffectivelyVax (hypo)'!AL52,'Scen NotEffectivelyVax (hypo)'!AO52,'Scen NotEffectivelyVax (hypo)'!AR52,'Scen NotEffectivelyVax (hypo)'!AU52,'Scen NotEffectivelyVax (hypo)'!AX52,'Scen NotEffectivelyVax (hypo)'!BA52,'Scen NotEffectivelyVax (hypo)'!BD52,'Scen NotEffectivelyVax (hypo)'!BG52,'Scen NotEffectivelyVax (hypo)'!BJ52,'Scen NotEffectivelyVax (hypo)'!BM52,'Scen NotEffectivelyVax (hypo)'!BP52,'Scen NotEffectivelyVax (hypo)'!BS52,'Scen NotEffectivelyVax (hypo)'!BV52,'Scen NotEffectivelyVax (hypo)'!BY52,'Scen NotEffectivelyVax (hypo)'!CB52,'Scen NotEffectivelyVax (hypo)'!CE52,'Scen NotEffectivelyVax (hypo)'!CH52,'Scen NotEffectivelyVax (hypo)'!CK52,'Scen NotEffectivelyVax (hypo)'!CN52,'Scen NotEffectivelyVax (hypo)'!CQ52,'Scen NotEffectivelyVax (hypo)'!CT52,'Scen NotEffectivelyVax (hypo)'!CW52,'Scen NotEffectivelyVax (hypo)'!CZ52,'Scen NotEffectivelyVax (hypo)'!DC52,'Scen NotEffectivelyVax (hypo)'!DF52,'Scen NotEffectivelyVax (hypo)'!DI52,'Scen NotEffectivelyVax (hypo)'!DL52,'Scen NotEffectivelyVax (hypo)'!DO52,'Scen NotEffectivelyVax (hypo)'!DR52,'Scen NotEffectivelyVax (hypo)'!DU52,'Scen NotEffectivelyVax (hypo)'!DX52,'Scen NotEffectivelyVax (hypo)'!EA52,'Scen NotEffectivelyVax (hypo)'!ED52,'Scen NotEffectivelyVax (hypo)'!EG52,'Scen NotEffectivelyVax (hypo)'!EJ52,'Scen NotEffectivelyVax (hypo)'!EM52,'Scen NotEffectivelyVax (hypo)'!EP52,'Scen NotEffectivelyVax (hypo)'!ES52,'Scen NotEffectivelyVax (hypo)'!EV52,'Scen NotEffectivelyVax (hypo)'!EY52,'Scen NotEffectivelyVax (hypo)'!FB52,'Scen NotEffectivelyVax (hypo)'!FE52,'Scen NotEffectivelyVax (hypo)'!FH52,'Scen NotEffectivelyVax (hypo)'!FK52,'Scen NotEffectivelyVax (hypo)'!FN52,'Scen NotEffectivelyVax (hypo)'!FQ52,'Scen NotEffectivelyVax (hypo)'!FT52,'Scen NotEffectivelyVax (hypo)'!FW52,'Scen NotEffectivelyVax (hypo)'!FZ52)</f>
        <v>#VALUE!</v>
      </c>
      <c r="Y52" s="170" t="e">
        <f t="shared" si="1"/>
        <v>#VALUE!</v>
      </c>
      <c r="Z52" s="170" t="e">
        <f>IF(Export!M50&lt;&gt;"",W52*Export!K50*(1/Export!M50),W52*Export!K50)</f>
        <v>#VALUE!</v>
      </c>
      <c r="AA52" s="154" t="e">
        <f>Y52*Export!J50</f>
        <v>#VALUE!</v>
      </c>
      <c r="AC52" s="143" t="e">
        <f t="shared" si="2"/>
        <v>#VALUE!</v>
      </c>
      <c r="AD52" s="144" t="e">
        <f t="shared" si="19"/>
        <v>#VALUE!</v>
      </c>
      <c r="AE52" s="144" t="e">
        <f t="shared" si="3"/>
        <v>#VALUE!</v>
      </c>
      <c r="AF52" s="144" t="e">
        <f t="shared" si="4"/>
        <v>#VALUE!</v>
      </c>
      <c r="AG52" s="144" t="e">
        <f t="shared" si="5"/>
        <v>#VALUE!</v>
      </c>
      <c r="AH52" s="145"/>
      <c r="AI52" s="145"/>
      <c r="AJ52" s="145"/>
      <c r="AK52" s="145"/>
      <c r="AL52" s="146"/>
      <c r="AM52" s="145"/>
      <c r="AN52" s="145"/>
      <c r="AO52" s="145"/>
      <c r="AP52" s="145"/>
      <c r="AQ52" s="146"/>
      <c r="AR52" s="150"/>
      <c r="AS52" s="150"/>
      <c r="AT52" s="150"/>
      <c r="AU52" s="150"/>
      <c r="AV52" s="151"/>
    </row>
    <row r="53" spans="1:48" x14ac:dyDescent="0.35">
      <c r="A53" s="130">
        <f>EffectivelyVax!B52</f>
        <v>4</v>
      </c>
      <c r="B53" s="131" t="str">
        <f>EffectivelyVax!C52</f>
        <v/>
      </c>
      <c r="C53" s="132" t="str">
        <f>Export!N51</f>
        <v/>
      </c>
      <c r="D53" s="133" t="str">
        <f>IF(Inputs!$F$10="1. Actual program", 'Current vaccine model'!W53, Export!C51)</f>
        <v/>
      </c>
      <c r="E53" s="133" t="e">
        <f>D53*Export!L51</f>
        <v>#VALUE!</v>
      </c>
      <c r="F53" s="133" t="e">
        <f t="shared" si="18"/>
        <v>#VALUE!</v>
      </c>
      <c r="G53" s="133" t="e">
        <f>IF(Export!M51&lt;&gt;"",D53*Export!K51*(1/Export!M51),D53*Export!K51)</f>
        <v>#VALUE!</v>
      </c>
      <c r="H53" s="133" t="e">
        <f>F53*Export!J51</f>
        <v>#VALUE!</v>
      </c>
      <c r="I53" s="133" t="e">
        <f t="shared" si="14"/>
        <v>#VALUE!</v>
      </c>
      <c r="J53" s="134" t="e">
        <f t="shared" si="8"/>
        <v>#VALUE!</v>
      </c>
      <c r="K53" s="135" t="e">
        <f t="shared" si="9"/>
        <v>#VALUE!</v>
      </c>
      <c r="L53" s="117">
        <f>'Scen EffectivelyVax'!A52</f>
        <v>0</v>
      </c>
      <c r="M53" s="115" t="e">
        <f>C53*L53*HelperFunctions!G$59</f>
        <v>#VALUE!</v>
      </c>
      <c r="N53" s="116" t="e">
        <f>C53*L53*(1-HelperFunctions!G$59)</f>
        <v>#VALUE!</v>
      </c>
      <c r="O53" s="136" t="e">
        <f t="shared" si="15"/>
        <v>#DIV/0!</v>
      </c>
      <c r="P53" s="137">
        <f>SUM('Scen EffectivelyVax'!D52:BK52)</f>
        <v>0</v>
      </c>
      <c r="Q53" s="138" t="e">
        <f t="shared" si="11"/>
        <v>#DIV/0!</v>
      </c>
      <c r="R53" s="138" t="e">
        <f t="shared" si="12"/>
        <v>#DIV/0!</v>
      </c>
      <c r="S53" s="137" t="e">
        <f t="shared" si="0"/>
        <v>#DIV/0!</v>
      </c>
      <c r="T53" s="138" t="e">
        <f>IF(Export!M51&lt;&gt;"",Q53*Export!K51*(1/Export!M51),Q53*Export!K51)</f>
        <v>#DIV/0!</v>
      </c>
      <c r="U53" s="139" t="e">
        <f>S53*Export!J51</f>
        <v>#DIV/0!</v>
      </c>
      <c r="V53" s="140" t="e">
        <f>SUM('Scen NotEffectivelyVax (hypo)'!F53,'Scen NotEffectivelyVax (hypo)'!I53,'Scen NotEffectivelyVax (hypo)'!L53,'Scen NotEffectivelyVax (hypo)'!O53,'Scen NotEffectivelyVax (hypo)'!R53,'Scen NotEffectivelyVax (hypo)'!U53,'Scen NotEffectivelyVax (hypo)'!X53,'Scen NotEffectivelyVax (hypo)'!AA53,'Scen NotEffectivelyVax (hypo)'!AD53,'Scen NotEffectivelyVax (hypo)'!AG53,'Scen NotEffectivelyVax (hypo)'!AJ53,'Scen NotEffectivelyVax (hypo)'!AM53,'Scen NotEffectivelyVax (hypo)'!AP53,'Scen NotEffectivelyVax (hypo)'!AS53,'Scen NotEffectivelyVax (hypo)'!AV53,'Scen NotEffectivelyVax (hypo)'!AY53,'Scen NotEffectivelyVax (hypo)'!BB53,'Scen NotEffectivelyVax (hypo)'!BE53,'Scen NotEffectivelyVax (hypo)'!BH53,'Scen NotEffectivelyVax (hypo)'!BK53,'Scen NotEffectivelyVax (hypo)'!BN53,'Scen NotEffectivelyVax (hypo)'!BQ53,'Scen NotEffectivelyVax (hypo)'!BT53,'Scen NotEffectivelyVax (hypo)'!BW53,'Scen NotEffectivelyVax (hypo)'!BZ53,'Scen NotEffectivelyVax (hypo)'!CC53,'Scen NotEffectivelyVax (hypo)'!CF53,'Scen NotEffectivelyVax (hypo)'!CI53,'Scen NotEffectivelyVax (hypo)'!CL53,'Scen NotEffectivelyVax (hypo)'!CO53,'Scen NotEffectivelyVax (hypo)'!CR53,'Scen NotEffectivelyVax (hypo)'!CU53,'Scen NotEffectivelyVax (hypo)'!CX53,'Scen NotEffectivelyVax (hypo)'!DA53,'Scen NotEffectivelyVax (hypo)'!DD53,'Scen NotEffectivelyVax (hypo)'!DG53,'Scen NotEffectivelyVax (hypo)'!DJ53,'Scen NotEffectivelyVax (hypo)'!DM53,'Scen NotEffectivelyVax (hypo)'!DQ53,'Scen NotEffectivelyVax (hypo)'!DP53,'Scen NotEffectivelyVax (hypo)'!DS53,'Scen NotEffectivelyVax (hypo)'!DV53,'Scen NotEffectivelyVax (hypo)'!DY53,'Scen NotEffectivelyVax (hypo)'!EB53,'Scen NotEffectivelyVax (hypo)'!EE53,'Scen NotEffectivelyVax (hypo)'!EH53,'Scen NotEffectivelyVax (hypo)'!EK53,'Scen NotEffectivelyVax (hypo)'!EN53,'Scen NotEffectivelyVax (hypo)'!EQ53,'Scen NotEffectivelyVax (hypo)'!ET53,'Scen NotEffectivelyVax (hypo)'!EW53,'Scen NotEffectivelyVax (hypo)'!EZ53,'Scen NotEffectivelyVax (hypo)'!FC53,'Scen NotEffectivelyVax (hypo)'!FF53,'Scen NotEffectivelyVax (hypo)'!FI53,'Scen NotEffectivelyVax (hypo)'!FL53,'Scen NotEffectivelyVax (hypo)'!FO53,'Scen NotEffectivelyVax (hypo)'!FR53,'Scen NotEffectivelyVax (hypo)'!FU53,'Scen NotEffectivelyVax (hypo)'!FX53,'Scen NotEffectivelyVax (hypo)'!GA53)</f>
        <v>#VALUE!</v>
      </c>
      <c r="W53" s="141" t="e">
        <f>SUM('Scen NotEffectivelyVax (hypo)'!D53,'Scen NotEffectivelyVax (hypo)'!G53,'Scen NotEffectivelyVax (hypo)'!J53,'Scen NotEffectivelyVax (hypo)'!M53,'Scen NotEffectivelyVax (hypo)'!P53,'Scen NotEffectivelyVax (hypo)'!S53,'Scen NotEffectivelyVax (hypo)'!V53,'Scen NotEffectivelyVax (hypo)'!Y53,'Scen NotEffectivelyVax (hypo)'!AB53,'Scen NotEffectivelyVax (hypo)'!AE53,'Scen NotEffectivelyVax (hypo)'!AH53,'Scen NotEffectivelyVax (hypo)'!AK53,'Scen NotEffectivelyVax (hypo)'!AN53,'Scen NotEffectivelyVax (hypo)'!AQ53,'Scen NotEffectivelyVax (hypo)'!AT53,'Scen NotEffectivelyVax (hypo)'!AW53,'Scen NotEffectivelyVax (hypo)'!AZ53,'Scen NotEffectivelyVax (hypo)'!BC53,'Scen NotEffectivelyVax (hypo)'!BF53,'Scen NotEffectivelyVax (hypo)'!BI53,'Scen NotEffectivelyVax (hypo)'!BL53,'Scen NotEffectivelyVax (hypo)'!BO53,'Scen NotEffectivelyVax (hypo)'!BR53,'Scen NotEffectivelyVax (hypo)'!BU53,'Scen NotEffectivelyVax (hypo)'!BX53,'Scen NotEffectivelyVax (hypo)'!CA53,'Scen NotEffectivelyVax (hypo)'!CD53,'Scen NotEffectivelyVax (hypo)'!CG53,'Scen NotEffectivelyVax (hypo)'!CJ53,'Scen NotEffectivelyVax (hypo)'!CM53,'Scen NotEffectivelyVax (hypo)'!CP53,'Scen NotEffectivelyVax (hypo)'!CS53,'Scen NotEffectivelyVax (hypo)'!CV53,'Scen NotEffectivelyVax (hypo)'!CY53,'Scen NotEffectivelyVax (hypo)'!DB53,'Scen NotEffectivelyVax (hypo)'!DE53,'Scen NotEffectivelyVax (hypo)'!DH53,'Scen NotEffectivelyVax (hypo)'!DK53,'Scen NotEffectivelyVax (hypo)'!DN53,'Scen NotEffectivelyVax (hypo)'!DQ53,'Scen NotEffectivelyVax (hypo)'!DT53,'Scen NotEffectivelyVax (hypo)'!DW53,'Scen NotEffectivelyVax (hypo)'!DZ53,'Scen NotEffectivelyVax (hypo)'!EC53,'Scen NotEffectivelyVax (hypo)'!EF53,'Scen NotEffectivelyVax (hypo)'!EI53,'Scen NotEffectivelyVax (hypo)'!EL53,'Scen NotEffectivelyVax (hypo)'!EO53,'Scen NotEffectivelyVax (hypo)'!ER53,'Scen NotEffectivelyVax (hypo)'!EU53,'Scen NotEffectivelyVax (hypo)'!EX53,'Scen NotEffectivelyVax (hypo)'!FA53,'Scen NotEffectivelyVax (hypo)'!FD53,'Scen NotEffectivelyVax (hypo)'!FG53,'Scen NotEffectivelyVax (hypo)'!FJ53,'Scen NotEffectivelyVax (hypo)'!FM53,'Scen NotEffectivelyVax (hypo)'!FP53,'Scen NotEffectivelyVax (hypo)'!FS53,'Scen NotEffectivelyVax (hypo)'!FV53,'Scen NotEffectivelyVax (hypo)'!FY53)</f>
        <v>#VALUE!</v>
      </c>
      <c r="X53" s="141" t="e">
        <f>SUM('Scen NotEffectivelyVax (hypo)'!E53,'Scen NotEffectivelyVax (hypo)'!H53,'Scen NotEffectivelyVax (hypo)'!K53,'Scen NotEffectivelyVax (hypo)'!N53,'Scen NotEffectivelyVax (hypo)'!Q53,'Scen NotEffectivelyVax (hypo)'!T53,'Scen NotEffectivelyVax (hypo)'!Z53,'Scen NotEffectivelyVax (hypo)'!W53,'Scen NotEffectivelyVax (hypo)'!AC53,'Scen NotEffectivelyVax (hypo)'!AF53,'Scen NotEffectivelyVax (hypo)'!AI53,'Scen NotEffectivelyVax (hypo)'!AL53,'Scen NotEffectivelyVax (hypo)'!AO53,'Scen NotEffectivelyVax (hypo)'!AR53,'Scen NotEffectivelyVax (hypo)'!AU53,'Scen NotEffectivelyVax (hypo)'!AX53,'Scen NotEffectivelyVax (hypo)'!BA53,'Scen NotEffectivelyVax (hypo)'!BD53,'Scen NotEffectivelyVax (hypo)'!BG53,'Scen NotEffectivelyVax (hypo)'!BJ53,'Scen NotEffectivelyVax (hypo)'!BM53,'Scen NotEffectivelyVax (hypo)'!BP53,'Scen NotEffectivelyVax (hypo)'!BS53,'Scen NotEffectivelyVax (hypo)'!BV53,'Scen NotEffectivelyVax (hypo)'!BY53,'Scen NotEffectivelyVax (hypo)'!CB53,'Scen NotEffectivelyVax (hypo)'!CE53,'Scen NotEffectivelyVax (hypo)'!CH53,'Scen NotEffectivelyVax (hypo)'!CK53,'Scen NotEffectivelyVax (hypo)'!CN53,'Scen NotEffectivelyVax (hypo)'!CQ53,'Scen NotEffectivelyVax (hypo)'!CT53,'Scen NotEffectivelyVax (hypo)'!CW53,'Scen NotEffectivelyVax (hypo)'!CZ53,'Scen NotEffectivelyVax (hypo)'!DC53,'Scen NotEffectivelyVax (hypo)'!DF53,'Scen NotEffectivelyVax (hypo)'!DI53,'Scen NotEffectivelyVax (hypo)'!DL53,'Scen NotEffectivelyVax (hypo)'!DO53,'Scen NotEffectivelyVax (hypo)'!DR53,'Scen NotEffectivelyVax (hypo)'!DU53,'Scen NotEffectivelyVax (hypo)'!DX53,'Scen NotEffectivelyVax (hypo)'!EA53,'Scen NotEffectivelyVax (hypo)'!ED53,'Scen NotEffectivelyVax (hypo)'!EG53,'Scen NotEffectivelyVax (hypo)'!EJ53,'Scen NotEffectivelyVax (hypo)'!EM53,'Scen NotEffectivelyVax (hypo)'!EP53,'Scen NotEffectivelyVax (hypo)'!ES53,'Scen NotEffectivelyVax (hypo)'!EV53,'Scen NotEffectivelyVax (hypo)'!EY53,'Scen NotEffectivelyVax (hypo)'!FB53,'Scen NotEffectivelyVax (hypo)'!FE53,'Scen NotEffectivelyVax (hypo)'!FH53,'Scen NotEffectivelyVax (hypo)'!FK53,'Scen NotEffectivelyVax (hypo)'!FN53,'Scen NotEffectivelyVax (hypo)'!FQ53,'Scen NotEffectivelyVax (hypo)'!FT53,'Scen NotEffectivelyVax (hypo)'!FW53,'Scen NotEffectivelyVax (hypo)'!FZ53)</f>
        <v>#VALUE!</v>
      </c>
      <c r="Y53" s="142" t="e">
        <f t="shared" si="1"/>
        <v>#VALUE!</v>
      </c>
      <c r="Z53" s="142" t="e">
        <f>IF(Export!M51&lt;&gt;"",W53*Export!K51*(1/Export!M51),W53*Export!K51)</f>
        <v>#VALUE!</v>
      </c>
      <c r="AA53" s="139" t="e">
        <f>Y53*Export!J51</f>
        <v>#VALUE!</v>
      </c>
      <c r="AC53" s="143" t="e">
        <f t="shared" si="2"/>
        <v>#VALUE!</v>
      </c>
      <c r="AD53" s="144" t="e">
        <f t="shared" si="19"/>
        <v>#VALUE!</v>
      </c>
      <c r="AE53" s="144" t="e">
        <f t="shared" si="3"/>
        <v>#VALUE!</v>
      </c>
      <c r="AF53" s="144" t="e">
        <f t="shared" si="4"/>
        <v>#VALUE!</v>
      </c>
      <c r="AG53" s="144" t="e">
        <f t="shared" si="5"/>
        <v>#VALUE!</v>
      </c>
      <c r="AH53" s="145"/>
      <c r="AI53" s="145"/>
      <c r="AJ53" s="145"/>
      <c r="AK53" s="145"/>
      <c r="AL53" s="146"/>
      <c r="AM53" s="145"/>
      <c r="AN53" s="145"/>
      <c r="AO53" s="145"/>
      <c r="AP53" s="145"/>
      <c r="AQ53" s="146"/>
      <c r="AR53" s="150"/>
      <c r="AS53" s="150"/>
      <c r="AT53" s="150"/>
      <c r="AU53" s="150"/>
      <c r="AV53" s="151"/>
    </row>
    <row r="54" spans="1:48" x14ac:dyDescent="0.35">
      <c r="A54" s="130">
        <f>EffectivelyVax!B53</f>
        <v>4</v>
      </c>
      <c r="B54" s="131" t="str">
        <f>EffectivelyVax!C53</f>
        <v/>
      </c>
      <c r="C54" s="132" t="str">
        <f>Export!N52</f>
        <v/>
      </c>
      <c r="D54" s="133" t="str">
        <f>IF(Inputs!$F$10="1. Actual program", 'Current vaccine model'!W54, Export!C52)</f>
        <v/>
      </c>
      <c r="E54" s="133" t="e">
        <f>D54*Export!L52</f>
        <v>#VALUE!</v>
      </c>
      <c r="F54" s="133" t="e">
        <f t="shared" si="18"/>
        <v>#VALUE!</v>
      </c>
      <c r="G54" s="133" t="e">
        <f>IF(Export!M52&lt;&gt;"",D54*Export!K52*(1/Export!M52),D54*Export!K52)</f>
        <v>#VALUE!</v>
      </c>
      <c r="H54" s="133" t="e">
        <f>F54*Export!J52</f>
        <v>#VALUE!</v>
      </c>
      <c r="I54" s="133" t="e">
        <f t="shared" si="14"/>
        <v>#VALUE!</v>
      </c>
      <c r="J54" s="134" t="e">
        <f t="shared" si="8"/>
        <v>#VALUE!</v>
      </c>
      <c r="K54" s="135" t="e">
        <f t="shared" si="9"/>
        <v>#VALUE!</v>
      </c>
      <c r="L54" s="117">
        <f>'Scen EffectivelyVax'!A53</f>
        <v>0</v>
      </c>
      <c r="M54" s="115" t="e">
        <f>C54*L54*HelperFunctions!G$59</f>
        <v>#VALUE!</v>
      </c>
      <c r="N54" s="116" t="e">
        <f>C54*L54*(1-HelperFunctions!G$59)</f>
        <v>#VALUE!</v>
      </c>
      <c r="O54" s="136" t="e">
        <f t="shared" si="15"/>
        <v>#DIV/0!</v>
      </c>
      <c r="P54" s="137">
        <f>SUM('Scen EffectivelyVax'!D53:BK53)</f>
        <v>0</v>
      </c>
      <c r="Q54" s="138" t="e">
        <f t="shared" si="11"/>
        <v>#DIV/0!</v>
      </c>
      <c r="R54" s="138" t="e">
        <f t="shared" si="12"/>
        <v>#DIV/0!</v>
      </c>
      <c r="S54" s="137" t="e">
        <f t="shared" si="0"/>
        <v>#DIV/0!</v>
      </c>
      <c r="T54" s="138" t="e">
        <f>IF(Export!M52&lt;&gt;"",Q54*Export!K52*(1/Export!M52),Q54*Export!K52)</f>
        <v>#DIV/0!</v>
      </c>
      <c r="U54" s="139" t="e">
        <f>S54*Export!J52</f>
        <v>#DIV/0!</v>
      </c>
      <c r="V54" s="140" t="e">
        <f>SUM('Scen NotEffectivelyVax (hypo)'!F54,'Scen NotEffectivelyVax (hypo)'!I54,'Scen NotEffectivelyVax (hypo)'!L54,'Scen NotEffectivelyVax (hypo)'!O54,'Scen NotEffectivelyVax (hypo)'!R54,'Scen NotEffectivelyVax (hypo)'!U54,'Scen NotEffectivelyVax (hypo)'!X54,'Scen NotEffectivelyVax (hypo)'!AA54,'Scen NotEffectivelyVax (hypo)'!AD54,'Scen NotEffectivelyVax (hypo)'!AG54,'Scen NotEffectivelyVax (hypo)'!AJ54,'Scen NotEffectivelyVax (hypo)'!AM54,'Scen NotEffectivelyVax (hypo)'!AP54,'Scen NotEffectivelyVax (hypo)'!AS54,'Scen NotEffectivelyVax (hypo)'!AV54,'Scen NotEffectivelyVax (hypo)'!AY54,'Scen NotEffectivelyVax (hypo)'!BB54,'Scen NotEffectivelyVax (hypo)'!BE54,'Scen NotEffectivelyVax (hypo)'!BH54,'Scen NotEffectivelyVax (hypo)'!BK54,'Scen NotEffectivelyVax (hypo)'!BN54,'Scen NotEffectivelyVax (hypo)'!BQ54,'Scen NotEffectivelyVax (hypo)'!BT54,'Scen NotEffectivelyVax (hypo)'!BW54,'Scen NotEffectivelyVax (hypo)'!BZ54,'Scen NotEffectivelyVax (hypo)'!CC54,'Scen NotEffectivelyVax (hypo)'!CF54,'Scen NotEffectivelyVax (hypo)'!CI54,'Scen NotEffectivelyVax (hypo)'!CL54,'Scen NotEffectivelyVax (hypo)'!CO54,'Scen NotEffectivelyVax (hypo)'!CR54,'Scen NotEffectivelyVax (hypo)'!CU54,'Scen NotEffectivelyVax (hypo)'!CX54,'Scen NotEffectivelyVax (hypo)'!DA54,'Scen NotEffectivelyVax (hypo)'!DD54,'Scen NotEffectivelyVax (hypo)'!DG54,'Scen NotEffectivelyVax (hypo)'!DJ54,'Scen NotEffectivelyVax (hypo)'!DM54,'Scen NotEffectivelyVax (hypo)'!DQ54,'Scen NotEffectivelyVax (hypo)'!DP54,'Scen NotEffectivelyVax (hypo)'!DS54,'Scen NotEffectivelyVax (hypo)'!DV54,'Scen NotEffectivelyVax (hypo)'!DY54,'Scen NotEffectivelyVax (hypo)'!EB54,'Scen NotEffectivelyVax (hypo)'!EE54,'Scen NotEffectivelyVax (hypo)'!EH54,'Scen NotEffectivelyVax (hypo)'!EK54,'Scen NotEffectivelyVax (hypo)'!EN54,'Scen NotEffectivelyVax (hypo)'!EQ54,'Scen NotEffectivelyVax (hypo)'!ET54,'Scen NotEffectivelyVax (hypo)'!EW54,'Scen NotEffectivelyVax (hypo)'!EZ54,'Scen NotEffectivelyVax (hypo)'!FC54,'Scen NotEffectivelyVax (hypo)'!FF54,'Scen NotEffectivelyVax (hypo)'!FI54,'Scen NotEffectivelyVax (hypo)'!FL54,'Scen NotEffectivelyVax (hypo)'!FO54,'Scen NotEffectivelyVax (hypo)'!FR54,'Scen NotEffectivelyVax (hypo)'!FU54,'Scen NotEffectivelyVax (hypo)'!FX54,'Scen NotEffectivelyVax (hypo)'!GA54)</f>
        <v>#VALUE!</v>
      </c>
      <c r="W54" s="141" t="e">
        <f>SUM('Scen NotEffectivelyVax (hypo)'!D54,'Scen NotEffectivelyVax (hypo)'!G54,'Scen NotEffectivelyVax (hypo)'!J54,'Scen NotEffectivelyVax (hypo)'!M54,'Scen NotEffectivelyVax (hypo)'!P54,'Scen NotEffectivelyVax (hypo)'!S54,'Scen NotEffectivelyVax (hypo)'!V54,'Scen NotEffectivelyVax (hypo)'!Y54,'Scen NotEffectivelyVax (hypo)'!AB54,'Scen NotEffectivelyVax (hypo)'!AE54,'Scen NotEffectivelyVax (hypo)'!AH54,'Scen NotEffectivelyVax (hypo)'!AK54,'Scen NotEffectivelyVax (hypo)'!AN54,'Scen NotEffectivelyVax (hypo)'!AQ54,'Scen NotEffectivelyVax (hypo)'!AT54,'Scen NotEffectivelyVax (hypo)'!AW54,'Scen NotEffectivelyVax (hypo)'!AZ54,'Scen NotEffectivelyVax (hypo)'!BC54,'Scen NotEffectivelyVax (hypo)'!BF54,'Scen NotEffectivelyVax (hypo)'!BI54,'Scen NotEffectivelyVax (hypo)'!BL54,'Scen NotEffectivelyVax (hypo)'!BO54,'Scen NotEffectivelyVax (hypo)'!BR54,'Scen NotEffectivelyVax (hypo)'!BU54,'Scen NotEffectivelyVax (hypo)'!BX54,'Scen NotEffectivelyVax (hypo)'!CA54,'Scen NotEffectivelyVax (hypo)'!CD54,'Scen NotEffectivelyVax (hypo)'!CG54,'Scen NotEffectivelyVax (hypo)'!CJ54,'Scen NotEffectivelyVax (hypo)'!CM54,'Scen NotEffectivelyVax (hypo)'!CP54,'Scen NotEffectivelyVax (hypo)'!CS54,'Scen NotEffectivelyVax (hypo)'!CV54,'Scen NotEffectivelyVax (hypo)'!CY54,'Scen NotEffectivelyVax (hypo)'!DB54,'Scen NotEffectivelyVax (hypo)'!DE54,'Scen NotEffectivelyVax (hypo)'!DH54,'Scen NotEffectivelyVax (hypo)'!DK54,'Scen NotEffectivelyVax (hypo)'!DN54,'Scen NotEffectivelyVax (hypo)'!DQ54,'Scen NotEffectivelyVax (hypo)'!DT54,'Scen NotEffectivelyVax (hypo)'!DW54,'Scen NotEffectivelyVax (hypo)'!DZ54,'Scen NotEffectivelyVax (hypo)'!EC54,'Scen NotEffectivelyVax (hypo)'!EF54,'Scen NotEffectivelyVax (hypo)'!EI54,'Scen NotEffectivelyVax (hypo)'!EL54,'Scen NotEffectivelyVax (hypo)'!EO54,'Scen NotEffectivelyVax (hypo)'!ER54,'Scen NotEffectivelyVax (hypo)'!EU54,'Scen NotEffectivelyVax (hypo)'!EX54,'Scen NotEffectivelyVax (hypo)'!FA54,'Scen NotEffectivelyVax (hypo)'!FD54,'Scen NotEffectivelyVax (hypo)'!FG54,'Scen NotEffectivelyVax (hypo)'!FJ54,'Scen NotEffectivelyVax (hypo)'!FM54,'Scen NotEffectivelyVax (hypo)'!FP54,'Scen NotEffectivelyVax (hypo)'!FS54,'Scen NotEffectivelyVax (hypo)'!FV54,'Scen NotEffectivelyVax (hypo)'!FY54)</f>
        <v>#VALUE!</v>
      </c>
      <c r="X54" s="141" t="e">
        <f>SUM('Scen NotEffectivelyVax (hypo)'!E54,'Scen NotEffectivelyVax (hypo)'!H54,'Scen NotEffectivelyVax (hypo)'!K54,'Scen NotEffectivelyVax (hypo)'!N54,'Scen NotEffectivelyVax (hypo)'!Q54,'Scen NotEffectivelyVax (hypo)'!T54,'Scen NotEffectivelyVax (hypo)'!Z54,'Scen NotEffectivelyVax (hypo)'!W54,'Scen NotEffectivelyVax (hypo)'!AC54,'Scen NotEffectivelyVax (hypo)'!AF54,'Scen NotEffectivelyVax (hypo)'!AI54,'Scen NotEffectivelyVax (hypo)'!AL54,'Scen NotEffectivelyVax (hypo)'!AO54,'Scen NotEffectivelyVax (hypo)'!AR54,'Scen NotEffectivelyVax (hypo)'!AU54,'Scen NotEffectivelyVax (hypo)'!AX54,'Scen NotEffectivelyVax (hypo)'!BA54,'Scen NotEffectivelyVax (hypo)'!BD54,'Scen NotEffectivelyVax (hypo)'!BG54,'Scen NotEffectivelyVax (hypo)'!BJ54,'Scen NotEffectivelyVax (hypo)'!BM54,'Scen NotEffectivelyVax (hypo)'!BP54,'Scen NotEffectivelyVax (hypo)'!BS54,'Scen NotEffectivelyVax (hypo)'!BV54,'Scen NotEffectivelyVax (hypo)'!BY54,'Scen NotEffectivelyVax (hypo)'!CB54,'Scen NotEffectivelyVax (hypo)'!CE54,'Scen NotEffectivelyVax (hypo)'!CH54,'Scen NotEffectivelyVax (hypo)'!CK54,'Scen NotEffectivelyVax (hypo)'!CN54,'Scen NotEffectivelyVax (hypo)'!CQ54,'Scen NotEffectivelyVax (hypo)'!CT54,'Scen NotEffectivelyVax (hypo)'!CW54,'Scen NotEffectivelyVax (hypo)'!CZ54,'Scen NotEffectivelyVax (hypo)'!DC54,'Scen NotEffectivelyVax (hypo)'!DF54,'Scen NotEffectivelyVax (hypo)'!DI54,'Scen NotEffectivelyVax (hypo)'!DL54,'Scen NotEffectivelyVax (hypo)'!DO54,'Scen NotEffectivelyVax (hypo)'!DR54,'Scen NotEffectivelyVax (hypo)'!DU54,'Scen NotEffectivelyVax (hypo)'!DX54,'Scen NotEffectivelyVax (hypo)'!EA54,'Scen NotEffectivelyVax (hypo)'!ED54,'Scen NotEffectivelyVax (hypo)'!EG54,'Scen NotEffectivelyVax (hypo)'!EJ54,'Scen NotEffectivelyVax (hypo)'!EM54,'Scen NotEffectivelyVax (hypo)'!EP54,'Scen NotEffectivelyVax (hypo)'!ES54,'Scen NotEffectivelyVax (hypo)'!EV54,'Scen NotEffectivelyVax (hypo)'!EY54,'Scen NotEffectivelyVax (hypo)'!FB54,'Scen NotEffectivelyVax (hypo)'!FE54,'Scen NotEffectivelyVax (hypo)'!FH54,'Scen NotEffectivelyVax (hypo)'!FK54,'Scen NotEffectivelyVax (hypo)'!FN54,'Scen NotEffectivelyVax (hypo)'!FQ54,'Scen NotEffectivelyVax (hypo)'!FT54,'Scen NotEffectivelyVax (hypo)'!FW54,'Scen NotEffectivelyVax (hypo)'!FZ54)</f>
        <v>#VALUE!</v>
      </c>
      <c r="Y54" s="142" t="e">
        <f t="shared" si="1"/>
        <v>#VALUE!</v>
      </c>
      <c r="Z54" s="142" t="e">
        <f>IF(Export!M52&lt;&gt;"",W54*Export!K52*(1/Export!M52),W54*Export!K52)</f>
        <v>#VALUE!</v>
      </c>
      <c r="AA54" s="139" t="e">
        <f>Y54*Export!J52</f>
        <v>#VALUE!</v>
      </c>
      <c r="AC54" s="143" t="e">
        <f t="shared" si="2"/>
        <v>#VALUE!</v>
      </c>
      <c r="AD54" s="144" t="e">
        <f t="shared" si="19"/>
        <v>#VALUE!</v>
      </c>
      <c r="AE54" s="144" t="e">
        <f t="shared" si="3"/>
        <v>#VALUE!</v>
      </c>
      <c r="AF54" s="144" t="e">
        <f t="shared" si="4"/>
        <v>#VALUE!</v>
      </c>
      <c r="AG54" s="144" t="e">
        <f t="shared" si="5"/>
        <v>#VALUE!</v>
      </c>
      <c r="AH54" s="145"/>
      <c r="AI54" s="145"/>
      <c r="AJ54" s="145"/>
      <c r="AK54" s="145"/>
      <c r="AL54" s="146"/>
      <c r="AM54" s="145"/>
      <c r="AN54" s="145"/>
      <c r="AO54" s="145"/>
      <c r="AP54" s="145"/>
      <c r="AQ54" s="146"/>
      <c r="AR54" s="150"/>
      <c r="AS54" s="150"/>
      <c r="AT54" s="150"/>
      <c r="AU54" s="150"/>
      <c r="AV54" s="151"/>
    </row>
    <row r="55" spans="1:48" x14ac:dyDescent="0.35">
      <c r="A55" s="130">
        <f>EffectivelyVax!B54</f>
        <v>4</v>
      </c>
      <c r="B55" s="131" t="str">
        <f>EffectivelyVax!C54</f>
        <v/>
      </c>
      <c r="C55" s="132" t="str">
        <f>Export!N53</f>
        <v/>
      </c>
      <c r="D55" s="133" t="str">
        <f>IF(Inputs!$F$10="1. Actual program", 'Current vaccine model'!W55, Export!C53)</f>
        <v/>
      </c>
      <c r="E55" s="133" t="e">
        <f>D55*Export!L53</f>
        <v>#VALUE!</v>
      </c>
      <c r="F55" s="133" t="e">
        <f t="shared" si="18"/>
        <v>#VALUE!</v>
      </c>
      <c r="G55" s="133" t="e">
        <f>IF(Export!M53&lt;&gt;"",D55*Export!K53*(1/Export!M53),D55*Export!K53)</f>
        <v>#VALUE!</v>
      </c>
      <c r="H55" s="133" t="e">
        <f>F55*Export!J53</f>
        <v>#VALUE!</v>
      </c>
      <c r="I55" s="133" t="e">
        <f t="shared" si="14"/>
        <v>#VALUE!</v>
      </c>
      <c r="J55" s="134" t="e">
        <f t="shared" si="8"/>
        <v>#VALUE!</v>
      </c>
      <c r="K55" s="135" t="e">
        <f t="shared" si="9"/>
        <v>#VALUE!</v>
      </c>
      <c r="L55" s="117">
        <f>'Scen EffectivelyVax'!A54</f>
        <v>0</v>
      </c>
      <c r="M55" s="115" t="e">
        <f>C55*L55*HelperFunctions!G$59</f>
        <v>#VALUE!</v>
      </c>
      <c r="N55" s="116" t="e">
        <f>C55*L55*(1-HelperFunctions!G$59)</f>
        <v>#VALUE!</v>
      </c>
      <c r="O55" s="136" t="e">
        <f t="shared" si="15"/>
        <v>#DIV/0!</v>
      </c>
      <c r="P55" s="137">
        <f>SUM('Scen EffectivelyVax'!D54:BK54)</f>
        <v>0</v>
      </c>
      <c r="Q55" s="138" t="e">
        <f t="shared" si="11"/>
        <v>#DIV/0!</v>
      </c>
      <c r="R55" s="138" t="e">
        <f t="shared" si="12"/>
        <v>#DIV/0!</v>
      </c>
      <c r="S55" s="137" t="e">
        <f t="shared" si="0"/>
        <v>#DIV/0!</v>
      </c>
      <c r="T55" s="138" t="e">
        <f>IF(Export!M53&lt;&gt;"",Q55*Export!K53*(1/Export!M53),Q55*Export!K53)</f>
        <v>#DIV/0!</v>
      </c>
      <c r="U55" s="139" t="e">
        <f>S55*Export!J53</f>
        <v>#DIV/0!</v>
      </c>
      <c r="V55" s="140" t="e">
        <f>SUM('Scen NotEffectivelyVax (hypo)'!F55,'Scen NotEffectivelyVax (hypo)'!I55,'Scen NotEffectivelyVax (hypo)'!L55,'Scen NotEffectivelyVax (hypo)'!O55,'Scen NotEffectivelyVax (hypo)'!R55,'Scen NotEffectivelyVax (hypo)'!U55,'Scen NotEffectivelyVax (hypo)'!X55,'Scen NotEffectivelyVax (hypo)'!AA55,'Scen NotEffectivelyVax (hypo)'!AD55,'Scen NotEffectivelyVax (hypo)'!AG55,'Scen NotEffectivelyVax (hypo)'!AJ55,'Scen NotEffectivelyVax (hypo)'!AM55,'Scen NotEffectivelyVax (hypo)'!AP55,'Scen NotEffectivelyVax (hypo)'!AS55,'Scen NotEffectivelyVax (hypo)'!AV55,'Scen NotEffectivelyVax (hypo)'!AY55,'Scen NotEffectivelyVax (hypo)'!BB55,'Scen NotEffectivelyVax (hypo)'!BE55,'Scen NotEffectivelyVax (hypo)'!BH55,'Scen NotEffectivelyVax (hypo)'!BK55,'Scen NotEffectivelyVax (hypo)'!BN55,'Scen NotEffectivelyVax (hypo)'!BQ55,'Scen NotEffectivelyVax (hypo)'!BT55,'Scen NotEffectivelyVax (hypo)'!BW55,'Scen NotEffectivelyVax (hypo)'!BZ55,'Scen NotEffectivelyVax (hypo)'!CC55,'Scen NotEffectivelyVax (hypo)'!CF55,'Scen NotEffectivelyVax (hypo)'!CI55,'Scen NotEffectivelyVax (hypo)'!CL55,'Scen NotEffectivelyVax (hypo)'!CO55,'Scen NotEffectivelyVax (hypo)'!CR55,'Scen NotEffectivelyVax (hypo)'!CU55,'Scen NotEffectivelyVax (hypo)'!CX55,'Scen NotEffectivelyVax (hypo)'!DA55,'Scen NotEffectivelyVax (hypo)'!DD55,'Scen NotEffectivelyVax (hypo)'!DG55,'Scen NotEffectivelyVax (hypo)'!DJ55,'Scen NotEffectivelyVax (hypo)'!DM55,'Scen NotEffectivelyVax (hypo)'!DQ55,'Scen NotEffectivelyVax (hypo)'!DP55,'Scen NotEffectivelyVax (hypo)'!DS55,'Scen NotEffectivelyVax (hypo)'!DV55,'Scen NotEffectivelyVax (hypo)'!DY55,'Scen NotEffectivelyVax (hypo)'!EB55,'Scen NotEffectivelyVax (hypo)'!EE55,'Scen NotEffectivelyVax (hypo)'!EH55,'Scen NotEffectivelyVax (hypo)'!EK55,'Scen NotEffectivelyVax (hypo)'!EN55,'Scen NotEffectivelyVax (hypo)'!EQ55,'Scen NotEffectivelyVax (hypo)'!ET55,'Scen NotEffectivelyVax (hypo)'!EW55,'Scen NotEffectivelyVax (hypo)'!EZ55,'Scen NotEffectivelyVax (hypo)'!FC55,'Scen NotEffectivelyVax (hypo)'!FF55,'Scen NotEffectivelyVax (hypo)'!FI55,'Scen NotEffectivelyVax (hypo)'!FL55,'Scen NotEffectivelyVax (hypo)'!FO55,'Scen NotEffectivelyVax (hypo)'!FR55,'Scen NotEffectivelyVax (hypo)'!FU55,'Scen NotEffectivelyVax (hypo)'!FX55,'Scen NotEffectivelyVax (hypo)'!GA55)</f>
        <v>#VALUE!</v>
      </c>
      <c r="W55" s="141" t="e">
        <f>SUM('Scen NotEffectivelyVax (hypo)'!D55,'Scen NotEffectivelyVax (hypo)'!G55,'Scen NotEffectivelyVax (hypo)'!J55,'Scen NotEffectivelyVax (hypo)'!M55,'Scen NotEffectivelyVax (hypo)'!P55,'Scen NotEffectivelyVax (hypo)'!S55,'Scen NotEffectivelyVax (hypo)'!V55,'Scen NotEffectivelyVax (hypo)'!Y55,'Scen NotEffectivelyVax (hypo)'!AB55,'Scen NotEffectivelyVax (hypo)'!AE55,'Scen NotEffectivelyVax (hypo)'!AH55,'Scen NotEffectivelyVax (hypo)'!AK55,'Scen NotEffectivelyVax (hypo)'!AN55,'Scen NotEffectivelyVax (hypo)'!AQ55,'Scen NotEffectivelyVax (hypo)'!AT55,'Scen NotEffectivelyVax (hypo)'!AW55,'Scen NotEffectivelyVax (hypo)'!AZ55,'Scen NotEffectivelyVax (hypo)'!BC55,'Scen NotEffectivelyVax (hypo)'!BF55,'Scen NotEffectivelyVax (hypo)'!BI55,'Scen NotEffectivelyVax (hypo)'!BL55,'Scen NotEffectivelyVax (hypo)'!BO55,'Scen NotEffectivelyVax (hypo)'!BR55,'Scen NotEffectivelyVax (hypo)'!BU55,'Scen NotEffectivelyVax (hypo)'!BX55,'Scen NotEffectivelyVax (hypo)'!CA55,'Scen NotEffectivelyVax (hypo)'!CD55,'Scen NotEffectivelyVax (hypo)'!CG55,'Scen NotEffectivelyVax (hypo)'!CJ55,'Scen NotEffectivelyVax (hypo)'!CM55,'Scen NotEffectivelyVax (hypo)'!CP55,'Scen NotEffectivelyVax (hypo)'!CS55,'Scen NotEffectivelyVax (hypo)'!CV55,'Scen NotEffectivelyVax (hypo)'!CY55,'Scen NotEffectivelyVax (hypo)'!DB55,'Scen NotEffectivelyVax (hypo)'!DE55,'Scen NotEffectivelyVax (hypo)'!DH55,'Scen NotEffectivelyVax (hypo)'!DK55,'Scen NotEffectivelyVax (hypo)'!DN55,'Scen NotEffectivelyVax (hypo)'!DQ55,'Scen NotEffectivelyVax (hypo)'!DT55,'Scen NotEffectivelyVax (hypo)'!DW55,'Scen NotEffectivelyVax (hypo)'!DZ55,'Scen NotEffectivelyVax (hypo)'!EC55,'Scen NotEffectivelyVax (hypo)'!EF55,'Scen NotEffectivelyVax (hypo)'!EI55,'Scen NotEffectivelyVax (hypo)'!EL55,'Scen NotEffectivelyVax (hypo)'!EO55,'Scen NotEffectivelyVax (hypo)'!ER55,'Scen NotEffectivelyVax (hypo)'!EU55,'Scen NotEffectivelyVax (hypo)'!EX55,'Scen NotEffectivelyVax (hypo)'!FA55,'Scen NotEffectivelyVax (hypo)'!FD55,'Scen NotEffectivelyVax (hypo)'!FG55,'Scen NotEffectivelyVax (hypo)'!FJ55,'Scen NotEffectivelyVax (hypo)'!FM55,'Scen NotEffectivelyVax (hypo)'!FP55,'Scen NotEffectivelyVax (hypo)'!FS55,'Scen NotEffectivelyVax (hypo)'!FV55,'Scen NotEffectivelyVax (hypo)'!FY55)</f>
        <v>#VALUE!</v>
      </c>
      <c r="X55" s="141" t="e">
        <f>SUM('Scen NotEffectivelyVax (hypo)'!E55,'Scen NotEffectivelyVax (hypo)'!H55,'Scen NotEffectivelyVax (hypo)'!K55,'Scen NotEffectivelyVax (hypo)'!N55,'Scen NotEffectivelyVax (hypo)'!Q55,'Scen NotEffectivelyVax (hypo)'!T55,'Scen NotEffectivelyVax (hypo)'!Z55,'Scen NotEffectivelyVax (hypo)'!W55,'Scen NotEffectivelyVax (hypo)'!AC55,'Scen NotEffectivelyVax (hypo)'!AF55,'Scen NotEffectivelyVax (hypo)'!AI55,'Scen NotEffectivelyVax (hypo)'!AL55,'Scen NotEffectivelyVax (hypo)'!AO55,'Scen NotEffectivelyVax (hypo)'!AR55,'Scen NotEffectivelyVax (hypo)'!AU55,'Scen NotEffectivelyVax (hypo)'!AX55,'Scen NotEffectivelyVax (hypo)'!BA55,'Scen NotEffectivelyVax (hypo)'!BD55,'Scen NotEffectivelyVax (hypo)'!BG55,'Scen NotEffectivelyVax (hypo)'!BJ55,'Scen NotEffectivelyVax (hypo)'!BM55,'Scen NotEffectivelyVax (hypo)'!BP55,'Scen NotEffectivelyVax (hypo)'!BS55,'Scen NotEffectivelyVax (hypo)'!BV55,'Scen NotEffectivelyVax (hypo)'!BY55,'Scen NotEffectivelyVax (hypo)'!CB55,'Scen NotEffectivelyVax (hypo)'!CE55,'Scen NotEffectivelyVax (hypo)'!CH55,'Scen NotEffectivelyVax (hypo)'!CK55,'Scen NotEffectivelyVax (hypo)'!CN55,'Scen NotEffectivelyVax (hypo)'!CQ55,'Scen NotEffectivelyVax (hypo)'!CT55,'Scen NotEffectivelyVax (hypo)'!CW55,'Scen NotEffectivelyVax (hypo)'!CZ55,'Scen NotEffectivelyVax (hypo)'!DC55,'Scen NotEffectivelyVax (hypo)'!DF55,'Scen NotEffectivelyVax (hypo)'!DI55,'Scen NotEffectivelyVax (hypo)'!DL55,'Scen NotEffectivelyVax (hypo)'!DO55,'Scen NotEffectivelyVax (hypo)'!DR55,'Scen NotEffectivelyVax (hypo)'!DU55,'Scen NotEffectivelyVax (hypo)'!DX55,'Scen NotEffectivelyVax (hypo)'!EA55,'Scen NotEffectivelyVax (hypo)'!ED55,'Scen NotEffectivelyVax (hypo)'!EG55,'Scen NotEffectivelyVax (hypo)'!EJ55,'Scen NotEffectivelyVax (hypo)'!EM55,'Scen NotEffectivelyVax (hypo)'!EP55,'Scen NotEffectivelyVax (hypo)'!ES55,'Scen NotEffectivelyVax (hypo)'!EV55,'Scen NotEffectivelyVax (hypo)'!EY55,'Scen NotEffectivelyVax (hypo)'!FB55,'Scen NotEffectivelyVax (hypo)'!FE55,'Scen NotEffectivelyVax (hypo)'!FH55,'Scen NotEffectivelyVax (hypo)'!FK55,'Scen NotEffectivelyVax (hypo)'!FN55,'Scen NotEffectivelyVax (hypo)'!FQ55,'Scen NotEffectivelyVax (hypo)'!FT55,'Scen NotEffectivelyVax (hypo)'!FW55,'Scen NotEffectivelyVax (hypo)'!FZ55)</f>
        <v>#VALUE!</v>
      </c>
      <c r="Y55" s="142" t="e">
        <f t="shared" si="1"/>
        <v>#VALUE!</v>
      </c>
      <c r="Z55" s="142" t="e">
        <f>IF(Export!M53&lt;&gt;"",W55*Export!K53*(1/Export!M53),W55*Export!K53)</f>
        <v>#VALUE!</v>
      </c>
      <c r="AA55" s="139" t="e">
        <f>Y55*Export!J53</f>
        <v>#VALUE!</v>
      </c>
      <c r="AC55" s="143" t="e">
        <f t="shared" si="2"/>
        <v>#VALUE!</v>
      </c>
      <c r="AD55" s="144" t="e">
        <f t="shared" si="19"/>
        <v>#VALUE!</v>
      </c>
      <c r="AE55" s="144" t="e">
        <f t="shared" si="3"/>
        <v>#VALUE!</v>
      </c>
      <c r="AF55" s="144" t="e">
        <f t="shared" si="4"/>
        <v>#VALUE!</v>
      </c>
      <c r="AG55" s="144" t="e">
        <f t="shared" si="5"/>
        <v>#VALUE!</v>
      </c>
      <c r="AH55" s="145"/>
      <c r="AI55" s="145"/>
      <c r="AJ55" s="145"/>
      <c r="AK55" s="145"/>
      <c r="AL55" s="146"/>
      <c r="AM55" s="145"/>
      <c r="AN55" s="145"/>
      <c r="AO55" s="145"/>
      <c r="AP55" s="145"/>
      <c r="AQ55" s="146"/>
      <c r="AR55" s="150"/>
      <c r="AS55" s="150"/>
      <c r="AT55" s="150"/>
      <c r="AU55" s="150"/>
      <c r="AV55" s="151"/>
    </row>
    <row r="56" spans="1:48" x14ac:dyDescent="0.35">
      <c r="A56" s="130">
        <f>EffectivelyVax!B55</f>
        <v>4</v>
      </c>
      <c r="B56" s="131" t="str">
        <f>EffectivelyVax!C55</f>
        <v/>
      </c>
      <c r="C56" s="132" t="str">
        <f>Export!N54</f>
        <v/>
      </c>
      <c r="D56" s="133" t="str">
        <f>IF(Inputs!$F$10="1. Actual program", 'Current vaccine model'!W56, Export!C54)</f>
        <v/>
      </c>
      <c r="E56" s="133" t="e">
        <f>D56*Export!L54</f>
        <v>#VALUE!</v>
      </c>
      <c r="F56" s="133" t="e">
        <f t="shared" si="18"/>
        <v>#VALUE!</v>
      </c>
      <c r="G56" s="133" t="e">
        <f>IF(Export!M54&lt;&gt;"",D56*Export!K54*(1/Export!M54),D56*Export!K54)</f>
        <v>#VALUE!</v>
      </c>
      <c r="H56" s="133" t="e">
        <f>F56*Export!J54</f>
        <v>#VALUE!</v>
      </c>
      <c r="I56" s="133" t="e">
        <f t="shared" si="14"/>
        <v>#VALUE!</v>
      </c>
      <c r="J56" s="134" t="e">
        <f t="shared" si="8"/>
        <v>#VALUE!</v>
      </c>
      <c r="K56" s="135" t="e">
        <f t="shared" si="9"/>
        <v>#VALUE!</v>
      </c>
      <c r="L56" s="117">
        <f>'Scen EffectivelyVax'!A55</f>
        <v>0</v>
      </c>
      <c r="M56" s="115" t="e">
        <f>C56*L56*HelperFunctions!G$59</f>
        <v>#VALUE!</v>
      </c>
      <c r="N56" s="116" t="e">
        <f>C56*L56*(1-HelperFunctions!G$59)</f>
        <v>#VALUE!</v>
      </c>
      <c r="O56" s="136" t="e">
        <f t="shared" si="15"/>
        <v>#DIV/0!</v>
      </c>
      <c r="P56" s="137">
        <f>SUM('Scen EffectivelyVax'!D55:BK55)</f>
        <v>0</v>
      </c>
      <c r="Q56" s="138" t="e">
        <f t="shared" si="11"/>
        <v>#DIV/0!</v>
      </c>
      <c r="R56" s="138" t="e">
        <f t="shared" si="12"/>
        <v>#DIV/0!</v>
      </c>
      <c r="S56" s="137" t="e">
        <f t="shared" si="0"/>
        <v>#DIV/0!</v>
      </c>
      <c r="T56" s="138" t="e">
        <f>IF(Export!M54&lt;&gt;"",Q56*Export!K54*(1/Export!M54),Q56*Export!K54)</f>
        <v>#DIV/0!</v>
      </c>
      <c r="U56" s="139" t="e">
        <f>S56*Export!J54</f>
        <v>#DIV/0!</v>
      </c>
      <c r="V56" s="140" t="e">
        <f>SUM('Scen NotEffectivelyVax (hypo)'!F56,'Scen NotEffectivelyVax (hypo)'!I56,'Scen NotEffectivelyVax (hypo)'!L56,'Scen NotEffectivelyVax (hypo)'!O56,'Scen NotEffectivelyVax (hypo)'!R56,'Scen NotEffectivelyVax (hypo)'!U56,'Scen NotEffectivelyVax (hypo)'!X56,'Scen NotEffectivelyVax (hypo)'!AA56,'Scen NotEffectivelyVax (hypo)'!AD56,'Scen NotEffectivelyVax (hypo)'!AG56,'Scen NotEffectivelyVax (hypo)'!AJ56,'Scen NotEffectivelyVax (hypo)'!AM56,'Scen NotEffectivelyVax (hypo)'!AP56,'Scen NotEffectivelyVax (hypo)'!AS56,'Scen NotEffectivelyVax (hypo)'!AV56,'Scen NotEffectivelyVax (hypo)'!AY56,'Scen NotEffectivelyVax (hypo)'!BB56,'Scen NotEffectivelyVax (hypo)'!BE56,'Scen NotEffectivelyVax (hypo)'!BH56,'Scen NotEffectivelyVax (hypo)'!BK56,'Scen NotEffectivelyVax (hypo)'!BN56,'Scen NotEffectivelyVax (hypo)'!BQ56,'Scen NotEffectivelyVax (hypo)'!BT56,'Scen NotEffectivelyVax (hypo)'!BW56,'Scen NotEffectivelyVax (hypo)'!BZ56,'Scen NotEffectivelyVax (hypo)'!CC56,'Scen NotEffectivelyVax (hypo)'!CF56,'Scen NotEffectivelyVax (hypo)'!CI56,'Scen NotEffectivelyVax (hypo)'!CL56,'Scen NotEffectivelyVax (hypo)'!CO56,'Scen NotEffectivelyVax (hypo)'!CR56,'Scen NotEffectivelyVax (hypo)'!CU56,'Scen NotEffectivelyVax (hypo)'!CX56,'Scen NotEffectivelyVax (hypo)'!DA56,'Scen NotEffectivelyVax (hypo)'!DD56,'Scen NotEffectivelyVax (hypo)'!DG56,'Scen NotEffectivelyVax (hypo)'!DJ56,'Scen NotEffectivelyVax (hypo)'!DM56,'Scen NotEffectivelyVax (hypo)'!DQ56,'Scen NotEffectivelyVax (hypo)'!DP56,'Scen NotEffectivelyVax (hypo)'!DS56,'Scen NotEffectivelyVax (hypo)'!DV56,'Scen NotEffectivelyVax (hypo)'!DY56,'Scen NotEffectivelyVax (hypo)'!EB56,'Scen NotEffectivelyVax (hypo)'!EE56,'Scen NotEffectivelyVax (hypo)'!EH56,'Scen NotEffectivelyVax (hypo)'!EK56,'Scen NotEffectivelyVax (hypo)'!EN56,'Scen NotEffectivelyVax (hypo)'!EQ56,'Scen NotEffectivelyVax (hypo)'!ET56,'Scen NotEffectivelyVax (hypo)'!EW56,'Scen NotEffectivelyVax (hypo)'!EZ56,'Scen NotEffectivelyVax (hypo)'!FC56,'Scen NotEffectivelyVax (hypo)'!FF56,'Scen NotEffectivelyVax (hypo)'!FI56,'Scen NotEffectivelyVax (hypo)'!FL56,'Scen NotEffectivelyVax (hypo)'!FO56,'Scen NotEffectivelyVax (hypo)'!FR56,'Scen NotEffectivelyVax (hypo)'!FU56,'Scen NotEffectivelyVax (hypo)'!FX56,'Scen NotEffectivelyVax (hypo)'!GA56)</f>
        <v>#VALUE!</v>
      </c>
      <c r="W56" s="141" t="e">
        <f>SUM('Scen NotEffectivelyVax (hypo)'!D56,'Scen NotEffectivelyVax (hypo)'!G56,'Scen NotEffectivelyVax (hypo)'!J56,'Scen NotEffectivelyVax (hypo)'!M56,'Scen NotEffectivelyVax (hypo)'!P56,'Scen NotEffectivelyVax (hypo)'!S56,'Scen NotEffectivelyVax (hypo)'!V56,'Scen NotEffectivelyVax (hypo)'!Y56,'Scen NotEffectivelyVax (hypo)'!AB56,'Scen NotEffectivelyVax (hypo)'!AE56,'Scen NotEffectivelyVax (hypo)'!AH56,'Scen NotEffectivelyVax (hypo)'!AK56,'Scen NotEffectivelyVax (hypo)'!AN56,'Scen NotEffectivelyVax (hypo)'!AQ56,'Scen NotEffectivelyVax (hypo)'!AT56,'Scen NotEffectivelyVax (hypo)'!AW56,'Scen NotEffectivelyVax (hypo)'!AZ56,'Scen NotEffectivelyVax (hypo)'!BC56,'Scen NotEffectivelyVax (hypo)'!BF56,'Scen NotEffectivelyVax (hypo)'!BI56,'Scen NotEffectivelyVax (hypo)'!BL56,'Scen NotEffectivelyVax (hypo)'!BO56,'Scen NotEffectivelyVax (hypo)'!BR56,'Scen NotEffectivelyVax (hypo)'!BU56,'Scen NotEffectivelyVax (hypo)'!BX56,'Scen NotEffectivelyVax (hypo)'!CA56,'Scen NotEffectivelyVax (hypo)'!CD56,'Scen NotEffectivelyVax (hypo)'!CG56,'Scen NotEffectivelyVax (hypo)'!CJ56,'Scen NotEffectivelyVax (hypo)'!CM56,'Scen NotEffectivelyVax (hypo)'!CP56,'Scen NotEffectivelyVax (hypo)'!CS56,'Scen NotEffectivelyVax (hypo)'!CV56,'Scen NotEffectivelyVax (hypo)'!CY56,'Scen NotEffectivelyVax (hypo)'!DB56,'Scen NotEffectivelyVax (hypo)'!DE56,'Scen NotEffectivelyVax (hypo)'!DH56,'Scen NotEffectivelyVax (hypo)'!DK56,'Scen NotEffectivelyVax (hypo)'!DN56,'Scen NotEffectivelyVax (hypo)'!DQ56,'Scen NotEffectivelyVax (hypo)'!DT56,'Scen NotEffectivelyVax (hypo)'!DW56,'Scen NotEffectivelyVax (hypo)'!DZ56,'Scen NotEffectivelyVax (hypo)'!EC56,'Scen NotEffectivelyVax (hypo)'!EF56,'Scen NotEffectivelyVax (hypo)'!EI56,'Scen NotEffectivelyVax (hypo)'!EL56,'Scen NotEffectivelyVax (hypo)'!EO56,'Scen NotEffectivelyVax (hypo)'!ER56,'Scen NotEffectivelyVax (hypo)'!EU56,'Scen NotEffectivelyVax (hypo)'!EX56,'Scen NotEffectivelyVax (hypo)'!FA56,'Scen NotEffectivelyVax (hypo)'!FD56,'Scen NotEffectivelyVax (hypo)'!FG56,'Scen NotEffectivelyVax (hypo)'!FJ56,'Scen NotEffectivelyVax (hypo)'!FM56,'Scen NotEffectivelyVax (hypo)'!FP56,'Scen NotEffectivelyVax (hypo)'!FS56,'Scen NotEffectivelyVax (hypo)'!FV56,'Scen NotEffectivelyVax (hypo)'!FY56)</f>
        <v>#VALUE!</v>
      </c>
      <c r="X56" s="141" t="e">
        <f>SUM('Scen NotEffectivelyVax (hypo)'!E56,'Scen NotEffectivelyVax (hypo)'!H56,'Scen NotEffectivelyVax (hypo)'!K56,'Scen NotEffectivelyVax (hypo)'!N56,'Scen NotEffectivelyVax (hypo)'!Q56,'Scen NotEffectivelyVax (hypo)'!T56,'Scen NotEffectivelyVax (hypo)'!Z56,'Scen NotEffectivelyVax (hypo)'!W56,'Scen NotEffectivelyVax (hypo)'!AC56,'Scen NotEffectivelyVax (hypo)'!AF56,'Scen NotEffectivelyVax (hypo)'!AI56,'Scen NotEffectivelyVax (hypo)'!AL56,'Scen NotEffectivelyVax (hypo)'!AO56,'Scen NotEffectivelyVax (hypo)'!AR56,'Scen NotEffectivelyVax (hypo)'!AU56,'Scen NotEffectivelyVax (hypo)'!AX56,'Scen NotEffectivelyVax (hypo)'!BA56,'Scen NotEffectivelyVax (hypo)'!BD56,'Scen NotEffectivelyVax (hypo)'!BG56,'Scen NotEffectivelyVax (hypo)'!BJ56,'Scen NotEffectivelyVax (hypo)'!BM56,'Scen NotEffectivelyVax (hypo)'!BP56,'Scen NotEffectivelyVax (hypo)'!BS56,'Scen NotEffectivelyVax (hypo)'!BV56,'Scen NotEffectivelyVax (hypo)'!BY56,'Scen NotEffectivelyVax (hypo)'!CB56,'Scen NotEffectivelyVax (hypo)'!CE56,'Scen NotEffectivelyVax (hypo)'!CH56,'Scen NotEffectivelyVax (hypo)'!CK56,'Scen NotEffectivelyVax (hypo)'!CN56,'Scen NotEffectivelyVax (hypo)'!CQ56,'Scen NotEffectivelyVax (hypo)'!CT56,'Scen NotEffectivelyVax (hypo)'!CW56,'Scen NotEffectivelyVax (hypo)'!CZ56,'Scen NotEffectivelyVax (hypo)'!DC56,'Scen NotEffectivelyVax (hypo)'!DF56,'Scen NotEffectivelyVax (hypo)'!DI56,'Scen NotEffectivelyVax (hypo)'!DL56,'Scen NotEffectivelyVax (hypo)'!DO56,'Scen NotEffectivelyVax (hypo)'!DR56,'Scen NotEffectivelyVax (hypo)'!DU56,'Scen NotEffectivelyVax (hypo)'!DX56,'Scen NotEffectivelyVax (hypo)'!EA56,'Scen NotEffectivelyVax (hypo)'!ED56,'Scen NotEffectivelyVax (hypo)'!EG56,'Scen NotEffectivelyVax (hypo)'!EJ56,'Scen NotEffectivelyVax (hypo)'!EM56,'Scen NotEffectivelyVax (hypo)'!EP56,'Scen NotEffectivelyVax (hypo)'!ES56,'Scen NotEffectivelyVax (hypo)'!EV56,'Scen NotEffectivelyVax (hypo)'!EY56,'Scen NotEffectivelyVax (hypo)'!FB56,'Scen NotEffectivelyVax (hypo)'!FE56,'Scen NotEffectivelyVax (hypo)'!FH56,'Scen NotEffectivelyVax (hypo)'!FK56,'Scen NotEffectivelyVax (hypo)'!FN56,'Scen NotEffectivelyVax (hypo)'!FQ56,'Scen NotEffectivelyVax (hypo)'!FT56,'Scen NotEffectivelyVax (hypo)'!FW56,'Scen NotEffectivelyVax (hypo)'!FZ56)</f>
        <v>#VALUE!</v>
      </c>
      <c r="Y56" s="142" t="e">
        <f t="shared" si="1"/>
        <v>#VALUE!</v>
      </c>
      <c r="Z56" s="142" t="e">
        <f>IF(Export!M54&lt;&gt;"",W56*Export!K54*(1/Export!M54),W56*Export!K54)</f>
        <v>#VALUE!</v>
      </c>
      <c r="AA56" s="139" t="e">
        <f>Y56*Export!J54</f>
        <v>#VALUE!</v>
      </c>
      <c r="AC56" s="143" t="e">
        <f t="shared" si="2"/>
        <v>#VALUE!</v>
      </c>
      <c r="AD56" s="144" t="e">
        <f t="shared" si="19"/>
        <v>#VALUE!</v>
      </c>
      <c r="AE56" s="144" t="e">
        <f t="shared" si="3"/>
        <v>#VALUE!</v>
      </c>
      <c r="AF56" s="144" t="e">
        <f t="shared" si="4"/>
        <v>#VALUE!</v>
      </c>
      <c r="AG56" s="144" t="e">
        <f t="shared" si="5"/>
        <v>#VALUE!</v>
      </c>
      <c r="AH56" s="145"/>
      <c r="AI56" s="145"/>
      <c r="AJ56" s="145"/>
      <c r="AK56" s="145"/>
      <c r="AL56" s="146"/>
      <c r="AM56" s="145"/>
      <c r="AN56" s="145"/>
      <c r="AO56" s="145"/>
      <c r="AP56" s="145"/>
      <c r="AQ56" s="146"/>
      <c r="AR56" s="150"/>
      <c r="AS56" s="150"/>
      <c r="AT56" s="150"/>
      <c r="AU56" s="150"/>
      <c r="AV56" s="151"/>
    </row>
    <row r="57" spans="1:48" x14ac:dyDescent="0.35">
      <c r="A57" s="130">
        <f>EffectivelyVax!B56</f>
        <v>4</v>
      </c>
      <c r="B57" s="131" t="str">
        <f>EffectivelyVax!C56</f>
        <v/>
      </c>
      <c r="C57" s="132" t="str">
        <f>Export!N55</f>
        <v/>
      </c>
      <c r="D57" s="133" t="str">
        <f>IF(Inputs!$F$10="1. Actual program", 'Current vaccine model'!W57, Export!C55)</f>
        <v/>
      </c>
      <c r="E57" s="133" t="e">
        <f>D57*Export!L55</f>
        <v>#VALUE!</v>
      </c>
      <c r="F57" s="133" t="e">
        <f t="shared" si="18"/>
        <v>#VALUE!</v>
      </c>
      <c r="G57" s="133" t="e">
        <f>IF(Export!M55&lt;&gt;"",D57*Export!K55*(1/Export!M55),D57*Export!K55)</f>
        <v>#VALUE!</v>
      </c>
      <c r="H57" s="133" t="e">
        <f>F57*Export!J55</f>
        <v>#VALUE!</v>
      </c>
      <c r="I57" s="133" t="e">
        <f t="shared" si="14"/>
        <v>#VALUE!</v>
      </c>
      <c r="J57" s="134" t="e">
        <f t="shared" si="8"/>
        <v>#VALUE!</v>
      </c>
      <c r="K57" s="135" t="e">
        <f t="shared" si="9"/>
        <v>#VALUE!</v>
      </c>
      <c r="L57" s="117">
        <f>'Scen EffectivelyVax'!A56</f>
        <v>0</v>
      </c>
      <c r="M57" s="115" t="e">
        <f>C57*L57*HelperFunctions!G$59</f>
        <v>#VALUE!</v>
      </c>
      <c r="N57" s="116" t="e">
        <f>C57*L57*(1-HelperFunctions!G$59)</f>
        <v>#VALUE!</v>
      </c>
      <c r="O57" s="136" t="e">
        <f t="shared" si="15"/>
        <v>#DIV/0!</v>
      </c>
      <c r="P57" s="137">
        <f>SUM('Scen EffectivelyVax'!D56:BK56)</f>
        <v>0</v>
      </c>
      <c r="Q57" s="138" t="e">
        <f t="shared" si="11"/>
        <v>#DIV/0!</v>
      </c>
      <c r="R57" s="138" t="e">
        <f t="shared" si="12"/>
        <v>#DIV/0!</v>
      </c>
      <c r="S57" s="137" t="e">
        <f t="shared" si="0"/>
        <v>#DIV/0!</v>
      </c>
      <c r="T57" s="138" t="e">
        <f>IF(Export!M55&lt;&gt;"",Q57*Export!K55*(1/Export!M55),Q57*Export!K55)</f>
        <v>#DIV/0!</v>
      </c>
      <c r="U57" s="139" t="e">
        <f>S57*Export!J55</f>
        <v>#DIV/0!</v>
      </c>
      <c r="V57" s="140" t="e">
        <f>SUM('Scen NotEffectivelyVax (hypo)'!F57,'Scen NotEffectivelyVax (hypo)'!I57,'Scen NotEffectivelyVax (hypo)'!L57,'Scen NotEffectivelyVax (hypo)'!O57,'Scen NotEffectivelyVax (hypo)'!R57,'Scen NotEffectivelyVax (hypo)'!U57,'Scen NotEffectivelyVax (hypo)'!X57,'Scen NotEffectivelyVax (hypo)'!AA57,'Scen NotEffectivelyVax (hypo)'!AD57,'Scen NotEffectivelyVax (hypo)'!AG57,'Scen NotEffectivelyVax (hypo)'!AJ57,'Scen NotEffectivelyVax (hypo)'!AM57,'Scen NotEffectivelyVax (hypo)'!AP57,'Scen NotEffectivelyVax (hypo)'!AS57,'Scen NotEffectivelyVax (hypo)'!AV57,'Scen NotEffectivelyVax (hypo)'!AY57,'Scen NotEffectivelyVax (hypo)'!BB57,'Scen NotEffectivelyVax (hypo)'!BE57,'Scen NotEffectivelyVax (hypo)'!BH57,'Scen NotEffectivelyVax (hypo)'!BK57,'Scen NotEffectivelyVax (hypo)'!BN57,'Scen NotEffectivelyVax (hypo)'!BQ57,'Scen NotEffectivelyVax (hypo)'!BT57,'Scen NotEffectivelyVax (hypo)'!BW57,'Scen NotEffectivelyVax (hypo)'!BZ57,'Scen NotEffectivelyVax (hypo)'!CC57,'Scen NotEffectivelyVax (hypo)'!CF57,'Scen NotEffectivelyVax (hypo)'!CI57,'Scen NotEffectivelyVax (hypo)'!CL57,'Scen NotEffectivelyVax (hypo)'!CO57,'Scen NotEffectivelyVax (hypo)'!CR57,'Scen NotEffectivelyVax (hypo)'!CU57,'Scen NotEffectivelyVax (hypo)'!CX57,'Scen NotEffectivelyVax (hypo)'!DA57,'Scen NotEffectivelyVax (hypo)'!DD57,'Scen NotEffectivelyVax (hypo)'!DG57,'Scen NotEffectivelyVax (hypo)'!DJ57,'Scen NotEffectivelyVax (hypo)'!DM57,'Scen NotEffectivelyVax (hypo)'!DQ57,'Scen NotEffectivelyVax (hypo)'!DP57,'Scen NotEffectivelyVax (hypo)'!DS57,'Scen NotEffectivelyVax (hypo)'!DV57,'Scen NotEffectivelyVax (hypo)'!DY57,'Scen NotEffectivelyVax (hypo)'!EB57,'Scen NotEffectivelyVax (hypo)'!EE57,'Scen NotEffectivelyVax (hypo)'!EH57,'Scen NotEffectivelyVax (hypo)'!EK57,'Scen NotEffectivelyVax (hypo)'!EN57,'Scen NotEffectivelyVax (hypo)'!EQ57,'Scen NotEffectivelyVax (hypo)'!ET57,'Scen NotEffectivelyVax (hypo)'!EW57,'Scen NotEffectivelyVax (hypo)'!EZ57,'Scen NotEffectivelyVax (hypo)'!FC57,'Scen NotEffectivelyVax (hypo)'!FF57,'Scen NotEffectivelyVax (hypo)'!FI57,'Scen NotEffectivelyVax (hypo)'!FL57,'Scen NotEffectivelyVax (hypo)'!FO57,'Scen NotEffectivelyVax (hypo)'!FR57,'Scen NotEffectivelyVax (hypo)'!FU57,'Scen NotEffectivelyVax (hypo)'!FX57,'Scen NotEffectivelyVax (hypo)'!GA57)</f>
        <v>#VALUE!</v>
      </c>
      <c r="W57" s="141" t="e">
        <f>SUM('Scen NotEffectivelyVax (hypo)'!D57,'Scen NotEffectivelyVax (hypo)'!G57,'Scen NotEffectivelyVax (hypo)'!J57,'Scen NotEffectivelyVax (hypo)'!M57,'Scen NotEffectivelyVax (hypo)'!P57,'Scen NotEffectivelyVax (hypo)'!S57,'Scen NotEffectivelyVax (hypo)'!V57,'Scen NotEffectivelyVax (hypo)'!Y57,'Scen NotEffectivelyVax (hypo)'!AB57,'Scen NotEffectivelyVax (hypo)'!AE57,'Scen NotEffectivelyVax (hypo)'!AH57,'Scen NotEffectivelyVax (hypo)'!AK57,'Scen NotEffectivelyVax (hypo)'!AN57,'Scen NotEffectivelyVax (hypo)'!AQ57,'Scen NotEffectivelyVax (hypo)'!AT57,'Scen NotEffectivelyVax (hypo)'!AW57,'Scen NotEffectivelyVax (hypo)'!AZ57,'Scen NotEffectivelyVax (hypo)'!BC57,'Scen NotEffectivelyVax (hypo)'!BF57,'Scen NotEffectivelyVax (hypo)'!BI57,'Scen NotEffectivelyVax (hypo)'!BL57,'Scen NotEffectivelyVax (hypo)'!BO57,'Scen NotEffectivelyVax (hypo)'!BR57,'Scen NotEffectivelyVax (hypo)'!BU57,'Scen NotEffectivelyVax (hypo)'!BX57,'Scen NotEffectivelyVax (hypo)'!CA57,'Scen NotEffectivelyVax (hypo)'!CD57,'Scen NotEffectivelyVax (hypo)'!CG57,'Scen NotEffectivelyVax (hypo)'!CJ57,'Scen NotEffectivelyVax (hypo)'!CM57,'Scen NotEffectivelyVax (hypo)'!CP57,'Scen NotEffectivelyVax (hypo)'!CS57,'Scen NotEffectivelyVax (hypo)'!CV57,'Scen NotEffectivelyVax (hypo)'!CY57,'Scen NotEffectivelyVax (hypo)'!DB57,'Scen NotEffectivelyVax (hypo)'!DE57,'Scen NotEffectivelyVax (hypo)'!DH57,'Scen NotEffectivelyVax (hypo)'!DK57,'Scen NotEffectivelyVax (hypo)'!DN57,'Scen NotEffectivelyVax (hypo)'!DQ57,'Scen NotEffectivelyVax (hypo)'!DT57,'Scen NotEffectivelyVax (hypo)'!DW57,'Scen NotEffectivelyVax (hypo)'!DZ57,'Scen NotEffectivelyVax (hypo)'!EC57,'Scen NotEffectivelyVax (hypo)'!EF57,'Scen NotEffectivelyVax (hypo)'!EI57,'Scen NotEffectivelyVax (hypo)'!EL57,'Scen NotEffectivelyVax (hypo)'!EO57,'Scen NotEffectivelyVax (hypo)'!ER57,'Scen NotEffectivelyVax (hypo)'!EU57,'Scen NotEffectivelyVax (hypo)'!EX57,'Scen NotEffectivelyVax (hypo)'!FA57,'Scen NotEffectivelyVax (hypo)'!FD57,'Scen NotEffectivelyVax (hypo)'!FG57,'Scen NotEffectivelyVax (hypo)'!FJ57,'Scen NotEffectivelyVax (hypo)'!FM57,'Scen NotEffectivelyVax (hypo)'!FP57,'Scen NotEffectivelyVax (hypo)'!FS57,'Scen NotEffectivelyVax (hypo)'!FV57,'Scen NotEffectivelyVax (hypo)'!FY57)</f>
        <v>#VALUE!</v>
      </c>
      <c r="X57" s="141" t="e">
        <f>SUM('Scen NotEffectivelyVax (hypo)'!E57,'Scen NotEffectivelyVax (hypo)'!H57,'Scen NotEffectivelyVax (hypo)'!K57,'Scen NotEffectivelyVax (hypo)'!N57,'Scen NotEffectivelyVax (hypo)'!Q57,'Scen NotEffectivelyVax (hypo)'!T57,'Scen NotEffectivelyVax (hypo)'!Z57,'Scen NotEffectivelyVax (hypo)'!W57,'Scen NotEffectivelyVax (hypo)'!AC57,'Scen NotEffectivelyVax (hypo)'!AF57,'Scen NotEffectivelyVax (hypo)'!AI57,'Scen NotEffectivelyVax (hypo)'!AL57,'Scen NotEffectivelyVax (hypo)'!AO57,'Scen NotEffectivelyVax (hypo)'!AR57,'Scen NotEffectivelyVax (hypo)'!AU57,'Scen NotEffectivelyVax (hypo)'!AX57,'Scen NotEffectivelyVax (hypo)'!BA57,'Scen NotEffectivelyVax (hypo)'!BD57,'Scen NotEffectivelyVax (hypo)'!BG57,'Scen NotEffectivelyVax (hypo)'!BJ57,'Scen NotEffectivelyVax (hypo)'!BM57,'Scen NotEffectivelyVax (hypo)'!BP57,'Scen NotEffectivelyVax (hypo)'!BS57,'Scen NotEffectivelyVax (hypo)'!BV57,'Scen NotEffectivelyVax (hypo)'!BY57,'Scen NotEffectivelyVax (hypo)'!CB57,'Scen NotEffectivelyVax (hypo)'!CE57,'Scen NotEffectivelyVax (hypo)'!CH57,'Scen NotEffectivelyVax (hypo)'!CK57,'Scen NotEffectivelyVax (hypo)'!CN57,'Scen NotEffectivelyVax (hypo)'!CQ57,'Scen NotEffectivelyVax (hypo)'!CT57,'Scen NotEffectivelyVax (hypo)'!CW57,'Scen NotEffectivelyVax (hypo)'!CZ57,'Scen NotEffectivelyVax (hypo)'!DC57,'Scen NotEffectivelyVax (hypo)'!DF57,'Scen NotEffectivelyVax (hypo)'!DI57,'Scen NotEffectivelyVax (hypo)'!DL57,'Scen NotEffectivelyVax (hypo)'!DO57,'Scen NotEffectivelyVax (hypo)'!DR57,'Scen NotEffectivelyVax (hypo)'!DU57,'Scen NotEffectivelyVax (hypo)'!DX57,'Scen NotEffectivelyVax (hypo)'!EA57,'Scen NotEffectivelyVax (hypo)'!ED57,'Scen NotEffectivelyVax (hypo)'!EG57,'Scen NotEffectivelyVax (hypo)'!EJ57,'Scen NotEffectivelyVax (hypo)'!EM57,'Scen NotEffectivelyVax (hypo)'!EP57,'Scen NotEffectivelyVax (hypo)'!ES57,'Scen NotEffectivelyVax (hypo)'!EV57,'Scen NotEffectivelyVax (hypo)'!EY57,'Scen NotEffectivelyVax (hypo)'!FB57,'Scen NotEffectivelyVax (hypo)'!FE57,'Scen NotEffectivelyVax (hypo)'!FH57,'Scen NotEffectivelyVax (hypo)'!FK57,'Scen NotEffectivelyVax (hypo)'!FN57,'Scen NotEffectivelyVax (hypo)'!FQ57,'Scen NotEffectivelyVax (hypo)'!FT57,'Scen NotEffectivelyVax (hypo)'!FW57,'Scen NotEffectivelyVax (hypo)'!FZ57)</f>
        <v>#VALUE!</v>
      </c>
      <c r="Y57" s="142" t="e">
        <f t="shared" si="1"/>
        <v>#VALUE!</v>
      </c>
      <c r="Z57" s="142" t="e">
        <f>IF(Export!M55&lt;&gt;"",W57*Export!K55*(1/Export!M55),W57*Export!K55)</f>
        <v>#VALUE!</v>
      </c>
      <c r="AA57" s="139" t="e">
        <f>Y57*Export!J55</f>
        <v>#VALUE!</v>
      </c>
      <c r="AC57" s="143" t="e">
        <f t="shared" si="2"/>
        <v>#VALUE!</v>
      </c>
      <c r="AD57" s="144" t="e">
        <f t="shared" si="19"/>
        <v>#VALUE!</v>
      </c>
      <c r="AE57" s="144" t="e">
        <f t="shared" si="3"/>
        <v>#VALUE!</v>
      </c>
      <c r="AF57" s="144" t="e">
        <f t="shared" si="4"/>
        <v>#VALUE!</v>
      </c>
      <c r="AG57" s="144" t="e">
        <f t="shared" si="5"/>
        <v>#VALUE!</v>
      </c>
      <c r="AH57" s="145"/>
      <c r="AI57" s="145"/>
      <c r="AJ57" s="145"/>
      <c r="AK57" s="145"/>
      <c r="AL57" s="146"/>
      <c r="AM57" s="145"/>
      <c r="AN57" s="145"/>
      <c r="AO57" s="145"/>
      <c r="AP57" s="145"/>
      <c r="AQ57" s="146"/>
      <c r="AR57" s="150"/>
      <c r="AS57" s="150"/>
      <c r="AT57" s="150"/>
      <c r="AU57" s="150"/>
      <c r="AV57" s="151"/>
    </row>
    <row r="58" spans="1:48" x14ac:dyDescent="0.35">
      <c r="A58" s="130">
        <f>EffectivelyVax!B57</f>
        <v>4</v>
      </c>
      <c r="B58" s="131" t="str">
        <f>EffectivelyVax!C57</f>
        <v/>
      </c>
      <c r="C58" s="132" t="str">
        <f>Export!N56</f>
        <v/>
      </c>
      <c r="D58" s="133" t="str">
        <f>IF(Inputs!$F$10="1. Actual program", 'Current vaccine model'!W58, Export!C56)</f>
        <v/>
      </c>
      <c r="E58" s="133" t="e">
        <f>D58*Export!L56</f>
        <v>#VALUE!</v>
      </c>
      <c r="F58" s="133" t="e">
        <f t="shared" si="18"/>
        <v>#VALUE!</v>
      </c>
      <c r="G58" s="133" t="e">
        <f>IF(Export!M56&lt;&gt;"",D58*Export!K56*(1/Export!M56),D58*Export!K56)</f>
        <v>#VALUE!</v>
      </c>
      <c r="H58" s="133" t="e">
        <f>F58*Export!J56</f>
        <v>#VALUE!</v>
      </c>
      <c r="I58" s="133" t="e">
        <f t="shared" si="14"/>
        <v>#VALUE!</v>
      </c>
      <c r="J58" s="134" t="e">
        <f t="shared" si="8"/>
        <v>#VALUE!</v>
      </c>
      <c r="K58" s="135" t="e">
        <f t="shared" si="9"/>
        <v>#VALUE!</v>
      </c>
      <c r="L58" s="117">
        <f>'Scen EffectivelyVax'!A57</f>
        <v>0</v>
      </c>
      <c r="M58" s="115" t="e">
        <f>C58*L58*HelperFunctions!G$59</f>
        <v>#VALUE!</v>
      </c>
      <c r="N58" s="116" t="e">
        <f>C58*L58*(1-HelperFunctions!G$59)</f>
        <v>#VALUE!</v>
      </c>
      <c r="O58" s="136" t="e">
        <f t="shared" si="15"/>
        <v>#DIV/0!</v>
      </c>
      <c r="P58" s="137">
        <f>SUM('Scen EffectivelyVax'!D57:BK57)</f>
        <v>0</v>
      </c>
      <c r="Q58" s="138" t="e">
        <f t="shared" si="11"/>
        <v>#DIV/0!</v>
      </c>
      <c r="R58" s="138" t="e">
        <f t="shared" si="12"/>
        <v>#DIV/0!</v>
      </c>
      <c r="S58" s="137" t="e">
        <f t="shared" si="0"/>
        <v>#DIV/0!</v>
      </c>
      <c r="T58" s="138" t="e">
        <f>IF(Export!M56&lt;&gt;"",Q58*Export!K56*(1/Export!M56),Q58*Export!K56)</f>
        <v>#DIV/0!</v>
      </c>
      <c r="U58" s="139" t="e">
        <f>S58*Export!J56</f>
        <v>#DIV/0!</v>
      </c>
      <c r="V58" s="140" t="e">
        <f>SUM('Scen NotEffectivelyVax (hypo)'!F58,'Scen NotEffectivelyVax (hypo)'!I58,'Scen NotEffectivelyVax (hypo)'!L58,'Scen NotEffectivelyVax (hypo)'!O58,'Scen NotEffectivelyVax (hypo)'!R58,'Scen NotEffectivelyVax (hypo)'!U58,'Scen NotEffectivelyVax (hypo)'!X58,'Scen NotEffectivelyVax (hypo)'!AA58,'Scen NotEffectivelyVax (hypo)'!AD58,'Scen NotEffectivelyVax (hypo)'!AG58,'Scen NotEffectivelyVax (hypo)'!AJ58,'Scen NotEffectivelyVax (hypo)'!AM58,'Scen NotEffectivelyVax (hypo)'!AP58,'Scen NotEffectivelyVax (hypo)'!AS58,'Scen NotEffectivelyVax (hypo)'!AV58,'Scen NotEffectivelyVax (hypo)'!AY58,'Scen NotEffectivelyVax (hypo)'!BB58,'Scen NotEffectivelyVax (hypo)'!BE58,'Scen NotEffectivelyVax (hypo)'!BH58,'Scen NotEffectivelyVax (hypo)'!BK58,'Scen NotEffectivelyVax (hypo)'!BN58,'Scen NotEffectivelyVax (hypo)'!BQ58,'Scen NotEffectivelyVax (hypo)'!BT58,'Scen NotEffectivelyVax (hypo)'!BW58,'Scen NotEffectivelyVax (hypo)'!BZ58,'Scen NotEffectivelyVax (hypo)'!CC58,'Scen NotEffectivelyVax (hypo)'!CF58,'Scen NotEffectivelyVax (hypo)'!CI58,'Scen NotEffectivelyVax (hypo)'!CL58,'Scen NotEffectivelyVax (hypo)'!CO58,'Scen NotEffectivelyVax (hypo)'!CR58,'Scen NotEffectivelyVax (hypo)'!CU58,'Scen NotEffectivelyVax (hypo)'!CX58,'Scen NotEffectivelyVax (hypo)'!DA58,'Scen NotEffectivelyVax (hypo)'!DD58,'Scen NotEffectivelyVax (hypo)'!DG58,'Scen NotEffectivelyVax (hypo)'!DJ58,'Scen NotEffectivelyVax (hypo)'!DM58,'Scen NotEffectivelyVax (hypo)'!DQ58,'Scen NotEffectivelyVax (hypo)'!DP58,'Scen NotEffectivelyVax (hypo)'!DS58,'Scen NotEffectivelyVax (hypo)'!DV58,'Scen NotEffectivelyVax (hypo)'!DY58,'Scen NotEffectivelyVax (hypo)'!EB58,'Scen NotEffectivelyVax (hypo)'!EE58,'Scen NotEffectivelyVax (hypo)'!EH58,'Scen NotEffectivelyVax (hypo)'!EK58,'Scen NotEffectivelyVax (hypo)'!EN58,'Scen NotEffectivelyVax (hypo)'!EQ58,'Scen NotEffectivelyVax (hypo)'!ET58,'Scen NotEffectivelyVax (hypo)'!EW58,'Scen NotEffectivelyVax (hypo)'!EZ58,'Scen NotEffectivelyVax (hypo)'!FC58,'Scen NotEffectivelyVax (hypo)'!FF58,'Scen NotEffectivelyVax (hypo)'!FI58,'Scen NotEffectivelyVax (hypo)'!FL58,'Scen NotEffectivelyVax (hypo)'!FO58,'Scen NotEffectivelyVax (hypo)'!FR58,'Scen NotEffectivelyVax (hypo)'!FU58,'Scen NotEffectivelyVax (hypo)'!FX58,'Scen NotEffectivelyVax (hypo)'!GA58)</f>
        <v>#VALUE!</v>
      </c>
      <c r="W58" s="141" t="e">
        <f>SUM('Scen NotEffectivelyVax (hypo)'!D58,'Scen NotEffectivelyVax (hypo)'!G58,'Scen NotEffectivelyVax (hypo)'!J58,'Scen NotEffectivelyVax (hypo)'!M58,'Scen NotEffectivelyVax (hypo)'!P58,'Scen NotEffectivelyVax (hypo)'!S58,'Scen NotEffectivelyVax (hypo)'!V58,'Scen NotEffectivelyVax (hypo)'!Y58,'Scen NotEffectivelyVax (hypo)'!AB58,'Scen NotEffectivelyVax (hypo)'!AE58,'Scen NotEffectivelyVax (hypo)'!AH58,'Scen NotEffectivelyVax (hypo)'!AK58,'Scen NotEffectivelyVax (hypo)'!AN58,'Scen NotEffectivelyVax (hypo)'!AQ58,'Scen NotEffectivelyVax (hypo)'!AT58,'Scen NotEffectivelyVax (hypo)'!AW58,'Scen NotEffectivelyVax (hypo)'!AZ58,'Scen NotEffectivelyVax (hypo)'!BC58,'Scen NotEffectivelyVax (hypo)'!BF58,'Scen NotEffectivelyVax (hypo)'!BI58,'Scen NotEffectivelyVax (hypo)'!BL58,'Scen NotEffectivelyVax (hypo)'!BO58,'Scen NotEffectivelyVax (hypo)'!BR58,'Scen NotEffectivelyVax (hypo)'!BU58,'Scen NotEffectivelyVax (hypo)'!BX58,'Scen NotEffectivelyVax (hypo)'!CA58,'Scen NotEffectivelyVax (hypo)'!CD58,'Scen NotEffectivelyVax (hypo)'!CG58,'Scen NotEffectivelyVax (hypo)'!CJ58,'Scen NotEffectivelyVax (hypo)'!CM58,'Scen NotEffectivelyVax (hypo)'!CP58,'Scen NotEffectivelyVax (hypo)'!CS58,'Scen NotEffectivelyVax (hypo)'!CV58,'Scen NotEffectivelyVax (hypo)'!CY58,'Scen NotEffectivelyVax (hypo)'!DB58,'Scen NotEffectivelyVax (hypo)'!DE58,'Scen NotEffectivelyVax (hypo)'!DH58,'Scen NotEffectivelyVax (hypo)'!DK58,'Scen NotEffectivelyVax (hypo)'!DN58,'Scen NotEffectivelyVax (hypo)'!DQ58,'Scen NotEffectivelyVax (hypo)'!DT58,'Scen NotEffectivelyVax (hypo)'!DW58,'Scen NotEffectivelyVax (hypo)'!DZ58,'Scen NotEffectivelyVax (hypo)'!EC58,'Scen NotEffectivelyVax (hypo)'!EF58,'Scen NotEffectivelyVax (hypo)'!EI58,'Scen NotEffectivelyVax (hypo)'!EL58,'Scen NotEffectivelyVax (hypo)'!EO58,'Scen NotEffectivelyVax (hypo)'!ER58,'Scen NotEffectivelyVax (hypo)'!EU58,'Scen NotEffectivelyVax (hypo)'!EX58,'Scen NotEffectivelyVax (hypo)'!FA58,'Scen NotEffectivelyVax (hypo)'!FD58,'Scen NotEffectivelyVax (hypo)'!FG58,'Scen NotEffectivelyVax (hypo)'!FJ58,'Scen NotEffectivelyVax (hypo)'!FM58,'Scen NotEffectivelyVax (hypo)'!FP58,'Scen NotEffectivelyVax (hypo)'!FS58,'Scen NotEffectivelyVax (hypo)'!FV58,'Scen NotEffectivelyVax (hypo)'!FY58)</f>
        <v>#VALUE!</v>
      </c>
      <c r="X58" s="141" t="e">
        <f>SUM('Scen NotEffectivelyVax (hypo)'!E58,'Scen NotEffectivelyVax (hypo)'!H58,'Scen NotEffectivelyVax (hypo)'!K58,'Scen NotEffectivelyVax (hypo)'!N58,'Scen NotEffectivelyVax (hypo)'!Q58,'Scen NotEffectivelyVax (hypo)'!T58,'Scen NotEffectivelyVax (hypo)'!Z58,'Scen NotEffectivelyVax (hypo)'!W58,'Scen NotEffectivelyVax (hypo)'!AC58,'Scen NotEffectivelyVax (hypo)'!AF58,'Scen NotEffectivelyVax (hypo)'!AI58,'Scen NotEffectivelyVax (hypo)'!AL58,'Scen NotEffectivelyVax (hypo)'!AO58,'Scen NotEffectivelyVax (hypo)'!AR58,'Scen NotEffectivelyVax (hypo)'!AU58,'Scen NotEffectivelyVax (hypo)'!AX58,'Scen NotEffectivelyVax (hypo)'!BA58,'Scen NotEffectivelyVax (hypo)'!BD58,'Scen NotEffectivelyVax (hypo)'!BG58,'Scen NotEffectivelyVax (hypo)'!BJ58,'Scen NotEffectivelyVax (hypo)'!BM58,'Scen NotEffectivelyVax (hypo)'!BP58,'Scen NotEffectivelyVax (hypo)'!BS58,'Scen NotEffectivelyVax (hypo)'!BV58,'Scen NotEffectivelyVax (hypo)'!BY58,'Scen NotEffectivelyVax (hypo)'!CB58,'Scen NotEffectivelyVax (hypo)'!CE58,'Scen NotEffectivelyVax (hypo)'!CH58,'Scen NotEffectivelyVax (hypo)'!CK58,'Scen NotEffectivelyVax (hypo)'!CN58,'Scen NotEffectivelyVax (hypo)'!CQ58,'Scen NotEffectivelyVax (hypo)'!CT58,'Scen NotEffectivelyVax (hypo)'!CW58,'Scen NotEffectivelyVax (hypo)'!CZ58,'Scen NotEffectivelyVax (hypo)'!DC58,'Scen NotEffectivelyVax (hypo)'!DF58,'Scen NotEffectivelyVax (hypo)'!DI58,'Scen NotEffectivelyVax (hypo)'!DL58,'Scen NotEffectivelyVax (hypo)'!DO58,'Scen NotEffectivelyVax (hypo)'!DR58,'Scen NotEffectivelyVax (hypo)'!DU58,'Scen NotEffectivelyVax (hypo)'!DX58,'Scen NotEffectivelyVax (hypo)'!EA58,'Scen NotEffectivelyVax (hypo)'!ED58,'Scen NotEffectivelyVax (hypo)'!EG58,'Scen NotEffectivelyVax (hypo)'!EJ58,'Scen NotEffectivelyVax (hypo)'!EM58,'Scen NotEffectivelyVax (hypo)'!EP58,'Scen NotEffectivelyVax (hypo)'!ES58,'Scen NotEffectivelyVax (hypo)'!EV58,'Scen NotEffectivelyVax (hypo)'!EY58,'Scen NotEffectivelyVax (hypo)'!FB58,'Scen NotEffectivelyVax (hypo)'!FE58,'Scen NotEffectivelyVax (hypo)'!FH58,'Scen NotEffectivelyVax (hypo)'!FK58,'Scen NotEffectivelyVax (hypo)'!FN58,'Scen NotEffectivelyVax (hypo)'!FQ58,'Scen NotEffectivelyVax (hypo)'!FT58,'Scen NotEffectivelyVax (hypo)'!FW58,'Scen NotEffectivelyVax (hypo)'!FZ58)</f>
        <v>#VALUE!</v>
      </c>
      <c r="Y58" s="142" t="e">
        <f t="shared" si="1"/>
        <v>#VALUE!</v>
      </c>
      <c r="Z58" s="142" t="e">
        <f>IF(Export!M56&lt;&gt;"",W58*Export!K56*(1/Export!M56),W58*Export!K56)</f>
        <v>#VALUE!</v>
      </c>
      <c r="AA58" s="139" t="e">
        <f>Y58*Export!J56</f>
        <v>#VALUE!</v>
      </c>
      <c r="AC58" s="143" t="e">
        <f t="shared" si="2"/>
        <v>#VALUE!</v>
      </c>
      <c r="AD58" s="144" t="e">
        <f t="shared" si="19"/>
        <v>#VALUE!</v>
      </c>
      <c r="AE58" s="144" t="e">
        <f t="shared" si="3"/>
        <v>#VALUE!</v>
      </c>
      <c r="AF58" s="144" t="e">
        <f t="shared" si="4"/>
        <v>#VALUE!</v>
      </c>
      <c r="AG58" s="144" t="e">
        <f t="shared" si="5"/>
        <v>#VALUE!</v>
      </c>
      <c r="AH58" s="145"/>
      <c r="AI58" s="145"/>
      <c r="AJ58" s="145"/>
      <c r="AK58" s="145"/>
      <c r="AL58" s="146"/>
      <c r="AM58" s="145"/>
      <c r="AN58" s="145"/>
      <c r="AO58" s="145"/>
      <c r="AP58" s="145"/>
      <c r="AQ58" s="146"/>
      <c r="AR58" s="150"/>
      <c r="AS58" s="150"/>
      <c r="AT58" s="150"/>
      <c r="AU58" s="150"/>
      <c r="AV58" s="151"/>
    </row>
    <row r="59" spans="1:48" x14ac:dyDescent="0.35">
      <c r="A59" s="130">
        <f>EffectivelyVax!B58</f>
        <v>4</v>
      </c>
      <c r="B59" s="131" t="str">
        <f>EffectivelyVax!C58</f>
        <v/>
      </c>
      <c r="C59" s="132" t="str">
        <f>Export!N57</f>
        <v/>
      </c>
      <c r="D59" s="133" t="str">
        <f>IF(Inputs!$F$10="1. Actual program", 'Current vaccine model'!W59, Export!C57)</f>
        <v/>
      </c>
      <c r="E59" s="133" t="e">
        <f>D59*Export!L57</f>
        <v>#VALUE!</v>
      </c>
      <c r="F59" s="133" t="e">
        <f t="shared" si="18"/>
        <v>#VALUE!</v>
      </c>
      <c r="G59" s="133" t="e">
        <f>IF(Export!M57&lt;&gt;"",D59*Export!K57*(1/Export!M57),D59*Export!K57)</f>
        <v>#VALUE!</v>
      </c>
      <c r="H59" s="133" t="e">
        <f>F59*Export!J57</f>
        <v>#VALUE!</v>
      </c>
      <c r="I59" s="133" t="e">
        <f t="shared" si="14"/>
        <v>#VALUE!</v>
      </c>
      <c r="J59" s="134" t="e">
        <f t="shared" si="8"/>
        <v>#VALUE!</v>
      </c>
      <c r="K59" s="135" t="e">
        <f t="shared" si="9"/>
        <v>#VALUE!</v>
      </c>
      <c r="L59" s="117">
        <f>'Scen EffectivelyVax'!A58</f>
        <v>0</v>
      </c>
      <c r="M59" s="115" t="e">
        <f>C59*L59*HelperFunctions!G$59</f>
        <v>#VALUE!</v>
      </c>
      <c r="N59" s="116" t="e">
        <f>C59*L59*(1-HelperFunctions!G$59)</f>
        <v>#VALUE!</v>
      </c>
      <c r="O59" s="136" t="e">
        <f t="shared" si="15"/>
        <v>#DIV/0!</v>
      </c>
      <c r="P59" s="137">
        <f>SUM('Scen EffectivelyVax'!D58:BK58)</f>
        <v>0</v>
      </c>
      <c r="Q59" s="138" t="e">
        <f t="shared" si="11"/>
        <v>#DIV/0!</v>
      </c>
      <c r="R59" s="138" t="e">
        <f t="shared" si="12"/>
        <v>#DIV/0!</v>
      </c>
      <c r="S59" s="137" t="e">
        <f t="shared" si="0"/>
        <v>#DIV/0!</v>
      </c>
      <c r="T59" s="138" t="e">
        <f>IF(Export!M57&lt;&gt;"",Q59*Export!K57*(1/Export!M57),Q59*Export!K57)</f>
        <v>#DIV/0!</v>
      </c>
      <c r="U59" s="139" t="e">
        <f>S59*Export!J57</f>
        <v>#DIV/0!</v>
      </c>
      <c r="V59" s="140" t="e">
        <f>SUM('Scen NotEffectivelyVax (hypo)'!F59,'Scen NotEffectivelyVax (hypo)'!I59,'Scen NotEffectivelyVax (hypo)'!L59,'Scen NotEffectivelyVax (hypo)'!O59,'Scen NotEffectivelyVax (hypo)'!R59,'Scen NotEffectivelyVax (hypo)'!U59,'Scen NotEffectivelyVax (hypo)'!X59,'Scen NotEffectivelyVax (hypo)'!AA59,'Scen NotEffectivelyVax (hypo)'!AD59,'Scen NotEffectivelyVax (hypo)'!AG59,'Scen NotEffectivelyVax (hypo)'!AJ59,'Scen NotEffectivelyVax (hypo)'!AM59,'Scen NotEffectivelyVax (hypo)'!AP59,'Scen NotEffectivelyVax (hypo)'!AS59,'Scen NotEffectivelyVax (hypo)'!AV59,'Scen NotEffectivelyVax (hypo)'!AY59,'Scen NotEffectivelyVax (hypo)'!BB59,'Scen NotEffectivelyVax (hypo)'!BE59,'Scen NotEffectivelyVax (hypo)'!BH59,'Scen NotEffectivelyVax (hypo)'!BK59,'Scen NotEffectivelyVax (hypo)'!BN59,'Scen NotEffectivelyVax (hypo)'!BQ59,'Scen NotEffectivelyVax (hypo)'!BT59,'Scen NotEffectivelyVax (hypo)'!BW59,'Scen NotEffectivelyVax (hypo)'!BZ59,'Scen NotEffectivelyVax (hypo)'!CC59,'Scen NotEffectivelyVax (hypo)'!CF59,'Scen NotEffectivelyVax (hypo)'!CI59,'Scen NotEffectivelyVax (hypo)'!CL59,'Scen NotEffectivelyVax (hypo)'!CO59,'Scen NotEffectivelyVax (hypo)'!CR59,'Scen NotEffectivelyVax (hypo)'!CU59,'Scen NotEffectivelyVax (hypo)'!CX59,'Scen NotEffectivelyVax (hypo)'!DA59,'Scen NotEffectivelyVax (hypo)'!DD59,'Scen NotEffectivelyVax (hypo)'!DG59,'Scen NotEffectivelyVax (hypo)'!DJ59,'Scen NotEffectivelyVax (hypo)'!DM59,'Scen NotEffectivelyVax (hypo)'!DQ59,'Scen NotEffectivelyVax (hypo)'!DP59,'Scen NotEffectivelyVax (hypo)'!DS59,'Scen NotEffectivelyVax (hypo)'!DV59,'Scen NotEffectivelyVax (hypo)'!DY59,'Scen NotEffectivelyVax (hypo)'!EB59,'Scen NotEffectivelyVax (hypo)'!EE59,'Scen NotEffectivelyVax (hypo)'!EH59,'Scen NotEffectivelyVax (hypo)'!EK59,'Scen NotEffectivelyVax (hypo)'!EN59,'Scen NotEffectivelyVax (hypo)'!EQ59,'Scen NotEffectivelyVax (hypo)'!ET59,'Scen NotEffectivelyVax (hypo)'!EW59,'Scen NotEffectivelyVax (hypo)'!EZ59,'Scen NotEffectivelyVax (hypo)'!FC59,'Scen NotEffectivelyVax (hypo)'!FF59,'Scen NotEffectivelyVax (hypo)'!FI59,'Scen NotEffectivelyVax (hypo)'!FL59,'Scen NotEffectivelyVax (hypo)'!FO59,'Scen NotEffectivelyVax (hypo)'!FR59,'Scen NotEffectivelyVax (hypo)'!FU59,'Scen NotEffectivelyVax (hypo)'!FX59,'Scen NotEffectivelyVax (hypo)'!GA59)</f>
        <v>#VALUE!</v>
      </c>
      <c r="W59" s="141" t="e">
        <f>SUM('Scen NotEffectivelyVax (hypo)'!D59,'Scen NotEffectivelyVax (hypo)'!G59,'Scen NotEffectivelyVax (hypo)'!J59,'Scen NotEffectivelyVax (hypo)'!M59,'Scen NotEffectivelyVax (hypo)'!P59,'Scen NotEffectivelyVax (hypo)'!S59,'Scen NotEffectivelyVax (hypo)'!V59,'Scen NotEffectivelyVax (hypo)'!Y59,'Scen NotEffectivelyVax (hypo)'!AB59,'Scen NotEffectivelyVax (hypo)'!AE59,'Scen NotEffectivelyVax (hypo)'!AH59,'Scen NotEffectivelyVax (hypo)'!AK59,'Scen NotEffectivelyVax (hypo)'!AN59,'Scen NotEffectivelyVax (hypo)'!AQ59,'Scen NotEffectivelyVax (hypo)'!AT59,'Scen NotEffectivelyVax (hypo)'!AW59,'Scen NotEffectivelyVax (hypo)'!AZ59,'Scen NotEffectivelyVax (hypo)'!BC59,'Scen NotEffectivelyVax (hypo)'!BF59,'Scen NotEffectivelyVax (hypo)'!BI59,'Scen NotEffectivelyVax (hypo)'!BL59,'Scen NotEffectivelyVax (hypo)'!BO59,'Scen NotEffectivelyVax (hypo)'!BR59,'Scen NotEffectivelyVax (hypo)'!BU59,'Scen NotEffectivelyVax (hypo)'!BX59,'Scen NotEffectivelyVax (hypo)'!CA59,'Scen NotEffectivelyVax (hypo)'!CD59,'Scen NotEffectivelyVax (hypo)'!CG59,'Scen NotEffectivelyVax (hypo)'!CJ59,'Scen NotEffectivelyVax (hypo)'!CM59,'Scen NotEffectivelyVax (hypo)'!CP59,'Scen NotEffectivelyVax (hypo)'!CS59,'Scen NotEffectivelyVax (hypo)'!CV59,'Scen NotEffectivelyVax (hypo)'!CY59,'Scen NotEffectivelyVax (hypo)'!DB59,'Scen NotEffectivelyVax (hypo)'!DE59,'Scen NotEffectivelyVax (hypo)'!DH59,'Scen NotEffectivelyVax (hypo)'!DK59,'Scen NotEffectivelyVax (hypo)'!DN59,'Scen NotEffectivelyVax (hypo)'!DQ59,'Scen NotEffectivelyVax (hypo)'!DT59,'Scen NotEffectivelyVax (hypo)'!DW59,'Scen NotEffectivelyVax (hypo)'!DZ59,'Scen NotEffectivelyVax (hypo)'!EC59,'Scen NotEffectivelyVax (hypo)'!EF59,'Scen NotEffectivelyVax (hypo)'!EI59,'Scen NotEffectivelyVax (hypo)'!EL59,'Scen NotEffectivelyVax (hypo)'!EO59,'Scen NotEffectivelyVax (hypo)'!ER59,'Scen NotEffectivelyVax (hypo)'!EU59,'Scen NotEffectivelyVax (hypo)'!EX59,'Scen NotEffectivelyVax (hypo)'!FA59,'Scen NotEffectivelyVax (hypo)'!FD59,'Scen NotEffectivelyVax (hypo)'!FG59,'Scen NotEffectivelyVax (hypo)'!FJ59,'Scen NotEffectivelyVax (hypo)'!FM59,'Scen NotEffectivelyVax (hypo)'!FP59,'Scen NotEffectivelyVax (hypo)'!FS59,'Scen NotEffectivelyVax (hypo)'!FV59,'Scen NotEffectivelyVax (hypo)'!FY59)</f>
        <v>#VALUE!</v>
      </c>
      <c r="X59" s="141" t="e">
        <f>SUM('Scen NotEffectivelyVax (hypo)'!E59,'Scen NotEffectivelyVax (hypo)'!H59,'Scen NotEffectivelyVax (hypo)'!K59,'Scen NotEffectivelyVax (hypo)'!N59,'Scen NotEffectivelyVax (hypo)'!Q59,'Scen NotEffectivelyVax (hypo)'!T59,'Scen NotEffectivelyVax (hypo)'!Z59,'Scen NotEffectivelyVax (hypo)'!W59,'Scen NotEffectivelyVax (hypo)'!AC59,'Scen NotEffectivelyVax (hypo)'!AF59,'Scen NotEffectivelyVax (hypo)'!AI59,'Scen NotEffectivelyVax (hypo)'!AL59,'Scen NotEffectivelyVax (hypo)'!AO59,'Scen NotEffectivelyVax (hypo)'!AR59,'Scen NotEffectivelyVax (hypo)'!AU59,'Scen NotEffectivelyVax (hypo)'!AX59,'Scen NotEffectivelyVax (hypo)'!BA59,'Scen NotEffectivelyVax (hypo)'!BD59,'Scen NotEffectivelyVax (hypo)'!BG59,'Scen NotEffectivelyVax (hypo)'!BJ59,'Scen NotEffectivelyVax (hypo)'!BM59,'Scen NotEffectivelyVax (hypo)'!BP59,'Scen NotEffectivelyVax (hypo)'!BS59,'Scen NotEffectivelyVax (hypo)'!BV59,'Scen NotEffectivelyVax (hypo)'!BY59,'Scen NotEffectivelyVax (hypo)'!CB59,'Scen NotEffectivelyVax (hypo)'!CE59,'Scen NotEffectivelyVax (hypo)'!CH59,'Scen NotEffectivelyVax (hypo)'!CK59,'Scen NotEffectivelyVax (hypo)'!CN59,'Scen NotEffectivelyVax (hypo)'!CQ59,'Scen NotEffectivelyVax (hypo)'!CT59,'Scen NotEffectivelyVax (hypo)'!CW59,'Scen NotEffectivelyVax (hypo)'!CZ59,'Scen NotEffectivelyVax (hypo)'!DC59,'Scen NotEffectivelyVax (hypo)'!DF59,'Scen NotEffectivelyVax (hypo)'!DI59,'Scen NotEffectivelyVax (hypo)'!DL59,'Scen NotEffectivelyVax (hypo)'!DO59,'Scen NotEffectivelyVax (hypo)'!DR59,'Scen NotEffectivelyVax (hypo)'!DU59,'Scen NotEffectivelyVax (hypo)'!DX59,'Scen NotEffectivelyVax (hypo)'!EA59,'Scen NotEffectivelyVax (hypo)'!ED59,'Scen NotEffectivelyVax (hypo)'!EG59,'Scen NotEffectivelyVax (hypo)'!EJ59,'Scen NotEffectivelyVax (hypo)'!EM59,'Scen NotEffectivelyVax (hypo)'!EP59,'Scen NotEffectivelyVax (hypo)'!ES59,'Scen NotEffectivelyVax (hypo)'!EV59,'Scen NotEffectivelyVax (hypo)'!EY59,'Scen NotEffectivelyVax (hypo)'!FB59,'Scen NotEffectivelyVax (hypo)'!FE59,'Scen NotEffectivelyVax (hypo)'!FH59,'Scen NotEffectivelyVax (hypo)'!FK59,'Scen NotEffectivelyVax (hypo)'!FN59,'Scen NotEffectivelyVax (hypo)'!FQ59,'Scen NotEffectivelyVax (hypo)'!FT59,'Scen NotEffectivelyVax (hypo)'!FW59,'Scen NotEffectivelyVax (hypo)'!FZ59)</f>
        <v>#VALUE!</v>
      </c>
      <c r="Y59" s="142" t="e">
        <f t="shared" si="1"/>
        <v>#VALUE!</v>
      </c>
      <c r="Z59" s="142" t="e">
        <f>IF(Export!M57&lt;&gt;"",W59*Export!K57*(1/Export!M57),W59*Export!K57)</f>
        <v>#VALUE!</v>
      </c>
      <c r="AA59" s="139" t="e">
        <f>Y59*Export!J57</f>
        <v>#VALUE!</v>
      </c>
      <c r="AC59" s="143" t="e">
        <f t="shared" si="2"/>
        <v>#VALUE!</v>
      </c>
      <c r="AD59" s="144" t="e">
        <f t="shared" si="19"/>
        <v>#VALUE!</v>
      </c>
      <c r="AE59" s="144" t="e">
        <f t="shared" si="3"/>
        <v>#VALUE!</v>
      </c>
      <c r="AF59" s="144" t="e">
        <f t="shared" si="4"/>
        <v>#VALUE!</v>
      </c>
      <c r="AG59" s="144" t="e">
        <f t="shared" si="5"/>
        <v>#VALUE!</v>
      </c>
      <c r="AH59" s="145"/>
      <c r="AI59" s="145"/>
      <c r="AJ59" s="145"/>
      <c r="AK59" s="145"/>
      <c r="AL59" s="146"/>
      <c r="AM59" s="145"/>
      <c r="AN59" s="145"/>
      <c r="AO59" s="145"/>
      <c r="AP59" s="145"/>
      <c r="AQ59" s="146"/>
      <c r="AR59" s="150"/>
      <c r="AS59" s="150"/>
      <c r="AT59" s="150"/>
      <c r="AU59" s="150"/>
      <c r="AV59" s="151"/>
    </row>
    <row r="60" spans="1:48" x14ac:dyDescent="0.35">
      <c r="A60" s="130">
        <f>EffectivelyVax!B59</f>
        <v>4</v>
      </c>
      <c r="B60" s="131" t="str">
        <f>EffectivelyVax!C59</f>
        <v/>
      </c>
      <c r="C60" s="132" t="str">
        <f>Export!N58</f>
        <v/>
      </c>
      <c r="D60" s="133" t="str">
        <f>IF(Inputs!$F$10="1. Actual program", 'Current vaccine model'!W60, Export!C58)</f>
        <v/>
      </c>
      <c r="E60" s="133" t="e">
        <f>D60*Export!L58</f>
        <v>#VALUE!</v>
      </c>
      <c r="F60" s="133" t="e">
        <f t="shared" si="18"/>
        <v>#VALUE!</v>
      </c>
      <c r="G60" s="133" t="e">
        <f>IF(Export!M58&lt;&gt;"",D60*Export!K58*(1/Export!M58),D60*Export!K58)</f>
        <v>#VALUE!</v>
      </c>
      <c r="H60" s="133" t="e">
        <f>F60*Export!J58</f>
        <v>#VALUE!</v>
      </c>
      <c r="I60" s="133" t="e">
        <f t="shared" si="14"/>
        <v>#VALUE!</v>
      </c>
      <c r="J60" s="134" t="e">
        <f t="shared" si="8"/>
        <v>#VALUE!</v>
      </c>
      <c r="K60" s="135" t="e">
        <f t="shared" si="9"/>
        <v>#VALUE!</v>
      </c>
      <c r="L60" s="117">
        <f>'Scen EffectivelyVax'!A59</f>
        <v>0</v>
      </c>
      <c r="M60" s="115" t="e">
        <f>C60*L60*HelperFunctions!G$59</f>
        <v>#VALUE!</v>
      </c>
      <c r="N60" s="116" t="e">
        <f>C60*L60*(1-HelperFunctions!G$59)</f>
        <v>#VALUE!</v>
      </c>
      <c r="O60" s="136" t="e">
        <f t="shared" si="15"/>
        <v>#DIV/0!</v>
      </c>
      <c r="P60" s="137">
        <f>SUM('Scen EffectivelyVax'!D59:BK59)</f>
        <v>0</v>
      </c>
      <c r="Q60" s="138" t="e">
        <f t="shared" si="11"/>
        <v>#DIV/0!</v>
      </c>
      <c r="R60" s="138" t="e">
        <f t="shared" si="12"/>
        <v>#DIV/0!</v>
      </c>
      <c r="S60" s="137" t="e">
        <f t="shared" si="0"/>
        <v>#DIV/0!</v>
      </c>
      <c r="T60" s="138" t="e">
        <f>IF(Export!M58&lt;&gt;"",Q60*Export!K58*(1/Export!M58),Q60*Export!K58)</f>
        <v>#DIV/0!</v>
      </c>
      <c r="U60" s="139" t="e">
        <f>S60*Export!J58</f>
        <v>#DIV/0!</v>
      </c>
      <c r="V60" s="140" t="e">
        <f>SUM('Scen NotEffectivelyVax (hypo)'!F60,'Scen NotEffectivelyVax (hypo)'!I60,'Scen NotEffectivelyVax (hypo)'!L60,'Scen NotEffectivelyVax (hypo)'!O60,'Scen NotEffectivelyVax (hypo)'!R60,'Scen NotEffectivelyVax (hypo)'!U60,'Scen NotEffectivelyVax (hypo)'!X60,'Scen NotEffectivelyVax (hypo)'!AA60,'Scen NotEffectivelyVax (hypo)'!AD60,'Scen NotEffectivelyVax (hypo)'!AG60,'Scen NotEffectivelyVax (hypo)'!AJ60,'Scen NotEffectivelyVax (hypo)'!AM60,'Scen NotEffectivelyVax (hypo)'!AP60,'Scen NotEffectivelyVax (hypo)'!AS60,'Scen NotEffectivelyVax (hypo)'!AV60,'Scen NotEffectivelyVax (hypo)'!AY60,'Scen NotEffectivelyVax (hypo)'!BB60,'Scen NotEffectivelyVax (hypo)'!BE60,'Scen NotEffectivelyVax (hypo)'!BH60,'Scen NotEffectivelyVax (hypo)'!BK60,'Scen NotEffectivelyVax (hypo)'!BN60,'Scen NotEffectivelyVax (hypo)'!BQ60,'Scen NotEffectivelyVax (hypo)'!BT60,'Scen NotEffectivelyVax (hypo)'!BW60,'Scen NotEffectivelyVax (hypo)'!BZ60,'Scen NotEffectivelyVax (hypo)'!CC60,'Scen NotEffectivelyVax (hypo)'!CF60,'Scen NotEffectivelyVax (hypo)'!CI60,'Scen NotEffectivelyVax (hypo)'!CL60,'Scen NotEffectivelyVax (hypo)'!CO60,'Scen NotEffectivelyVax (hypo)'!CR60,'Scen NotEffectivelyVax (hypo)'!CU60,'Scen NotEffectivelyVax (hypo)'!CX60,'Scen NotEffectivelyVax (hypo)'!DA60,'Scen NotEffectivelyVax (hypo)'!DD60,'Scen NotEffectivelyVax (hypo)'!DG60,'Scen NotEffectivelyVax (hypo)'!DJ60,'Scen NotEffectivelyVax (hypo)'!DM60,'Scen NotEffectivelyVax (hypo)'!DQ60,'Scen NotEffectivelyVax (hypo)'!DP60,'Scen NotEffectivelyVax (hypo)'!DS60,'Scen NotEffectivelyVax (hypo)'!DV60,'Scen NotEffectivelyVax (hypo)'!DY60,'Scen NotEffectivelyVax (hypo)'!EB60,'Scen NotEffectivelyVax (hypo)'!EE60,'Scen NotEffectivelyVax (hypo)'!EH60,'Scen NotEffectivelyVax (hypo)'!EK60,'Scen NotEffectivelyVax (hypo)'!EN60,'Scen NotEffectivelyVax (hypo)'!EQ60,'Scen NotEffectivelyVax (hypo)'!ET60,'Scen NotEffectivelyVax (hypo)'!EW60,'Scen NotEffectivelyVax (hypo)'!EZ60,'Scen NotEffectivelyVax (hypo)'!FC60,'Scen NotEffectivelyVax (hypo)'!FF60,'Scen NotEffectivelyVax (hypo)'!FI60,'Scen NotEffectivelyVax (hypo)'!FL60,'Scen NotEffectivelyVax (hypo)'!FO60,'Scen NotEffectivelyVax (hypo)'!FR60,'Scen NotEffectivelyVax (hypo)'!FU60,'Scen NotEffectivelyVax (hypo)'!FX60,'Scen NotEffectivelyVax (hypo)'!GA60)</f>
        <v>#VALUE!</v>
      </c>
      <c r="W60" s="141" t="e">
        <f>SUM('Scen NotEffectivelyVax (hypo)'!D60,'Scen NotEffectivelyVax (hypo)'!G60,'Scen NotEffectivelyVax (hypo)'!J60,'Scen NotEffectivelyVax (hypo)'!M60,'Scen NotEffectivelyVax (hypo)'!P60,'Scen NotEffectivelyVax (hypo)'!S60,'Scen NotEffectivelyVax (hypo)'!V60,'Scen NotEffectivelyVax (hypo)'!Y60,'Scen NotEffectivelyVax (hypo)'!AB60,'Scen NotEffectivelyVax (hypo)'!AE60,'Scen NotEffectivelyVax (hypo)'!AH60,'Scen NotEffectivelyVax (hypo)'!AK60,'Scen NotEffectivelyVax (hypo)'!AN60,'Scen NotEffectivelyVax (hypo)'!AQ60,'Scen NotEffectivelyVax (hypo)'!AT60,'Scen NotEffectivelyVax (hypo)'!AW60,'Scen NotEffectivelyVax (hypo)'!AZ60,'Scen NotEffectivelyVax (hypo)'!BC60,'Scen NotEffectivelyVax (hypo)'!BF60,'Scen NotEffectivelyVax (hypo)'!BI60,'Scen NotEffectivelyVax (hypo)'!BL60,'Scen NotEffectivelyVax (hypo)'!BO60,'Scen NotEffectivelyVax (hypo)'!BR60,'Scen NotEffectivelyVax (hypo)'!BU60,'Scen NotEffectivelyVax (hypo)'!BX60,'Scen NotEffectivelyVax (hypo)'!CA60,'Scen NotEffectivelyVax (hypo)'!CD60,'Scen NotEffectivelyVax (hypo)'!CG60,'Scen NotEffectivelyVax (hypo)'!CJ60,'Scen NotEffectivelyVax (hypo)'!CM60,'Scen NotEffectivelyVax (hypo)'!CP60,'Scen NotEffectivelyVax (hypo)'!CS60,'Scen NotEffectivelyVax (hypo)'!CV60,'Scen NotEffectivelyVax (hypo)'!CY60,'Scen NotEffectivelyVax (hypo)'!DB60,'Scen NotEffectivelyVax (hypo)'!DE60,'Scen NotEffectivelyVax (hypo)'!DH60,'Scen NotEffectivelyVax (hypo)'!DK60,'Scen NotEffectivelyVax (hypo)'!DN60,'Scen NotEffectivelyVax (hypo)'!DQ60,'Scen NotEffectivelyVax (hypo)'!DT60,'Scen NotEffectivelyVax (hypo)'!DW60,'Scen NotEffectivelyVax (hypo)'!DZ60,'Scen NotEffectivelyVax (hypo)'!EC60,'Scen NotEffectivelyVax (hypo)'!EF60,'Scen NotEffectivelyVax (hypo)'!EI60,'Scen NotEffectivelyVax (hypo)'!EL60,'Scen NotEffectivelyVax (hypo)'!EO60,'Scen NotEffectivelyVax (hypo)'!ER60,'Scen NotEffectivelyVax (hypo)'!EU60,'Scen NotEffectivelyVax (hypo)'!EX60,'Scen NotEffectivelyVax (hypo)'!FA60,'Scen NotEffectivelyVax (hypo)'!FD60,'Scen NotEffectivelyVax (hypo)'!FG60,'Scen NotEffectivelyVax (hypo)'!FJ60,'Scen NotEffectivelyVax (hypo)'!FM60,'Scen NotEffectivelyVax (hypo)'!FP60,'Scen NotEffectivelyVax (hypo)'!FS60,'Scen NotEffectivelyVax (hypo)'!FV60,'Scen NotEffectivelyVax (hypo)'!FY60)</f>
        <v>#VALUE!</v>
      </c>
      <c r="X60" s="141" t="e">
        <f>SUM('Scen NotEffectivelyVax (hypo)'!E60,'Scen NotEffectivelyVax (hypo)'!H60,'Scen NotEffectivelyVax (hypo)'!K60,'Scen NotEffectivelyVax (hypo)'!N60,'Scen NotEffectivelyVax (hypo)'!Q60,'Scen NotEffectivelyVax (hypo)'!T60,'Scen NotEffectivelyVax (hypo)'!Z60,'Scen NotEffectivelyVax (hypo)'!W60,'Scen NotEffectivelyVax (hypo)'!AC60,'Scen NotEffectivelyVax (hypo)'!AF60,'Scen NotEffectivelyVax (hypo)'!AI60,'Scen NotEffectivelyVax (hypo)'!AL60,'Scen NotEffectivelyVax (hypo)'!AO60,'Scen NotEffectivelyVax (hypo)'!AR60,'Scen NotEffectivelyVax (hypo)'!AU60,'Scen NotEffectivelyVax (hypo)'!AX60,'Scen NotEffectivelyVax (hypo)'!BA60,'Scen NotEffectivelyVax (hypo)'!BD60,'Scen NotEffectivelyVax (hypo)'!BG60,'Scen NotEffectivelyVax (hypo)'!BJ60,'Scen NotEffectivelyVax (hypo)'!BM60,'Scen NotEffectivelyVax (hypo)'!BP60,'Scen NotEffectivelyVax (hypo)'!BS60,'Scen NotEffectivelyVax (hypo)'!BV60,'Scen NotEffectivelyVax (hypo)'!BY60,'Scen NotEffectivelyVax (hypo)'!CB60,'Scen NotEffectivelyVax (hypo)'!CE60,'Scen NotEffectivelyVax (hypo)'!CH60,'Scen NotEffectivelyVax (hypo)'!CK60,'Scen NotEffectivelyVax (hypo)'!CN60,'Scen NotEffectivelyVax (hypo)'!CQ60,'Scen NotEffectivelyVax (hypo)'!CT60,'Scen NotEffectivelyVax (hypo)'!CW60,'Scen NotEffectivelyVax (hypo)'!CZ60,'Scen NotEffectivelyVax (hypo)'!DC60,'Scen NotEffectivelyVax (hypo)'!DF60,'Scen NotEffectivelyVax (hypo)'!DI60,'Scen NotEffectivelyVax (hypo)'!DL60,'Scen NotEffectivelyVax (hypo)'!DO60,'Scen NotEffectivelyVax (hypo)'!DR60,'Scen NotEffectivelyVax (hypo)'!DU60,'Scen NotEffectivelyVax (hypo)'!DX60,'Scen NotEffectivelyVax (hypo)'!EA60,'Scen NotEffectivelyVax (hypo)'!ED60,'Scen NotEffectivelyVax (hypo)'!EG60,'Scen NotEffectivelyVax (hypo)'!EJ60,'Scen NotEffectivelyVax (hypo)'!EM60,'Scen NotEffectivelyVax (hypo)'!EP60,'Scen NotEffectivelyVax (hypo)'!ES60,'Scen NotEffectivelyVax (hypo)'!EV60,'Scen NotEffectivelyVax (hypo)'!EY60,'Scen NotEffectivelyVax (hypo)'!FB60,'Scen NotEffectivelyVax (hypo)'!FE60,'Scen NotEffectivelyVax (hypo)'!FH60,'Scen NotEffectivelyVax (hypo)'!FK60,'Scen NotEffectivelyVax (hypo)'!FN60,'Scen NotEffectivelyVax (hypo)'!FQ60,'Scen NotEffectivelyVax (hypo)'!FT60,'Scen NotEffectivelyVax (hypo)'!FW60,'Scen NotEffectivelyVax (hypo)'!FZ60)</f>
        <v>#VALUE!</v>
      </c>
      <c r="Y60" s="142" t="e">
        <f t="shared" si="1"/>
        <v>#VALUE!</v>
      </c>
      <c r="Z60" s="142" t="e">
        <f>IF(Export!M58&lt;&gt;"",W60*Export!K58*(1/Export!M58),W60*Export!K58)</f>
        <v>#VALUE!</v>
      </c>
      <c r="AA60" s="139" t="e">
        <f>Y60*Export!J58</f>
        <v>#VALUE!</v>
      </c>
      <c r="AC60" s="143" t="e">
        <f t="shared" si="2"/>
        <v>#VALUE!</v>
      </c>
      <c r="AD60" s="144" t="e">
        <f t="shared" si="19"/>
        <v>#VALUE!</v>
      </c>
      <c r="AE60" s="144" t="e">
        <f t="shared" si="3"/>
        <v>#VALUE!</v>
      </c>
      <c r="AF60" s="144" t="e">
        <f t="shared" si="4"/>
        <v>#VALUE!</v>
      </c>
      <c r="AG60" s="144" t="e">
        <f t="shared" si="5"/>
        <v>#VALUE!</v>
      </c>
      <c r="AH60" s="145"/>
      <c r="AI60" s="145"/>
      <c r="AJ60" s="145"/>
      <c r="AK60" s="145"/>
      <c r="AL60" s="146"/>
      <c r="AM60" s="145"/>
      <c r="AN60" s="145"/>
      <c r="AO60" s="145"/>
      <c r="AP60" s="145"/>
      <c r="AQ60" s="146"/>
      <c r="AR60" s="150"/>
      <c r="AS60" s="150"/>
      <c r="AT60" s="150"/>
      <c r="AU60" s="150"/>
      <c r="AV60" s="151"/>
    </row>
    <row r="61" spans="1:48" x14ac:dyDescent="0.35">
      <c r="A61" s="130">
        <f>EffectivelyVax!B60</f>
        <v>4</v>
      </c>
      <c r="B61" s="131" t="str">
        <f>EffectivelyVax!C60</f>
        <v/>
      </c>
      <c r="C61" s="132" t="str">
        <f>Export!N59</f>
        <v/>
      </c>
      <c r="D61" s="133" t="str">
        <f>IF(Inputs!$F$10="1. Actual program", 'Current vaccine model'!W61, Export!C59)</f>
        <v/>
      </c>
      <c r="E61" s="133" t="e">
        <f>D61*Export!L59</f>
        <v>#VALUE!</v>
      </c>
      <c r="F61" s="133" t="e">
        <f t="shared" si="18"/>
        <v>#VALUE!</v>
      </c>
      <c r="G61" s="133" t="e">
        <f>IF(Export!M59&lt;&gt;"",D61*Export!K59*(1/Export!M59),D61*Export!K59)</f>
        <v>#VALUE!</v>
      </c>
      <c r="H61" s="133" t="e">
        <f>F61*Export!J59</f>
        <v>#VALUE!</v>
      </c>
      <c r="I61" s="133" t="e">
        <f t="shared" si="14"/>
        <v>#VALUE!</v>
      </c>
      <c r="J61" s="134" t="e">
        <f t="shared" si="8"/>
        <v>#VALUE!</v>
      </c>
      <c r="K61" s="135" t="e">
        <f t="shared" si="9"/>
        <v>#VALUE!</v>
      </c>
      <c r="L61" s="117">
        <f>'Scen EffectivelyVax'!A60</f>
        <v>0</v>
      </c>
      <c r="M61" s="115" t="e">
        <f>C61*L61*HelperFunctions!G$59</f>
        <v>#VALUE!</v>
      </c>
      <c r="N61" s="116" t="e">
        <f>C61*L61*(1-HelperFunctions!G$59)</f>
        <v>#VALUE!</v>
      </c>
      <c r="O61" s="136" t="e">
        <f t="shared" si="15"/>
        <v>#DIV/0!</v>
      </c>
      <c r="P61" s="137">
        <f>SUM('Scen EffectivelyVax'!D60:BK60)</f>
        <v>0</v>
      </c>
      <c r="Q61" s="138" t="e">
        <f t="shared" si="11"/>
        <v>#DIV/0!</v>
      </c>
      <c r="R61" s="138" t="e">
        <f t="shared" si="12"/>
        <v>#DIV/0!</v>
      </c>
      <c r="S61" s="137" t="e">
        <f t="shared" si="0"/>
        <v>#DIV/0!</v>
      </c>
      <c r="T61" s="138" t="e">
        <f>IF(Export!M59&lt;&gt;"",Q61*Export!K59*(1/Export!M59),Q61*Export!K59)</f>
        <v>#DIV/0!</v>
      </c>
      <c r="U61" s="139" t="e">
        <f>S61*Export!J59</f>
        <v>#DIV/0!</v>
      </c>
      <c r="V61" s="140" t="e">
        <f>SUM('Scen NotEffectivelyVax (hypo)'!F61,'Scen NotEffectivelyVax (hypo)'!I61,'Scen NotEffectivelyVax (hypo)'!L61,'Scen NotEffectivelyVax (hypo)'!O61,'Scen NotEffectivelyVax (hypo)'!R61,'Scen NotEffectivelyVax (hypo)'!U61,'Scen NotEffectivelyVax (hypo)'!X61,'Scen NotEffectivelyVax (hypo)'!AA61,'Scen NotEffectivelyVax (hypo)'!AD61,'Scen NotEffectivelyVax (hypo)'!AG61,'Scen NotEffectivelyVax (hypo)'!AJ61,'Scen NotEffectivelyVax (hypo)'!AM61,'Scen NotEffectivelyVax (hypo)'!AP61,'Scen NotEffectivelyVax (hypo)'!AS61,'Scen NotEffectivelyVax (hypo)'!AV61,'Scen NotEffectivelyVax (hypo)'!AY61,'Scen NotEffectivelyVax (hypo)'!BB61,'Scen NotEffectivelyVax (hypo)'!BE61,'Scen NotEffectivelyVax (hypo)'!BH61,'Scen NotEffectivelyVax (hypo)'!BK61,'Scen NotEffectivelyVax (hypo)'!BN61,'Scen NotEffectivelyVax (hypo)'!BQ61,'Scen NotEffectivelyVax (hypo)'!BT61,'Scen NotEffectivelyVax (hypo)'!BW61,'Scen NotEffectivelyVax (hypo)'!BZ61,'Scen NotEffectivelyVax (hypo)'!CC61,'Scen NotEffectivelyVax (hypo)'!CF61,'Scen NotEffectivelyVax (hypo)'!CI61,'Scen NotEffectivelyVax (hypo)'!CL61,'Scen NotEffectivelyVax (hypo)'!CO61,'Scen NotEffectivelyVax (hypo)'!CR61,'Scen NotEffectivelyVax (hypo)'!CU61,'Scen NotEffectivelyVax (hypo)'!CX61,'Scen NotEffectivelyVax (hypo)'!DA61,'Scen NotEffectivelyVax (hypo)'!DD61,'Scen NotEffectivelyVax (hypo)'!DG61,'Scen NotEffectivelyVax (hypo)'!DJ61,'Scen NotEffectivelyVax (hypo)'!DM61,'Scen NotEffectivelyVax (hypo)'!DQ61,'Scen NotEffectivelyVax (hypo)'!DP61,'Scen NotEffectivelyVax (hypo)'!DS61,'Scen NotEffectivelyVax (hypo)'!DV61,'Scen NotEffectivelyVax (hypo)'!DY61,'Scen NotEffectivelyVax (hypo)'!EB61,'Scen NotEffectivelyVax (hypo)'!EE61,'Scen NotEffectivelyVax (hypo)'!EH61,'Scen NotEffectivelyVax (hypo)'!EK61,'Scen NotEffectivelyVax (hypo)'!EN61,'Scen NotEffectivelyVax (hypo)'!EQ61,'Scen NotEffectivelyVax (hypo)'!ET61,'Scen NotEffectivelyVax (hypo)'!EW61,'Scen NotEffectivelyVax (hypo)'!EZ61,'Scen NotEffectivelyVax (hypo)'!FC61,'Scen NotEffectivelyVax (hypo)'!FF61,'Scen NotEffectivelyVax (hypo)'!FI61,'Scen NotEffectivelyVax (hypo)'!FL61,'Scen NotEffectivelyVax (hypo)'!FO61,'Scen NotEffectivelyVax (hypo)'!FR61,'Scen NotEffectivelyVax (hypo)'!FU61,'Scen NotEffectivelyVax (hypo)'!FX61,'Scen NotEffectivelyVax (hypo)'!GA61)</f>
        <v>#VALUE!</v>
      </c>
      <c r="W61" s="141" t="e">
        <f>SUM('Scen NotEffectivelyVax (hypo)'!D61,'Scen NotEffectivelyVax (hypo)'!G61,'Scen NotEffectivelyVax (hypo)'!J61,'Scen NotEffectivelyVax (hypo)'!M61,'Scen NotEffectivelyVax (hypo)'!P61,'Scen NotEffectivelyVax (hypo)'!S61,'Scen NotEffectivelyVax (hypo)'!V61,'Scen NotEffectivelyVax (hypo)'!Y61,'Scen NotEffectivelyVax (hypo)'!AB61,'Scen NotEffectivelyVax (hypo)'!AE61,'Scen NotEffectivelyVax (hypo)'!AH61,'Scen NotEffectivelyVax (hypo)'!AK61,'Scen NotEffectivelyVax (hypo)'!AN61,'Scen NotEffectivelyVax (hypo)'!AQ61,'Scen NotEffectivelyVax (hypo)'!AT61,'Scen NotEffectivelyVax (hypo)'!AW61,'Scen NotEffectivelyVax (hypo)'!AZ61,'Scen NotEffectivelyVax (hypo)'!BC61,'Scen NotEffectivelyVax (hypo)'!BF61,'Scen NotEffectivelyVax (hypo)'!BI61,'Scen NotEffectivelyVax (hypo)'!BL61,'Scen NotEffectivelyVax (hypo)'!BO61,'Scen NotEffectivelyVax (hypo)'!BR61,'Scen NotEffectivelyVax (hypo)'!BU61,'Scen NotEffectivelyVax (hypo)'!BX61,'Scen NotEffectivelyVax (hypo)'!CA61,'Scen NotEffectivelyVax (hypo)'!CD61,'Scen NotEffectivelyVax (hypo)'!CG61,'Scen NotEffectivelyVax (hypo)'!CJ61,'Scen NotEffectivelyVax (hypo)'!CM61,'Scen NotEffectivelyVax (hypo)'!CP61,'Scen NotEffectivelyVax (hypo)'!CS61,'Scen NotEffectivelyVax (hypo)'!CV61,'Scen NotEffectivelyVax (hypo)'!CY61,'Scen NotEffectivelyVax (hypo)'!DB61,'Scen NotEffectivelyVax (hypo)'!DE61,'Scen NotEffectivelyVax (hypo)'!DH61,'Scen NotEffectivelyVax (hypo)'!DK61,'Scen NotEffectivelyVax (hypo)'!DN61,'Scen NotEffectivelyVax (hypo)'!DQ61,'Scen NotEffectivelyVax (hypo)'!DT61,'Scen NotEffectivelyVax (hypo)'!DW61,'Scen NotEffectivelyVax (hypo)'!DZ61,'Scen NotEffectivelyVax (hypo)'!EC61,'Scen NotEffectivelyVax (hypo)'!EF61,'Scen NotEffectivelyVax (hypo)'!EI61,'Scen NotEffectivelyVax (hypo)'!EL61,'Scen NotEffectivelyVax (hypo)'!EO61,'Scen NotEffectivelyVax (hypo)'!ER61,'Scen NotEffectivelyVax (hypo)'!EU61,'Scen NotEffectivelyVax (hypo)'!EX61,'Scen NotEffectivelyVax (hypo)'!FA61,'Scen NotEffectivelyVax (hypo)'!FD61,'Scen NotEffectivelyVax (hypo)'!FG61,'Scen NotEffectivelyVax (hypo)'!FJ61,'Scen NotEffectivelyVax (hypo)'!FM61,'Scen NotEffectivelyVax (hypo)'!FP61,'Scen NotEffectivelyVax (hypo)'!FS61,'Scen NotEffectivelyVax (hypo)'!FV61,'Scen NotEffectivelyVax (hypo)'!FY61)</f>
        <v>#VALUE!</v>
      </c>
      <c r="X61" s="141" t="e">
        <f>SUM('Scen NotEffectivelyVax (hypo)'!E61,'Scen NotEffectivelyVax (hypo)'!H61,'Scen NotEffectivelyVax (hypo)'!K61,'Scen NotEffectivelyVax (hypo)'!N61,'Scen NotEffectivelyVax (hypo)'!Q61,'Scen NotEffectivelyVax (hypo)'!T61,'Scen NotEffectivelyVax (hypo)'!Z61,'Scen NotEffectivelyVax (hypo)'!W61,'Scen NotEffectivelyVax (hypo)'!AC61,'Scen NotEffectivelyVax (hypo)'!AF61,'Scen NotEffectivelyVax (hypo)'!AI61,'Scen NotEffectivelyVax (hypo)'!AL61,'Scen NotEffectivelyVax (hypo)'!AO61,'Scen NotEffectivelyVax (hypo)'!AR61,'Scen NotEffectivelyVax (hypo)'!AU61,'Scen NotEffectivelyVax (hypo)'!AX61,'Scen NotEffectivelyVax (hypo)'!BA61,'Scen NotEffectivelyVax (hypo)'!BD61,'Scen NotEffectivelyVax (hypo)'!BG61,'Scen NotEffectivelyVax (hypo)'!BJ61,'Scen NotEffectivelyVax (hypo)'!BM61,'Scen NotEffectivelyVax (hypo)'!BP61,'Scen NotEffectivelyVax (hypo)'!BS61,'Scen NotEffectivelyVax (hypo)'!BV61,'Scen NotEffectivelyVax (hypo)'!BY61,'Scen NotEffectivelyVax (hypo)'!CB61,'Scen NotEffectivelyVax (hypo)'!CE61,'Scen NotEffectivelyVax (hypo)'!CH61,'Scen NotEffectivelyVax (hypo)'!CK61,'Scen NotEffectivelyVax (hypo)'!CN61,'Scen NotEffectivelyVax (hypo)'!CQ61,'Scen NotEffectivelyVax (hypo)'!CT61,'Scen NotEffectivelyVax (hypo)'!CW61,'Scen NotEffectivelyVax (hypo)'!CZ61,'Scen NotEffectivelyVax (hypo)'!DC61,'Scen NotEffectivelyVax (hypo)'!DF61,'Scen NotEffectivelyVax (hypo)'!DI61,'Scen NotEffectivelyVax (hypo)'!DL61,'Scen NotEffectivelyVax (hypo)'!DO61,'Scen NotEffectivelyVax (hypo)'!DR61,'Scen NotEffectivelyVax (hypo)'!DU61,'Scen NotEffectivelyVax (hypo)'!DX61,'Scen NotEffectivelyVax (hypo)'!EA61,'Scen NotEffectivelyVax (hypo)'!ED61,'Scen NotEffectivelyVax (hypo)'!EG61,'Scen NotEffectivelyVax (hypo)'!EJ61,'Scen NotEffectivelyVax (hypo)'!EM61,'Scen NotEffectivelyVax (hypo)'!EP61,'Scen NotEffectivelyVax (hypo)'!ES61,'Scen NotEffectivelyVax (hypo)'!EV61,'Scen NotEffectivelyVax (hypo)'!EY61,'Scen NotEffectivelyVax (hypo)'!FB61,'Scen NotEffectivelyVax (hypo)'!FE61,'Scen NotEffectivelyVax (hypo)'!FH61,'Scen NotEffectivelyVax (hypo)'!FK61,'Scen NotEffectivelyVax (hypo)'!FN61,'Scen NotEffectivelyVax (hypo)'!FQ61,'Scen NotEffectivelyVax (hypo)'!FT61,'Scen NotEffectivelyVax (hypo)'!FW61,'Scen NotEffectivelyVax (hypo)'!FZ61)</f>
        <v>#VALUE!</v>
      </c>
      <c r="Y61" s="142" t="e">
        <f t="shared" si="1"/>
        <v>#VALUE!</v>
      </c>
      <c r="Z61" s="142" t="e">
        <f>IF(Export!M59&lt;&gt;"",W61*Export!K59*(1/Export!M59),W61*Export!K59)</f>
        <v>#VALUE!</v>
      </c>
      <c r="AA61" s="139" t="e">
        <f>Y61*Export!J59</f>
        <v>#VALUE!</v>
      </c>
      <c r="AC61" s="143" t="e">
        <f t="shared" si="2"/>
        <v>#VALUE!</v>
      </c>
      <c r="AD61" s="144" t="e">
        <f t="shared" si="19"/>
        <v>#VALUE!</v>
      </c>
      <c r="AE61" s="144" t="e">
        <f t="shared" si="3"/>
        <v>#VALUE!</v>
      </c>
      <c r="AF61" s="144" t="e">
        <f t="shared" si="4"/>
        <v>#VALUE!</v>
      </c>
      <c r="AG61" s="144" t="e">
        <f t="shared" si="5"/>
        <v>#VALUE!</v>
      </c>
      <c r="AH61" s="145"/>
      <c r="AI61" s="145"/>
      <c r="AJ61" s="145"/>
      <c r="AK61" s="145"/>
      <c r="AL61" s="146"/>
      <c r="AM61" s="145"/>
      <c r="AN61" s="145"/>
      <c r="AO61" s="145"/>
      <c r="AP61" s="145"/>
      <c r="AQ61" s="146"/>
      <c r="AR61" s="150"/>
      <c r="AS61" s="150"/>
      <c r="AT61" s="150"/>
      <c r="AU61" s="150"/>
      <c r="AV61" s="151"/>
    </row>
    <row r="62" spans="1:48" x14ac:dyDescent="0.35">
      <c r="A62" s="130">
        <f>EffectivelyVax!B61</f>
        <v>4</v>
      </c>
      <c r="B62" s="131" t="str">
        <f>EffectivelyVax!C61</f>
        <v/>
      </c>
      <c r="C62" s="132" t="str">
        <f>Export!N60</f>
        <v/>
      </c>
      <c r="D62" s="133" t="str">
        <f>IF(Inputs!$F$10="1. Actual program", 'Current vaccine model'!W62, Export!C60)</f>
        <v/>
      </c>
      <c r="E62" s="133" t="e">
        <f>D62*Export!L60</f>
        <v>#VALUE!</v>
      </c>
      <c r="F62" s="133" t="e">
        <f t="shared" si="18"/>
        <v>#VALUE!</v>
      </c>
      <c r="G62" s="133" t="e">
        <f>IF(Export!M60&lt;&gt;"",D62*Export!K60*(1/Export!M60),D62*Export!K60)</f>
        <v>#VALUE!</v>
      </c>
      <c r="H62" s="133" t="e">
        <f>F62*Export!J60</f>
        <v>#VALUE!</v>
      </c>
      <c r="I62" s="133" t="e">
        <f t="shared" si="14"/>
        <v>#VALUE!</v>
      </c>
      <c r="J62" s="134" t="e">
        <f t="shared" si="8"/>
        <v>#VALUE!</v>
      </c>
      <c r="K62" s="135" t="e">
        <f t="shared" si="9"/>
        <v>#VALUE!</v>
      </c>
      <c r="L62" s="117">
        <f>'Scen EffectivelyVax'!A61</f>
        <v>0</v>
      </c>
      <c r="M62" s="115" t="e">
        <f>C62*L62*HelperFunctions!G$59</f>
        <v>#VALUE!</v>
      </c>
      <c r="N62" s="116" t="e">
        <f>C62*L62*(1-HelperFunctions!G$59)</f>
        <v>#VALUE!</v>
      </c>
      <c r="O62" s="136" t="e">
        <f t="shared" si="15"/>
        <v>#DIV/0!</v>
      </c>
      <c r="P62" s="137">
        <f>SUM('Scen EffectivelyVax'!D61:BK61)</f>
        <v>0</v>
      </c>
      <c r="Q62" s="138" t="e">
        <f t="shared" si="11"/>
        <v>#DIV/0!</v>
      </c>
      <c r="R62" s="138" t="e">
        <f t="shared" si="12"/>
        <v>#DIV/0!</v>
      </c>
      <c r="S62" s="137" t="e">
        <f t="shared" si="0"/>
        <v>#DIV/0!</v>
      </c>
      <c r="T62" s="138" t="e">
        <f>IF(Export!M60&lt;&gt;"",Q62*Export!K60*(1/Export!M60),Q62*Export!K60)</f>
        <v>#DIV/0!</v>
      </c>
      <c r="U62" s="139" t="e">
        <f>S62*Export!J60</f>
        <v>#DIV/0!</v>
      </c>
      <c r="V62" s="140" t="e">
        <f>SUM('Scen NotEffectivelyVax (hypo)'!F62,'Scen NotEffectivelyVax (hypo)'!I62,'Scen NotEffectivelyVax (hypo)'!L62,'Scen NotEffectivelyVax (hypo)'!O62,'Scen NotEffectivelyVax (hypo)'!R62,'Scen NotEffectivelyVax (hypo)'!U62,'Scen NotEffectivelyVax (hypo)'!X62,'Scen NotEffectivelyVax (hypo)'!AA62,'Scen NotEffectivelyVax (hypo)'!AD62,'Scen NotEffectivelyVax (hypo)'!AG62,'Scen NotEffectivelyVax (hypo)'!AJ62,'Scen NotEffectivelyVax (hypo)'!AM62,'Scen NotEffectivelyVax (hypo)'!AP62,'Scen NotEffectivelyVax (hypo)'!AS62,'Scen NotEffectivelyVax (hypo)'!AV62,'Scen NotEffectivelyVax (hypo)'!AY62,'Scen NotEffectivelyVax (hypo)'!BB62,'Scen NotEffectivelyVax (hypo)'!BE62,'Scen NotEffectivelyVax (hypo)'!BH62,'Scen NotEffectivelyVax (hypo)'!BK62,'Scen NotEffectivelyVax (hypo)'!BN62,'Scen NotEffectivelyVax (hypo)'!BQ62,'Scen NotEffectivelyVax (hypo)'!BT62,'Scen NotEffectivelyVax (hypo)'!BW62,'Scen NotEffectivelyVax (hypo)'!BZ62,'Scen NotEffectivelyVax (hypo)'!CC62,'Scen NotEffectivelyVax (hypo)'!CF62,'Scen NotEffectivelyVax (hypo)'!CI62,'Scen NotEffectivelyVax (hypo)'!CL62,'Scen NotEffectivelyVax (hypo)'!CO62,'Scen NotEffectivelyVax (hypo)'!CR62,'Scen NotEffectivelyVax (hypo)'!CU62,'Scen NotEffectivelyVax (hypo)'!CX62,'Scen NotEffectivelyVax (hypo)'!DA62,'Scen NotEffectivelyVax (hypo)'!DD62,'Scen NotEffectivelyVax (hypo)'!DG62,'Scen NotEffectivelyVax (hypo)'!DJ62,'Scen NotEffectivelyVax (hypo)'!DM62,'Scen NotEffectivelyVax (hypo)'!DQ62,'Scen NotEffectivelyVax (hypo)'!DP62,'Scen NotEffectivelyVax (hypo)'!DS62,'Scen NotEffectivelyVax (hypo)'!DV62,'Scen NotEffectivelyVax (hypo)'!DY62,'Scen NotEffectivelyVax (hypo)'!EB62,'Scen NotEffectivelyVax (hypo)'!EE62,'Scen NotEffectivelyVax (hypo)'!EH62,'Scen NotEffectivelyVax (hypo)'!EK62,'Scen NotEffectivelyVax (hypo)'!EN62,'Scen NotEffectivelyVax (hypo)'!EQ62,'Scen NotEffectivelyVax (hypo)'!ET62,'Scen NotEffectivelyVax (hypo)'!EW62,'Scen NotEffectivelyVax (hypo)'!EZ62,'Scen NotEffectivelyVax (hypo)'!FC62,'Scen NotEffectivelyVax (hypo)'!FF62,'Scen NotEffectivelyVax (hypo)'!FI62,'Scen NotEffectivelyVax (hypo)'!FL62,'Scen NotEffectivelyVax (hypo)'!FO62,'Scen NotEffectivelyVax (hypo)'!FR62,'Scen NotEffectivelyVax (hypo)'!FU62,'Scen NotEffectivelyVax (hypo)'!FX62,'Scen NotEffectivelyVax (hypo)'!GA62)</f>
        <v>#VALUE!</v>
      </c>
      <c r="W62" s="141" t="e">
        <f>SUM('Scen NotEffectivelyVax (hypo)'!D62,'Scen NotEffectivelyVax (hypo)'!G62,'Scen NotEffectivelyVax (hypo)'!J62,'Scen NotEffectivelyVax (hypo)'!M62,'Scen NotEffectivelyVax (hypo)'!P62,'Scen NotEffectivelyVax (hypo)'!S62,'Scen NotEffectivelyVax (hypo)'!V62,'Scen NotEffectivelyVax (hypo)'!Y62,'Scen NotEffectivelyVax (hypo)'!AB62,'Scen NotEffectivelyVax (hypo)'!AE62,'Scen NotEffectivelyVax (hypo)'!AH62,'Scen NotEffectivelyVax (hypo)'!AK62,'Scen NotEffectivelyVax (hypo)'!AN62,'Scen NotEffectivelyVax (hypo)'!AQ62,'Scen NotEffectivelyVax (hypo)'!AT62,'Scen NotEffectivelyVax (hypo)'!AW62,'Scen NotEffectivelyVax (hypo)'!AZ62,'Scen NotEffectivelyVax (hypo)'!BC62,'Scen NotEffectivelyVax (hypo)'!BF62,'Scen NotEffectivelyVax (hypo)'!BI62,'Scen NotEffectivelyVax (hypo)'!BL62,'Scen NotEffectivelyVax (hypo)'!BO62,'Scen NotEffectivelyVax (hypo)'!BR62,'Scen NotEffectivelyVax (hypo)'!BU62,'Scen NotEffectivelyVax (hypo)'!BX62,'Scen NotEffectivelyVax (hypo)'!CA62,'Scen NotEffectivelyVax (hypo)'!CD62,'Scen NotEffectivelyVax (hypo)'!CG62,'Scen NotEffectivelyVax (hypo)'!CJ62,'Scen NotEffectivelyVax (hypo)'!CM62,'Scen NotEffectivelyVax (hypo)'!CP62,'Scen NotEffectivelyVax (hypo)'!CS62,'Scen NotEffectivelyVax (hypo)'!CV62,'Scen NotEffectivelyVax (hypo)'!CY62,'Scen NotEffectivelyVax (hypo)'!DB62,'Scen NotEffectivelyVax (hypo)'!DE62,'Scen NotEffectivelyVax (hypo)'!DH62,'Scen NotEffectivelyVax (hypo)'!DK62,'Scen NotEffectivelyVax (hypo)'!DN62,'Scen NotEffectivelyVax (hypo)'!DQ62,'Scen NotEffectivelyVax (hypo)'!DT62,'Scen NotEffectivelyVax (hypo)'!DW62,'Scen NotEffectivelyVax (hypo)'!DZ62,'Scen NotEffectivelyVax (hypo)'!EC62,'Scen NotEffectivelyVax (hypo)'!EF62,'Scen NotEffectivelyVax (hypo)'!EI62,'Scen NotEffectivelyVax (hypo)'!EL62,'Scen NotEffectivelyVax (hypo)'!EO62,'Scen NotEffectivelyVax (hypo)'!ER62,'Scen NotEffectivelyVax (hypo)'!EU62,'Scen NotEffectivelyVax (hypo)'!EX62,'Scen NotEffectivelyVax (hypo)'!FA62,'Scen NotEffectivelyVax (hypo)'!FD62,'Scen NotEffectivelyVax (hypo)'!FG62,'Scen NotEffectivelyVax (hypo)'!FJ62,'Scen NotEffectivelyVax (hypo)'!FM62,'Scen NotEffectivelyVax (hypo)'!FP62,'Scen NotEffectivelyVax (hypo)'!FS62,'Scen NotEffectivelyVax (hypo)'!FV62,'Scen NotEffectivelyVax (hypo)'!FY62)</f>
        <v>#VALUE!</v>
      </c>
      <c r="X62" s="141" t="e">
        <f>SUM('Scen NotEffectivelyVax (hypo)'!E62,'Scen NotEffectivelyVax (hypo)'!H62,'Scen NotEffectivelyVax (hypo)'!K62,'Scen NotEffectivelyVax (hypo)'!N62,'Scen NotEffectivelyVax (hypo)'!Q62,'Scen NotEffectivelyVax (hypo)'!T62,'Scen NotEffectivelyVax (hypo)'!Z62,'Scen NotEffectivelyVax (hypo)'!W62,'Scen NotEffectivelyVax (hypo)'!AC62,'Scen NotEffectivelyVax (hypo)'!AF62,'Scen NotEffectivelyVax (hypo)'!AI62,'Scen NotEffectivelyVax (hypo)'!AL62,'Scen NotEffectivelyVax (hypo)'!AO62,'Scen NotEffectivelyVax (hypo)'!AR62,'Scen NotEffectivelyVax (hypo)'!AU62,'Scen NotEffectivelyVax (hypo)'!AX62,'Scen NotEffectivelyVax (hypo)'!BA62,'Scen NotEffectivelyVax (hypo)'!BD62,'Scen NotEffectivelyVax (hypo)'!BG62,'Scen NotEffectivelyVax (hypo)'!BJ62,'Scen NotEffectivelyVax (hypo)'!BM62,'Scen NotEffectivelyVax (hypo)'!BP62,'Scen NotEffectivelyVax (hypo)'!BS62,'Scen NotEffectivelyVax (hypo)'!BV62,'Scen NotEffectivelyVax (hypo)'!BY62,'Scen NotEffectivelyVax (hypo)'!CB62,'Scen NotEffectivelyVax (hypo)'!CE62,'Scen NotEffectivelyVax (hypo)'!CH62,'Scen NotEffectivelyVax (hypo)'!CK62,'Scen NotEffectivelyVax (hypo)'!CN62,'Scen NotEffectivelyVax (hypo)'!CQ62,'Scen NotEffectivelyVax (hypo)'!CT62,'Scen NotEffectivelyVax (hypo)'!CW62,'Scen NotEffectivelyVax (hypo)'!CZ62,'Scen NotEffectivelyVax (hypo)'!DC62,'Scen NotEffectivelyVax (hypo)'!DF62,'Scen NotEffectivelyVax (hypo)'!DI62,'Scen NotEffectivelyVax (hypo)'!DL62,'Scen NotEffectivelyVax (hypo)'!DO62,'Scen NotEffectivelyVax (hypo)'!DR62,'Scen NotEffectivelyVax (hypo)'!DU62,'Scen NotEffectivelyVax (hypo)'!DX62,'Scen NotEffectivelyVax (hypo)'!EA62,'Scen NotEffectivelyVax (hypo)'!ED62,'Scen NotEffectivelyVax (hypo)'!EG62,'Scen NotEffectivelyVax (hypo)'!EJ62,'Scen NotEffectivelyVax (hypo)'!EM62,'Scen NotEffectivelyVax (hypo)'!EP62,'Scen NotEffectivelyVax (hypo)'!ES62,'Scen NotEffectivelyVax (hypo)'!EV62,'Scen NotEffectivelyVax (hypo)'!EY62,'Scen NotEffectivelyVax (hypo)'!FB62,'Scen NotEffectivelyVax (hypo)'!FE62,'Scen NotEffectivelyVax (hypo)'!FH62,'Scen NotEffectivelyVax (hypo)'!FK62,'Scen NotEffectivelyVax (hypo)'!FN62,'Scen NotEffectivelyVax (hypo)'!FQ62,'Scen NotEffectivelyVax (hypo)'!FT62,'Scen NotEffectivelyVax (hypo)'!FW62,'Scen NotEffectivelyVax (hypo)'!FZ62)</f>
        <v>#VALUE!</v>
      </c>
      <c r="Y62" s="142" t="e">
        <f t="shared" si="1"/>
        <v>#VALUE!</v>
      </c>
      <c r="Z62" s="142" t="e">
        <f>IF(Export!M60&lt;&gt;"",W62*Export!K60*(1/Export!M60),W62*Export!K60)</f>
        <v>#VALUE!</v>
      </c>
      <c r="AA62" s="139" t="e">
        <f>Y62*Export!J60</f>
        <v>#VALUE!</v>
      </c>
      <c r="AC62" s="143" t="e">
        <f t="shared" si="2"/>
        <v>#VALUE!</v>
      </c>
      <c r="AD62" s="144" t="e">
        <f t="shared" si="19"/>
        <v>#VALUE!</v>
      </c>
      <c r="AE62" s="144" t="e">
        <f t="shared" si="3"/>
        <v>#VALUE!</v>
      </c>
      <c r="AF62" s="144" t="e">
        <f t="shared" si="4"/>
        <v>#VALUE!</v>
      </c>
      <c r="AG62" s="144" t="e">
        <f t="shared" si="5"/>
        <v>#VALUE!</v>
      </c>
      <c r="AH62" s="145"/>
      <c r="AI62" s="145"/>
      <c r="AJ62" s="145"/>
      <c r="AK62" s="145"/>
      <c r="AL62" s="146"/>
      <c r="AM62" s="145"/>
      <c r="AN62" s="145"/>
      <c r="AO62" s="145"/>
      <c r="AP62" s="145"/>
      <c r="AQ62" s="146"/>
      <c r="AR62" s="150"/>
      <c r="AS62" s="150"/>
      <c r="AT62" s="150"/>
      <c r="AU62" s="150"/>
      <c r="AV62" s="151"/>
    </row>
    <row r="63" spans="1:48" ht="15.75" customHeight="1" x14ac:dyDescent="0.35">
      <c r="A63" s="95">
        <f>EffectivelyVax!B62</f>
        <v>4</v>
      </c>
      <c r="B63" s="96" t="str">
        <f>EffectivelyVax!C62</f>
        <v/>
      </c>
      <c r="C63" s="97" t="str">
        <f>Export!N61</f>
        <v/>
      </c>
      <c r="D63" s="98" t="str">
        <f>IF(Inputs!$F$10="1. Actual program", 'Current vaccine model'!W63, Export!C61)</f>
        <v/>
      </c>
      <c r="E63" s="98" t="e">
        <f>D63*Export!L61</f>
        <v>#VALUE!</v>
      </c>
      <c r="F63" s="98" t="e">
        <f t="shared" si="18"/>
        <v>#VALUE!</v>
      </c>
      <c r="G63" s="98" t="e">
        <f>IF(Export!M61&lt;&gt;"",D63*Export!K61*(1/Export!M61),D63*Export!K61)</f>
        <v>#VALUE!</v>
      </c>
      <c r="H63" s="98" t="e">
        <f>F63*Export!J61</f>
        <v>#VALUE!</v>
      </c>
      <c r="I63" s="133" t="e">
        <f t="shared" si="14"/>
        <v>#VALUE!</v>
      </c>
      <c r="J63" s="99" t="e">
        <f t="shared" si="8"/>
        <v>#VALUE!</v>
      </c>
      <c r="K63" s="100" t="e">
        <f t="shared" si="9"/>
        <v>#VALUE!</v>
      </c>
      <c r="L63" s="117">
        <f>'Scen EffectivelyVax'!A62</f>
        <v>0</v>
      </c>
      <c r="M63" s="102" t="e">
        <f>C63*L63*HelperFunctions!G$59</f>
        <v>#VALUE!</v>
      </c>
      <c r="N63" s="103" t="e">
        <f>C63*L63*(1-HelperFunctions!G$59)</f>
        <v>#VALUE!</v>
      </c>
      <c r="O63" s="136" t="e">
        <f t="shared" si="15"/>
        <v>#DIV/0!</v>
      </c>
      <c r="P63" s="137">
        <f>SUM('Scen EffectivelyVax'!D62:BK62)</f>
        <v>0</v>
      </c>
      <c r="Q63" s="106" t="e">
        <f t="shared" si="11"/>
        <v>#DIV/0!</v>
      </c>
      <c r="R63" s="106" t="e">
        <f t="shared" si="12"/>
        <v>#DIV/0!</v>
      </c>
      <c r="S63" s="105" t="e">
        <f t="shared" si="0"/>
        <v>#DIV/0!</v>
      </c>
      <c r="T63" s="106" t="e">
        <f>IF(Export!M61&lt;&gt;"",Q63*Export!K61*(1/Export!M61),Q63*Export!K61)</f>
        <v>#DIV/0!</v>
      </c>
      <c r="U63" s="107" t="e">
        <f>S63*Export!J61</f>
        <v>#DIV/0!</v>
      </c>
      <c r="V63" s="140" t="e">
        <f>SUM('Scen NotEffectivelyVax (hypo)'!F63,'Scen NotEffectivelyVax (hypo)'!I63,'Scen NotEffectivelyVax (hypo)'!L63,'Scen NotEffectivelyVax (hypo)'!O63,'Scen NotEffectivelyVax (hypo)'!R63,'Scen NotEffectivelyVax (hypo)'!U63,'Scen NotEffectivelyVax (hypo)'!X63,'Scen NotEffectivelyVax (hypo)'!AA63,'Scen NotEffectivelyVax (hypo)'!AD63,'Scen NotEffectivelyVax (hypo)'!AG63,'Scen NotEffectivelyVax (hypo)'!AJ63,'Scen NotEffectivelyVax (hypo)'!AM63,'Scen NotEffectivelyVax (hypo)'!AP63,'Scen NotEffectivelyVax (hypo)'!AS63,'Scen NotEffectivelyVax (hypo)'!AV63,'Scen NotEffectivelyVax (hypo)'!AY63,'Scen NotEffectivelyVax (hypo)'!BB63,'Scen NotEffectivelyVax (hypo)'!BE63,'Scen NotEffectivelyVax (hypo)'!BH63,'Scen NotEffectivelyVax (hypo)'!BK63,'Scen NotEffectivelyVax (hypo)'!BN63,'Scen NotEffectivelyVax (hypo)'!BQ63,'Scen NotEffectivelyVax (hypo)'!BT63,'Scen NotEffectivelyVax (hypo)'!BW63,'Scen NotEffectivelyVax (hypo)'!BZ63,'Scen NotEffectivelyVax (hypo)'!CC63,'Scen NotEffectivelyVax (hypo)'!CF63,'Scen NotEffectivelyVax (hypo)'!CI63,'Scen NotEffectivelyVax (hypo)'!CL63,'Scen NotEffectivelyVax (hypo)'!CO63,'Scen NotEffectivelyVax (hypo)'!CR63,'Scen NotEffectivelyVax (hypo)'!CU63,'Scen NotEffectivelyVax (hypo)'!CX63,'Scen NotEffectivelyVax (hypo)'!DA63,'Scen NotEffectivelyVax (hypo)'!DD63,'Scen NotEffectivelyVax (hypo)'!DG63,'Scen NotEffectivelyVax (hypo)'!DJ63,'Scen NotEffectivelyVax (hypo)'!DM63,'Scen NotEffectivelyVax (hypo)'!DQ63,'Scen NotEffectivelyVax (hypo)'!DP63,'Scen NotEffectivelyVax (hypo)'!DS63,'Scen NotEffectivelyVax (hypo)'!DV63,'Scen NotEffectivelyVax (hypo)'!DY63,'Scen NotEffectivelyVax (hypo)'!EB63,'Scen NotEffectivelyVax (hypo)'!EE63,'Scen NotEffectivelyVax (hypo)'!EH63,'Scen NotEffectivelyVax (hypo)'!EK63,'Scen NotEffectivelyVax (hypo)'!EN63,'Scen NotEffectivelyVax (hypo)'!EQ63,'Scen NotEffectivelyVax (hypo)'!ET63,'Scen NotEffectivelyVax (hypo)'!EW63,'Scen NotEffectivelyVax (hypo)'!EZ63,'Scen NotEffectivelyVax (hypo)'!FC63,'Scen NotEffectivelyVax (hypo)'!FF63,'Scen NotEffectivelyVax (hypo)'!FI63,'Scen NotEffectivelyVax (hypo)'!FL63,'Scen NotEffectivelyVax (hypo)'!FO63,'Scen NotEffectivelyVax (hypo)'!FR63,'Scen NotEffectivelyVax (hypo)'!FU63,'Scen NotEffectivelyVax (hypo)'!FX63,'Scen NotEffectivelyVax (hypo)'!GA63)</f>
        <v>#VALUE!</v>
      </c>
      <c r="W63" s="141" t="e">
        <f>SUM('Scen NotEffectivelyVax (hypo)'!D63,'Scen NotEffectivelyVax (hypo)'!G63,'Scen NotEffectivelyVax (hypo)'!J63,'Scen NotEffectivelyVax (hypo)'!M63,'Scen NotEffectivelyVax (hypo)'!P63,'Scen NotEffectivelyVax (hypo)'!S63,'Scen NotEffectivelyVax (hypo)'!V63,'Scen NotEffectivelyVax (hypo)'!Y63,'Scen NotEffectivelyVax (hypo)'!AB63,'Scen NotEffectivelyVax (hypo)'!AE63,'Scen NotEffectivelyVax (hypo)'!AH63,'Scen NotEffectivelyVax (hypo)'!AK63,'Scen NotEffectivelyVax (hypo)'!AN63,'Scen NotEffectivelyVax (hypo)'!AQ63,'Scen NotEffectivelyVax (hypo)'!AT63,'Scen NotEffectivelyVax (hypo)'!AW63,'Scen NotEffectivelyVax (hypo)'!AZ63,'Scen NotEffectivelyVax (hypo)'!BC63,'Scen NotEffectivelyVax (hypo)'!BF63,'Scen NotEffectivelyVax (hypo)'!BI63,'Scen NotEffectivelyVax (hypo)'!BL63,'Scen NotEffectivelyVax (hypo)'!BO63,'Scen NotEffectivelyVax (hypo)'!BR63,'Scen NotEffectivelyVax (hypo)'!BU63,'Scen NotEffectivelyVax (hypo)'!BX63,'Scen NotEffectivelyVax (hypo)'!CA63,'Scen NotEffectivelyVax (hypo)'!CD63,'Scen NotEffectivelyVax (hypo)'!CG63,'Scen NotEffectivelyVax (hypo)'!CJ63,'Scen NotEffectivelyVax (hypo)'!CM63,'Scen NotEffectivelyVax (hypo)'!CP63,'Scen NotEffectivelyVax (hypo)'!CS63,'Scen NotEffectivelyVax (hypo)'!CV63,'Scen NotEffectivelyVax (hypo)'!CY63,'Scen NotEffectivelyVax (hypo)'!DB63,'Scen NotEffectivelyVax (hypo)'!DE63,'Scen NotEffectivelyVax (hypo)'!DH63,'Scen NotEffectivelyVax (hypo)'!DK63,'Scen NotEffectivelyVax (hypo)'!DN63,'Scen NotEffectivelyVax (hypo)'!DQ63,'Scen NotEffectivelyVax (hypo)'!DT63,'Scen NotEffectivelyVax (hypo)'!DW63,'Scen NotEffectivelyVax (hypo)'!DZ63,'Scen NotEffectivelyVax (hypo)'!EC63,'Scen NotEffectivelyVax (hypo)'!EF63,'Scen NotEffectivelyVax (hypo)'!EI63,'Scen NotEffectivelyVax (hypo)'!EL63,'Scen NotEffectivelyVax (hypo)'!EO63,'Scen NotEffectivelyVax (hypo)'!ER63,'Scen NotEffectivelyVax (hypo)'!EU63,'Scen NotEffectivelyVax (hypo)'!EX63,'Scen NotEffectivelyVax (hypo)'!FA63,'Scen NotEffectivelyVax (hypo)'!FD63,'Scen NotEffectivelyVax (hypo)'!FG63,'Scen NotEffectivelyVax (hypo)'!FJ63,'Scen NotEffectivelyVax (hypo)'!FM63,'Scen NotEffectivelyVax (hypo)'!FP63,'Scen NotEffectivelyVax (hypo)'!FS63,'Scen NotEffectivelyVax (hypo)'!FV63,'Scen NotEffectivelyVax (hypo)'!FY63)</f>
        <v>#VALUE!</v>
      </c>
      <c r="X63" s="141" t="e">
        <f>SUM('Scen NotEffectivelyVax (hypo)'!E63,'Scen NotEffectivelyVax (hypo)'!H63,'Scen NotEffectivelyVax (hypo)'!K63,'Scen NotEffectivelyVax (hypo)'!N63,'Scen NotEffectivelyVax (hypo)'!Q63,'Scen NotEffectivelyVax (hypo)'!T63,'Scen NotEffectivelyVax (hypo)'!Z63,'Scen NotEffectivelyVax (hypo)'!W63,'Scen NotEffectivelyVax (hypo)'!AC63,'Scen NotEffectivelyVax (hypo)'!AF63,'Scen NotEffectivelyVax (hypo)'!AI63,'Scen NotEffectivelyVax (hypo)'!AL63,'Scen NotEffectivelyVax (hypo)'!AO63,'Scen NotEffectivelyVax (hypo)'!AR63,'Scen NotEffectivelyVax (hypo)'!AU63,'Scen NotEffectivelyVax (hypo)'!AX63,'Scen NotEffectivelyVax (hypo)'!BA63,'Scen NotEffectivelyVax (hypo)'!BD63,'Scen NotEffectivelyVax (hypo)'!BG63,'Scen NotEffectivelyVax (hypo)'!BJ63,'Scen NotEffectivelyVax (hypo)'!BM63,'Scen NotEffectivelyVax (hypo)'!BP63,'Scen NotEffectivelyVax (hypo)'!BS63,'Scen NotEffectivelyVax (hypo)'!BV63,'Scen NotEffectivelyVax (hypo)'!BY63,'Scen NotEffectivelyVax (hypo)'!CB63,'Scen NotEffectivelyVax (hypo)'!CE63,'Scen NotEffectivelyVax (hypo)'!CH63,'Scen NotEffectivelyVax (hypo)'!CK63,'Scen NotEffectivelyVax (hypo)'!CN63,'Scen NotEffectivelyVax (hypo)'!CQ63,'Scen NotEffectivelyVax (hypo)'!CT63,'Scen NotEffectivelyVax (hypo)'!CW63,'Scen NotEffectivelyVax (hypo)'!CZ63,'Scen NotEffectivelyVax (hypo)'!DC63,'Scen NotEffectivelyVax (hypo)'!DF63,'Scen NotEffectivelyVax (hypo)'!DI63,'Scen NotEffectivelyVax (hypo)'!DL63,'Scen NotEffectivelyVax (hypo)'!DO63,'Scen NotEffectivelyVax (hypo)'!DR63,'Scen NotEffectivelyVax (hypo)'!DU63,'Scen NotEffectivelyVax (hypo)'!DX63,'Scen NotEffectivelyVax (hypo)'!EA63,'Scen NotEffectivelyVax (hypo)'!ED63,'Scen NotEffectivelyVax (hypo)'!EG63,'Scen NotEffectivelyVax (hypo)'!EJ63,'Scen NotEffectivelyVax (hypo)'!EM63,'Scen NotEffectivelyVax (hypo)'!EP63,'Scen NotEffectivelyVax (hypo)'!ES63,'Scen NotEffectivelyVax (hypo)'!EV63,'Scen NotEffectivelyVax (hypo)'!EY63,'Scen NotEffectivelyVax (hypo)'!FB63,'Scen NotEffectivelyVax (hypo)'!FE63,'Scen NotEffectivelyVax (hypo)'!FH63,'Scen NotEffectivelyVax (hypo)'!FK63,'Scen NotEffectivelyVax (hypo)'!FN63,'Scen NotEffectivelyVax (hypo)'!FQ63,'Scen NotEffectivelyVax (hypo)'!FT63,'Scen NotEffectivelyVax (hypo)'!FW63,'Scen NotEffectivelyVax (hypo)'!FZ63)</f>
        <v>#VALUE!</v>
      </c>
      <c r="Y63" s="110" t="e">
        <f t="shared" si="1"/>
        <v>#VALUE!</v>
      </c>
      <c r="Z63" s="110" t="e">
        <f>IF(Export!M61&lt;&gt;"",W63*Export!K61*(1/Export!M61),W63*Export!K61)</f>
        <v>#VALUE!</v>
      </c>
      <c r="AA63" s="107" t="e">
        <f>Y63*Export!J61</f>
        <v>#VALUE!</v>
      </c>
      <c r="AC63" s="156" t="e">
        <f t="shared" si="2"/>
        <v>#VALUE!</v>
      </c>
      <c r="AD63" s="157" t="e">
        <f t="shared" si="19"/>
        <v>#VALUE!</v>
      </c>
      <c r="AE63" s="157" t="e">
        <f t="shared" si="3"/>
        <v>#VALUE!</v>
      </c>
      <c r="AF63" s="157" t="e">
        <f t="shared" si="4"/>
        <v>#VALUE!</v>
      </c>
      <c r="AG63" s="157" t="e">
        <f t="shared" si="5"/>
        <v>#VALUE!</v>
      </c>
      <c r="AH63" s="268" t="e">
        <f>SUM(AC52:AC63)</f>
        <v>#VALUE!</v>
      </c>
      <c r="AI63" s="268" t="e">
        <f t="shared" ref="AI63" si="39">SUM(AD52:AD63)</f>
        <v>#VALUE!</v>
      </c>
      <c r="AJ63" s="268" t="e">
        <f t="shared" ref="AJ63" si="40">SUM(AE52:AE63)</f>
        <v>#VALUE!</v>
      </c>
      <c r="AK63" s="268" t="e">
        <f t="shared" ref="AK63" si="41">SUM(AF52:AF63)</f>
        <v>#VALUE!</v>
      </c>
      <c r="AL63" s="268" t="e">
        <f t="shared" ref="AL63" si="42">SUM(AG52:AG63)</f>
        <v>#VALUE!</v>
      </c>
      <c r="AM63" s="147" t="e">
        <f>SUM(AC52:AC63)/SUM(D52:D63)</f>
        <v>#VALUE!</v>
      </c>
      <c r="AN63" s="147" t="e">
        <f>SUM(AD52:AD63)/SUM(E52:E63)</f>
        <v>#VALUE!</v>
      </c>
      <c r="AO63" s="112" t="e">
        <f>SUM(AE52:AE63)/SUM(G52:G63)</f>
        <v>#VALUE!</v>
      </c>
      <c r="AP63" s="112" t="e">
        <f>SUM(AF52:AF63)/SUM(H52:H63)</f>
        <v>#VALUE!</v>
      </c>
      <c r="AQ63" s="111" t="e">
        <f>SUM(AG52:AG63)/SUM(F52:F63)</f>
        <v>#VALUE!</v>
      </c>
      <c r="AR63" s="148" t="e">
        <f>SUM($M52:$N63)/SUM(AC52:AC63)</f>
        <v>#VALUE!</v>
      </c>
      <c r="AS63" s="148" t="e">
        <f t="shared" ref="AS63" si="43">SUM($M52:$N63)/SUM(AD52:AD63)</f>
        <v>#VALUE!</v>
      </c>
      <c r="AT63" s="148" t="e">
        <f t="shared" ref="AT63" si="44">SUM($M52:$N63)/SUM(AE52:AE63)</f>
        <v>#VALUE!</v>
      </c>
      <c r="AU63" s="148" t="e">
        <f t="shared" ref="AU63" si="45">SUM($M52:$N63)/SUM(AF52:AF63)</f>
        <v>#VALUE!</v>
      </c>
      <c r="AV63" s="149" t="e">
        <f>SUM($M52:$N63)/SUM(AC52:AD63)</f>
        <v>#VALUE!</v>
      </c>
    </row>
    <row r="64" spans="1:48" ht="15.75" customHeight="1" x14ac:dyDescent="0.35">
      <c r="A64" s="342" t="s">
        <v>310</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35">
      <c r="AB65" s="114"/>
    </row>
    <row r="66" spans="28:28" x14ac:dyDescent="0.35">
      <c r="AB66" s="114"/>
    </row>
  </sheetData>
  <mergeCells count="9">
    <mergeCell ref="AR2:AV2"/>
    <mergeCell ref="A64:B64"/>
    <mergeCell ref="AH2:AL2"/>
    <mergeCell ref="A2:B2"/>
    <mergeCell ref="C2:K2"/>
    <mergeCell ref="L2:N2"/>
    <mergeCell ref="O2:AA2"/>
    <mergeCell ref="AC2:AG2"/>
    <mergeCell ref="AM2:AQ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5"/>
  </sheetPr>
  <dimension ref="A1:BS317"/>
  <sheetViews>
    <sheetView topLeftCell="E19" zoomScale="55" zoomScaleNormal="55" workbookViewId="0">
      <selection activeCell="I34" sqref="I34"/>
    </sheetView>
  </sheetViews>
  <sheetFormatPr defaultColWidth="10.90625" defaultRowHeight="14.5" x14ac:dyDescent="0.35"/>
  <cols>
    <col min="1" max="1" width="20.54296875" customWidth="1"/>
    <col min="2" max="6" width="14.54296875" customWidth="1"/>
    <col min="8" max="8" width="20.54296875" customWidth="1"/>
    <col min="9" max="13" width="14.54296875" customWidth="1"/>
    <col min="15" max="15" width="20.54296875" customWidth="1"/>
    <col min="16" max="20" width="14.54296875" customWidth="1"/>
    <col min="22" max="22" width="20.54296875" customWidth="1"/>
    <col min="23" max="27" width="14.54296875" customWidth="1"/>
  </cols>
  <sheetData>
    <row r="1" spans="1:71" ht="18.649999999999999" customHeight="1" x14ac:dyDescent="0.5">
      <c r="A1" s="373" t="s">
        <v>113</v>
      </c>
      <c r="B1" s="373"/>
      <c r="C1" s="373"/>
      <c r="D1" s="373"/>
      <c r="E1" s="373"/>
      <c r="F1" s="373"/>
      <c r="G1" s="269"/>
      <c r="H1" s="373" t="s">
        <v>112</v>
      </c>
      <c r="I1" s="373"/>
      <c r="J1" s="373"/>
      <c r="K1" s="373"/>
      <c r="L1" s="373"/>
      <c r="M1" s="373"/>
      <c r="N1" s="269"/>
      <c r="O1" s="373" t="s">
        <v>111</v>
      </c>
      <c r="P1" s="373"/>
      <c r="Q1" s="373"/>
      <c r="R1" s="373"/>
      <c r="S1" s="373"/>
      <c r="T1" s="373"/>
      <c r="U1" s="269"/>
      <c r="V1" s="373" t="s">
        <v>141</v>
      </c>
      <c r="W1" s="373"/>
      <c r="X1" s="373"/>
      <c r="Y1" s="373"/>
      <c r="Z1" s="373"/>
      <c r="AA1" s="373"/>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c r="BS1" s="52"/>
    </row>
    <row r="2" spans="1:71" ht="21" customHeight="1" x14ac:dyDescent="0.5">
      <c r="A2" s="269"/>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52"/>
      <c r="AC2" s="52"/>
      <c r="AD2" s="52"/>
      <c r="AE2" s="52"/>
      <c r="AF2" s="52"/>
      <c r="AG2" s="52"/>
      <c r="AH2" s="52"/>
      <c r="AI2" s="52"/>
      <c r="AJ2" s="52"/>
      <c r="AK2" s="52"/>
      <c r="AL2" s="52"/>
      <c r="AM2" s="52"/>
      <c r="AN2" s="52"/>
      <c r="AO2" s="52"/>
      <c r="AP2" s="52"/>
      <c r="AQ2" s="52"/>
      <c r="AR2" s="52"/>
      <c r="AS2" s="52"/>
      <c r="AT2" s="52"/>
      <c r="AU2" s="52"/>
      <c r="AV2" s="52"/>
      <c r="AW2" s="52"/>
      <c r="AX2" s="52"/>
      <c r="AY2" s="52"/>
      <c r="AZ2" s="52"/>
      <c r="BA2" s="52"/>
      <c r="BB2" s="52"/>
      <c r="BC2" s="52"/>
      <c r="BD2" s="52"/>
      <c r="BE2" s="52"/>
      <c r="BF2" s="52"/>
      <c r="BG2" s="52"/>
      <c r="BH2" s="52"/>
      <c r="BI2" s="52"/>
      <c r="BJ2" s="52"/>
      <c r="BK2" s="52"/>
      <c r="BL2" s="52"/>
      <c r="BM2" s="52"/>
      <c r="BN2" s="52"/>
      <c r="BO2" s="52"/>
      <c r="BP2" s="52"/>
      <c r="BQ2" s="52"/>
      <c r="BR2" s="52"/>
      <c r="BS2" s="52"/>
    </row>
    <row r="3" spans="1:71" ht="21" customHeight="1" x14ac:dyDescent="0.5">
      <c r="A3" s="250"/>
      <c r="B3" s="374" t="s">
        <v>110</v>
      </c>
      <c r="C3" s="374"/>
      <c r="D3" s="374"/>
      <c r="E3" s="374"/>
      <c r="F3" s="374"/>
      <c r="G3" s="269"/>
      <c r="H3" s="250"/>
      <c r="I3" s="375" t="s">
        <v>110</v>
      </c>
      <c r="J3" s="376"/>
      <c r="K3" s="376"/>
      <c r="L3" s="376"/>
      <c r="M3" s="377"/>
      <c r="N3" s="269"/>
      <c r="O3" s="250"/>
      <c r="P3" s="374" t="s">
        <v>110</v>
      </c>
      <c r="Q3" s="374"/>
      <c r="R3" s="374"/>
      <c r="S3" s="374"/>
      <c r="T3" s="374"/>
      <c r="U3" s="269"/>
      <c r="V3" s="250"/>
      <c r="W3" s="374" t="s">
        <v>110</v>
      </c>
      <c r="X3" s="374"/>
      <c r="Y3" s="374"/>
      <c r="Z3" s="374"/>
      <c r="AA3" s="374"/>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c r="BB3" s="52"/>
      <c r="BC3" s="52"/>
      <c r="BD3" s="52"/>
      <c r="BE3" s="52"/>
      <c r="BF3" s="52"/>
      <c r="BG3" s="52"/>
      <c r="BH3" s="52"/>
      <c r="BI3" s="52"/>
      <c r="BJ3" s="52"/>
      <c r="BK3" s="52"/>
      <c r="BL3" s="52"/>
      <c r="BM3" s="52"/>
      <c r="BN3" s="52"/>
      <c r="BO3" s="52"/>
      <c r="BP3" s="52"/>
      <c r="BQ3" s="52"/>
      <c r="BR3" s="52"/>
      <c r="BS3" s="52"/>
    </row>
    <row r="4" spans="1:71" ht="21" customHeight="1" x14ac:dyDescent="0.5">
      <c r="A4" s="269"/>
      <c r="B4" s="374" t="s">
        <v>105</v>
      </c>
      <c r="C4" s="374"/>
      <c r="D4" s="374"/>
      <c r="E4" s="374"/>
      <c r="F4" s="374"/>
      <c r="G4" s="269"/>
      <c r="H4" s="269"/>
      <c r="I4" s="375" t="s">
        <v>105</v>
      </c>
      <c r="J4" s="376"/>
      <c r="K4" s="376"/>
      <c r="L4" s="376"/>
      <c r="M4" s="377"/>
      <c r="N4" s="269"/>
      <c r="O4" s="269"/>
      <c r="P4" s="374" t="s">
        <v>105</v>
      </c>
      <c r="Q4" s="374"/>
      <c r="R4" s="374"/>
      <c r="S4" s="374"/>
      <c r="T4" s="374"/>
      <c r="U4" s="269"/>
      <c r="V4" s="269"/>
      <c r="W4" s="374" t="s">
        <v>105</v>
      </c>
      <c r="X4" s="374"/>
      <c r="Y4" s="374"/>
      <c r="Z4" s="374"/>
      <c r="AA4" s="374"/>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row>
    <row r="5" spans="1:71" ht="21" customHeight="1" x14ac:dyDescent="0.5">
      <c r="A5" s="269"/>
      <c r="B5" s="305">
        <f>Scenarios!$C$5</f>
        <v>0</v>
      </c>
      <c r="C5" s="270" t="str">
        <f>IF(Scenarios!$C$6="","",Scenarios!$C$6)</f>
        <v/>
      </c>
      <c r="D5" s="270" t="str">
        <f>IF(Scenarios!$C$7="","",Scenarios!$C$7)</f>
        <v/>
      </c>
      <c r="E5" s="270" t="str">
        <f>IF(Scenarios!$C$8="","",Scenarios!$C$8)</f>
        <v/>
      </c>
      <c r="F5" s="271" t="str">
        <f>IF(Scenarios!$C$9="","",Scenarios!$C$9)</f>
        <v/>
      </c>
      <c r="G5" s="269"/>
      <c r="H5" s="269"/>
      <c r="I5" s="305">
        <f>Scenarios!$D$5</f>
        <v>0</v>
      </c>
      <c r="J5" s="270" t="str">
        <f>IF(Scenarios!$C$6="","",Scenarios!$D$6)</f>
        <v/>
      </c>
      <c r="K5" s="270" t="str">
        <f>IF(Scenarios!$D$7="","",Scenarios!$D$7)</f>
        <v/>
      </c>
      <c r="L5" s="270" t="str">
        <f>IF(Scenarios!$D$8="","",Scenarios!$D$8)</f>
        <v/>
      </c>
      <c r="M5" s="271" t="str">
        <f>IF(Scenarios!$D$9="","",Scenarios!$D$9)</f>
        <v/>
      </c>
      <c r="N5" s="269"/>
      <c r="O5" s="269"/>
      <c r="P5" s="305">
        <f>Scenarios!$E$5</f>
        <v>0</v>
      </c>
      <c r="Q5" s="270" t="str">
        <f>IF(Scenarios!$E$6="","",Scenarios!$E$6)</f>
        <v/>
      </c>
      <c r="R5" s="270" t="str">
        <f>IF(Scenarios!$E$7="","",Scenarios!$E$7)</f>
        <v/>
      </c>
      <c r="S5" s="270" t="str">
        <f>IF(Scenarios!$E$8="","",Scenarios!$E$8)</f>
        <v/>
      </c>
      <c r="T5" s="271" t="str">
        <f>IF(Scenarios!$E$9="","",Scenarios!$E$9)</f>
        <v/>
      </c>
      <c r="U5" s="269"/>
      <c r="V5" s="269"/>
      <c r="W5" s="305">
        <f>Scenarios!$F$5</f>
        <v>0</v>
      </c>
      <c r="X5" s="270" t="str">
        <f>IF(Scenarios!$F$6="","",Scenarios!$F$6)</f>
        <v/>
      </c>
      <c r="Y5" s="270" t="str">
        <f>IF(Scenarios!$F$7="","",Scenarios!$F$7)</f>
        <v/>
      </c>
      <c r="Z5" s="270" t="str">
        <f>IF(Scenarios!$F$8="","",Scenarios!$F$8)</f>
        <v/>
      </c>
      <c r="AA5" s="271" t="str">
        <f>IF(Scenarios!$F$9="","",Scenarios!$F$9)</f>
        <v/>
      </c>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row>
    <row r="6" spans="1:71" ht="21" customHeight="1" x14ac:dyDescent="0.5">
      <c r="A6" s="272" t="s">
        <v>104</v>
      </c>
      <c r="B6" s="273">
        <f>IF(RunScenFlag=1,'Scenario Output'!$A2,NA())</f>
        <v>0</v>
      </c>
      <c r="C6" s="274" t="e">
        <f>IF(AND(C5&lt;&gt;"",RunScenFlag=1),'Scenario Output'!$AJ2,NA())</f>
        <v>#N/A</v>
      </c>
      <c r="D6" s="274" t="e">
        <f>IF(AND(D5&lt;&gt;"",RunScenFlag=1),'Scenario Output'!$BS2,NA())</f>
        <v>#N/A</v>
      </c>
      <c r="E6" s="274" t="e">
        <f>IF(AND(E5&lt;&gt;"",RunScenFlag=1),'Scenario Output'!$DB2,NA())</f>
        <v>#N/A</v>
      </c>
      <c r="F6" s="275" t="e">
        <f>IF(AND(F5&lt;&gt;"",RunScenFlag=1),'Scenario Output'!$EK2,NA())</f>
        <v>#N/A</v>
      </c>
      <c r="G6" s="269"/>
      <c r="H6" s="276" t="s">
        <v>104</v>
      </c>
      <c r="I6" s="273">
        <f>IF(RunScenFlag=1,'Scenario Output'!$A3,NA())</f>
        <v>0</v>
      </c>
      <c r="J6" s="274" t="e">
        <f>IF(AND(J5&lt;&gt;"",RunScenFlag=1),'Scenario Output'!$AJ3,NA())</f>
        <v>#N/A</v>
      </c>
      <c r="K6" s="274" t="e">
        <f>IF(AND(K5&lt;&gt;"",RunScenFlag=1),'Scenario Output'!$BS3,NA())</f>
        <v>#N/A</v>
      </c>
      <c r="L6" s="274" t="e">
        <f>IF(AND(L5&lt;&gt;"",RunScenFlag=1),'Scenario Output'!$DB3,NA())</f>
        <v>#N/A</v>
      </c>
      <c r="M6" s="275" t="e">
        <f>IF(AND(M5&lt;&gt;"",RunScenFlag=1),'Scenario Output'!$EK3,NA())</f>
        <v>#N/A</v>
      </c>
      <c r="N6" s="269"/>
      <c r="O6" s="276" t="s">
        <v>104</v>
      </c>
      <c r="P6" s="273">
        <f>IF(RunScenFlag=1,'Scenario Output'!$A4,NA())</f>
        <v>0</v>
      </c>
      <c r="Q6" s="274" t="e">
        <f>IF(AND(Q5&lt;&gt;"",RunScenFlag=1),'Scenario Output'!$AJ4,NA())</f>
        <v>#N/A</v>
      </c>
      <c r="R6" s="274" t="e">
        <f>IF(AND(R5&lt;&gt;"",RunScenFlag=1),'Scenario Output'!$BS4,NA())</f>
        <v>#N/A</v>
      </c>
      <c r="S6" s="274" t="e">
        <f>IF(AND(S5&lt;&gt;"",RunScenFlag=1),'Scenario Output'!$DB4,NA())</f>
        <v>#N/A</v>
      </c>
      <c r="T6" s="275" t="e">
        <f>IF(AND(T5&lt;&gt;"",RunScenFlag=1),'Scenario Output'!$EK4,NA())</f>
        <v>#N/A</v>
      </c>
      <c r="U6" s="269"/>
      <c r="V6" s="276" t="s">
        <v>104</v>
      </c>
      <c r="W6" s="273">
        <f>IF(RunScenFlag=1,'Scenario Output'!$A5, NA())</f>
        <v>0</v>
      </c>
      <c r="X6" s="274" t="e">
        <f>IF(AND(X5&lt;&gt;"",RunScenFlag=1),'Scenario Output'!$AJ5,NA())</f>
        <v>#N/A</v>
      </c>
      <c r="Y6" s="274" t="e">
        <f>IF(AND(Y5&lt;&gt;"",RunScenFlag=1),'Scenario Output'!$BS5,NA())</f>
        <v>#N/A</v>
      </c>
      <c r="Z6" s="274" t="e">
        <f>IF(AND(Z5&lt;&gt;"",RunScenFlag=1),'Scenario Output'!$DB5,NA())</f>
        <v>#N/A</v>
      </c>
      <c r="AA6" s="275" t="e">
        <f>IF(AND(AA5&lt;&gt;"",RunScenFlag=1),'Scenario Output'!$EK5,NA())</f>
        <v>#N/A</v>
      </c>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row>
    <row r="7" spans="1:71" ht="21" customHeight="1" x14ac:dyDescent="0.5">
      <c r="A7" s="277" t="str">
        <f>IF(Scenarios!$D$12&lt;&gt;1,"","Strategy 1")</f>
        <v/>
      </c>
      <c r="B7" s="278" t="e">
        <f>IF(AND(A7&lt;&gt;"",RunScenFlag=1),'Scenario Output'!$H2,NA())</f>
        <v>#N/A</v>
      </c>
      <c r="C7" s="274" t="e">
        <f>IF(AND(C5&lt;&gt;"",A7&lt;&gt;"",RunScenFlag=1),'Scenario Output'!$AQ2,NA())</f>
        <v>#N/A</v>
      </c>
      <c r="D7" s="274" t="e">
        <f>IF(AND(D5&lt;&gt;"",A7&lt;&gt;"",RunScenFlag=1),'Scenario Output'!$BZ2,NA())</f>
        <v>#N/A</v>
      </c>
      <c r="E7" s="274" t="e">
        <f>IF(AND(E5&lt;&gt;"",A7&lt;&gt;"",RunScenFlag=1),'Scenario Output'!$DI2,NA())</f>
        <v>#N/A</v>
      </c>
      <c r="F7" s="275" t="e">
        <f>IF(AND(F5&lt;&gt;"",A7&lt;&gt;"",RunScenFlag=1),'Scenario Output'!$ER2,NA())</f>
        <v>#N/A</v>
      </c>
      <c r="G7" s="269"/>
      <c r="H7" s="279" t="str">
        <f>IF(Scenarios!$D$27&lt;&gt;1,"","Strategy 1")</f>
        <v/>
      </c>
      <c r="I7" s="278" t="e">
        <f>IF(AND(H7&lt;&gt;"",RunScenFlag=1),'Scenario Output'!$H3,NA())</f>
        <v>#N/A</v>
      </c>
      <c r="J7" s="274" t="e">
        <f>IF(AND(J5&lt;&gt;"",H7&lt;&gt;"",RunScenFlag=1),'Scenario Output'!$AQ3,NA())</f>
        <v>#N/A</v>
      </c>
      <c r="K7" s="274" t="e">
        <f>IF(AND(K5&lt;&gt;"",H7&lt;&gt;"",RunScenFlag=1),'Scenario Output'!$BZ3,NA())</f>
        <v>#N/A</v>
      </c>
      <c r="L7" s="274" t="e">
        <f>IF(AND(L5&lt;&gt;"",H7&lt;&gt;"",RunScenFlag=1),'Scenario Output'!$DI3,NA())</f>
        <v>#N/A</v>
      </c>
      <c r="M7" s="275" t="e">
        <f>IF(AND(M5&lt;&gt;"",H7&lt;&gt;"",RunScenFlag=1),'Scenario Output'!$ER3,NA())</f>
        <v>#N/A</v>
      </c>
      <c r="N7" s="269"/>
      <c r="O7" s="279" t="str">
        <f>IF(Scenarios!$D$41&lt;&gt;1,"","Strategy 1")</f>
        <v/>
      </c>
      <c r="P7" s="278" t="e">
        <f>IF(AND(O7&lt;&gt;"",RunScenFlag=1),'Scenario Output'!$H4,NA())</f>
        <v>#N/A</v>
      </c>
      <c r="Q7" s="274" t="e">
        <f>IF(AND(Q5&lt;&gt;"",O7&lt;&gt;"",RunScenFlag=1),'Scenario Output'!$AQ4,NA())</f>
        <v>#N/A</v>
      </c>
      <c r="R7" s="274" t="e">
        <f>IF(AND(R5&lt;&gt;"",O7&lt;&gt;"",RunScenFlag=1),'Scenario Output'!$BZ4,NA())</f>
        <v>#N/A</v>
      </c>
      <c r="S7" s="274" t="e">
        <f>IF(AND(S5&lt;&gt;"",O7&lt;&gt;"",RunScenFlag=1),'Scenario Output'!$DI4,NA())</f>
        <v>#N/A</v>
      </c>
      <c r="T7" s="275" t="e">
        <f>IF(AND(T5&lt;&gt;"",O7&lt;&gt;"",RunScenFlag=1),'Scenario Output'!$ER4,NA())</f>
        <v>#N/A</v>
      </c>
      <c r="U7" s="269"/>
      <c r="V7" s="279" t="str">
        <f>IF(Scenarios!$D$55&lt;&gt;1,"","Strategy 1")</f>
        <v/>
      </c>
      <c r="W7" s="278" t="e">
        <f>IF(AND(V7&lt;&gt;"",RunScenFlag=1),'Scenario Output'!$H5,NA())</f>
        <v>#N/A</v>
      </c>
      <c r="X7" s="274" t="e">
        <f>IF(AND(X5&lt;&gt;"",V7&lt;&gt;"",RunScenFlag=1),'Scenario Output'!$AQ5,NA())</f>
        <v>#N/A</v>
      </c>
      <c r="Y7" s="274" t="e">
        <f>IF(AND(Y5&lt;&gt;"",V7&lt;&gt;"",RunScenFlag=1),'Scenario Output'!$BZ5,NA())</f>
        <v>#N/A</v>
      </c>
      <c r="Z7" s="274" t="e">
        <f>IF(AND(Z5&lt;&gt;"",V7&lt;&gt;"",RunScenFlag=1),'Scenario Output'!$DI5,NA())</f>
        <v>#N/A</v>
      </c>
      <c r="AA7" s="275" t="e">
        <f>IF(AND(AA5&lt;&gt;"",V7&lt;&gt;"",RunScenFlag=1),'Scenario Output'!$ER5,NA())</f>
        <v>#N/A</v>
      </c>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row>
    <row r="8" spans="1:71" ht="21" customHeight="1" x14ac:dyDescent="0.5">
      <c r="A8" s="277" t="str">
        <f>IF(Scenarios!$E$12&lt;&gt;1,"","Strategy 2")</f>
        <v/>
      </c>
      <c r="B8" s="278" t="e">
        <f>IF(AND(A8&lt;&gt;"",RunScenFlag=1),'Scenario Output'!$O2,NA())</f>
        <v>#N/A</v>
      </c>
      <c r="C8" s="274" t="e">
        <f>IF(AND(C5&lt;&gt;"",A8&lt;&gt;"",RunScenFlag=1),'Scenario Output'!$AX2,NA())</f>
        <v>#N/A</v>
      </c>
      <c r="D8" s="274" t="e">
        <f>IF(AND(D5&lt;&gt;"",A8&lt;&gt;"",RunScenFlag=1),'Scenario Output'!$CG2,NA())</f>
        <v>#N/A</v>
      </c>
      <c r="E8" s="274" t="e">
        <f>IF(AND(E5&lt;&gt;"",A8&lt;&gt;"",RunScenFlag=1),'Scenario Output'!$DP2,NA())</f>
        <v>#N/A</v>
      </c>
      <c r="F8" s="275" t="e">
        <f>IF(AND(F5&lt;&gt;"",A8&lt;&gt;"",RunScenFlag=1),'Scenario Output'!$EY2,NA())</f>
        <v>#N/A</v>
      </c>
      <c r="G8" s="269"/>
      <c r="H8" s="279" t="str">
        <f>IF(Scenarios!$E$27&lt;&gt;1,"","Strategy 2")</f>
        <v/>
      </c>
      <c r="I8" s="278" t="e">
        <f>IF(AND(H8&lt;&gt;"",RunScenFlag=1),'Scenario Output'!$O3,NA())</f>
        <v>#N/A</v>
      </c>
      <c r="J8" s="274" t="e">
        <f>IF(AND(J5&lt;&gt;"",H8&lt;&gt;"",RunScenFlag=1),'Scenario Output'!$AX3,NA())</f>
        <v>#N/A</v>
      </c>
      <c r="K8" s="274" t="e">
        <f>IF(AND(K5&lt;&gt;"",H8&lt;&gt;"",RunScenFlag=1),'Scenario Output'!$CG3,NA())</f>
        <v>#N/A</v>
      </c>
      <c r="L8" s="274" t="e">
        <f>IF(AND(L5&lt;&gt;"",H8&lt;&gt;"",RunScenFlag=1),'Scenario Output'!$DP3,NA())</f>
        <v>#N/A</v>
      </c>
      <c r="M8" s="275" t="e">
        <f>IF(AND(M5&lt;&gt;"",H8&lt;&gt;"",RunScenFlag=1),'Scenario Output'!$EY3,NA())</f>
        <v>#N/A</v>
      </c>
      <c r="N8" s="269"/>
      <c r="O8" s="279" t="str">
        <f>IF(Scenarios!$E$41&lt;&gt;1,"","Strategy 2")</f>
        <v/>
      </c>
      <c r="P8" s="278" t="e">
        <f>IF(AND(O8&lt;&gt;"",RunScenFlag=1),'Scenario Output'!$O4,NA())</f>
        <v>#N/A</v>
      </c>
      <c r="Q8" s="274" t="e">
        <f>IF(AND(Q5&lt;&gt;"",O8&lt;&gt;"",RunScenFlag=1),'Scenario Output'!$AX4,NA())</f>
        <v>#N/A</v>
      </c>
      <c r="R8" s="274" t="e">
        <f>IF(AND(R5&lt;&gt;"",O8&lt;&gt;"",RunScenFlag=1),'Scenario Output'!$CG4,NA())</f>
        <v>#N/A</v>
      </c>
      <c r="S8" s="274" t="e">
        <f>IF(AND(S5&lt;&gt;"",O8&lt;&gt;"",RunScenFlag=1),'Scenario Output'!$DP4,NA())</f>
        <v>#N/A</v>
      </c>
      <c r="T8" s="275" t="e">
        <f>IF(AND(T5&lt;&gt;"",O8&lt;&gt;"",RunScenFlag=1),'Scenario Output'!$EY4,NA())</f>
        <v>#N/A</v>
      </c>
      <c r="U8" s="269"/>
      <c r="V8" s="279" t="str">
        <f>IF(Scenarios!$E$55&lt;&gt;1,"","Strategy 2")</f>
        <v/>
      </c>
      <c r="W8" s="278" t="e">
        <f>IF(AND(V8&lt;&gt;"",RunScenFlag=1),'Scenario Output'!$O5,NA())</f>
        <v>#N/A</v>
      </c>
      <c r="X8" s="274" t="e">
        <f>IF(AND(X5&lt;&gt;"",V8&lt;&gt;"",RunScenFlag=1),'Scenario Output'!$AX5,NA())</f>
        <v>#N/A</v>
      </c>
      <c r="Y8" s="274" t="e">
        <f>IF(AND(Y5&lt;&gt;"",V8&lt;&gt;"",RunScenFlag=1),'Scenario Output'!$CG5,NA())</f>
        <v>#N/A</v>
      </c>
      <c r="Z8" s="274" t="e">
        <f>IF(AND(Z5&lt;&gt;"",V8&lt;&gt;"",RunScenFlag=1),'Scenario Output'!$DP5,NA())</f>
        <v>#N/A</v>
      </c>
      <c r="AA8" s="275" t="e">
        <f>IF(AND(AA5&lt;&gt;"",V8&lt;&gt;"",RunScenFlag=1),'Scenario Output'!$EY5,NA())</f>
        <v>#N/A</v>
      </c>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row>
    <row r="9" spans="1:71" ht="21" customHeight="1" x14ac:dyDescent="0.5">
      <c r="A9" s="277" t="str">
        <f>IF(Scenarios!$F$12&lt;&gt;1,"","Strategy 3")</f>
        <v/>
      </c>
      <c r="B9" s="278" t="e">
        <f>IF(AND(A9&lt;&gt;"",RunScenFlag=1),'Scenario Output'!$V2,NA())</f>
        <v>#N/A</v>
      </c>
      <c r="C9" s="274" t="e">
        <f>IF(AND(C5&lt;&gt;"",A9&lt;&gt;"",RunScenFlag=1),'Scenario Output'!$BE2,NA())</f>
        <v>#N/A</v>
      </c>
      <c r="D9" s="274" t="e">
        <f>IF(AND(D5&lt;&gt;"",A9&lt;&gt;"",RunScenFlag=1),'Scenario Output'!$CN2,NA())</f>
        <v>#N/A</v>
      </c>
      <c r="E9" s="274" t="e">
        <f>IF(AND(E5&lt;&gt;"",A9&lt;&gt;"",RunScenFlag=1),'Scenario Output'!$DW2,NA())</f>
        <v>#N/A</v>
      </c>
      <c r="F9" s="275" t="e">
        <f>IF(AND(F5&lt;&gt;"",A9&lt;&gt;"",RunScenFlag=1),'Scenario Output'!$FF2,NA())</f>
        <v>#N/A</v>
      </c>
      <c r="G9" s="269"/>
      <c r="H9" s="279" t="str">
        <f>IF(Scenarios!$F$27&lt;&gt;1,"","Strategy 3")</f>
        <v/>
      </c>
      <c r="I9" s="278" t="e">
        <f>IF(AND(H9&lt;&gt;"",RunScenFlag=1),'Scenario Output'!$V3,NA())</f>
        <v>#N/A</v>
      </c>
      <c r="J9" s="274" t="e">
        <f>IF(AND(J5&lt;&gt;"",H9&lt;&gt;"",RunScenFlag=1),'Scenario Output'!$BE3,NA())</f>
        <v>#N/A</v>
      </c>
      <c r="K9" s="274" t="e">
        <f>IF(AND(K5&lt;&gt;"",H9&lt;&gt;"",RunScenFlag=1),'Scenario Output'!$CN3,NA())</f>
        <v>#N/A</v>
      </c>
      <c r="L9" s="274" t="e">
        <f>IF(AND(L5&lt;&gt;"",H9&lt;&gt;"",RunScenFlag=1),'Scenario Output'!$DW3,NA())</f>
        <v>#N/A</v>
      </c>
      <c r="M9" s="275" t="e">
        <f>IF(AND(M5&lt;&gt;"",H9&lt;&gt;"",RunScenFlag=1),'Scenario Output'!$FF3,NA())</f>
        <v>#N/A</v>
      </c>
      <c r="N9" s="269"/>
      <c r="O9" s="279" t="str">
        <f>IF(Scenarios!$F$41&lt;&gt;1,"","Strategy 3")</f>
        <v/>
      </c>
      <c r="P9" s="278" t="e">
        <f>IF(AND(O9&lt;&gt;"",RunScenFlag=1),'Scenario Output'!$V4,NA())</f>
        <v>#N/A</v>
      </c>
      <c r="Q9" s="274" t="e">
        <f>IF(AND(Q5&lt;&gt;"",O9&lt;&gt;"",RunScenFlag=1),'Scenario Output'!$BE4,NA())</f>
        <v>#N/A</v>
      </c>
      <c r="R9" s="274" t="e">
        <f>IF(AND(R5&lt;&gt;"",O9&lt;&gt;"",RunScenFlag=1),'Scenario Output'!$CN4,NA())</f>
        <v>#N/A</v>
      </c>
      <c r="S9" s="274" t="e">
        <f>IF(AND(S5&lt;&gt;"",O9&lt;&gt;"",RunScenFlag=1),'Scenario Output'!$DW4,NA())</f>
        <v>#N/A</v>
      </c>
      <c r="T9" s="275" t="e">
        <f>IF(AND(T5&lt;&gt;"",O9&lt;&gt;"",RunScenFlag=1),'Scenario Output'!$FF4,NA())</f>
        <v>#N/A</v>
      </c>
      <c r="U9" s="269"/>
      <c r="V9" s="279" t="str">
        <f>IF(Scenarios!$F$55&lt;&gt;1,"","Strategy 3")</f>
        <v/>
      </c>
      <c r="W9" s="278" t="e">
        <f>IF(AND(V9&lt;&gt;"",RunScenFlag=1),'Scenario Output'!$V5,NA())</f>
        <v>#N/A</v>
      </c>
      <c r="X9" s="274" t="e">
        <f>IF(AND(X5&lt;&gt;"",V9&lt;&gt;"",RunScenFlag=1),'Scenario Output'!$BE5,NA())</f>
        <v>#N/A</v>
      </c>
      <c r="Y9" s="274" t="e">
        <f>IF(AND(Y5&lt;&gt;"",V9&lt;&gt;"",RunScenFlag=1),'Scenario Output'!$CN5,NA())</f>
        <v>#N/A</v>
      </c>
      <c r="Z9" s="274" t="e">
        <f>IF(AND(Z5&lt;&gt;"",V9&lt;&gt;"",RunScenFlag=1),'Scenario Output'!$DW5,NA())</f>
        <v>#N/A</v>
      </c>
      <c r="AA9" s="275" t="e">
        <f>IF(AND(AA5&lt;&gt;"",V9&lt;&gt;"",RunScenFlag=1),'Scenario Output'!$FF5,NA())</f>
        <v>#N/A</v>
      </c>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row>
    <row r="10" spans="1:71" ht="21" customHeight="1" x14ac:dyDescent="0.5">
      <c r="A10" s="277" t="str">
        <f>IF(Scenarios!$G$12&lt;&gt;1,"","Strategy 4")</f>
        <v/>
      </c>
      <c r="B10" s="280" t="e">
        <f>IF(AND(A10&lt;&gt;"",RunScenFlag=1),'Scenario Output'!$AC2,NA())</f>
        <v>#N/A</v>
      </c>
      <c r="C10" s="281" t="e">
        <f>IF(AND(C5&lt;&gt;"",A10&lt;&gt;"",RunScenFlag=1),'Scenario Output'!$BL2,NA())</f>
        <v>#N/A</v>
      </c>
      <c r="D10" s="281" t="e">
        <f>IF(AND(D5&lt;&gt;"",A10&lt;&gt;"",RunScenFlag=1),'Scenario Output'!$CU2,NA())</f>
        <v>#N/A</v>
      </c>
      <c r="E10" s="281" t="e">
        <f>IF(AND(E5&lt;&gt;"",A10&lt;&gt;"",RunScenFlag=1),'Scenario Output'!$ED2,NA())</f>
        <v>#N/A</v>
      </c>
      <c r="F10" s="282" t="e">
        <f>IF(AND(F5&lt;&gt;"",A10&lt;&gt;"",RunScenFlag=1),'Scenario Output'!$FM2,NA())</f>
        <v>#N/A</v>
      </c>
      <c r="G10" s="269"/>
      <c r="H10" s="279" t="str">
        <f>IF(Scenarios!$G$27&lt;&gt;1,"","Strategy 4")</f>
        <v/>
      </c>
      <c r="I10" s="280" t="e">
        <f>IF(AND(H10&lt;&gt;"",RunScenFlag=1),'Scenario Output'!$AC3,NA())</f>
        <v>#N/A</v>
      </c>
      <c r="J10" s="281" t="e">
        <f>IF(AND(J5&lt;&gt;"",H10&lt;&gt;"",RunScenFlag=1),'Scenario Output'!$BL3,NA())</f>
        <v>#N/A</v>
      </c>
      <c r="K10" s="281" t="e">
        <f>IF(AND(K5&lt;&gt;"",H10&lt;&gt;"",RunScenFlag=1),'Scenario Output'!$CU3,NA())</f>
        <v>#N/A</v>
      </c>
      <c r="L10" s="281" t="e">
        <f>IF(AND(L5&lt;&gt;"",H10&lt;&gt;"",RunScenFlag=1),'Scenario Output'!$ED3,NA())</f>
        <v>#N/A</v>
      </c>
      <c r="M10" s="282" t="e">
        <f>IF(AND(M5&lt;&gt;"",H10&lt;&gt;"",RunScenFlag=1),'Scenario Output'!$FM3,NA())</f>
        <v>#N/A</v>
      </c>
      <c r="N10" s="269"/>
      <c r="O10" s="279" t="str">
        <f>IF(Scenarios!$G$41&lt;&gt;1,"","Strategy 4")</f>
        <v/>
      </c>
      <c r="P10" s="280" t="e">
        <f>IF(AND(O10&lt;&gt;"",RunScenFlag=1),'Scenario Output'!$AC4,NA())</f>
        <v>#N/A</v>
      </c>
      <c r="Q10" s="281" t="e">
        <f>IF(AND(Q5&lt;&gt;"",O10&lt;&gt;"",RunScenFlag=1),'Scenario Output'!$BL4,NA())</f>
        <v>#N/A</v>
      </c>
      <c r="R10" s="281" t="e">
        <f>IF(AND(R5&lt;&gt;"",O10&lt;&gt;"",RunScenFlag=1),'Scenario Output'!$CU4,NA())</f>
        <v>#N/A</v>
      </c>
      <c r="S10" s="281" t="e">
        <f>IF(AND(S5&lt;&gt;"",O10&lt;&gt;"",RunScenFlag=1),'Scenario Output'!$ED4,NA())</f>
        <v>#N/A</v>
      </c>
      <c r="T10" s="282" t="e">
        <f>IF(AND(T5&lt;&gt;"",O10&lt;&gt;"",RunScenFlag=1),'Scenario Output'!$FM4,NA())</f>
        <v>#N/A</v>
      </c>
      <c r="U10" s="269"/>
      <c r="V10" s="279" t="str">
        <f>IF(Scenarios!$G$55&lt;&gt;1,"","Strategy 4")</f>
        <v/>
      </c>
      <c r="W10" s="280" t="e">
        <f>IF(AND(V10&lt;&gt;"",RunScenFlag=1),'Scenario Output'!$AC5,NA())</f>
        <v>#N/A</v>
      </c>
      <c r="X10" s="281" t="e">
        <f>IF(AND(X5&lt;&gt;"",V10&lt;&gt;"",RunScenFlag=1),'Scenario Output'!$BL5,NA())</f>
        <v>#N/A</v>
      </c>
      <c r="Y10" s="281" t="e">
        <f>IF(AND(Y5&lt;&gt;"",V10&lt;&gt;"",RunScenFlag=1),'Scenario Output'!$CU5,NA())</f>
        <v>#N/A</v>
      </c>
      <c r="Z10" s="281" t="e">
        <f>IF(AND(Z5&lt;&gt;"",V10&lt;&gt;"",RunScenFlag=1),'Scenario Output'!$ED5,NA())</f>
        <v>#N/A</v>
      </c>
      <c r="AA10" s="282" t="e">
        <f>IF(AND(AA5&lt;&gt;"",V10&lt;&gt;"",RunScenFlag=1),'Scenario Output'!$FM5,NA())</f>
        <v>#N/A</v>
      </c>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row>
    <row r="11" spans="1:71" ht="21" customHeight="1" x14ac:dyDescent="0.5">
      <c r="A11" s="269"/>
      <c r="B11" s="269"/>
      <c r="C11" s="269"/>
      <c r="D11" s="269"/>
      <c r="E11" s="269"/>
      <c r="F11" s="269"/>
      <c r="G11" s="269"/>
      <c r="H11" s="269"/>
      <c r="I11" s="269"/>
      <c r="J11" s="269"/>
      <c r="K11" s="269"/>
      <c r="L11" s="269"/>
      <c r="M11" s="269"/>
      <c r="N11" s="269"/>
      <c r="O11" s="269"/>
      <c r="P11" s="269"/>
      <c r="Q11" s="269"/>
      <c r="R11" s="269"/>
      <c r="S11" s="269"/>
      <c r="T11" s="269"/>
      <c r="U11" s="269"/>
      <c r="V11" s="269"/>
      <c r="W11" s="269"/>
      <c r="X11" s="269"/>
      <c r="Y11" s="269"/>
      <c r="Z11" s="269"/>
      <c r="AA11" s="269"/>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row>
    <row r="12" spans="1:71" ht="21" customHeight="1" x14ac:dyDescent="0.5">
      <c r="A12" s="250"/>
      <c r="B12" s="374" t="s">
        <v>129</v>
      </c>
      <c r="C12" s="374"/>
      <c r="D12" s="374"/>
      <c r="E12" s="374"/>
      <c r="F12" s="374"/>
      <c r="G12" s="269"/>
      <c r="H12" s="250"/>
      <c r="I12" s="375" t="s">
        <v>129</v>
      </c>
      <c r="J12" s="376"/>
      <c r="K12" s="376"/>
      <c r="L12" s="376"/>
      <c r="M12" s="377"/>
      <c r="N12" s="269"/>
      <c r="O12" s="250"/>
      <c r="P12" s="374" t="s">
        <v>129</v>
      </c>
      <c r="Q12" s="374"/>
      <c r="R12" s="374"/>
      <c r="S12" s="374"/>
      <c r="T12" s="374"/>
      <c r="U12" s="269"/>
      <c r="V12" s="250"/>
      <c r="W12" s="374" t="s">
        <v>129</v>
      </c>
      <c r="X12" s="374"/>
      <c r="Y12" s="374"/>
      <c r="Z12" s="374"/>
      <c r="AA12" s="374"/>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row>
    <row r="13" spans="1:71" ht="21" customHeight="1" x14ac:dyDescent="0.5">
      <c r="A13" s="269"/>
      <c r="B13" s="374" t="s">
        <v>105</v>
      </c>
      <c r="C13" s="374"/>
      <c r="D13" s="374"/>
      <c r="E13" s="374"/>
      <c r="F13" s="374"/>
      <c r="G13" s="269"/>
      <c r="H13" s="269"/>
      <c r="I13" s="375" t="s">
        <v>105</v>
      </c>
      <c r="J13" s="376"/>
      <c r="K13" s="376"/>
      <c r="L13" s="376"/>
      <c r="M13" s="377"/>
      <c r="N13" s="269"/>
      <c r="O13" s="269"/>
      <c r="P13" s="374" t="s">
        <v>105</v>
      </c>
      <c r="Q13" s="374"/>
      <c r="R13" s="374"/>
      <c r="S13" s="374"/>
      <c r="T13" s="374"/>
      <c r="U13" s="269"/>
      <c r="V13" s="269"/>
      <c r="W13" s="374" t="s">
        <v>105</v>
      </c>
      <c r="X13" s="374"/>
      <c r="Y13" s="374"/>
      <c r="Z13" s="374"/>
      <c r="AA13" s="374"/>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row>
    <row r="14" spans="1:71" ht="21" customHeight="1" x14ac:dyDescent="0.5">
      <c r="A14" s="269"/>
      <c r="B14" s="305">
        <f>Scenarios!$C$5</f>
        <v>0</v>
      </c>
      <c r="C14" s="270" t="str">
        <f>IF(Scenarios!$C$6="","",Scenarios!$C$6)</f>
        <v/>
      </c>
      <c r="D14" s="270" t="str">
        <f>IF(Scenarios!$C$7="","",Scenarios!$C$7)</f>
        <v/>
      </c>
      <c r="E14" s="270" t="str">
        <f>IF(Scenarios!$C$8="","",Scenarios!$C$8)</f>
        <v/>
      </c>
      <c r="F14" s="271" t="str">
        <f>IF(Scenarios!$C$9="","",Scenarios!$C$9)</f>
        <v/>
      </c>
      <c r="G14" s="269"/>
      <c r="H14" s="269"/>
      <c r="I14" s="305">
        <f>Scenarios!$D$5</f>
        <v>0</v>
      </c>
      <c r="J14" s="270" t="str">
        <f>IF(Scenarios!$D$6="","",Scenarios!$D$6)</f>
        <v/>
      </c>
      <c r="K14" s="270" t="str">
        <f>IF(Scenarios!$D$7="","",Scenarios!$D$7)</f>
        <v/>
      </c>
      <c r="L14" s="270" t="str">
        <f>IF(Scenarios!$D$8="","",Scenarios!$D$8)</f>
        <v/>
      </c>
      <c r="M14" s="271" t="str">
        <f>IF(Scenarios!$D$9="","",Scenarios!$D$9)</f>
        <v/>
      </c>
      <c r="N14" s="269"/>
      <c r="O14" s="269"/>
      <c r="P14" s="305">
        <f>Scenarios!$E$5</f>
        <v>0</v>
      </c>
      <c r="Q14" s="270" t="str">
        <f>IF(Scenarios!$E$6="","",Scenarios!$E$6)</f>
        <v/>
      </c>
      <c r="R14" s="270" t="str">
        <f>IF(Scenarios!$E$7="","",Scenarios!$E$7)</f>
        <v/>
      </c>
      <c r="S14" s="270" t="str">
        <f>IF(Scenarios!$E$8="","",Scenarios!$E$8)</f>
        <v/>
      </c>
      <c r="T14" s="271" t="str">
        <f>IF(Scenarios!$E$9="","",Scenarios!$E$9)</f>
        <v/>
      </c>
      <c r="U14" s="269"/>
      <c r="V14" s="269"/>
      <c r="W14" s="305">
        <f>Scenarios!$F$5</f>
        <v>0</v>
      </c>
      <c r="X14" s="270" t="str">
        <f>IF(Scenarios!$F$6="","",Scenarios!$F$6)</f>
        <v/>
      </c>
      <c r="Y14" s="270" t="str">
        <f>IF(Scenarios!$F$7="","",Scenarios!$F$7)</f>
        <v/>
      </c>
      <c r="Z14" s="270" t="str">
        <f>IF(Scenarios!$F$8="","",Scenarios!$F$8)</f>
        <v/>
      </c>
      <c r="AA14" s="271" t="str">
        <f>IF(Scenarios!$F$9="","",Scenarios!$F$9)</f>
        <v/>
      </c>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row>
    <row r="15" spans="1:71" ht="21" customHeight="1" x14ac:dyDescent="0.5">
      <c r="A15" s="272" t="s">
        <v>104</v>
      </c>
      <c r="B15" s="306">
        <f>IF(RunScenFlag=1,'Scenario Output'!$B2,NA())</f>
        <v>0</v>
      </c>
      <c r="C15" s="307" t="e">
        <f>IF(AND(C14&lt;&gt;"",RunScenFlag=1),'Scenario Output'!$AK2,NA())</f>
        <v>#N/A</v>
      </c>
      <c r="D15" s="307" t="e">
        <f>IF(AND(D14&lt;&gt;"",RunScenFlag=1),'Scenario Output'!$BT2,NA())</f>
        <v>#N/A</v>
      </c>
      <c r="E15" s="307" t="e">
        <f>IF(AND(E14&lt;&gt;"",RunScenFlag=1),'Scenario Output'!$DC2,NA())</f>
        <v>#N/A</v>
      </c>
      <c r="F15" s="308" t="e">
        <f>IF(AND(F14&lt;&gt;"",RunScenFlag=1),'Scenario Output'!$EL2,NA())</f>
        <v>#N/A</v>
      </c>
      <c r="G15" s="269"/>
      <c r="H15" s="276" t="s">
        <v>104</v>
      </c>
      <c r="I15" s="306">
        <f>IF(RunScenFlag=1,'Scenario Output'!$B3,NA())</f>
        <v>0</v>
      </c>
      <c r="J15" s="307" t="e">
        <f>IF(AND(J14&lt;&gt;"",RunScenFlag=1),'Scenario Output'!$AK3,NA())</f>
        <v>#N/A</v>
      </c>
      <c r="K15" s="307" t="e">
        <f>IF(AND(K14&lt;&gt;"",RunScenFlag=1),'Scenario Output'!$BT3,NA())</f>
        <v>#N/A</v>
      </c>
      <c r="L15" s="307" t="e">
        <f>IF(AND(L14&lt;&gt;"",RunScenFlag=1),'Scenario Output'!$DC3,NA())</f>
        <v>#N/A</v>
      </c>
      <c r="M15" s="308" t="e">
        <f>IF(AND(M14&lt;&gt;"",RunScenFlag=1),'Scenario Output'!$EL3,NA())</f>
        <v>#N/A</v>
      </c>
      <c r="N15" s="269"/>
      <c r="O15" s="276" t="s">
        <v>104</v>
      </c>
      <c r="P15" s="306">
        <f>IF(RunScenFlag=1,'Scenario Output'!$B4,NA())</f>
        <v>0</v>
      </c>
      <c r="Q15" s="307" t="e">
        <f>IF(AND(Q14&lt;&gt;"",RunScenFlag=1),'Scenario Output'!$AK4,NA())</f>
        <v>#N/A</v>
      </c>
      <c r="R15" s="307" t="e">
        <f>IF(AND(R14&lt;&gt;"",RunScenFlag=1),'Scenario Output'!$BT4,NA())</f>
        <v>#N/A</v>
      </c>
      <c r="S15" s="307" t="e">
        <f>IF(AND(S14&lt;&gt;"",RunScenFlag=1),'Scenario Output'!$DC4,NA())</f>
        <v>#N/A</v>
      </c>
      <c r="T15" s="308" t="e">
        <f>IF(AND(T14&lt;&gt;"",RunScenFlag=1),'Scenario Output'!$EL4,NA())</f>
        <v>#N/A</v>
      </c>
      <c r="U15" s="269"/>
      <c r="V15" s="276" t="s">
        <v>104</v>
      </c>
      <c r="W15" s="306">
        <f>IF(RunScenFlag=1,'Scenario Output'!$B5,NA())</f>
        <v>0</v>
      </c>
      <c r="X15" s="307" t="e">
        <f>IF(AND(X14&lt;&gt;"",RunScenFlag=1),'Scenario Output'!$AK5,NA())</f>
        <v>#N/A</v>
      </c>
      <c r="Y15" s="307" t="e">
        <f>IF(AND(Y14&lt;&gt;"",RunScenFlag=1),'Scenario Output'!$BT5,NA())</f>
        <v>#N/A</v>
      </c>
      <c r="Z15" s="307" t="e">
        <f>IF(AND(Z14&lt;&gt;"",RunScenFlag=1),'Scenario Output'!$DC5,NA())</f>
        <v>#N/A</v>
      </c>
      <c r="AA15" s="308" t="e">
        <f>IF(AND(AA14&lt;&gt;"",RunScenFlag=1),'Scenario Output'!$EL5,NA())</f>
        <v>#N/A</v>
      </c>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row>
    <row r="16" spans="1:71" ht="21" customHeight="1" x14ac:dyDescent="0.5">
      <c r="A16" s="277" t="str">
        <f>IF(Scenarios!$D$12&lt;&gt;1,"","Strategy 1")</f>
        <v/>
      </c>
      <c r="B16" s="309" t="e">
        <f>IF(AND(A16&lt;&gt;"",RunScenFlag=1),'Scenario Output'!$I2,NA())</f>
        <v>#N/A</v>
      </c>
      <c r="C16" s="307" t="e">
        <f>IF(AND(C14&lt;&gt;"",A16&lt;&gt;"",RunScenFlag=1),'Scenario Output'!$AR2,NA())</f>
        <v>#N/A</v>
      </c>
      <c r="D16" s="307" t="e">
        <f>IF(AND(D14&lt;&gt;"",A16&lt;&gt;"",RunScenFlag=1),'Scenario Output'!$CA2,NA())</f>
        <v>#N/A</v>
      </c>
      <c r="E16" s="307" t="e">
        <f>IF(AND(E14&lt;&gt;"",A16&lt;&gt;"",RunScenFlag=1),'Scenario Output'!$DJ2,NA())</f>
        <v>#N/A</v>
      </c>
      <c r="F16" s="308" t="e">
        <f>IF(AND(F14&lt;&gt;"",A16&lt;&gt;"",RunScenFlag=1),'Scenario Output'!$ES2,NA())</f>
        <v>#N/A</v>
      </c>
      <c r="G16" s="269"/>
      <c r="H16" s="279" t="str">
        <f>IF(Scenarios!$D$27&lt;&gt;1,"","Strategy 1")</f>
        <v/>
      </c>
      <c r="I16" s="309" t="e">
        <f>IF(AND(H16&lt;&gt;"",RunScenFlag=1),'Scenario Output'!$I3,NA())</f>
        <v>#N/A</v>
      </c>
      <c r="J16" s="307" t="e">
        <f>IF(AND(J14&lt;&gt;"",H16&lt;&gt;"",RunScenFlag=1),'Scenario Output'!$AR3,NA())</f>
        <v>#N/A</v>
      </c>
      <c r="K16" s="307" t="e">
        <f>IF(AND(K14&lt;&gt;"",H16&lt;&gt;"",RunScenFlag=1),'Scenario Output'!$CA3,NA())</f>
        <v>#N/A</v>
      </c>
      <c r="L16" s="307" t="e">
        <f>IF(AND(L14&lt;&gt;"",H16&lt;&gt;"",RunScenFlag=1),'Scenario Output'!$DJ3,NA())</f>
        <v>#N/A</v>
      </c>
      <c r="M16" s="308" t="e">
        <f>IF(AND(M14&lt;&gt;"",H16&lt;&gt;"",RunScenFlag=1),'Scenario Output'!$ES3,NA())</f>
        <v>#N/A</v>
      </c>
      <c r="N16" s="269"/>
      <c r="O16" s="279" t="str">
        <f>IF(Scenarios!$D$41&lt;&gt;1,"","Strategy 1")</f>
        <v/>
      </c>
      <c r="P16" s="309" t="e">
        <f>IF(AND(O16&lt;&gt;"",RunScenFlag=1),'Scenario Output'!$I4,NA())</f>
        <v>#N/A</v>
      </c>
      <c r="Q16" s="307" t="e">
        <f>IF(AND(Q14&lt;&gt;"",O16&lt;&gt;"",RunScenFlag=1),'Scenario Output'!$AR4,NA())</f>
        <v>#N/A</v>
      </c>
      <c r="R16" s="307" t="e">
        <f>IF(AND(R14&lt;&gt;"",O16&lt;&gt;"",RunScenFlag=1),'Scenario Output'!$CA4,NA())</f>
        <v>#N/A</v>
      </c>
      <c r="S16" s="307" t="e">
        <f>IF(AND(S14&lt;&gt;"",O16&lt;&gt;"",RunScenFlag=1),'Scenario Output'!$DJ4,NA())</f>
        <v>#N/A</v>
      </c>
      <c r="T16" s="308" t="e">
        <f>IF(AND(T14&lt;&gt;"",O16&lt;&gt;"",RunScenFlag=1),'Scenario Output'!$ES4,NA())</f>
        <v>#N/A</v>
      </c>
      <c r="U16" s="269"/>
      <c r="V16" s="279" t="str">
        <f>IF(Scenarios!$D$55&lt;&gt;1,"","Strategy 1")</f>
        <v/>
      </c>
      <c r="W16" s="309" t="e">
        <f>IF(AND(V16&lt;&gt;"",RunScenFlag=1),'Scenario Output'!$I5,NA())</f>
        <v>#N/A</v>
      </c>
      <c r="X16" s="307" t="e">
        <f>IF(AND(X14&lt;&gt;"",V16&lt;&gt;"",RunScenFlag=1),'Scenario Output'!$AR5,NA())</f>
        <v>#N/A</v>
      </c>
      <c r="Y16" s="307" t="e">
        <f>IF(AND(Y14&lt;&gt;"",V16&lt;&gt;"",RunScenFlag=1),'Scenario Output'!$CA5,NA())</f>
        <v>#N/A</v>
      </c>
      <c r="Z16" s="307" t="e">
        <f>IF(AND(Z14&lt;&gt;"",V16&lt;&gt;"",RunScenFlag=1),'Scenario Output'!$DJ5,NA())</f>
        <v>#N/A</v>
      </c>
      <c r="AA16" s="308" t="e">
        <f>IF(AND(AA14&lt;&gt;"",V16&lt;&gt;"",RunScenFlag=1),'Scenario Output'!$ES5,NA())</f>
        <v>#N/A</v>
      </c>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row>
    <row r="17" spans="1:71" ht="21" customHeight="1" x14ac:dyDescent="0.5">
      <c r="A17" s="277" t="str">
        <f>IF(Scenarios!$E$12&lt;&gt;1,"","Strategy 2")</f>
        <v/>
      </c>
      <c r="B17" s="309" t="e">
        <f>IF(AND(A17&lt;&gt;"",RunScenFlag=1),'Scenario Output'!$P2,NA())</f>
        <v>#N/A</v>
      </c>
      <c r="C17" s="307" t="e">
        <f>IF(AND(C14&lt;&gt;"",A17&lt;&gt;"",RunScenFlag=1),'Scenario Output'!$AY2,NA())</f>
        <v>#N/A</v>
      </c>
      <c r="D17" s="307" t="e">
        <f>IF(AND(D14&lt;&gt;"",A17&lt;&gt;"",RunScenFlag=1),'Scenario Output'!$CH2,NA())</f>
        <v>#N/A</v>
      </c>
      <c r="E17" s="307" t="e">
        <f>IF(AND(E14&lt;&gt;"",A17&lt;&gt;"",RunScenFlag=1),'Scenario Output'!$DQ2,NA())</f>
        <v>#N/A</v>
      </c>
      <c r="F17" s="308" t="e">
        <f>IF(AND(F14&lt;&gt;"",A17&lt;&gt;"",RunScenFlag=1),'Scenario Output'!$EZ2,NA())</f>
        <v>#N/A</v>
      </c>
      <c r="G17" s="269"/>
      <c r="H17" s="279" t="str">
        <f>IF(Scenarios!$E$27&lt;&gt;1,"","Strategy 2")</f>
        <v/>
      </c>
      <c r="I17" s="309" t="e">
        <f>IF(AND(H17&lt;&gt;"",RunScenFlag=1),'Scenario Output'!$P3,NA())</f>
        <v>#N/A</v>
      </c>
      <c r="J17" s="307" t="e">
        <f>IF(AND(J14&lt;&gt;"",H17&lt;&gt;"",RunScenFlag=1),'Scenario Output'!$AY3,NA())</f>
        <v>#N/A</v>
      </c>
      <c r="K17" s="307" t="e">
        <f>IF(AND(K14&lt;&gt;"",H17&lt;&gt;"",RunScenFlag=1),'Scenario Output'!$CH3,NA())</f>
        <v>#N/A</v>
      </c>
      <c r="L17" s="307" t="e">
        <f>IF(AND(L14&lt;&gt;"",H17&lt;&gt;"",RunScenFlag=1),'Scenario Output'!$DQ3,NA())</f>
        <v>#N/A</v>
      </c>
      <c r="M17" s="308" t="e">
        <f>IF(AND(M14&lt;&gt;"",H17&lt;&gt;"",RunScenFlag=1),'Scenario Output'!$EZ3,NA())</f>
        <v>#N/A</v>
      </c>
      <c r="N17" s="269"/>
      <c r="O17" s="279" t="str">
        <f>IF(Scenarios!$E$41&lt;&gt;1,"","Strategy 2")</f>
        <v/>
      </c>
      <c r="P17" s="309" t="e">
        <f>IF(AND(O17&lt;&gt;"",RunScenFlag=1),'Scenario Output'!$P4,NA())</f>
        <v>#N/A</v>
      </c>
      <c r="Q17" s="307" t="e">
        <f>IF(AND(Q14&lt;&gt;"",O17&lt;&gt;"",RunScenFlag=1),'Scenario Output'!$AY4,NA())</f>
        <v>#N/A</v>
      </c>
      <c r="R17" s="307" t="e">
        <f>IF(AND(R14&lt;&gt;"",O17&lt;&gt;"",RunScenFlag=1),'Scenario Output'!$CH4,NA())</f>
        <v>#N/A</v>
      </c>
      <c r="S17" s="307" t="e">
        <f>IF(AND(S14&lt;&gt;"",O17&lt;&gt;"",RunScenFlag=1),'Scenario Output'!$DQ4,NA())</f>
        <v>#N/A</v>
      </c>
      <c r="T17" s="308" t="e">
        <f>IF(AND(T14&lt;&gt;"",O17&lt;&gt;"",RunScenFlag=1),'Scenario Output'!$EZ4,NA())</f>
        <v>#N/A</v>
      </c>
      <c r="U17" s="269"/>
      <c r="V17" s="279" t="str">
        <f>IF(Scenarios!$E$55&lt;&gt;1,"","Strategy 2")</f>
        <v/>
      </c>
      <c r="W17" s="309" t="e">
        <f>IF(AND(V17&lt;&gt;"",RunScenFlag=1),'Scenario Output'!$P5,NA())</f>
        <v>#N/A</v>
      </c>
      <c r="X17" s="307" t="e">
        <f>IF(AND(X14&lt;&gt;"",V17&lt;&gt;"",RunScenFlag=1),'Scenario Output'!$AY5,NA())</f>
        <v>#N/A</v>
      </c>
      <c r="Y17" s="307" t="e">
        <f>IF(AND(Y14&lt;&gt;"",V17&lt;&gt;"",RunScenFlag=1),'Scenario Output'!$CH5,NA())</f>
        <v>#N/A</v>
      </c>
      <c r="Z17" s="307" t="e">
        <f>IF(AND(Z14&lt;&gt;"",V17&lt;&gt;"",RunScenFlag=1),'Scenario Output'!$DQ5,NA())</f>
        <v>#N/A</v>
      </c>
      <c r="AA17" s="308" t="e">
        <f>IF(AND(AA14&lt;&gt;"",V17&lt;&gt;"",RunScenFlag=1),'Scenario Output'!$EZ5,NA())</f>
        <v>#N/A</v>
      </c>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row>
    <row r="18" spans="1:71" ht="21" customHeight="1" x14ac:dyDescent="0.5">
      <c r="A18" s="277" t="str">
        <f>IF(Scenarios!$F$12&lt;&gt;1,"","Strategy 3")</f>
        <v/>
      </c>
      <c r="B18" s="309" t="e">
        <f>IF(AND(A18&lt;&gt;"",RunScenFlag=1),'Scenario Output'!$W2,NA())</f>
        <v>#N/A</v>
      </c>
      <c r="C18" s="307" t="e">
        <f>IF(AND(C14&lt;&gt;"",A18&lt;&gt;"",RunScenFlag=1),'Scenario Output'!$BF2,NA())</f>
        <v>#N/A</v>
      </c>
      <c r="D18" s="307" t="e">
        <f>IF(AND(D14&lt;&gt;"",A18&lt;&gt;"",RunScenFlag=1),'Scenario Output'!$CO2,NA())</f>
        <v>#N/A</v>
      </c>
      <c r="E18" s="307" t="e">
        <f>IF(AND(E14&lt;&gt;"",A18&lt;&gt;"",RunScenFlag=1),'Scenario Output'!$DX2,NA())</f>
        <v>#N/A</v>
      </c>
      <c r="F18" s="308" t="e">
        <f>IF(AND(F14&lt;&gt;"",A18&lt;&gt;"",RunScenFlag=1),'Scenario Output'!$FG2,NA())</f>
        <v>#N/A</v>
      </c>
      <c r="G18" s="269"/>
      <c r="H18" s="279" t="str">
        <f>IF(Scenarios!$F$27&lt;&gt;1,"","Strategy 3")</f>
        <v/>
      </c>
      <c r="I18" s="309" t="e">
        <f>IF(AND(H18&lt;&gt;"",RunScenFlag=1),'Scenario Output'!$W3,NA())</f>
        <v>#N/A</v>
      </c>
      <c r="J18" s="307" t="e">
        <f>IF(AND(J14&lt;&gt;"",H18&lt;&gt;"",RunScenFlag=1),'Scenario Output'!$BF3,NA())</f>
        <v>#N/A</v>
      </c>
      <c r="K18" s="307" t="e">
        <f>IF(AND(K14&lt;&gt;"",H18&lt;&gt;"",RunScenFlag=1),'Scenario Output'!$CO3,NA())</f>
        <v>#N/A</v>
      </c>
      <c r="L18" s="307" t="e">
        <f>IF(AND(L14&lt;&gt;"",H18&lt;&gt;"",RunScenFlag=1),'Scenario Output'!$DX3,NA())</f>
        <v>#N/A</v>
      </c>
      <c r="M18" s="308" t="e">
        <f>IF(AND(M14&lt;&gt;"",H18&lt;&gt;"",RunScenFlag=1),'Scenario Output'!$FG3,NA())</f>
        <v>#N/A</v>
      </c>
      <c r="N18" s="269"/>
      <c r="O18" s="279" t="str">
        <f>IF(Scenarios!$F$41&lt;&gt;1,"","Strategy 3")</f>
        <v/>
      </c>
      <c r="P18" s="309" t="e">
        <f>IF(AND(O18&lt;&gt;"",RunScenFlag=1),'Scenario Output'!$W4,NA())</f>
        <v>#N/A</v>
      </c>
      <c r="Q18" s="307" t="e">
        <f>IF(AND(Q14&lt;&gt;"",O18&lt;&gt;"",RunScenFlag=1),'Scenario Output'!$BF4,NA())</f>
        <v>#N/A</v>
      </c>
      <c r="R18" s="307" t="e">
        <f>IF(AND(R14&lt;&gt;"",O18&lt;&gt;"",RunScenFlag=1),'Scenario Output'!$CO4,NA())</f>
        <v>#N/A</v>
      </c>
      <c r="S18" s="307" t="e">
        <f>IF(AND(S14&lt;&gt;"",O18&lt;&gt;"",RunScenFlag=1),'Scenario Output'!$DX4,NA())</f>
        <v>#N/A</v>
      </c>
      <c r="T18" s="308" t="e">
        <f>IF(AND(T14&lt;&gt;"",O18&lt;&gt;"",RunScenFlag=1),'Scenario Output'!$FG4,NA())</f>
        <v>#N/A</v>
      </c>
      <c r="U18" s="269"/>
      <c r="V18" s="279" t="str">
        <f>IF(Scenarios!$F$55&lt;&gt;1,"","Strategy 3")</f>
        <v/>
      </c>
      <c r="W18" s="309" t="e">
        <f>IF(AND(V18&lt;&gt;"",RunScenFlag=1),'Scenario Output'!$W5,NA())</f>
        <v>#N/A</v>
      </c>
      <c r="X18" s="307" t="e">
        <f>IF(AND(X14&lt;&gt;"",V18&lt;&gt;"",RunScenFlag=1),'Scenario Output'!$BF5,NA())</f>
        <v>#N/A</v>
      </c>
      <c r="Y18" s="307" t="e">
        <f>IF(AND(Y14&lt;&gt;"",V18&lt;&gt;"",RunScenFlag=1),'Scenario Output'!$CO5,NA())</f>
        <v>#N/A</v>
      </c>
      <c r="Z18" s="307" t="e">
        <f>IF(AND(Z14&lt;&gt;"",V18&lt;&gt;"",RunScenFlag=1),'Scenario Output'!$DX5,NA())</f>
        <v>#N/A</v>
      </c>
      <c r="AA18" s="308" t="e">
        <f>IF(AND(AA14&lt;&gt;"",V18&lt;&gt;"",RunScenFlag=1),'Scenario Output'!$FG5,NA())</f>
        <v>#N/A</v>
      </c>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row>
    <row r="19" spans="1:71" ht="21" customHeight="1" x14ac:dyDescent="0.5">
      <c r="A19" s="277" t="str">
        <f>IF(Scenarios!$G$12&lt;&gt;1,"","Strategy 4")</f>
        <v/>
      </c>
      <c r="B19" s="309" t="e">
        <f>IF(AND(A19&lt;&gt;"",RunScenFlag=1),'Scenario Output'!$AD2,NA())</f>
        <v>#N/A</v>
      </c>
      <c r="C19" s="307" t="e">
        <f>IF(AND(C14&lt;&gt;"",A19&lt;&gt;"",RunScenFlag=1),'Scenario Output'!$BM2,NA())</f>
        <v>#N/A</v>
      </c>
      <c r="D19" s="307" t="e">
        <f>IF(AND(D14&lt;&gt;"",A19&lt;&gt;"",RunScenFlag=1),'Scenario Output'!$CV2,NA())</f>
        <v>#N/A</v>
      </c>
      <c r="E19" s="307" t="e">
        <f>IF(AND(E14&lt;&gt;"",A19&lt;&gt;"",RunScenFlag=1),'Scenario Output'!$EE2,NA())</f>
        <v>#N/A</v>
      </c>
      <c r="F19" s="308" t="e">
        <f>IF(AND(F14&lt;&gt;"",A19&lt;&gt;"",RunScenFlag=1),'Scenario Output'!$FN2,NA())</f>
        <v>#N/A</v>
      </c>
      <c r="G19" s="269"/>
      <c r="H19" s="279" t="str">
        <f>IF(Scenarios!$G$27&lt;&gt;1,"","Strategy 4")</f>
        <v/>
      </c>
      <c r="I19" s="309" t="e">
        <f>IF(AND(H19&lt;&gt;"",RunScenFlag=1),'Scenario Output'!$AD3,NA())</f>
        <v>#N/A</v>
      </c>
      <c r="J19" s="307" t="e">
        <f>IF(AND(J14&lt;&gt;"",H19&lt;&gt;"",RunScenFlag=1),'Scenario Output'!$BM3,NA())</f>
        <v>#N/A</v>
      </c>
      <c r="K19" s="307" t="e">
        <f>IF(AND(K14&lt;&gt;"",H19&lt;&gt;"",RunScenFlag=1),'Scenario Output'!$CV3,NA())</f>
        <v>#N/A</v>
      </c>
      <c r="L19" s="307" t="e">
        <f>IF(AND(L14&lt;&gt;"",H19&lt;&gt;"",RunScenFlag=1),'Scenario Output'!$EE3,NA())</f>
        <v>#N/A</v>
      </c>
      <c r="M19" s="308" t="e">
        <f>IF(AND(M14&lt;&gt;"",H19&lt;&gt;"",RunScenFlag=1),'Scenario Output'!$FN3,NA())</f>
        <v>#N/A</v>
      </c>
      <c r="N19" s="269"/>
      <c r="O19" s="279" t="str">
        <f>IF(Scenarios!$G$41&lt;&gt;1,"","Strategy 4")</f>
        <v/>
      </c>
      <c r="P19" s="309" t="e">
        <f>IF(AND(O19&lt;&gt;"",RunScenFlag=1),'Scenario Output'!$AD4,NA())</f>
        <v>#N/A</v>
      </c>
      <c r="Q19" s="307" t="e">
        <f>IF(AND(Q14&lt;&gt;"",O19&lt;&gt;"",RunScenFlag=1),'Scenario Output'!$BM4,NA())</f>
        <v>#N/A</v>
      </c>
      <c r="R19" s="307" t="e">
        <f>IF(AND(R14&lt;&gt;"",O18&lt;&gt;"",RunScenFlag=1),'Scenario Output'!$CV4,NA())</f>
        <v>#N/A</v>
      </c>
      <c r="S19" s="307" t="e">
        <f>IF(AND(S14&lt;&gt;"",O19&lt;&gt;"",RunScenFlag=1),'Scenario Output'!$EE4,NA())</f>
        <v>#N/A</v>
      </c>
      <c r="T19" s="308" t="e">
        <f>IF(AND(T14&lt;&gt;"",O19&lt;&gt;"",RunScenFlag=1),'Scenario Output'!$FN4,NA())</f>
        <v>#N/A</v>
      </c>
      <c r="U19" s="269"/>
      <c r="V19" s="279" t="str">
        <f>IF(Scenarios!$G$55&lt;&gt;1,"","Strategy 4")</f>
        <v/>
      </c>
      <c r="W19" s="309" t="e">
        <f>IF(AND(V19&lt;&gt;"",RunScenFlag=1),'Scenario Output'!$AD5,NA())</f>
        <v>#N/A</v>
      </c>
      <c r="X19" s="307" t="e">
        <f>IF(AND(X14&lt;&gt;"",V19&lt;&gt;"",RunScenFlag=1),'Scenario Output'!$BM5,NA())</f>
        <v>#N/A</v>
      </c>
      <c r="Y19" s="307" t="e">
        <f>IF(AND(Y14&lt;&gt;"",V19&lt;&gt;"",RunScenFlag=1),'Scenario Output'!$CV5,NA())</f>
        <v>#N/A</v>
      </c>
      <c r="Z19" s="307" t="e">
        <f>IF(AND(Z14&lt;&gt;"",V19&lt;&gt;"",RunScenFlag=1),'Scenario Output'!$EE5,NA())</f>
        <v>#N/A</v>
      </c>
      <c r="AA19" s="308" t="e">
        <f>IF(AND(AA14&lt;&gt;"",V19&lt;&gt;"",RunScenFlag=1),'Scenario Output'!$FN5,NA())</f>
        <v>#N/A</v>
      </c>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row>
    <row r="20" spans="1:71" ht="21" customHeight="1" x14ac:dyDescent="0.5">
      <c r="A20" s="269"/>
      <c r="B20" s="269"/>
      <c r="C20" s="269"/>
      <c r="D20" s="269"/>
      <c r="E20" s="269"/>
      <c r="F20" s="269"/>
      <c r="G20" s="269"/>
      <c r="H20" s="269"/>
      <c r="I20" s="269"/>
      <c r="J20" s="269"/>
      <c r="K20" s="269"/>
      <c r="L20" s="269"/>
      <c r="M20" s="269"/>
      <c r="N20" s="269"/>
      <c r="O20" s="269"/>
      <c r="P20" s="269"/>
      <c r="Q20" s="269"/>
      <c r="R20" s="269"/>
      <c r="S20" s="269"/>
      <c r="T20" s="269"/>
      <c r="U20" s="269"/>
      <c r="V20" s="269"/>
      <c r="W20" s="269"/>
      <c r="X20" s="269"/>
      <c r="Y20" s="269"/>
      <c r="Z20" s="269"/>
      <c r="AA20" s="269"/>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row>
    <row r="21" spans="1:71" ht="21" customHeight="1" x14ac:dyDescent="0.5">
      <c r="A21" s="269"/>
      <c r="B21" s="370" t="s">
        <v>109</v>
      </c>
      <c r="C21" s="371"/>
      <c r="D21" s="371"/>
      <c r="E21" s="371"/>
      <c r="F21" s="372"/>
      <c r="G21" s="269"/>
      <c r="H21" s="269"/>
      <c r="I21" s="370" t="s">
        <v>109</v>
      </c>
      <c r="J21" s="371"/>
      <c r="K21" s="371"/>
      <c r="L21" s="371"/>
      <c r="M21" s="372"/>
      <c r="N21" s="269"/>
      <c r="O21" s="269"/>
      <c r="P21" s="370" t="s">
        <v>109</v>
      </c>
      <c r="Q21" s="371"/>
      <c r="R21" s="371"/>
      <c r="S21" s="371"/>
      <c r="T21" s="372"/>
      <c r="U21" s="269"/>
      <c r="V21" s="269"/>
      <c r="W21" s="370" t="s">
        <v>109</v>
      </c>
      <c r="X21" s="371"/>
      <c r="Y21" s="371"/>
      <c r="Z21" s="371"/>
      <c r="AA21" s="37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row>
    <row r="22" spans="1:71" ht="21" customHeight="1" x14ac:dyDescent="0.5">
      <c r="A22" s="269"/>
      <c r="B22" s="367" t="s">
        <v>105</v>
      </c>
      <c r="C22" s="368"/>
      <c r="D22" s="368"/>
      <c r="E22" s="368"/>
      <c r="F22" s="369"/>
      <c r="G22" s="269"/>
      <c r="H22" s="269"/>
      <c r="I22" s="367" t="s">
        <v>105</v>
      </c>
      <c r="J22" s="368"/>
      <c r="K22" s="368"/>
      <c r="L22" s="368"/>
      <c r="M22" s="369"/>
      <c r="N22" s="269"/>
      <c r="O22" s="269"/>
      <c r="P22" s="367" t="s">
        <v>105</v>
      </c>
      <c r="Q22" s="368"/>
      <c r="R22" s="368"/>
      <c r="S22" s="368"/>
      <c r="T22" s="369"/>
      <c r="U22" s="269"/>
      <c r="V22" s="269"/>
      <c r="W22" s="367" t="s">
        <v>105</v>
      </c>
      <c r="X22" s="368"/>
      <c r="Y22" s="368"/>
      <c r="Z22" s="368"/>
      <c r="AA22" s="369"/>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row>
    <row r="23" spans="1:71" ht="21" customHeight="1" x14ac:dyDescent="0.5">
      <c r="A23" s="269"/>
      <c r="B23" s="305">
        <f>Scenarios!$C$5</f>
        <v>0</v>
      </c>
      <c r="C23" s="270" t="str">
        <f>IF(Scenarios!$C$6="","",Scenarios!$C$6)</f>
        <v/>
      </c>
      <c r="D23" s="270" t="str">
        <f>IF(Scenarios!$C$7="","",Scenarios!$C$7)</f>
        <v/>
      </c>
      <c r="E23" s="270" t="str">
        <f>IF(Scenarios!$C$8="","",Scenarios!$C$8)</f>
        <v/>
      </c>
      <c r="F23" s="271" t="str">
        <f>IF(Scenarios!$C$9="","",Scenarios!$C$9)</f>
        <v/>
      </c>
      <c r="G23" s="269"/>
      <c r="H23" s="269"/>
      <c r="I23" s="305">
        <f>Scenarios!$D$5</f>
        <v>0</v>
      </c>
      <c r="J23" s="270" t="str">
        <f>IF(Scenarios!$D$6="","",Scenarios!$D$6)</f>
        <v/>
      </c>
      <c r="K23" s="270" t="str">
        <f>IF(Scenarios!$D$7="","",Scenarios!$D$7)</f>
        <v/>
      </c>
      <c r="L23" s="270" t="str">
        <f>IF(Scenarios!$D$8="","",Scenarios!$D$8)</f>
        <v/>
      </c>
      <c r="M23" s="271" t="str">
        <f>IF(Scenarios!$D$9="","",Scenarios!$D$9)</f>
        <v/>
      </c>
      <c r="N23" s="269"/>
      <c r="O23" s="269"/>
      <c r="P23" s="305">
        <f>Scenarios!$E$5</f>
        <v>0</v>
      </c>
      <c r="Q23" s="270" t="str">
        <f>IF(Scenarios!$E$6="","",Scenarios!$E$6)</f>
        <v/>
      </c>
      <c r="R23" s="270" t="str">
        <f>IF(Scenarios!$E$7="","",Scenarios!$E$7)</f>
        <v/>
      </c>
      <c r="S23" s="270" t="str">
        <f>IF(Scenarios!$E$8="","",Scenarios!$E$8)</f>
        <v/>
      </c>
      <c r="T23" s="271" t="str">
        <f>IF(Scenarios!$E$9="","",Scenarios!$E$9)</f>
        <v/>
      </c>
      <c r="U23" s="269"/>
      <c r="V23" s="269"/>
      <c r="W23" s="305">
        <f>Scenarios!$F$5</f>
        <v>0</v>
      </c>
      <c r="X23" s="270" t="str">
        <f>IF(Scenarios!$F$6="","",Scenarios!$F$6)</f>
        <v/>
      </c>
      <c r="Y23" s="270" t="str">
        <f>IF(Scenarios!$F$7="","",Scenarios!$F$7)</f>
        <v/>
      </c>
      <c r="Z23" s="270" t="str">
        <f>IF(Scenarios!$F$8="","",Scenarios!$F$8)</f>
        <v/>
      </c>
      <c r="AA23" s="271" t="str">
        <f>IF(Scenarios!$F$9="","",Scenarios!$F$9)</f>
        <v/>
      </c>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row>
    <row r="24" spans="1:71" ht="21" customHeight="1" x14ac:dyDescent="0.5">
      <c r="A24" s="272" t="s">
        <v>104</v>
      </c>
      <c r="B24" s="283">
        <f>IF(RunScenFlag=1,'Scenario Output'!$C2,NA())</f>
        <v>0</v>
      </c>
      <c r="C24" s="284" t="e">
        <f>IF(AND(C23&lt;&gt;"",RunScenFlag=1),'Scenario Output'!$AL2,NA())</f>
        <v>#N/A</v>
      </c>
      <c r="D24" s="284" t="e">
        <f>IF(AND(D23&lt;&gt;"",RunScenFlag=1),'Scenario Output'!$BU2,NA())</f>
        <v>#N/A</v>
      </c>
      <c r="E24" s="284" t="e">
        <f>IF(AND(E23&lt;&gt;"",RunScenFlag=1),'Scenario Output'!$DD2,NA())</f>
        <v>#N/A</v>
      </c>
      <c r="F24" s="289" t="e">
        <f>IF(AND(F23&lt;&gt;"",RunScenFlag=1),'Scenario Output'!$EM2,NA())</f>
        <v>#N/A</v>
      </c>
      <c r="G24" s="269"/>
      <c r="H24" s="272" t="s">
        <v>104</v>
      </c>
      <c r="I24" s="283">
        <f>IF(RunScenFlag=1,'Scenario Output'!$C3,NA())</f>
        <v>0</v>
      </c>
      <c r="J24" s="284" t="e">
        <f>IF(AND(J23&lt;&gt;"",RunScenFlag=1),'Scenario Output'!$AL3,NA())</f>
        <v>#N/A</v>
      </c>
      <c r="K24" s="284" t="e">
        <f>IF(AND(K23&lt;&gt;"",RunScenFlag=1),'Scenario Output'!$BU3,NA())</f>
        <v>#N/A</v>
      </c>
      <c r="L24" s="284" t="e">
        <f>IF(AND(L23&lt;&gt;"",RunScenFlag=1),'Scenario Output'!$DD3,NA())</f>
        <v>#N/A</v>
      </c>
      <c r="M24" s="289" t="e">
        <f>IF(AND(M23&lt;&gt;"",RunScenFlag=1),'Scenario Output'!$EM3,NA())</f>
        <v>#N/A</v>
      </c>
      <c r="N24" s="269"/>
      <c r="O24" s="272" t="s">
        <v>104</v>
      </c>
      <c r="P24" s="283">
        <f>IF(RunScenFlag=1,'Scenario Output'!$C4,NA())</f>
        <v>0</v>
      </c>
      <c r="Q24" s="284" t="e">
        <f>IF(AND(Q23&lt;&gt;"",RunScenFlag=1),'Scenario Output'!$AL4,NA())</f>
        <v>#N/A</v>
      </c>
      <c r="R24" s="284" t="e">
        <f>IF(AND(R23&lt;&gt;"",RunScenFlag=1),'Scenario Output'!$BU4,NA())</f>
        <v>#N/A</v>
      </c>
      <c r="S24" s="284" t="e">
        <f>IF(AND(S23&lt;&gt;"",RunScenFlag=1),'Scenario Output'!$DD4,NA())</f>
        <v>#N/A</v>
      </c>
      <c r="T24" s="289" t="e">
        <f>IF(AND(T23&lt;&gt;"",RunScenFlag=1),'Scenario Output'!$EM4,NA())</f>
        <v>#N/A</v>
      </c>
      <c r="U24" s="269"/>
      <c r="V24" s="272" t="s">
        <v>104</v>
      </c>
      <c r="W24" s="283">
        <f>IF(RunScenFlag=1,'Scenario Output'!$C5, NA())</f>
        <v>0</v>
      </c>
      <c r="X24" s="284" t="e">
        <f>IF(AND(X23&lt;&gt;"",RunScenFlag=1),'Scenario Output'!$AL5,NA())</f>
        <v>#N/A</v>
      </c>
      <c r="Y24" s="284" t="e">
        <f>IF(AND(Y23&lt;&gt;"",RunScenFlag=1),'Scenario Output'!$BU5,NA())</f>
        <v>#N/A</v>
      </c>
      <c r="Z24" s="284" t="e">
        <f>IF(AND(Z23&lt;&gt;"",RunScenFlag=1),'Scenario Output'!$DD5,NA())</f>
        <v>#N/A</v>
      </c>
      <c r="AA24" s="289" t="e">
        <f>IF(AND(AA23&lt;&gt;"",RunScenFlag=1),'Scenario Output'!$EM5,NA())</f>
        <v>#N/A</v>
      </c>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row>
    <row r="25" spans="1:71" ht="21" customHeight="1" x14ac:dyDescent="0.5">
      <c r="A25" s="277" t="str">
        <f>IF(Scenarios!$D$12&lt;&gt;1,"","Strategy 1")</f>
        <v/>
      </c>
      <c r="B25" s="290" t="e">
        <f>IF(AND(A25&lt;&gt;"",RunScenFlag=1),'Scenario Output'!$J2,NA())</f>
        <v>#N/A</v>
      </c>
      <c r="C25" s="284" t="e">
        <f>IF(AND(C23&lt;&gt;"",A25&lt;&gt;"",RunScenFlag=1),'Scenario Output'!$AS2,NA())</f>
        <v>#N/A</v>
      </c>
      <c r="D25" s="284" t="e">
        <f>IF(AND(D23&lt;&gt;"",A25&lt;&gt;"",RunScenFlag=1),'Scenario Output'!$CB2,NA())</f>
        <v>#N/A</v>
      </c>
      <c r="E25" s="284" t="e">
        <f>IF(AND(E23&lt;&gt;"",A25&lt;&gt;"",RunScenFlag=1),'Scenario Output'!$DK2,NA())</f>
        <v>#N/A</v>
      </c>
      <c r="F25" s="289" t="e">
        <f>IF(AND(F23&lt;&gt;"",A25&lt;&gt;"",RunScenFlag=1),'Scenario Output'!$ET2,NA())</f>
        <v>#N/A</v>
      </c>
      <c r="G25" s="269"/>
      <c r="H25" s="277" t="str">
        <f>IF(Scenarios!$D$27&lt;&gt;1,"","Strategy 1")</f>
        <v/>
      </c>
      <c r="I25" s="290" t="e">
        <f>IF(AND(H25&lt;&gt;"",RunScenFlag=1),'Scenario Output'!$J3,NA())</f>
        <v>#N/A</v>
      </c>
      <c r="J25" s="284" t="e">
        <f>IF(AND(J23&lt;&gt;"",H25&lt;&gt;"",RunScenFlag=1),'Scenario Output'!$AS3,NA())</f>
        <v>#N/A</v>
      </c>
      <c r="K25" s="284" t="e">
        <f>IF(AND(K23&lt;&gt;"",H25&lt;&gt;"",RunScenFlag=1),'Scenario Output'!$CB3,NA())</f>
        <v>#N/A</v>
      </c>
      <c r="L25" s="284" t="e">
        <f>IF(AND(L23&lt;&gt;"",H25&lt;&gt;"",RunScenFlag=1),'Scenario Output'!$DK3,NA())</f>
        <v>#N/A</v>
      </c>
      <c r="M25" s="289" t="e">
        <f>IF(AND(M23&lt;&gt;"",H25&lt;&gt;"",RunScenFlag=1),'Scenario Output'!$ET3,NA())</f>
        <v>#N/A</v>
      </c>
      <c r="N25" s="269"/>
      <c r="O25" s="277" t="str">
        <f>IF(Scenarios!$D$41&lt;&gt;1,"","Strategy 1")</f>
        <v/>
      </c>
      <c r="P25" s="290" t="e">
        <f>IF(AND(O25&lt;&gt;"",RunScenFlag=1),'Scenario Output'!$J4,NA())</f>
        <v>#N/A</v>
      </c>
      <c r="Q25" s="284" t="e">
        <f>IF(AND(Q23&lt;&gt;"",O25&lt;&gt;"",RunScenFlag=1),'Scenario Output'!$AS4,NA())</f>
        <v>#N/A</v>
      </c>
      <c r="R25" s="284" t="e">
        <f>IF(AND(R23&lt;&gt;"",O25&lt;&gt;"",RunScenFlag=1),'Scenario Output'!$CB4,NA())</f>
        <v>#N/A</v>
      </c>
      <c r="S25" s="284" t="e">
        <f>IF(AND(S23&lt;&gt;"",O25&lt;&gt;"",RunScenFlag=1),'Scenario Output'!$DK4,NA())</f>
        <v>#N/A</v>
      </c>
      <c r="T25" s="289" t="e">
        <f>IF(AND(T23&lt;&gt;"",O25&lt;&gt;"",RunScenFlag=1),'Scenario Output'!$ET4,NA())</f>
        <v>#N/A</v>
      </c>
      <c r="U25" s="269"/>
      <c r="V25" s="277" t="str">
        <f>IF(Scenarios!$D$55&lt;&gt;1,"","Strategy 1")</f>
        <v/>
      </c>
      <c r="W25" s="290" t="e">
        <f>IF(AND(V25&lt;&gt;"",RunScenFlag=1),'Scenario Output'!$J5,NA())</f>
        <v>#N/A</v>
      </c>
      <c r="X25" s="284" t="e">
        <f>IF(AND(X23&lt;&gt;"",V25&lt;&gt;"",RunScenFlag=1),'Scenario Output'!$AS5,NA())</f>
        <v>#N/A</v>
      </c>
      <c r="Y25" s="284" t="e">
        <f>IF(AND(Y23&lt;&gt;"",V25&lt;&gt;"",RunScenFlag=1),'Scenario Output'!$CB5,NA())</f>
        <v>#N/A</v>
      </c>
      <c r="Z25" s="284" t="e">
        <f>IF(AND(Z23&lt;&gt;"",V25&lt;&gt;"",RunScenFlag=1),'Scenario Output'!$DK5,NA())</f>
        <v>#N/A</v>
      </c>
      <c r="AA25" s="289" t="e">
        <f>IF(AND(AA23&lt;&gt;"",V25&lt;&gt;"",RunScenFlag=1),'Scenario Output'!$ET5,NA())</f>
        <v>#N/A</v>
      </c>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row>
    <row r="26" spans="1:71" ht="21" customHeight="1" x14ac:dyDescent="0.5">
      <c r="A26" s="277" t="str">
        <f>IF(Scenarios!$E$12&lt;&gt;1,"","Strategy 2")</f>
        <v/>
      </c>
      <c r="B26" s="290" t="e">
        <f>IF(AND(A26&lt;&gt;"",RunScenFlag=1),'Scenario Output'!$Q2,NA())</f>
        <v>#N/A</v>
      </c>
      <c r="C26" s="284" t="e">
        <f>IF(AND(C23&lt;&gt;"",A26&lt;&gt;"",RunScenFlag=1),'Scenario Output'!$AZ2,NA())</f>
        <v>#N/A</v>
      </c>
      <c r="D26" s="284" t="e">
        <f>IF(AND(D23&lt;&gt;"",A26&lt;&gt;"",RunScenFlag=1),'Scenario Output'!$CI2,NA())</f>
        <v>#N/A</v>
      </c>
      <c r="E26" s="284" t="e">
        <f>IF(AND(E23&lt;&gt;"",A26&lt;&gt;"",RunScenFlag=1),'Scenario Output'!$DR2,NA())</f>
        <v>#N/A</v>
      </c>
      <c r="F26" s="289" t="e">
        <f>IF(AND(F23&lt;&gt;"",A26&lt;&gt;"",RunScenFlag=1),'Scenario Output'!$FA2,NA())</f>
        <v>#N/A</v>
      </c>
      <c r="G26" s="269"/>
      <c r="H26" s="277" t="str">
        <f>IF(Scenarios!$E$27&lt;&gt;1,"","Strategy 2")</f>
        <v/>
      </c>
      <c r="I26" s="290" t="e">
        <f>IF(AND(H26&lt;&gt;"",RunScenFlag=1),'Scenario Output'!$Q3,NA())</f>
        <v>#N/A</v>
      </c>
      <c r="J26" s="284" t="e">
        <f>IF(AND(J23&lt;&gt;"",H26&lt;&gt;"",RunScenFlag=1),'Scenario Output'!$AZ3,NA())</f>
        <v>#N/A</v>
      </c>
      <c r="K26" s="284" t="e">
        <f>IF(AND(K23&lt;&gt;"",H26&lt;&gt;"",RunScenFlag=1),'Scenario Output'!$CI3,NA())</f>
        <v>#N/A</v>
      </c>
      <c r="L26" s="284" t="e">
        <f>IF(AND(L23&lt;&gt;"",H26&lt;&gt;"",RunScenFlag=1),'Scenario Output'!$DR3,NA())</f>
        <v>#N/A</v>
      </c>
      <c r="M26" s="289" t="e">
        <f>IF(AND(M23&lt;&gt;"",H26&lt;&gt;"",RunScenFlag=1),'Scenario Output'!$FA3,NA())</f>
        <v>#N/A</v>
      </c>
      <c r="N26" s="269"/>
      <c r="O26" s="277" t="str">
        <f>IF(Scenarios!$E$41&lt;&gt;1,"","Strategy 2")</f>
        <v/>
      </c>
      <c r="P26" s="290" t="e">
        <f>IF(AND(O26&lt;&gt;"",RunScenFlag=1),'Scenario Output'!$Q4,NA())</f>
        <v>#N/A</v>
      </c>
      <c r="Q26" s="284" t="e">
        <f>IF(AND(Q23&lt;&gt;"",O26&lt;&gt;"",RunScenFlag=1),'Scenario Output'!$AZ4,NA())</f>
        <v>#N/A</v>
      </c>
      <c r="R26" s="284" t="e">
        <f>IF(AND(R23&lt;&gt;"",O26&lt;&gt;"",RunScenFlag=1),'Scenario Output'!$CI4,NA())</f>
        <v>#N/A</v>
      </c>
      <c r="S26" s="284" t="e">
        <f>IF(AND(S23&lt;&gt;"",O26&lt;&gt;"",RunScenFlag=1),'Scenario Output'!$DR4,NA())</f>
        <v>#N/A</v>
      </c>
      <c r="T26" s="289" t="e">
        <f>IF(AND(T23&lt;&gt;"",O26&lt;&gt;"",RunScenFlag=1),'Scenario Output'!$FA4,NA())</f>
        <v>#N/A</v>
      </c>
      <c r="U26" s="269"/>
      <c r="V26" s="277" t="str">
        <f>IF(Scenarios!$E$55&lt;&gt;1,"","Strategy 2")</f>
        <v/>
      </c>
      <c r="W26" s="290" t="e">
        <f>IF(AND(V26&lt;&gt;"",RunScenFlag=1),'Scenario Output'!$Q5,NA())</f>
        <v>#N/A</v>
      </c>
      <c r="X26" s="284" t="e">
        <f>IF(AND(X23&lt;&gt;"",V26&lt;&gt;"",RunScenFlag=1),'Scenario Output'!$AZ5,NA())</f>
        <v>#N/A</v>
      </c>
      <c r="Y26" s="284" t="e">
        <f>IF(AND(Y23&lt;&gt;"",V26&lt;&gt;"",RunScenFlag=1),'Scenario Output'!$CI5,NA())</f>
        <v>#N/A</v>
      </c>
      <c r="Z26" s="284" t="e">
        <f>IF(AND(Z23&lt;&gt;"",V26&lt;&gt;"",RunScenFlag=1),'Scenario Output'!$DR5,NA())</f>
        <v>#N/A</v>
      </c>
      <c r="AA26" s="289" t="e">
        <f>IF(AND(AA23&lt;&gt;"",V26&lt;&gt;"",RunScenFlag=1),'Scenario Output'!$FA5,NA())</f>
        <v>#N/A</v>
      </c>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row>
    <row r="27" spans="1:71" ht="21" customHeight="1" x14ac:dyDescent="0.5">
      <c r="A27" s="277" t="str">
        <f>IF(Scenarios!$F$12&lt;&gt;1,"","Strategy 3")</f>
        <v/>
      </c>
      <c r="B27" s="290" t="e">
        <f>IF(AND(A27&lt;&gt;"",RunScenFlag=1),'Scenario Output'!$X2,NA())</f>
        <v>#N/A</v>
      </c>
      <c r="C27" s="284" t="e">
        <f>IF(AND(C23&lt;&gt;"",A27&lt;&gt;"",RunScenFlag=1),'Scenario Output'!$BG2,NA())</f>
        <v>#N/A</v>
      </c>
      <c r="D27" s="284" t="e">
        <f>IF(AND(D23&lt;&gt;"",A27&lt;&gt;"",RunScenFlag=1),'Scenario Output'!$CP2,NA())</f>
        <v>#N/A</v>
      </c>
      <c r="E27" s="284" t="e">
        <f>IF(AND(E23&lt;&gt;"",A27&lt;&gt;"",RunScenFlag=1),'Scenario Output'!$DY2,NA())</f>
        <v>#N/A</v>
      </c>
      <c r="F27" s="289" t="e">
        <f>IF(AND(F23&lt;&gt;"",A27&lt;&gt;"",RunScenFlag=1),'Scenario Output'!$FH2,NA())</f>
        <v>#N/A</v>
      </c>
      <c r="G27" s="269"/>
      <c r="H27" s="277" t="str">
        <f>IF(Scenarios!$F$27&lt;&gt;1,"","Strategy 3")</f>
        <v/>
      </c>
      <c r="I27" s="290" t="e">
        <f>IF(AND(H27&lt;&gt;"",RunScenFlag=1),'Scenario Output'!$X3,NA())</f>
        <v>#N/A</v>
      </c>
      <c r="J27" s="284" t="e">
        <f>IF(AND(J23&lt;&gt;"",H27&lt;&gt;"",RunScenFlag=1),'Scenario Output'!$BG3,NA())</f>
        <v>#N/A</v>
      </c>
      <c r="K27" s="284" t="e">
        <f>IF(AND(K23&lt;&gt;"",H27&lt;&gt;"",RunScenFlag=1),'Scenario Output'!$CP3,NA())</f>
        <v>#N/A</v>
      </c>
      <c r="L27" s="284" t="e">
        <f>IF(AND(L23&lt;&gt;"",H27&lt;&gt;"",RunScenFlag=1),'Scenario Output'!$DY3,NA())</f>
        <v>#N/A</v>
      </c>
      <c r="M27" s="289" t="e">
        <f>IF(AND(M23&lt;&gt;"",H27&lt;&gt;"",RunScenFlag=1),'Scenario Output'!$FH3,NA())</f>
        <v>#N/A</v>
      </c>
      <c r="N27" s="269"/>
      <c r="O27" s="277" t="str">
        <f>IF(Scenarios!$F$41&lt;&gt;1,"","Strategy 3")</f>
        <v/>
      </c>
      <c r="P27" s="290" t="e">
        <f>IF(AND(O27&lt;&gt;"",RunScenFlag=1),'Scenario Output'!$X4,NA())</f>
        <v>#N/A</v>
      </c>
      <c r="Q27" s="284" t="e">
        <f>IF(AND(Q23&lt;&gt;"",O27&lt;&gt;"",RunScenFlag=1),'Scenario Output'!$BG4,NA())</f>
        <v>#N/A</v>
      </c>
      <c r="R27" s="284" t="e">
        <f>IF(AND(R23&lt;&gt;"",O27&lt;&gt;"",RunScenFlag=1),'Scenario Output'!$CP4,NA())</f>
        <v>#N/A</v>
      </c>
      <c r="S27" s="284" t="e">
        <f>IF(AND(S23&lt;&gt;"",O27&lt;&gt;"",RunScenFlag=1),'Scenario Output'!$DY4,NA())</f>
        <v>#N/A</v>
      </c>
      <c r="T27" s="289" t="e">
        <f>IF(AND(T23&lt;&gt;"",O27&lt;&gt;"",RunScenFlag=1),'Scenario Output'!$FH4,NA())</f>
        <v>#N/A</v>
      </c>
      <c r="U27" s="269"/>
      <c r="V27" s="277" t="str">
        <f>IF(Scenarios!$F$55&lt;&gt;1,"","Strategy 3")</f>
        <v/>
      </c>
      <c r="W27" s="290" t="e">
        <f>IF(AND(V27&lt;&gt;"",RunScenFlag=1),'Scenario Output'!$X5,NA())</f>
        <v>#N/A</v>
      </c>
      <c r="X27" s="284" t="e">
        <f>IF(AND(X23&lt;&gt;"",V27&lt;&gt;"",RunScenFlag=1),'Scenario Output'!$BG5,NA())</f>
        <v>#N/A</v>
      </c>
      <c r="Y27" s="284" t="e">
        <f>IF(AND(Y23&lt;&gt;"",V27&lt;&gt;"",RunScenFlag=1),'Scenario Output'!$CP5,NA())</f>
        <v>#N/A</v>
      </c>
      <c r="Z27" s="284" t="e">
        <f>IF(AND(Z23&lt;&gt;"",V27&lt;&gt;"",RunScenFlag=1),'Scenario Output'!$DY5,NA())</f>
        <v>#N/A</v>
      </c>
      <c r="AA27" s="289" t="e">
        <f>IF(AND(AA23&lt;&gt;"",V27&lt;&gt;"",RunScenFlag=1),'Scenario Output'!$FH5,NA())</f>
        <v>#N/A</v>
      </c>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row>
    <row r="28" spans="1:71" ht="21" customHeight="1" x14ac:dyDescent="0.5">
      <c r="A28" s="277" t="str">
        <f>IF(Scenarios!$G$12&lt;&gt;1,"","Strategy 4")</f>
        <v/>
      </c>
      <c r="B28" s="291" t="e">
        <f>IF(AND(A28&lt;&gt;"",RunScenFlag=1),'Scenario Output'!$AE2,NA())</f>
        <v>#N/A</v>
      </c>
      <c r="C28" s="292" t="e">
        <f>IF(AND(C23&lt;&gt;"",A28&lt;&gt;"",RunScenFlag=1),'Scenario Output'!$BN2,NA())</f>
        <v>#N/A</v>
      </c>
      <c r="D28" s="292" t="e">
        <f>IF(AND(D23&lt;&gt;"",A28&lt;&gt;"",RunScenFlag=1),'Scenario Output'!$CW2,NA())</f>
        <v>#N/A</v>
      </c>
      <c r="E28" s="292" t="e">
        <f>IF(AND(E23&lt;&gt;"",A28&lt;&gt;"",RunScenFlag=1),'Scenario Output'!$EF2,NA())</f>
        <v>#N/A</v>
      </c>
      <c r="F28" s="293" t="e">
        <f>IF(AND(F23&lt;&gt;"",A28&lt;&gt;"",RunScenFlag=1),'Scenario Output'!$FO2,NA())</f>
        <v>#N/A</v>
      </c>
      <c r="G28" s="269"/>
      <c r="H28" s="277" t="str">
        <f>IF(Scenarios!$G$27&lt;&gt;1,"","Strategy 4")</f>
        <v/>
      </c>
      <c r="I28" s="291" t="e">
        <f>IF(AND(H28&lt;&gt;"",RunScenFlag=1),'Scenario Output'!$AE3,NA())</f>
        <v>#N/A</v>
      </c>
      <c r="J28" s="292" t="e">
        <f>IF(AND(J23&lt;&gt;"",H28&lt;&gt;"",RunScenFlag=1),'Scenario Output'!$BN3,NA())</f>
        <v>#N/A</v>
      </c>
      <c r="K28" s="292" t="e">
        <f>IF(AND(K23&lt;&gt;"",H28&lt;&gt;"",RunScenFlag=1),'Scenario Output'!$CW3,NA())</f>
        <v>#N/A</v>
      </c>
      <c r="L28" s="292" t="e">
        <f>IF(AND(L23&lt;&gt;"",H28&lt;&gt;"",RunScenFlag=1),'Scenario Output'!$EF3,NA())</f>
        <v>#N/A</v>
      </c>
      <c r="M28" s="293" t="e">
        <f>IF(AND(M23&lt;&gt;"",H28&lt;&gt;"",RunScenFlag=1),'Scenario Output'!$FO3,NA())</f>
        <v>#N/A</v>
      </c>
      <c r="N28" s="269"/>
      <c r="O28" s="277" t="str">
        <f>IF(Scenarios!$G$41&lt;&gt;1,"","Strategy 4")</f>
        <v/>
      </c>
      <c r="P28" s="291" t="e">
        <f>IF(AND(O28&lt;&gt;"",RunScenFlag=1),'Scenario Output'!$AE4,NA())</f>
        <v>#N/A</v>
      </c>
      <c r="Q28" s="292" t="e">
        <f>IF(AND(Q23&lt;&gt;"",O28&lt;&gt;"",RunScenFlag=1),'Scenario Output'!$BN4,NA())</f>
        <v>#N/A</v>
      </c>
      <c r="R28" s="292" t="e">
        <f>IF(AND(R23&lt;&gt;"",O28&lt;&gt;"",RunScenFlag=1),'Scenario Output'!$CW4,NA())</f>
        <v>#N/A</v>
      </c>
      <c r="S28" s="292" t="e">
        <f>IF(AND(S23&lt;&gt;"",O28&lt;&gt;"",RunScenFlag=1),'Scenario Output'!$EF4,NA())</f>
        <v>#N/A</v>
      </c>
      <c r="T28" s="293" t="e">
        <f>IF(AND(T23&lt;&gt;"",O28&lt;&gt;"",RunScenFlag=1),'Scenario Output'!$FO4,NA())</f>
        <v>#N/A</v>
      </c>
      <c r="U28" s="269"/>
      <c r="V28" s="277" t="str">
        <f>IF(Scenarios!$G$55&lt;&gt;1,"","Strategy 4")</f>
        <v/>
      </c>
      <c r="W28" s="291" t="e">
        <f>IF(AND(V28&lt;&gt;"",RunScenFlag=1),'Scenario Output'!$AE5,NA())</f>
        <v>#N/A</v>
      </c>
      <c r="X28" s="292" t="e">
        <f>IF(AND(X23&lt;&gt;"",V28&lt;&gt;"",RunScenFlag=1),'Scenario Output'!$BN5,NA())</f>
        <v>#N/A</v>
      </c>
      <c r="Y28" s="292" t="e">
        <f>IF(AND(Y23&lt;&gt;"",V28&lt;&gt;"",RunScenFlag=1),'Scenario Output'!$CW5,NA())</f>
        <v>#N/A</v>
      </c>
      <c r="Z28" s="292" t="e">
        <f>IF(AND(Z23&lt;&gt;"",V28&lt;&gt;"",RunScenFlag=1),'Scenario Output'!$EF5,NA())</f>
        <v>#N/A</v>
      </c>
      <c r="AA28" s="293" t="e">
        <f>IF(AND(AA23&lt;&gt;"",V28&lt;&gt;"",RunScenFlag=1),'Scenario Output'!$FO5,NA())</f>
        <v>#N/A</v>
      </c>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row>
    <row r="29" spans="1:71" ht="21" customHeight="1" x14ac:dyDescent="0.5">
      <c r="A29" s="269"/>
      <c r="B29" s="269"/>
      <c r="C29" s="269"/>
      <c r="D29" s="269"/>
      <c r="E29" s="269"/>
      <c r="F29" s="269"/>
      <c r="G29" s="269"/>
      <c r="H29" s="269"/>
      <c r="I29" s="269"/>
      <c r="J29" s="269"/>
      <c r="K29" s="269"/>
      <c r="L29" s="269"/>
      <c r="M29" s="269"/>
      <c r="N29" s="269"/>
      <c r="O29" s="269"/>
      <c r="P29" s="269"/>
      <c r="Q29" s="269"/>
      <c r="R29" s="269"/>
      <c r="S29" s="269"/>
      <c r="T29" s="269"/>
      <c r="U29" s="269"/>
      <c r="V29" s="269"/>
      <c r="W29" s="269"/>
      <c r="X29" s="269"/>
      <c r="Y29" s="269"/>
      <c r="Z29" s="269"/>
      <c r="AA29" s="269"/>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row>
    <row r="30" spans="1:71" ht="21" customHeight="1" x14ac:dyDescent="0.5">
      <c r="A30" s="269"/>
      <c r="B30" s="370" t="s">
        <v>108</v>
      </c>
      <c r="C30" s="371"/>
      <c r="D30" s="371"/>
      <c r="E30" s="371"/>
      <c r="F30" s="372"/>
      <c r="G30" s="269"/>
      <c r="H30" s="269"/>
      <c r="I30" s="370" t="s">
        <v>108</v>
      </c>
      <c r="J30" s="371"/>
      <c r="K30" s="371"/>
      <c r="L30" s="371"/>
      <c r="M30" s="372"/>
      <c r="N30" s="269"/>
      <c r="O30" s="269"/>
      <c r="P30" s="370" t="s">
        <v>108</v>
      </c>
      <c r="Q30" s="371"/>
      <c r="R30" s="371"/>
      <c r="S30" s="371"/>
      <c r="T30" s="372"/>
      <c r="U30" s="269"/>
      <c r="V30" s="269"/>
      <c r="W30" s="370" t="s">
        <v>108</v>
      </c>
      <c r="X30" s="371"/>
      <c r="Y30" s="371"/>
      <c r="Z30" s="371"/>
      <c r="AA30" s="37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row>
    <row r="31" spans="1:71" ht="21" customHeight="1" x14ac:dyDescent="0.5">
      <c r="A31" s="269"/>
      <c r="B31" s="367" t="s">
        <v>105</v>
      </c>
      <c r="C31" s="368"/>
      <c r="D31" s="368"/>
      <c r="E31" s="368"/>
      <c r="F31" s="369"/>
      <c r="G31" s="269"/>
      <c r="H31" s="269"/>
      <c r="I31" s="367" t="s">
        <v>105</v>
      </c>
      <c r="J31" s="368"/>
      <c r="K31" s="368"/>
      <c r="L31" s="368"/>
      <c r="M31" s="369"/>
      <c r="N31" s="269"/>
      <c r="O31" s="269"/>
      <c r="P31" s="367" t="s">
        <v>105</v>
      </c>
      <c r="Q31" s="368"/>
      <c r="R31" s="368"/>
      <c r="S31" s="368"/>
      <c r="T31" s="369"/>
      <c r="U31" s="269"/>
      <c r="V31" s="269"/>
      <c r="W31" s="367" t="s">
        <v>105</v>
      </c>
      <c r="X31" s="368"/>
      <c r="Y31" s="368"/>
      <c r="Z31" s="368"/>
      <c r="AA31" s="369"/>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row>
    <row r="32" spans="1:71" ht="21" customHeight="1" x14ac:dyDescent="0.5">
      <c r="A32" s="269"/>
      <c r="B32" s="305">
        <f>Scenarios!$C$5</f>
        <v>0</v>
      </c>
      <c r="C32" s="270" t="str">
        <f>IF(Scenarios!$C$6="","",Scenarios!$C$6)</f>
        <v/>
      </c>
      <c r="D32" s="270" t="str">
        <f>IF(Scenarios!$C$7="","",Scenarios!$C$7)</f>
        <v/>
      </c>
      <c r="E32" s="270" t="str">
        <f>IF(Scenarios!$C$8="","",Scenarios!$C$8)</f>
        <v/>
      </c>
      <c r="F32" s="271" t="str">
        <f>IF(Scenarios!$C$9="","",Scenarios!$C$9)</f>
        <v/>
      </c>
      <c r="G32" s="269"/>
      <c r="H32" s="269"/>
      <c r="I32" s="305">
        <f>Scenarios!$D$5</f>
        <v>0</v>
      </c>
      <c r="J32" s="270" t="str">
        <f>IF(Scenarios!$D$6="","",Scenarios!$D$6)</f>
        <v/>
      </c>
      <c r="K32" s="270" t="str">
        <f>IF(Scenarios!$D$7="","",Scenarios!$D$7)</f>
        <v/>
      </c>
      <c r="L32" s="270" t="str">
        <f>IF(Scenarios!$D$8="","",Scenarios!$D$8)</f>
        <v/>
      </c>
      <c r="M32" s="271" t="str">
        <f>IF(Scenarios!$D$9="","",Scenarios!$D$9)</f>
        <v/>
      </c>
      <c r="N32" s="269"/>
      <c r="O32" s="269"/>
      <c r="P32" s="305">
        <f>Scenarios!$E$5</f>
        <v>0</v>
      </c>
      <c r="Q32" s="270" t="str">
        <f>IF(Scenarios!$E$6="","",Scenarios!$E$6)</f>
        <v/>
      </c>
      <c r="R32" s="270" t="str">
        <f>IF(Scenarios!$E$7="","",Scenarios!$E$7)</f>
        <v/>
      </c>
      <c r="S32" s="270" t="str">
        <f>IF(Scenarios!$E$8="","",Scenarios!$E$8)</f>
        <v/>
      </c>
      <c r="T32" s="271" t="str">
        <f>IF(Scenarios!$E$9="","",Scenarios!$E$9)</f>
        <v/>
      </c>
      <c r="U32" s="269"/>
      <c r="V32" s="269"/>
      <c r="W32" s="305">
        <f>Scenarios!$F$5</f>
        <v>0</v>
      </c>
      <c r="X32" s="270" t="str">
        <f>IF(Scenarios!$F$6="","",Scenarios!$F$6)</f>
        <v/>
      </c>
      <c r="Y32" s="270" t="str">
        <f>IF(Scenarios!$F$7="","",Scenarios!$F$7)</f>
        <v/>
      </c>
      <c r="Z32" s="270" t="str">
        <f>IF(Scenarios!$F$8="","",Scenarios!$F$8)</f>
        <v/>
      </c>
      <c r="AA32" s="271" t="str">
        <f>IF(Scenarios!$F$9="","",Scenarios!$F$9)</f>
        <v/>
      </c>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row>
    <row r="33" spans="1:71" ht="21" customHeight="1" x14ac:dyDescent="0.5">
      <c r="A33" s="272" t="s">
        <v>104</v>
      </c>
      <c r="B33" s="285">
        <f>IF(RunScenFlag=1,B24+B42,NA())</f>
        <v>0</v>
      </c>
      <c r="C33" s="286" t="e">
        <f>IF(AND(C32&lt;&gt;"",RunScenFlag=1),C24+C42,NA())</f>
        <v>#N/A</v>
      </c>
      <c r="D33" s="286" t="e">
        <f>IF(AND(D32&lt;&gt;"",RunScenFlag=1),D24+D42,NA())</f>
        <v>#N/A</v>
      </c>
      <c r="E33" s="286" t="e">
        <f>IF(AND(E32&lt;&gt;"",RunScenFlag=1),E24+E42,NA())</f>
        <v>#N/A</v>
      </c>
      <c r="F33" s="287" t="e">
        <f>IF(AND(F32&lt;&gt;"",RunScenFlag=1),F24+F42,NA())</f>
        <v>#N/A</v>
      </c>
      <c r="G33" s="269"/>
      <c r="H33" s="272" t="s">
        <v>104</v>
      </c>
      <c r="I33" s="285">
        <f>IF(RunScenFlag=1,I24+I42,NA())</f>
        <v>0</v>
      </c>
      <c r="J33" s="286" t="e">
        <f>IF(AND(J32&lt;&gt;"",RunScenFlag=1),J24+J42,NA())</f>
        <v>#N/A</v>
      </c>
      <c r="K33" s="286" t="e">
        <f>IF(AND(K32&lt;&gt;"",RunScenFlag=1),K24+K42,NA())</f>
        <v>#N/A</v>
      </c>
      <c r="L33" s="286" t="e">
        <f>IF(AND(L32&lt;&gt;"",RunScenFlag=1),L24+L42,NA())</f>
        <v>#N/A</v>
      </c>
      <c r="M33" s="287" t="e">
        <f>IF(AND(M32&lt;&gt;"",RunScenFlag=1),M24+M42,NA())</f>
        <v>#N/A</v>
      </c>
      <c r="N33" s="269"/>
      <c r="O33" s="272" t="s">
        <v>104</v>
      </c>
      <c r="P33" s="285">
        <f>IF(RunScenFlag=1,P24+P42,NA())</f>
        <v>0</v>
      </c>
      <c r="Q33" s="286" t="e">
        <f>IF(AND(Q32&lt;&gt;"",RunScenFlag=1),Q24+Q42,NA())</f>
        <v>#N/A</v>
      </c>
      <c r="R33" s="286" t="e">
        <f>IF(AND(R32&lt;&gt;"",RunScenFlag=1),R24+R42,NA())</f>
        <v>#N/A</v>
      </c>
      <c r="S33" s="286" t="e">
        <f>IF(AND(S32&lt;&gt;"",RunScenFlag=1),S24+S42,NA())</f>
        <v>#N/A</v>
      </c>
      <c r="T33" s="287" t="e">
        <f>IF(AND(T32&lt;&gt;"",RunScenFlag=1),T24+T42,NA())</f>
        <v>#N/A</v>
      </c>
      <c r="U33" s="269"/>
      <c r="V33" s="272" t="s">
        <v>104</v>
      </c>
      <c r="W33" s="285">
        <f>IF(RunScenFlag=1,W24+W42, NA())</f>
        <v>0</v>
      </c>
      <c r="X33" s="286" t="e">
        <f>IF(AND(X32&lt;&gt;"",RunScenFlag=1),X24+X42,NA())</f>
        <v>#N/A</v>
      </c>
      <c r="Y33" s="286" t="e">
        <f>IF(AND(Y32&lt;&gt;"",RunScenFlag=1),Y24+Y42,NA())</f>
        <v>#N/A</v>
      </c>
      <c r="Z33" s="286" t="e">
        <f>IF(AND(Z32&lt;&gt;"",RunScenFlag=1),Z24+Z42,NA())</f>
        <v>#N/A</v>
      </c>
      <c r="AA33" s="287" t="e">
        <f>IF(AND(AA32&lt;&gt;"",RunScenFlag=1),AA24+AA42,NA())</f>
        <v>#N/A</v>
      </c>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row>
    <row r="34" spans="1:71" ht="21" customHeight="1" x14ac:dyDescent="0.5">
      <c r="A34" s="277" t="str">
        <f>IF(Scenarios!$D$12&lt;&gt;1,"","Strategy 1")</f>
        <v/>
      </c>
      <c r="B34" s="288" t="e">
        <f>IF(AND(A34&lt;&gt;"",RunScenFlag=1),B25+B43,NA())</f>
        <v>#N/A</v>
      </c>
      <c r="C34" s="286" t="e">
        <f>IF(AND(C32&lt;&gt;"",A34&lt;&gt;"",RunScenFlag=1),C25+C43,NA())</f>
        <v>#N/A</v>
      </c>
      <c r="D34" s="286" t="e">
        <f>IF(AND(D32&lt;&gt;"",A34&lt;&gt;"",RunScenFlag=1),D25+D43,NA())</f>
        <v>#N/A</v>
      </c>
      <c r="E34" s="286" t="e">
        <f>IF(AND(E32&lt;&gt;"",A34&lt;&gt;"",RunScenFlag=1),E25+E43,NA())</f>
        <v>#N/A</v>
      </c>
      <c r="F34" s="287" t="e">
        <f>IF(AND(F32&lt;&gt;"",A34&lt;&gt;"",RunScenFlag=1),F25+F43,NA())</f>
        <v>#N/A</v>
      </c>
      <c r="G34" s="269"/>
      <c r="H34" s="277" t="str">
        <f>IF(Scenarios!$D$27&lt;&gt;1,"","Strategy 1")</f>
        <v/>
      </c>
      <c r="I34" s="288" t="e">
        <f>IF(AND(H34&lt;&gt;"",RunScenFlag=1),I25+I43,NA())</f>
        <v>#N/A</v>
      </c>
      <c r="J34" s="286" t="e">
        <f>IF(AND(J32&lt;&gt;"",H34&lt;&gt;"",RunScenFlag=1),J25+J43,NA())</f>
        <v>#N/A</v>
      </c>
      <c r="K34" s="286" t="e">
        <f>IF(AND(K32&lt;&gt;"",H34&lt;&gt;"",RunScenFlag=1),K25+K43,NA())</f>
        <v>#N/A</v>
      </c>
      <c r="L34" s="286" t="e">
        <f>IF(AND(L32&lt;&gt;"",H34&lt;&gt;"",RunScenFlag=1),L25+L43,NA())</f>
        <v>#N/A</v>
      </c>
      <c r="M34" s="287" t="e">
        <f>IF(AND(M32&lt;&gt;"",H34&lt;&gt;"",RunScenFlag=1),M25+M43,NA())</f>
        <v>#N/A</v>
      </c>
      <c r="N34" s="269"/>
      <c r="O34" s="277" t="str">
        <f>IF(Scenarios!$D$41&lt;&gt;1,"","Strategy 1")</f>
        <v/>
      </c>
      <c r="P34" s="288" t="e">
        <f>IF(AND(O34&lt;&gt;"",RunScenFlag=1),P25+P43,NA())</f>
        <v>#N/A</v>
      </c>
      <c r="Q34" s="286" t="e">
        <f>IF(AND(Q32&lt;&gt;"",O34&lt;&gt;"",RunScenFlag=1),Q25+Q43,NA())</f>
        <v>#N/A</v>
      </c>
      <c r="R34" s="286" t="e">
        <f>IF(AND(R32&lt;&gt;"",O34&lt;&gt;"",RunScenFlag=1),R25+R43,NA())</f>
        <v>#N/A</v>
      </c>
      <c r="S34" s="286" t="e">
        <f>IF(AND(S32&lt;&gt;"",O34&lt;&gt;"",RunScenFlag=1),S25+S43,NA())</f>
        <v>#N/A</v>
      </c>
      <c r="T34" s="287" t="e">
        <f>IF(AND(T32&lt;&gt;"",O34&lt;&gt;"",RunScenFlag=1),T25+T43,NA())</f>
        <v>#N/A</v>
      </c>
      <c r="U34" s="269"/>
      <c r="V34" s="277" t="str">
        <f>IF(Scenarios!$D$55&lt;&gt;1,"","Strategy 1")</f>
        <v/>
      </c>
      <c r="W34" s="288" t="e">
        <f>IF(AND(V34&lt;&gt;"",RunScenFlag=1),W25+W43,NA())</f>
        <v>#N/A</v>
      </c>
      <c r="X34" s="286" t="e">
        <f>IF(AND(X32&lt;&gt;"",V34&lt;&gt;"",RunScenFlag=1),X25+X43,NA())</f>
        <v>#N/A</v>
      </c>
      <c r="Y34" s="286" t="e">
        <f>IF(AND(Y32&lt;&gt;"",V34&lt;&gt;"",RunScenFlag=1),Y25+Y43,NA())</f>
        <v>#N/A</v>
      </c>
      <c r="Z34" s="286" t="e">
        <f>IF(AND(Z32&lt;&gt;"",V34&lt;&gt;"",RunScenFlag=1),Z25+Z43,NA())</f>
        <v>#N/A</v>
      </c>
      <c r="AA34" s="287" t="e">
        <f>IF(AND(AA32&lt;&gt;"",V34&lt;&gt;"",RunScenFlag=1),AA25+AA43,NA())</f>
        <v>#N/A</v>
      </c>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row>
    <row r="35" spans="1:71" ht="21" customHeight="1" x14ac:dyDescent="0.5">
      <c r="A35" s="277" t="str">
        <f>IF(Scenarios!$E$12&lt;&gt;1,"","Strategy 2")</f>
        <v/>
      </c>
      <c r="B35" s="288" t="e">
        <f>IF(AND(A35&lt;&gt;"",RunScenFlag=1),B26+B44,NA())</f>
        <v>#N/A</v>
      </c>
      <c r="C35" s="286" t="e">
        <f>IF(AND(C32&lt;&gt;"",A35&lt;&gt;"",RunScenFlag=1),C26+C44,NA())</f>
        <v>#N/A</v>
      </c>
      <c r="D35" s="286" t="e">
        <f>IF(AND(D32&lt;&gt;"",A35&lt;&gt;"",RunScenFlag=1),D26+D44,NA())</f>
        <v>#N/A</v>
      </c>
      <c r="E35" s="286" t="e">
        <f>IF(AND(E32&lt;&gt;"",A35&lt;&gt;"",RunScenFlag=1),E26+E44,NA())</f>
        <v>#N/A</v>
      </c>
      <c r="F35" s="287" t="e">
        <f>IF(AND(F32&lt;&gt;"",A35&lt;&gt;"",RunScenFlag=1),F26+F44,NA())</f>
        <v>#N/A</v>
      </c>
      <c r="G35" s="269"/>
      <c r="H35" s="277" t="str">
        <f>IF(Scenarios!$E$27&lt;&gt;1,"","Strategy 2")</f>
        <v/>
      </c>
      <c r="I35" s="288" t="e">
        <f>IF(AND(H35&lt;&gt;"",RunScenFlag=1),I26+I44,NA())</f>
        <v>#N/A</v>
      </c>
      <c r="J35" s="286" t="e">
        <f>IF(AND(J32&lt;&gt;"",H35&lt;&gt;"",RunScenFlag=1),J26+J44,NA())</f>
        <v>#N/A</v>
      </c>
      <c r="K35" s="286" t="e">
        <f>IF(AND(K32&lt;&gt;"",H35&lt;&gt;"",RunScenFlag=1),K26+K44,NA())</f>
        <v>#N/A</v>
      </c>
      <c r="L35" s="286" t="e">
        <f>IF(AND(L32&lt;&gt;"",H35&lt;&gt;"",RunScenFlag=1),L26+L44,NA())</f>
        <v>#N/A</v>
      </c>
      <c r="M35" s="287" t="e">
        <f>IF(AND(M32&lt;&gt;"",H35&lt;&gt;"",RunScenFlag=1),M26+M44,NA())</f>
        <v>#N/A</v>
      </c>
      <c r="N35" s="269"/>
      <c r="O35" s="277" t="str">
        <f>IF(Scenarios!$E$41&lt;&gt;1,"","Strategy 2")</f>
        <v/>
      </c>
      <c r="P35" s="288" t="e">
        <f>IF(AND(O35&lt;&gt;"",RunScenFlag=1),P26+P44,NA())</f>
        <v>#N/A</v>
      </c>
      <c r="Q35" s="286" t="e">
        <f>IF(AND(Q32&lt;&gt;"",O35&lt;&gt;"",RunScenFlag=1),Q26+Q44,NA())</f>
        <v>#N/A</v>
      </c>
      <c r="R35" s="286" t="e">
        <f>IF(AND(R32&lt;&gt;"",O35&lt;&gt;"",RunScenFlag=1),R26+R44,NA())</f>
        <v>#N/A</v>
      </c>
      <c r="S35" s="286" t="e">
        <f>IF(AND(S32&lt;&gt;"",O35&lt;&gt;"",RunScenFlag=1),S26+S44,NA())</f>
        <v>#N/A</v>
      </c>
      <c r="T35" s="287" t="e">
        <f>IF(AND(T32&lt;&gt;"",O35&lt;&gt;"",RunScenFlag=1),T26+T44,NA())</f>
        <v>#N/A</v>
      </c>
      <c r="U35" s="269"/>
      <c r="V35" s="277" t="str">
        <f>IF(Scenarios!$E$55&lt;&gt;1,"","Strategy 2")</f>
        <v/>
      </c>
      <c r="W35" s="288" t="e">
        <f>IF(AND(V35&lt;&gt;"",RunScenFlag=1),W26+W44,NA())</f>
        <v>#N/A</v>
      </c>
      <c r="X35" s="286" t="e">
        <f>IF(AND(X32&lt;&gt;"",V35&lt;&gt;"",RunScenFlag=1),X26+X44,NA())</f>
        <v>#N/A</v>
      </c>
      <c r="Y35" s="286" t="e">
        <f>IF(AND(Y32&lt;&gt;"",V35&lt;&gt;"",RunScenFlag=1),Y26+Y44,NA())</f>
        <v>#N/A</v>
      </c>
      <c r="Z35" s="286" t="e">
        <f>IF(AND(Z32&lt;&gt;"",V35&lt;&gt;"",RunScenFlag=1),Z26+Z44,NA())</f>
        <v>#N/A</v>
      </c>
      <c r="AA35" s="287" t="e">
        <f>IF(AND(AA32&lt;&gt;"",V35&lt;&gt;"",RunScenFlag=1),AA26+AA44,NA())</f>
        <v>#N/A</v>
      </c>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row>
    <row r="36" spans="1:71" ht="21" customHeight="1" x14ac:dyDescent="0.5">
      <c r="A36" s="277" t="str">
        <f>IF(Scenarios!$F$12&lt;&gt;1,"","Strategy 3")</f>
        <v/>
      </c>
      <c r="B36" s="288" t="e">
        <f>IF(AND(A36&lt;&gt;"",RunScenFlag=1),B27+B45,NA())</f>
        <v>#N/A</v>
      </c>
      <c r="C36" s="286" t="e">
        <f>IF(AND(C32&lt;&gt;"",A36&lt;&gt;"",RunScenFlag=1),C27+C45,NA())</f>
        <v>#N/A</v>
      </c>
      <c r="D36" s="286" t="e">
        <f>IF(AND(D32&lt;&gt;"",A36&lt;&gt;"",RunScenFlag=1),D27+D45,NA())</f>
        <v>#N/A</v>
      </c>
      <c r="E36" s="286" t="e">
        <f>IF(AND(E32&lt;&gt;"",A36&lt;&gt;"",RunScenFlag=1),E27+E45,NA())</f>
        <v>#N/A</v>
      </c>
      <c r="F36" s="287" t="e">
        <f>IF(AND(F32&lt;&gt;"",A36&lt;&gt;"",RunScenFlag=1),F27+F45,NA())</f>
        <v>#N/A</v>
      </c>
      <c r="G36" s="269"/>
      <c r="H36" s="277" t="str">
        <f>IF(Scenarios!$F$27&lt;&gt;1,"","Strategy 3")</f>
        <v/>
      </c>
      <c r="I36" s="288" t="e">
        <f>IF(AND(H36&lt;&gt;"",RunScenFlag=1),I27+I45,NA())</f>
        <v>#N/A</v>
      </c>
      <c r="J36" s="286" t="e">
        <f>IF(AND(J32&lt;&gt;"",H36&lt;&gt;"",RunScenFlag=1),J27+J45,NA())</f>
        <v>#N/A</v>
      </c>
      <c r="K36" s="286" t="e">
        <f>IF(AND(K32&lt;&gt;"",H36&lt;&gt;"",RunScenFlag=1),K27+K45,NA())</f>
        <v>#N/A</v>
      </c>
      <c r="L36" s="286" t="e">
        <f>IF(AND(L32&lt;&gt;"",H36&lt;&gt;"",RunScenFlag=1),L27+L45,NA())</f>
        <v>#N/A</v>
      </c>
      <c r="M36" s="287" t="e">
        <f>IF(AND(M32&lt;&gt;"",H36&lt;&gt;"",RunScenFlag=1),M27+M45,NA())</f>
        <v>#N/A</v>
      </c>
      <c r="N36" s="269"/>
      <c r="O36" s="277" t="str">
        <f>IF(Scenarios!$F$41&lt;&gt;1,"","Strategy 3")</f>
        <v/>
      </c>
      <c r="P36" s="288" t="e">
        <f>IF(AND(O36&lt;&gt;"",RunScenFlag=1),P27+P45,NA())</f>
        <v>#N/A</v>
      </c>
      <c r="Q36" s="286" t="e">
        <f>IF(AND(Q32&lt;&gt;"",O36&lt;&gt;"",RunScenFlag=1),Q27+Q45,NA())</f>
        <v>#N/A</v>
      </c>
      <c r="R36" s="286" t="e">
        <f>IF(AND(R32&lt;&gt;"",O36&lt;&gt;"",RunScenFlag=1),R27+R45,NA())</f>
        <v>#N/A</v>
      </c>
      <c r="S36" s="286" t="e">
        <f>IF(AND(S32&lt;&gt;"",O36&lt;&gt;"",RunScenFlag=1),S27+S45,NA())</f>
        <v>#N/A</v>
      </c>
      <c r="T36" s="287" t="e">
        <f>IF(AND(T32&lt;&gt;"",O36&lt;&gt;"",RunScenFlag=1),T27+T45,NA())</f>
        <v>#N/A</v>
      </c>
      <c r="U36" s="269"/>
      <c r="V36" s="277" t="str">
        <f>IF(Scenarios!$F$55&lt;&gt;1,"","Strategy 3")</f>
        <v/>
      </c>
      <c r="W36" s="288" t="e">
        <f>IF(AND(V36&lt;&gt;"",RunScenFlag=1),W27+W45,NA())</f>
        <v>#N/A</v>
      </c>
      <c r="X36" s="286" t="e">
        <f>IF(AND(X32&lt;&gt;"",V36&lt;&gt;"",RunScenFlag=1),X27+X45,NA())</f>
        <v>#N/A</v>
      </c>
      <c r="Y36" s="286" t="e">
        <f>IF(AND(Y32&lt;&gt;"",V36&lt;&gt;"",RunScenFlag=1),Y27+Y45,NA())</f>
        <v>#N/A</v>
      </c>
      <c r="Z36" s="286" t="e">
        <f>IF(AND(Z32&lt;&gt;"",V36&lt;&gt;"",RunScenFlag=1),Z27+Z45,NA())</f>
        <v>#N/A</v>
      </c>
      <c r="AA36" s="287" t="e">
        <f>IF(AND(AA32&lt;&gt;"",V36&lt;&gt;"",RunScenFlag=1),AA27+AA45,NA())</f>
        <v>#N/A</v>
      </c>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row>
    <row r="37" spans="1:71" ht="21" customHeight="1" x14ac:dyDescent="0.5">
      <c r="A37" s="277" t="str">
        <f>IF(Scenarios!$G$12&lt;&gt;1,"","Strategy 4")</f>
        <v/>
      </c>
      <c r="B37" s="288" t="e">
        <f>IF(AND(A37&lt;&gt;"",RunScenFlag=1),B28+B46,NA())</f>
        <v>#N/A</v>
      </c>
      <c r="C37" s="294" t="e">
        <f>IF(AND(C32&lt;&gt;"",A37&lt;&gt;"",RunScenFlag=1),C28+C46,NA())</f>
        <v>#N/A</v>
      </c>
      <c r="D37" s="294" t="e">
        <f>IF(AND(D32&lt;&gt;"",A37&lt;&gt;"",RunScenFlag=1),D28+D46,NA())</f>
        <v>#N/A</v>
      </c>
      <c r="E37" s="294" t="e">
        <f>IF(AND(E32&lt;&gt;"",A37&lt;&gt;"",RunScenFlag=1),E28+E46,NA())</f>
        <v>#N/A</v>
      </c>
      <c r="F37" s="295" t="e">
        <f>IF(AND(F32&lt;&gt;"",A37&lt;&gt;""),F28+F46,NA())</f>
        <v>#N/A</v>
      </c>
      <c r="G37" s="269"/>
      <c r="H37" s="277" t="str">
        <f>IF(Scenarios!$G$27&lt;&gt;1,"","Strategy 4")</f>
        <v/>
      </c>
      <c r="I37" s="288" t="e">
        <f>IF(AND(H37&lt;&gt;"",RunScenFlag=1),I28+I46,NA())</f>
        <v>#N/A</v>
      </c>
      <c r="J37" s="294" t="e">
        <f>IF(AND(J32&lt;&gt;"",H37&lt;&gt;"",RunScenFlag=1),J28+J46,NA())</f>
        <v>#N/A</v>
      </c>
      <c r="K37" s="294" t="e">
        <f>IF(AND(K32&lt;&gt;"",H37&lt;&gt;"",RunScenFlag=1),K28+K46,NA())</f>
        <v>#N/A</v>
      </c>
      <c r="L37" s="294" t="e">
        <f>IF(AND(L32&lt;&gt;"",H37&lt;&gt;"",RunScenFlag=1),L28+L46,NA())</f>
        <v>#N/A</v>
      </c>
      <c r="M37" s="295" t="e">
        <f>IF(AND(M32&lt;&gt;"",H37&lt;&gt;"",RunScenFlag=1),M28+M46,NA())</f>
        <v>#N/A</v>
      </c>
      <c r="N37" s="269"/>
      <c r="O37" s="277" t="str">
        <f>IF(Scenarios!$G$41&lt;&gt;1,"","Strategy 4")</f>
        <v/>
      </c>
      <c r="P37" s="288" t="e">
        <f>IF(AND(O37&lt;&gt;"",RunScenFlag=1),P28+P46,NA())</f>
        <v>#N/A</v>
      </c>
      <c r="Q37" s="294" t="e">
        <f>IF(AND(Q32&lt;&gt;"",O37&lt;&gt;"",RunScenFlag=1),Q28+Q46,NA())</f>
        <v>#N/A</v>
      </c>
      <c r="R37" s="294" t="e">
        <f>IF(AND(R32&lt;&gt;"",O37&lt;&gt;"",RunScenFlag=1),R28+R46,NA())</f>
        <v>#N/A</v>
      </c>
      <c r="S37" s="294" t="e">
        <f>IF(AND(S32&lt;&gt;"",O37&lt;&gt;"",RunScenFlag=1),S28+S46,NA())</f>
        <v>#N/A</v>
      </c>
      <c r="T37" s="295" t="e">
        <f>IF(AND(T32&lt;&gt;"",O37&lt;&gt;"",RunScenFlag=1),T28+T46,NA())</f>
        <v>#N/A</v>
      </c>
      <c r="U37" s="269"/>
      <c r="V37" s="277" t="str">
        <f>IF(Scenarios!$G$55&lt;&gt;1,"","Strategy 4")</f>
        <v/>
      </c>
      <c r="W37" s="288" t="e">
        <f>IF(AND(V37&lt;&gt;"",RunScenFlag=1),W28+W46,NA())</f>
        <v>#N/A</v>
      </c>
      <c r="X37" s="294" t="e">
        <f>IF(AND(X32&lt;&gt;"",V37&lt;&gt;"",RunScenFlag=1),X28+X46,NA())</f>
        <v>#N/A</v>
      </c>
      <c r="Y37" s="294" t="e">
        <f>IF(AND(Y32&lt;&gt;"",V37&lt;&gt;"",RunScenFlag=1),Y28+Y46,NA())</f>
        <v>#N/A</v>
      </c>
      <c r="Z37" s="294" t="e">
        <f>IF(AND(Z32&lt;&gt;"",V37&lt;&gt;"",RunScenFlag=1),Z28+Z46,NA())</f>
        <v>#N/A</v>
      </c>
      <c r="AA37" s="295" t="e">
        <f>IF(AND(AA32&lt;&gt;"",V37&lt;&gt;"",RunScenFlag=1),AA28+AA46,NA())</f>
        <v>#N/A</v>
      </c>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row>
    <row r="38" spans="1:71" ht="21" customHeight="1" x14ac:dyDescent="0.5">
      <c r="A38" s="269"/>
      <c r="B38" s="269"/>
      <c r="C38" s="269"/>
      <c r="D38" s="269"/>
      <c r="E38" s="269"/>
      <c r="F38" s="269"/>
      <c r="G38" s="269"/>
      <c r="H38" s="269"/>
      <c r="I38" s="269"/>
      <c r="J38" s="269"/>
      <c r="K38" s="269"/>
      <c r="L38" s="269"/>
      <c r="M38" s="269"/>
      <c r="N38" s="269"/>
      <c r="O38" s="269"/>
      <c r="P38" s="269"/>
      <c r="Q38" s="269"/>
      <c r="R38" s="269"/>
      <c r="S38" s="269"/>
      <c r="T38" s="269"/>
      <c r="U38" s="269"/>
      <c r="V38" s="269"/>
      <c r="W38" s="269"/>
      <c r="X38" s="269"/>
      <c r="Y38" s="269"/>
      <c r="Z38" s="269"/>
      <c r="AA38" s="269"/>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row>
    <row r="39" spans="1:71" ht="21" customHeight="1" x14ac:dyDescent="0.5">
      <c r="A39" s="269"/>
      <c r="B39" s="370" t="s">
        <v>107</v>
      </c>
      <c r="C39" s="371"/>
      <c r="D39" s="371"/>
      <c r="E39" s="371"/>
      <c r="F39" s="372"/>
      <c r="G39" s="269"/>
      <c r="H39" s="269"/>
      <c r="I39" s="370" t="s">
        <v>107</v>
      </c>
      <c r="J39" s="371"/>
      <c r="K39" s="371"/>
      <c r="L39" s="371"/>
      <c r="M39" s="372"/>
      <c r="N39" s="269"/>
      <c r="O39" s="269"/>
      <c r="P39" s="370" t="s">
        <v>107</v>
      </c>
      <c r="Q39" s="371"/>
      <c r="R39" s="371"/>
      <c r="S39" s="371"/>
      <c r="T39" s="372"/>
      <c r="U39" s="269"/>
      <c r="V39" s="269"/>
      <c r="W39" s="370" t="s">
        <v>107</v>
      </c>
      <c r="X39" s="371"/>
      <c r="Y39" s="371"/>
      <c r="Z39" s="371"/>
      <c r="AA39" s="37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row>
    <row r="40" spans="1:71" ht="21" customHeight="1" x14ac:dyDescent="0.5">
      <c r="A40" s="269"/>
      <c r="B40" s="367" t="s">
        <v>105</v>
      </c>
      <c r="C40" s="368"/>
      <c r="D40" s="368"/>
      <c r="E40" s="368"/>
      <c r="F40" s="369"/>
      <c r="G40" s="269"/>
      <c r="H40" s="269"/>
      <c r="I40" s="367" t="s">
        <v>105</v>
      </c>
      <c r="J40" s="368"/>
      <c r="K40" s="368"/>
      <c r="L40" s="368"/>
      <c r="M40" s="369"/>
      <c r="N40" s="269"/>
      <c r="O40" s="269"/>
      <c r="P40" s="367" t="s">
        <v>105</v>
      </c>
      <c r="Q40" s="368"/>
      <c r="R40" s="368"/>
      <c r="S40" s="368"/>
      <c r="T40" s="369"/>
      <c r="U40" s="269"/>
      <c r="V40" s="269"/>
      <c r="W40" s="367" t="s">
        <v>105</v>
      </c>
      <c r="X40" s="368"/>
      <c r="Y40" s="368"/>
      <c r="Z40" s="368"/>
      <c r="AA40" s="369"/>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row>
    <row r="41" spans="1:71" ht="21" customHeight="1" x14ac:dyDescent="0.5">
      <c r="A41" s="269"/>
      <c r="B41" s="305">
        <f>Scenarios!$C$5</f>
        <v>0</v>
      </c>
      <c r="C41" s="270" t="str">
        <f>IF(Scenarios!$C$6="","",Scenarios!$C$6)</f>
        <v/>
      </c>
      <c r="D41" s="270" t="str">
        <f>IF(Scenarios!$C$7="","",Scenarios!$C$7)</f>
        <v/>
      </c>
      <c r="E41" s="270" t="str">
        <f>IF(Scenarios!$C$8="","",Scenarios!$C$8)</f>
        <v/>
      </c>
      <c r="F41" s="271" t="str">
        <f>IF(Scenarios!$C$9="","",Scenarios!$C$9)</f>
        <v/>
      </c>
      <c r="G41" s="269"/>
      <c r="H41" s="269"/>
      <c r="I41" s="305">
        <f>Scenarios!$D$5</f>
        <v>0</v>
      </c>
      <c r="J41" s="270" t="str">
        <f>IF(Scenarios!$D$6="","",Scenarios!$D$6)</f>
        <v/>
      </c>
      <c r="K41" s="270" t="str">
        <f>IF(Scenarios!$D$7="","",Scenarios!$D$7)</f>
        <v/>
      </c>
      <c r="L41" s="270" t="str">
        <f>IF(Scenarios!$D$8="","",Scenarios!$D$8)</f>
        <v/>
      </c>
      <c r="M41" s="271" t="str">
        <f>IF(Scenarios!$D$9="","",Scenarios!$D$9)</f>
        <v/>
      </c>
      <c r="N41" s="269"/>
      <c r="O41" s="269"/>
      <c r="P41" s="305">
        <f>Scenarios!$E$5</f>
        <v>0</v>
      </c>
      <c r="Q41" s="270" t="str">
        <f>IF(Scenarios!$E$6="","",Scenarios!$E$6)</f>
        <v/>
      </c>
      <c r="R41" s="270" t="str">
        <f>IF(Scenarios!$E$7="","",Scenarios!$E$7)</f>
        <v/>
      </c>
      <c r="S41" s="270" t="str">
        <f>IF(Scenarios!$E$8="","",Scenarios!$E$8)</f>
        <v/>
      </c>
      <c r="T41" s="271" t="str">
        <f>IF(Scenarios!$E$9="","",Scenarios!$E$9)</f>
        <v/>
      </c>
      <c r="U41" s="269"/>
      <c r="V41" s="269"/>
      <c r="W41" s="305">
        <f>Scenarios!$F$5</f>
        <v>0</v>
      </c>
      <c r="X41" s="270" t="str">
        <f>IF(Scenarios!$F$6="","",Scenarios!$F$6)</f>
        <v/>
      </c>
      <c r="Y41" s="270" t="str">
        <f>IF(Scenarios!$F$7="","",Scenarios!$F$7)</f>
        <v/>
      </c>
      <c r="Z41" s="270" t="str">
        <f>IF(Scenarios!$F$8="","",Scenarios!$F$8)</f>
        <v/>
      </c>
      <c r="AA41" s="271" t="str">
        <f>IF(Scenarios!$F$9="","",Scenarios!$F$9)</f>
        <v/>
      </c>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row>
    <row r="42" spans="1:71" ht="21" customHeight="1" x14ac:dyDescent="0.5">
      <c r="A42" s="272" t="s">
        <v>104</v>
      </c>
      <c r="B42" s="285">
        <f>IF(RunScenFlag=1,'Scenario Output'!$E2,NA())</f>
        <v>0</v>
      </c>
      <c r="C42" s="286" t="e">
        <f>IF(AND(C41&lt;&gt;"",RunScenFlag=1),'Scenario Output'!$AN2,NA())</f>
        <v>#N/A</v>
      </c>
      <c r="D42" s="286" t="e">
        <f>IF(AND(D41&lt;&gt;"",RunScenFlag=1),'Scenario Output'!$BW2,NA())</f>
        <v>#N/A</v>
      </c>
      <c r="E42" s="286" t="e">
        <f>IF(AND(E41&lt;&gt;"",RunScenFlag=1),'Scenario Output'!$DF2,NA())</f>
        <v>#N/A</v>
      </c>
      <c r="F42" s="287" t="e">
        <f>IF(AND(F41&lt;&gt;"",RunScenFlag=1),'Scenario Output'!$EO2,NA())</f>
        <v>#N/A</v>
      </c>
      <c r="G42" s="269"/>
      <c r="H42" s="272" t="s">
        <v>104</v>
      </c>
      <c r="I42" s="285">
        <f>IF(RunScenFlag=1,'Scenario Output'!$E3,NA())</f>
        <v>0</v>
      </c>
      <c r="J42" s="286" t="e">
        <f>IF(AND(J41&lt;&gt;"",RunScenFlag=1),'Scenario Output'!$AN3,NA())</f>
        <v>#N/A</v>
      </c>
      <c r="K42" s="286" t="e">
        <f>IF(AND(K41&lt;&gt;"",RunScenFlag=1),'Scenario Output'!$BW3,NA())</f>
        <v>#N/A</v>
      </c>
      <c r="L42" s="286" t="e">
        <f>IF(AND(L41&lt;&gt;"",RunScenFlag=1),'Scenario Output'!$DF3,NA())</f>
        <v>#N/A</v>
      </c>
      <c r="M42" s="287" t="e">
        <f>IF(AND(M41&lt;&gt;"",RunScenFlag=1),'Scenario Output'!$EO3,NA())</f>
        <v>#N/A</v>
      </c>
      <c r="N42" s="269"/>
      <c r="O42" s="272" t="s">
        <v>104</v>
      </c>
      <c r="P42" s="285">
        <f>IF(RunScenFlag=1,'Scenario Output'!$E4,NA())</f>
        <v>0</v>
      </c>
      <c r="Q42" s="286" t="e">
        <f>IF(AND(Q41&lt;&gt;"",RunScenFlag=1),'Scenario Output'!$AN4,NA())</f>
        <v>#N/A</v>
      </c>
      <c r="R42" s="286" t="e">
        <f>IF(AND(R41&lt;&gt;"",RunScenFlag=1),'Scenario Output'!$BW4,NA())</f>
        <v>#N/A</v>
      </c>
      <c r="S42" s="286" t="e">
        <f>IF(AND(S41&lt;&gt;"",RunScenFlag=1),'Scenario Output'!$DF4,NA())</f>
        <v>#N/A</v>
      </c>
      <c r="T42" s="287" t="e">
        <f>IF(AND(T41&lt;&gt;"",RunScenFlag=1),'Scenario Output'!$EO4,NA())</f>
        <v>#N/A</v>
      </c>
      <c r="U42" s="269"/>
      <c r="V42" s="272" t="s">
        <v>104</v>
      </c>
      <c r="W42" s="285">
        <f>IF(RunScenFlag=1,'Scenario Output'!$E5, NA())</f>
        <v>0</v>
      </c>
      <c r="X42" s="286" t="e">
        <f>IF(AND(X41&lt;&gt;"",RunScenFlag=1),'Scenario Output'!$AN5,NA())</f>
        <v>#N/A</v>
      </c>
      <c r="Y42" s="286" t="e">
        <f>IF(AND(Y41&lt;&gt;"",RunScenFlag=1),'Scenario Output'!$BW5,NA())</f>
        <v>#N/A</v>
      </c>
      <c r="Z42" s="286" t="e">
        <f>IF(AND(Z41&lt;&gt;"",RunScenFlag=1),'Scenario Output'!$DF5,NA())</f>
        <v>#N/A</v>
      </c>
      <c r="AA42" s="287" t="e">
        <f>IF(AND(AA41&lt;&gt;"",RunScenFlag=1),'Scenario Output'!$EO5,NA())</f>
        <v>#N/A</v>
      </c>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row>
    <row r="43" spans="1:71" ht="21" customHeight="1" x14ac:dyDescent="0.5">
      <c r="A43" s="277" t="str">
        <f>IF(Scenarios!$D$12&lt;&gt;1,"","Strategy 1")</f>
        <v/>
      </c>
      <c r="B43" s="288" t="e">
        <f>IF(AND(A43&lt;&gt;"",RunScenFlag=1),'Scenario Output'!$L2,NA())</f>
        <v>#N/A</v>
      </c>
      <c r="C43" s="286" t="e">
        <f>IF(AND(C41&lt;&gt;"",A43&lt;&gt;"",RunScenFlag=1),'Scenario Output'!$AU2,NA())</f>
        <v>#N/A</v>
      </c>
      <c r="D43" s="286" t="e">
        <f>IF(AND(D41&lt;&gt;"",A43&lt;&gt;"",RunScenFlag=1),'Scenario Output'!$CD2,NA())</f>
        <v>#N/A</v>
      </c>
      <c r="E43" s="286" t="e">
        <f>IF(AND(E41&lt;&gt;"",A43&lt;&gt;"",RunScenFlag=1),'Scenario Output'!$DM2,NA())</f>
        <v>#N/A</v>
      </c>
      <c r="F43" s="287" t="e">
        <f>IF(AND(F41&lt;&gt;"",A43&lt;&gt;"",RunScenFlag=1),'Scenario Output'!$EV2,NA())</f>
        <v>#N/A</v>
      </c>
      <c r="G43" s="269"/>
      <c r="H43" s="277" t="str">
        <f>IF(Scenarios!$D$27&lt;&gt;1,"","Strategy 1")</f>
        <v/>
      </c>
      <c r="I43" s="288" t="e">
        <f>IF(IF(H43&lt;&gt;"",RunScenFlag=1),'Scenario Output'!$L3,NA())</f>
        <v>#N/A</v>
      </c>
      <c r="J43" s="286" t="e">
        <f>IF(AND(J41&lt;&gt;"",H43&lt;&gt;"",RunScenFlag=1),'Scenario Output'!$AU3,NA())</f>
        <v>#N/A</v>
      </c>
      <c r="K43" s="286" t="e">
        <f>IF(AND(K41&lt;&gt;"",H43&lt;&gt;"",RunScenFlag=1),'Scenario Output'!$CD3,NA())</f>
        <v>#N/A</v>
      </c>
      <c r="L43" s="286" t="e">
        <f>IF(AND(L41&lt;&gt;"",H43&lt;&gt;"",RunScenFlag=1),'Scenario Output'!$DM3,NA())</f>
        <v>#N/A</v>
      </c>
      <c r="M43" s="287" t="e">
        <f>IF(AND(M41&lt;&gt;"",H43&lt;&gt;"",RunScenFlag=1),'Scenario Output'!$EV3,NA())</f>
        <v>#N/A</v>
      </c>
      <c r="N43" s="269"/>
      <c r="O43" s="277" t="str">
        <f>IF(Scenarios!$D$41&lt;&gt;1,"","Strategy 1")</f>
        <v/>
      </c>
      <c r="P43" s="288" t="e">
        <f>IF(AND(O43&lt;&gt;"",RunScenFlag=1),'Scenario Output'!$L4,NA())</f>
        <v>#N/A</v>
      </c>
      <c r="Q43" s="286" t="e">
        <f>IF(AND(Q41&lt;&gt;"",O43&lt;&gt;"",RunScenFlag=1),'Scenario Output'!$AU4,NA())</f>
        <v>#N/A</v>
      </c>
      <c r="R43" s="286" t="e">
        <f>IF(AND(R41&lt;&gt;"",O43&lt;&gt;"",RunScenFlag=1),'Scenario Output'!$CD4,NA())</f>
        <v>#N/A</v>
      </c>
      <c r="S43" s="286" t="e">
        <f>IF(AND(S41&lt;&gt;"",O43&lt;&gt;"",RunScenFlag=1),'Scenario Output'!$DM4,NA())</f>
        <v>#N/A</v>
      </c>
      <c r="T43" s="287" t="e">
        <f>IF(AND(T41&lt;&gt;"",O43&lt;&gt;"",RunScenFlag=1),'Scenario Output'!$EV4,NA())</f>
        <v>#N/A</v>
      </c>
      <c r="U43" s="269"/>
      <c r="V43" s="277" t="str">
        <f>IF(Scenarios!$D$55&lt;&gt;1,"","Strategy 1")</f>
        <v/>
      </c>
      <c r="W43" s="288" t="e">
        <f>IF(AND(V43&lt;&gt;"",RunScenFlag=1),'Scenario Output'!$L5,NA())</f>
        <v>#N/A</v>
      </c>
      <c r="X43" s="286" t="e">
        <f>IF(AND(X41&lt;&gt;"",V43&lt;&gt;"",RunScenFlag=1),'Scenario Output'!$AU5,NA())</f>
        <v>#N/A</v>
      </c>
      <c r="Y43" s="286" t="e">
        <f>IF(AND(Y41&lt;&gt;"",V43&lt;&gt;"",RunScenFlag=1),'Scenario Output'!$CD5,NA())</f>
        <v>#N/A</v>
      </c>
      <c r="Z43" s="286" t="e">
        <f>IF(AND(Z41&lt;&gt;"",V43&lt;&gt;"",RunScenFlag=1),'Scenario Output'!$DM5,NA())</f>
        <v>#N/A</v>
      </c>
      <c r="AA43" s="287" t="e">
        <f>IF(AND(AA41&lt;&gt;"",V43&lt;&gt;"",RunScenFlag=1),'Scenario Output'!$EV5,NA())</f>
        <v>#N/A</v>
      </c>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row>
    <row r="44" spans="1:71" ht="21" customHeight="1" x14ac:dyDescent="0.5">
      <c r="A44" s="277" t="str">
        <f>IF(Scenarios!$E$12&lt;&gt;1,"","Strategy 2")</f>
        <v/>
      </c>
      <c r="B44" s="288" t="e">
        <f>IF(AND(A44&lt;&gt;"",RunScenFlag=1),'Scenario Output'!$S2,NA())</f>
        <v>#N/A</v>
      </c>
      <c r="C44" s="286" t="e">
        <f>IF(AND(C41&lt;&gt;"",A44&lt;&gt;"",RunScenFlag=1),'Scenario Output'!$BB2,NA())</f>
        <v>#N/A</v>
      </c>
      <c r="D44" s="286" t="e">
        <f>IF(AND(D41&lt;&gt;"",A44&lt;&gt;"",RunScenFlag=1),'Scenario Output'!$CK2,NA())</f>
        <v>#N/A</v>
      </c>
      <c r="E44" s="286" t="e">
        <f>IF(AND(E41&lt;&gt;"",A44&lt;&gt;"",RunScenFlag=1),'Scenario Output'!$DT2,NA())</f>
        <v>#N/A</v>
      </c>
      <c r="F44" s="287" t="e">
        <f>IF(AND(F41&lt;&gt;"",A44&lt;&gt;"",RunScenFlag=1),'Scenario Output'!$FC2,NA())</f>
        <v>#N/A</v>
      </c>
      <c r="G44" s="269"/>
      <c r="H44" s="277" t="str">
        <f>IF(Scenarios!$E$27&lt;&gt;1,"","Strategy 2")</f>
        <v/>
      </c>
      <c r="I44" s="288" t="e">
        <f>IF(AND(H44&lt;&gt;"",RunScenFlag=1),'Scenario Output'!$S3,NA())</f>
        <v>#N/A</v>
      </c>
      <c r="J44" s="286" t="e">
        <f>IF(AND(J41&lt;&gt;"",H44&lt;&gt;"",RunScenFlag=1),'Scenario Output'!$BB3,NA())</f>
        <v>#N/A</v>
      </c>
      <c r="K44" s="286" t="e">
        <f>IF(AND(K41&lt;&gt;"",H44&lt;&gt;"",RunScenFlag=1),'Scenario Output'!$CK3,NA())</f>
        <v>#N/A</v>
      </c>
      <c r="L44" s="286" t="e">
        <f>IF(AND(L41&lt;&gt;"",H44&lt;&gt;"",RunScenFlag=1),'Scenario Output'!$DT3,NA())</f>
        <v>#N/A</v>
      </c>
      <c r="M44" s="287" t="e">
        <f>IF(AND(M41&lt;&gt;"",H44&lt;&gt;"",RunScenFlag=1),'Scenario Output'!$FC3,NA())</f>
        <v>#N/A</v>
      </c>
      <c r="N44" s="269"/>
      <c r="O44" s="277" t="str">
        <f>IF(Scenarios!$E$41&lt;&gt;1,"","Strategy 2")</f>
        <v/>
      </c>
      <c r="P44" s="288" t="e">
        <f>IF(AND(O44&lt;&gt;"",RunScenFlag=1),'Scenario Output'!$S4,NA())</f>
        <v>#N/A</v>
      </c>
      <c r="Q44" s="286" t="e">
        <f>IF(AND(Q41&lt;&gt;"",O44&lt;&gt;"",RunScenFlag=1),'Scenario Output'!$BB4,NA())</f>
        <v>#N/A</v>
      </c>
      <c r="R44" s="286" t="e">
        <f>IF(AND(R41&lt;&gt;"",O44&lt;&gt;"",RunScenFlag=1),'Scenario Output'!$CK4,NA())</f>
        <v>#N/A</v>
      </c>
      <c r="S44" s="286" t="e">
        <f>IF(AND(S41&lt;&gt;"",O44&lt;&gt;"",RunScenFlag=1),'Scenario Output'!$DT4,NA())</f>
        <v>#N/A</v>
      </c>
      <c r="T44" s="287" t="e">
        <f>IF(AND(T41&lt;&gt;"",O44&lt;&gt;"",RunScenFlag=1),'Scenario Output'!$FC4,NA())</f>
        <v>#N/A</v>
      </c>
      <c r="U44" s="269"/>
      <c r="V44" s="277" t="str">
        <f>IF(Scenarios!$E$55&lt;&gt;1,"","Strategy 2")</f>
        <v/>
      </c>
      <c r="W44" s="288" t="e">
        <f>IF(AND(V44&lt;&gt;"",RunScenFlag=1),'Scenario Output'!$S5,NA())</f>
        <v>#N/A</v>
      </c>
      <c r="X44" s="286" t="e">
        <f>IF(AND(X41&lt;&gt;"",V44&lt;&gt;"",RunScenFlag=1),'Scenario Output'!$BB5,NA())</f>
        <v>#N/A</v>
      </c>
      <c r="Y44" s="286" t="e">
        <f>IF(AND(Y41&lt;&gt;"",V44&lt;&gt;"",RunScenFlag=1),'Scenario Output'!$CK5,NA())</f>
        <v>#N/A</v>
      </c>
      <c r="Z44" s="286" t="e">
        <f>IF(AND(Z41&lt;&gt;"",V44&lt;&gt;"",RunScenFlag=1),'Scenario Output'!$DT5,NA())</f>
        <v>#N/A</v>
      </c>
      <c r="AA44" s="287" t="e">
        <f>IF(AND(AA41&lt;&gt;"",V44&lt;&gt;"",RunScenFlag=1),'Scenario Output'!$FC5,NA())</f>
        <v>#N/A</v>
      </c>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row>
    <row r="45" spans="1:71" ht="21" customHeight="1" x14ac:dyDescent="0.5">
      <c r="A45" s="277" t="str">
        <f>IF(Scenarios!$F$12&lt;&gt;1,"","Strategy 3")</f>
        <v/>
      </c>
      <c r="B45" s="288" t="e">
        <f>IF(AND(A45&lt;&gt;"",RunScenFlag=1),'Scenario Output'!$Z2,NA())</f>
        <v>#N/A</v>
      </c>
      <c r="C45" s="286" t="e">
        <f>IF(AND(C41&lt;&gt;"",A45&lt;&gt;"",RunScenFlag=1),'Scenario Output'!$BI2,NA())</f>
        <v>#N/A</v>
      </c>
      <c r="D45" s="286" t="e">
        <f>IF(AND(D41&lt;&gt;"",A45&lt;&gt;"",RunScenFlag=1),'Scenario Output'!$CR2,NA())</f>
        <v>#N/A</v>
      </c>
      <c r="E45" s="286" t="e">
        <f>IF(AND(E41&lt;&gt;"",A45&lt;&gt;"",RunScenFlag=1),'Scenario Output'!$EA2,NA())</f>
        <v>#N/A</v>
      </c>
      <c r="F45" s="287" t="e">
        <f>IF(AND(F41&lt;&gt;"",A45&lt;&gt;"",RunScenFlag=1),'Scenario Output'!$FJ2,NA())</f>
        <v>#N/A</v>
      </c>
      <c r="G45" s="269"/>
      <c r="H45" s="277" t="str">
        <f>IF(Scenarios!$F$27&lt;&gt;1,"","Strategy 3")</f>
        <v/>
      </c>
      <c r="I45" s="288" t="e">
        <f>IF(AND(H45&lt;&gt;"",RunScenFlag=1),'Scenario Output'!$Z3,NA())</f>
        <v>#N/A</v>
      </c>
      <c r="J45" s="286" t="e">
        <f>IF(AND(J41&lt;&gt;"",H45&lt;&gt;"",RunScenFlag=1),'Scenario Output'!$BI3,NA())</f>
        <v>#N/A</v>
      </c>
      <c r="K45" s="286" t="e">
        <f>IF(AND(K41&lt;&gt;"",H45&lt;&gt;"",RunScenFlag=1),'Scenario Output'!$CR3,NA())</f>
        <v>#N/A</v>
      </c>
      <c r="L45" s="286" t="e">
        <f>IF(AND(L41&lt;&gt;"",H45&lt;&gt;"",RunScenFlag=1),'Scenario Output'!$EA3,NA())</f>
        <v>#N/A</v>
      </c>
      <c r="M45" s="287" t="e">
        <f>IF(AND(M41&lt;&gt;"",H45&lt;&gt;"",RunScenFlag=1),'Scenario Output'!$FJ3,NA())</f>
        <v>#N/A</v>
      </c>
      <c r="N45" s="269"/>
      <c r="O45" s="277" t="str">
        <f>IF(Scenarios!$F$41&lt;&gt;1,"","Strategy 3")</f>
        <v/>
      </c>
      <c r="P45" s="288" t="e">
        <f>IF(AND(O45&lt;&gt;"",RunScenFlag=1),'Scenario Output'!$Z4,NA())</f>
        <v>#N/A</v>
      </c>
      <c r="Q45" s="286" t="e">
        <f>IF(AND(Q41&lt;&gt;"",O45&lt;&gt;"",RunScenFlag=1),'Scenario Output'!$BI4,NA())</f>
        <v>#N/A</v>
      </c>
      <c r="R45" s="286" t="e">
        <f>IF(AND(R41&lt;&gt;"",O45&lt;&gt;"",RunScenFlag=1),'Scenario Output'!$CR4,NA())</f>
        <v>#N/A</v>
      </c>
      <c r="S45" s="286" t="e">
        <f>IF(AND(S41&lt;&gt;"",O45&lt;&gt;"",RunScenFlag=1),'Scenario Output'!$EA4,NA())</f>
        <v>#N/A</v>
      </c>
      <c r="T45" s="287" t="e">
        <f>IF(AND(T41&lt;&gt;"",O45&lt;&gt;"",RunScenFlag=1),'Scenario Output'!$FJ4,NA())</f>
        <v>#N/A</v>
      </c>
      <c r="U45" s="269"/>
      <c r="V45" s="277" t="str">
        <f>IF(Scenarios!$F$55&lt;&gt;1,"","Strategy 3")</f>
        <v/>
      </c>
      <c r="W45" s="288" t="e">
        <f>IF(AND(V45&lt;&gt;"",RunScenFlag=1),'Scenario Output'!$Z5,NA())</f>
        <v>#N/A</v>
      </c>
      <c r="X45" s="286" t="e">
        <f>IF(AND(X41&lt;&gt;"",V45&lt;&gt;"",RunScenFlag=1),'Scenario Output'!$BI5,NA())</f>
        <v>#N/A</v>
      </c>
      <c r="Y45" s="286" t="e">
        <f>IF(AND(Y41&lt;&gt;"",V45&lt;&gt;"",RunScenFlag=1),'Scenario Output'!$CR5,NA())</f>
        <v>#N/A</v>
      </c>
      <c r="Z45" s="286" t="e">
        <f>IF(AND(Z41&lt;&gt;"",V45&lt;&gt;"",RunScenFlag=1),'Scenario Output'!$EA5,NA())</f>
        <v>#N/A</v>
      </c>
      <c r="AA45" s="287" t="e">
        <f>IF(AND(AA41&lt;&gt;"",V45&lt;&gt;"",RunScenFlag=1),'Scenario Output'!$FJ5,NA())</f>
        <v>#N/A</v>
      </c>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row>
    <row r="46" spans="1:71" ht="21" customHeight="1" x14ac:dyDescent="0.5">
      <c r="A46" s="277" t="str">
        <f>IF(Scenarios!$G$12&lt;&gt;1,"","Strategy 4")</f>
        <v/>
      </c>
      <c r="B46" s="296" t="e">
        <f>IF(AND(A46&lt;&gt;"",RunScenFlag=1),'Scenario Output'!$AG2,NA())</f>
        <v>#N/A</v>
      </c>
      <c r="C46" s="294" t="e">
        <f>IF(AND(C41&lt;&gt;"",A46&lt;&gt;"",RunScenFlag=1),'Scenario Output'!$BP2,NA())</f>
        <v>#N/A</v>
      </c>
      <c r="D46" s="294" t="e">
        <f>IF(AND(D41&lt;&gt;"",A46&lt;&gt;"",RunScenFlag=1),'Scenario Output'!$CY2,NA())</f>
        <v>#N/A</v>
      </c>
      <c r="E46" s="294" t="e">
        <f>IF(AND(E41&lt;&gt;"",A46&lt;&gt;"",RunScenFlag=1),'Scenario Output'!$EH2,NA())</f>
        <v>#N/A</v>
      </c>
      <c r="F46" s="295" t="e">
        <f>IF(AND(F41&lt;&gt;"",A46&lt;&gt;"",RunScenFlag=1),'Scenario Output'!$FQ2,NA())</f>
        <v>#N/A</v>
      </c>
      <c r="G46" s="269"/>
      <c r="H46" s="277" t="str">
        <f>IF(Scenarios!$G$27&lt;&gt;1,"","Strategy 4")</f>
        <v/>
      </c>
      <c r="I46" s="296" t="e">
        <f>IF(AND(H46&lt;&gt;"",RunScenFlag=1),'Scenario Output'!$AG3,NA())</f>
        <v>#N/A</v>
      </c>
      <c r="J46" s="294" t="e">
        <f>IF(AND(J41&lt;&gt;"",H46&lt;&gt;"",RunScenFlag=1),'Scenario Output'!$BP3,NA())</f>
        <v>#N/A</v>
      </c>
      <c r="K46" s="294" t="e">
        <f>IF(AND(K41&lt;&gt;"",H46&lt;&gt;"",RunScenFlag=1),'Scenario Output'!$CY3,NA())</f>
        <v>#N/A</v>
      </c>
      <c r="L46" s="294" t="e">
        <f>IF(AND(L41&lt;&gt;"",H46&lt;&gt;"",RunScenFlag=1),'Scenario Output'!$EH3,NA())</f>
        <v>#N/A</v>
      </c>
      <c r="M46" s="295" t="e">
        <f>IF(AND(M41&lt;&gt;"",H46&lt;&gt;"",RunScenFlag=1),'Scenario Output'!$FQ3,NA())</f>
        <v>#N/A</v>
      </c>
      <c r="N46" s="269"/>
      <c r="O46" s="277" t="str">
        <f>IF(Scenarios!$G$41&lt;&gt;1,"","Strategy 4")</f>
        <v/>
      </c>
      <c r="P46" s="296" t="e">
        <f>IF(AND(O46&lt;&gt;"",RunScenFlag=1),'Scenario Output'!$AG4,NA())</f>
        <v>#N/A</v>
      </c>
      <c r="Q46" s="294" t="e">
        <f>IF(AND(Q41&lt;&gt;"",O46&lt;&gt;"",RunScenFlag=1),'Scenario Output'!$BP4,NA())</f>
        <v>#N/A</v>
      </c>
      <c r="R46" s="294" t="e">
        <f>IF(AND(R41&lt;&gt;"",O46&lt;&gt;"",RunScenFlag=1),'Scenario Output'!$CY4,NA())</f>
        <v>#N/A</v>
      </c>
      <c r="S46" s="294" t="e">
        <f>IF(AND(S41&lt;&gt;"",O46&lt;&gt;"",RunScenFlag=1),'Scenario Output'!$EH4,NA())</f>
        <v>#N/A</v>
      </c>
      <c r="T46" s="295" t="e">
        <f>IF(AND(T41&lt;&gt;"",O46&lt;&gt;"",RunScenFlag=1),'Scenario Output'!$FQ4,NA())</f>
        <v>#N/A</v>
      </c>
      <c r="U46" s="269"/>
      <c r="V46" s="277" t="str">
        <f>IF(Scenarios!$G$55&lt;&gt;1,"","Strategy 4")</f>
        <v/>
      </c>
      <c r="W46" s="296" t="e">
        <f>IF(AND(V46&lt;&gt;"",RunScenFlag=1),'Scenario Output'!$AG5,NA())</f>
        <v>#N/A</v>
      </c>
      <c r="X46" s="294" t="e">
        <f>IF(AND(X41&lt;&gt;"",V46&lt;&gt;"",RunScenFlag=1),'Scenario Output'!$BP5,NA())</f>
        <v>#N/A</v>
      </c>
      <c r="Y46" s="294" t="e">
        <f>IF(AND(Y41&lt;&gt;"",V46&lt;&gt;"",RunScenFlag=1),'Scenario Output'!$CY5,NA())</f>
        <v>#N/A</v>
      </c>
      <c r="Z46" s="294" t="e">
        <f>IF(AND(Z41&lt;&gt;"",V46&lt;&gt;"",RunScenFlag=1),'Scenario Output'!$EH5,NA())</f>
        <v>#N/A</v>
      </c>
      <c r="AA46" s="295" t="e">
        <f>IF(AND(AA41&lt;&gt;"",V46&lt;&gt;"",RunScenFlag=1),'Scenario Output'!$FQ5,NA())</f>
        <v>#N/A</v>
      </c>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row>
    <row r="47" spans="1:71" ht="21" customHeight="1" x14ac:dyDescent="0.5">
      <c r="A47" s="269"/>
      <c r="B47" s="269"/>
      <c r="C47" s="269"/>
      <c r="D47" s="269"/>
      <c r="E47" s="269"/>
      <c r="F47" s="269"/>
      <c r="G47" s="269"/>
      <c r="H47" s="269"/>
      <c r="I47" s="269"/>
      <c r="J47" s="269"/>
      <c r="K47" s="269"/>
      <c r="L47" s="269"/>
      <c r="M47" s="269"/>
      <c r="N47" s="269"/>
      <c r="O47" s="269"/>
      <c r="P47" s="269"/>
      <c r="Q47" s="269"/>
      <c r="R47" s="269"/>
      <c r="S47" s="269"/>
      <c r="T47" s="269"/>
      <c r="U47" s="269"/>
      <c r="V47" s="269"/>
      <c r="W47" s="269"/>
      <c r="X47" s="269"/>
      <c r="Y47" s="269"/>
      <c r="Z47" s="269"/>
      <c r="AA47" s="269"/>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row>
    <row r="48" spans="1:71" ht="21" customHeight="1" x14ac:dyDescent="0.5">
      <c r="A48" s="269"/>
      <c r="B48" s="370" t="s">
        <v>106</v>
      </c>
      <c r="C48" s="371"/>
      <c r="D48" s="371"/>
      <c r="E48" s="371"/>
      <c r="F48" s="372"/>
      <c r="G48" s="269"/>
      <c r="H48" s="269"/>
      <c r="I48" s="370" t="s">
        <v>106</v>
      </c>
      <c r="J48" s="371"/>
      <c r="K48" s="371"/>
      <c r="L48" s="371"/>
      <c r="M48" s="372"/>
      <c r="N48" s="269"/>
      <c r="O48" s="269"/>
      <c r="P48" s="370" t="s">
        <v>106</v>
      </c>
      <c r="Q48" s="371"/>
      <c r="R48" s="371"/>
      <c r="S48" s="371"/>
      <c r="T48" s="372"/>
      <c r="U48" s="269"/>
      <c r="V48" s="269"/>
      <c r="W48" s="370" t="s">
        <v>106</v>
      </c>
      <c r="X48" s="371"/>
      <c r="Y48" s="371"/>
      <c r="Z48" s="371"/>
      <c r="AA48" s="37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row>
    <row r="49" spans="1:71" ht="21" customHeight="1" x14ac:dyDescent="0.5">
      <c r="A49" s="269"/>
      <c r="B49" s="367" t="s">
        <v>105</v>
      </c>
      <c r="C49" s="368"/>
      <c r="D49" s="368"/>
      <c r="E49" s="368"/>
      <c r="F49" s="369"/>
      <c r="G49" s="269"/>
      <c r="H49" s="269"/>
      <c r="I49" s="367" t="s">
        <v>105</v>
      </c>
      <c r="J49" s="368"/>
      <c r="K49" s="368"/>
      <c r="L49" s="368"/>
      <c r="M49" s="369"/>
      <c r="N49" s="269"/>
      <c r="O49" s="269"/>
      <c r="P49" s="367" t="s">
        <v>105</v>
      </c>
      <c r="Q49" s="368"/>
      <c r="R49" s="368"/>
      <c r="S49" s="368"/>
      <c r="T49" s="369"/>
      <c r="U49" s="269"/>
      <c r="V49" s="269"/>
      <c r="W49" s="367" t="s">
        <v>105</v>
      </c>
      <c r="X49" s="368"/>
      <c r="Y49" s="368"/>
      <c r="Z49" s="368"/>
      <c r="AA49" s="369"/>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row>
    <row r="50" spans="1:71" ht="21" customHeight="1" x14ac:dyDescent="0.5">
      <c r="A50" s="269"/>
      <c r="B50" s="305">
        <f>Scenarios!$C$5</f>
        <v>0</v>
      </c>
      <c r="C50" s="270" t="str">
        <f>IF(Scenarios!$C$6="","",Scenarios!$C$6)</f>
        <v/>
      </c>
      <c r="D50" s="270" t="str">
        <f>IF(Scenarios!$C$7="","",Scenarios!$C$7)</f>
        <v/>
      </c>
      <c r="E50" s="270" t="str">
        <f>IF(Scenarios!$C$8="","",Scenarios!$C$8)</f>
        <v/>
      </c>
      <c r="F50" s="271" t="str">
        <f>IF(Scenarios!$C$9="","",Scenarios!$C$9)</f>
        <v/>
      </c>
      <c r="G50" s="269"/>
      <c r="H50" s="269"/>
      <c r="I50" s="305">
        <f>Scenarios!$D$5</f>
        <v>0</v>
      </c>
      <c r="J50" s="270" t="str">
        <f>IF(Scenarios!$D$6="","",Scenarios!$D$6)</f>
        <v/>
      </c>
      <c r="K50" s="270" t="str">
        <f>IF(Scenarios!$D$7="","",Scenarios!$D$7)</f>
        <v/>
      </c>
      <c r="L50" s="270" t="str">
        <f>IF(Scenarios!$D$8="","",Scenarios!$D$8)</f>
        <v/>
      </c>
      <c r="M50" s="271" t="str">
        <f>IF(Scenarios!$D$9="","",Scenarios!$D$9)</f>
        <v/>
      </c>
      <c r="N50" s="269"/>
      <c r="O50" s="269"/>
      <c r="P50" s="305">
        <f>Scenarios!$E$5</f>
        <v>0</v>
      </c>
      <c r="Q50" s="270" t="str">
        <f>IF(Scenarios!$E$6="","",Scenarios!$E$6)</f>
        <v/>
      </c>
      <c r="R50" s="270" t="str">
        <f>IF(Scenarios!$E$7="","",Scenarios!$E$7)</f>
        <v/>
      </c>
      <c r="S50" s="270" t="str">
        <f>IF(Scenarios!$E$8="","",Scenarios!$E$8)</f>
        <v/>
      </c>
      <c r="T50" s="271" t="str">
        <f>IF(Scenarios!$E$9="","",Scenarios!$E$9)</f>
        <v/>
      </c>
      <c r="U50" s="269"/>
      <c r="V50" s="269"/>
      <c r="W50" s="305">
        <f>Scenarios!$F$5</f>
        <v>0</v>
      </c>
      <c r="X50" s="270" t="str">
        <f>IF(Scenarios!$F$6="","",Scenarios!$F$6)</f>
        <v/>
      </c>
      <c r="Y50" s="270" t="str">
        <f>IF(Scenarios!$F$7="","",Scenarios!$F$7)</f>
        <v/>
      </c>
      <c r="Z50" s="270" t="str">
        <f>IF(Scenarios!$F$8="","",Scenarios!$F$8)</f>
        <v/>
      </c>
      <c r="AA50" s="271" t="str">
        <f>IF(Scenarios!$F$9="","",Scenarios!$F$9)</f>
        <v/>
      </c>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row>
    <row r="51" spans="1:71" ht="21" customHeight="1" x14ac:dyDescent="0.5">
      <c r="A51" s="272" t="s">
        <v>104</v>
      </c>
      <c r="B51" s="285">
        <f>IF(RunScenFlag=1,'Scenario Output'!$F2,NA())</f>
        <v>0</v>
      </c>
      <c r="C51" s="286" t="e">
        <f>IF(AND(C50&lt;&gt;"",RunScenFlag=1),'Scenario Output'!$AO2,NA())</f>
        <v>#N/A</v>
      </c>
      <c r="D51" s="286" t="e">
        <f>IF(AND(D50&lt;&gt;"",RunScenFlag=1),'Scenario Output'!$BX2,NA())</f>
        <v>#N/A</v>
      </c>
      <c r="E51" s="286" t="e">
        <f>IF(AND(E50&lt;&gt;"",RunScenFlag=1),'Scenario Output'!$DG2,NA())</f>
        <v>#N/A</v>
      </c>
      <c r="F51" s="287" t="e">
        <f>IF(AND(F50&lt;&gt;"",RunScenFlag=1),'Scenario Output'!$EP2,NA())</f>
        <v>#N/A</v>
      </c>
      <c r="G51" s="269"/>
      <c r="H51" s="272" t="s">
        <v>104</v>
      </c>
      <c r="I51" s="285">
        <f>IF(RunScenFlag=1,'Scenario Output'!$F3,NA())</f>
        <v>0</v>
      </c>
      <c r="J51" s="286" t="e">
        <f>IF(AND(J50&lt;&gt;"",RunScenFlag=1),'Scenario Output'!$AO3,NA())</f>
        <v>#N/A</v>
      </c>
      <c r="K51" s="286" t="e">
        <f>IF(AND(K50&lt;&gt;"",RunScenFlag=1),'Scenario Output'!$BX3,NA())</f>
        <v>#N/A</v>
      </c>
      <c r="L51" s="286" t="e">
        <f>IF(AND(L50&lt;&gt;"",RunScenFlag=1),'Scenario Output'!$DG3,NA())</f>
        <v>#N/A</v>
      </c>
      <c r="M51" s="287" t="e">
        <f>IF(AND(M50&lt;&gt;"",RunScenFlag=1),'Scenario Output'!$EP3,NA())</f>
        <v>#N/A</v>
      </c>
      <c r="N51" s="269"/>
      <c r="O51" s="272" t="s">
        <v>104</v>
      </c>
      <c r="P51" s="285">
        <f>IF(RunScenFlag=1,'Scenario Output'!$F4,NA())</f>
        <v>0</v>
      </c>
      <c r="Q51" s="286" t="e">
        <f>IF(AND(Q50&lt;&gt;"",RunScenFlag=1),'Scenario Output'!$AO4,NA())</f>
        <v>#N/A</v>
      </c>
      <c r="R51" s="286" t="e">
        <f>IF(AND(R50&lt;&gt;"",RunScenFlag=1),'Scenario Output'!$BX4,NA())</f>
        <v>#N/A</v>
      </c>
      <c r="S51" s="286" t="e">
        <f>IF(AND(S50&lt;&gt;"",RunScenFlag=1),'Scenario Output'!$DG4,NA())</f>
        <v>#N/A</v>
      </c>
      <c r="T51" s="287" t="e">
        <f>IF(AND(T50&lt;&gt;"",RunScenFlag=1),'Scenario Output'!$EP4,NA())</f>
        <v>#N/A</v>
      </c>
      <c r="U51" s="269"/>
      <c r="V51" s="272" t="s">
        <v>104</v>
      </c>
      <c r="W51" s="285">
        <f>IF(RunScenFlag=1,'Scenario Output'!$F5, NA())</f>
        <v>0</v>
      </c>
      <c r="X51" s="286" t="e">
        <f>IF(AND(X50&lt;&gt;"",RunScenFlag=1),'Scenario Output'!$AO5,NA())</f>
        <v>#N/A</v>
      </c>
      <c r="Y51" s="286" t="e">
        <f>IF(AND(Y50&lt;&gt;"",RunScenFlag=1),'Scenario Output'!$BX5,NA())</f>
        <v>#N/A</v>
      </c>
      <c r="Z51" s="286" t="e">
        <f>IF(AND(Z50&lt;&gt;"",RunScenFlag=1),'Scenario Output'!$DG5,NA())</f>
        <v>#N/A</v>
      </c>
      <c r="AA51" s="287" t="e">
        <f>IF(AND(AA50&lt;&gt;"",RunScenFlag=1),'Scenario Output'!$EP5,NA())</f>
        <v>#N/A</v>
      </c>
      <c r="AB51" s="52"/>
      <c r="AC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row>
    <row r="52" spans="1:71" ht="21" customHeight="1" x14ac:dyDescent="0.5">
      <c r="A52" s="277" t="str">
        <f>IF(Scenarios!$D$12&lt;&gt;1,"","Strategy 1")</f>
        <v/>
      </c>
      <c r="B52" s="288" t="e">
        <f>IF(AND(A52&lt;&gt;"",RunScenFlag=1),'Scenario Output'!$M2,NA())</f>
        <v>#N/A</v>
      </c>
      <c r="C52" s="286" t="e">
        <f>IF(AND(C50&lt;&gt;"",A52&lt;&gt;"",RunScenFlag=1),'Scenario Output'!$AV2,NA())</f>
        <v>#N/A</v>
      </c>
      <c r="D52" s="286" t="e">
        <f>IF(AND(D50&lt;&gt;"",A52&lt;&gt;"",RunScenFlag=1),'Scenario Output'!$CE2,NA())</f>
        <v>#N/A</v>
      </c>
      <c r="E52" s="286" t="e">
        <f>IF(AND(E50&lt;&gt;"",A52&lt;&gt;"",RunScenFlag=1),'Scenario Output'!$DN2,NA())</f>
        <v>#N/A</v>
      </c>
      <c r="F52" s="287" t="e">
        <f>IF(AND(F50&lt;&gt;"",A52&lt;&gt;"",RunScenFlag=1),'Scenario Output'!$EW2,NA())</f>
        <v>#N/A</v>
      </c>
      <c r="G52" s="269"/>
      <c r="H52" s="277" t="str">
        <f>IF(Scenarios!$D$27&lt;&gt;1,"","Strategy 1")</f>
        <v/>
      </c>
      <c r="I52" s="288" t="e">
        <f>IF(AND(H52&lt;&gt;"",RunScenFlag=1),'Scenario Output'!$M3,NA())</f>
        <v>#N/A</v>
      </c>
      <c r="J52" s="286" t="e">
        <f>IF(AND(J50&lt;&gt;"",H52&lt;&gt;"",RunScenFlag=1),'Scenario Output'!$AV3,NA())</f>
        <v>#N/A</v>
      </c>
      <c r="K52" s="286" t="e">
        <f>IF(AND(K50&lt;&gt;"",H52&lt;&gt;"",RunScenFlag=1),'Scenario Output'!$CE3,NA())</f>
        <v>#N/A</v>
      </c>
      <c r="L52" s="286" t="e">
        <f>IF(AND(L50&lt;&gt;"",H52&lt;&gt;"",RunScenFlag=1),'Scenario Output'!$DN3,NA())</f>
        <v>#N/A</v>
      </c>
      <c r="M52" s="287" t="e">
        <f>IF(AND(M50&lt;&gt;"",H52&lt;&gt;"",RunScenFlag=1),'Scenario Output'!$EW3,NA())</f>
        <v>#N/A</v>
      </c>
      <c r="N52" s="269"/>
      <c r="O52" s="277" t="str">
        <f>IF(Scenarios!$D$41&lt;&gt;1,"","Strategy 1")</f>
        <v/>
      </c>
      <c r="P52" s="288" t="e">
        <f>IF(AND(O52&lt;&gt;"",RunScenFlag=1),'Scenario Output'!$M4,NA())</f>
        <v>#N/A</v>
      </c>
      <c r="Q52" s="286" t="e">
        <f>IF(AND(Q50&lt;&gt;"",O52&lt;&gt;"",RunScenFlag=1),'Scenario Output'!$AV4,NA())</f>
        <v>#N/A</v>
      </c>
      <c r="R52" s="286" t="e">
        <f>IF(AND(R50&lt;&gt;"",O52&lt;&gt;"",RunScenFlag=1),'Scenario Output'!$CE4,NA())</f>
        <v>#N/A</v>
      </c>
      <c r="S52" s="286" t="e">
        <f>IF(AND(S50&lt;&gt;"",O52&lt;&gt;"",RunScenFlag=1),'Scenario Output'!$DN4,NA())</f>
        <v>#N/A</v>
      </c>
      <c r="T52" s="287" t="e">
        <f>IF(AND(T50&lt;&gt;"",O52&lt;&gt;"",RunScenFlag=1),'Scenario Output'!$EW4,NA())</f>
        <v>#N/A</v>
      </c>
      <c r="U52" s="269"/>
      <c r="V52" s="277" t="str">
        <f>IF(Scenarios!$D$55&lt;&gt;1,"","Strategy 1")</f>
        <v/>
      </c>
      <c r="W52" s="288" t="e">
        <f>IF(AND(V52&lt;&gt;"",RunScenFlag=1),'Scenario Output'!$M5,NA())</f>
        <v>#N/A</v>
      </c>
      <c r="X52" s="286" t="e">
        <f>IF(AND(X50&lt;&gt;"",V52&lt;&gt;"",RunScenFlag=1),'Scenario Output'!$AV5,NA())</f>
        <v>#N/A</v>
      </c>
      <c r="Y52" s="286" t="e">
        <f>IF(AND(Y50&lt;&gt;"",V52&lt;&gt;"",RunScenFlag=1),'Scenario Output'!$CE5,NA())</f>
        <v>#N/A</v>
      </c>
      <c r="Z52" s="286" t="e">
        <f>IF(AND(Z50&lt;&gt;"",V52&lt;&gt;"",RunScenFlag=1),'Scenario Output'!$DN5,NA())</f>
        <v>#N/A</v>
      </c>
      <c r="AA52" s="287" t="e">
        <f>IF(AND(AA50&lt;&gt;"",V52&lt;&gt;"",RunScenFlag=1),'Scenario Output'!$EW5,NA())</f>
        <v>#N/A</v>
      </c>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row>
    <row r="53" spans="1:71" ht="21" customHeight="1" x14ac:dyDescent="0.5">
      <c r="A53" s="277" t="str">
        <f>IF(Scenarios!$E$12&lt;&gt;1,"","Strategy 2")</f>
        <v/>
      </c>
      <c r="B53" s="288" t="e">
        <f>IF(AND(A53&lt;&gt;"",RunScenFlag=1),'Scenario Output'!$T2,NA())</f>
        <v>#N/A</v>
      </c>
      <c r="C53" s="286" t="e">
        <f>IF(AND(C50&lt;&gt;"",A53&lt;&gt;"",RunScenFlag=1),'Scenario Output'!$BC2,NA())</f>
        <v>#N/A</v>
      </c>
      <c r="D53" s="286" t="e">
        <f>IF(AND(D50&lt;&gt;"",A53&lt;&gt;"",RunScenFlag=1),'Scenario Output'!$CL2,NA())</f>
        <v>#N/A</v>
      </c>
      <c r="E53" s="286" t="e">
        <f>IF(AND(E50&lt;&gt;"",A53&lt;&gt;"",RunScenFlag=1),'Scenario Output'!$DU2,NA())</f>
        <v>#N/A</v>
      </c>
      <c r="F53" s="287" t="e">
        <f>IF(AND(F50&lt;&gt;"",A53&lt;&gt;"",RunScenFlag=1),'Scenario Output'!$FD2,NA())</f>
        <v>#N/A</v>
      </c>
      <c r="G53" s="269"/>
      <c r="H53" s="277" t="str">
        <f>IF(Scenarios!$E$27&lt;&gt;1,"","Strategy 2")</f>
        <v/>
      </c>
      <c r="I53" s="288" t="e">
        <f>IF(AND(H53&lt;&gt;"",RunScenFlag=1),'Scenario Output'!$T3,NA())</f>
        <v>#N/A</v>
      </c>
      <c r="J53" s="286" t="e">
        <f>IF(AND(J50&lt;&gt;"",H53&lt;&gt;"",RunScenFlag=1),'Scenario Output'!$BC3,NA())</f>
        <v>#N/A</v>
      </c>
      <c r="K53" s="286" t="e">
        <f>IF(AND(K50&lt;&gt;"",H53&lt;&gt;"",RunScenFlag=1),'Scenario Output'!$CL3,NA())</f>
        <v>#N/A</v>
      </c>
      <c r="L53" s="286" t="e">
        <f>IF(AND(L50&lt;&gt;"",H53&lt;&gt;"",RunScenFlag=1),'Scenario Output'!$DU3,NA())</f>
        <v>#N/A</v>
      </c>
      <c r="M53" s="287" t="e">
        <f>IF(AND(M50&lt;&gt;"",H53&lt;&gt;"",RunScenFlag=1),'Scenario Output'!$FD3,NA())</f>
        <v>#N/A</v>
      </c>
      <c r="N53" s="269"/>
      <c r="O53" s="277" t="str">
        <f>IF(Scenarios!$E$41&lt;&gt;1,"","Strategy 2")</f>
        <v/>
      </c>
      <c r="P53" s="288" t="e">
        <f>IF(AND(O53&lt;&gt;"",RunScenFlag=1),'Scenario Output'!$T4,NA())</f>
        <v>#N/A</v>
      </c>
      <c r="Q53" s="286" t="e">
        <f>IF(AND(Q50&lt;&gt;"",O53&lt;&gt;"",RunScenFlag=1),'Scenario Output'!$BC4,NA())</f>
        <v>#N/A</v>
      </c>
      <c r="R53" s="286" t="e">
        <f>IF(AND(R50&lt;&gt;"",O53&lt;&gt;"",RunScenFlag=1),'Scenario Output'!$CL4,NA())</f>
        <v>#N/A</v>
      </c>
      <c r="S53" s="286" t="e">
        <f>IF(AND(S50&lt;&gt;"",O53&lt;&gt;"",RunScenFlag=1),'Scenario Output'!$DU4,NA())</f>
        <v>#N/A</v>
      </c>
      <c r="T53" s="287" t="e">
        <f>IF(AND(T50&lt;&gt;"",O53&lt;&gt;"",RunScenFlag=1),'Scenario Output'!$FD4,NA())</f>
        <v>#N/A</v>
      </c>
      <c r="U53" s="269"/>
      <c r="V53" s="277" t="str">
        <f>IF(Scenarios!$E$55&lt;&gt;1,"","Strategy 2")</f>
        <v/>
      </c>
      <c r="W53" s="288" t="e">
        <f>IF(AND(V53&lt;&gt;"",RunScenFlag=1),'Scenario Output'!$T5,NA())</f>
        <v>#N/A</v>
      </c>
      <c r="X53" s="286" t="e">
        <f>IF(AND(X50&lt;&gt;"",V53&lt;&gt;"",RunScenFlag=1),'Scenario Output'!$BC5,NA())</f>
        <v>#N/A</v>
      </c>
      <c r="Y53" s="286" t="e">
        <f>IF(AND(Y50&lt;&gt;"",V53&lt;&gt;"",RunScenFlag=1),'Scenario Output'!$CL5,NA())</f>
        <v>#N/A</v>
      </c>
      <c r="Z53" s="286" t="e">
        <f>IF(AND(Z50&lt;&gt;"",V53&lt;&gt;"",RunScenFlag=1),'Scenario Output'!$DU5,NA())</f>
        <v>#N/A</v>
      </c>
      <c r="AA53" s="287" t="e">
        <f>IF(AND(AA50&lt;&gt;"",V53&lt;&gt;"",RunScenFlag=1),'Scenario Output'!$FD5,NA())</f>
        <v>#N/A</v>
      </c>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row>
    <row r="54" spans="1:71" ht="21" customHeight="1" x14ac:dyDescent="0.5">
      <c r="A54" s="277" t="str">
        <f>IF(Scenarios!$F$12&lt;&gt;1,"","Strategy 3")</f>
        <v/>
      </c>
      <c r="B54" s="288" t="e">
        <f>IF(AND(A54&lt;&gt;"",RunScenFlag=1),'Scenario Output'!$AA2,NA())</f>
        <v>#N/A</v>
      </c>
      <c r="C54" s="286" t="e">
        <f>IF(AND(C50&lt;&gt;"",A54&lt;&gt;"",RunScenFlag=1),'Scenario Output'!$BJ2,NA())</f>
        <v>#N/A</v>
      </c>
      <c r="D54" s="286" t="e">
        <f>IF(AND(D50&lt;&gt;"",A54&lt;&gt;"",RunScenFlag=1),'Scenario Output'!$CS2,NA())</f>
        <v>#N/A</v>
      </c>
      <c r="E54" s="286" t="e">
        <f>IF(AND(E50&lt;&gt;"",A54&lt;&gt;"",RunScenFlag=1),'Scenario Output'!$EB2,NA())</f>
        <v>#N/A</v>
      </c>
      <c r="F54" s="287" t="e">
        <f>IF(AND(F50&lt;&gt;"",A54&lt;&gt;"",RunScenFlag=1),'Scenario Output'!$FK2,NA())</f>
        <v>#N/A</v>
      </c>
      <c r="G54" s="269"/>
      <c r="H54" s="277" t="str">
        <f>IF(Scenarios!$F$27&lt;&gt;1,"","Strategy 3")</f>
        <v/>
      </c>
      <c r="I54" s="288" t="e">
        <f>IF(AND(H54&lt;&gt;"",RunScenFlag=1),'Scenario Output'!$AA3,NA())</f>
        <v>#N/A</v>
      </c>
      <c r="J54" s="286" t="e">
        <f>IF(AND(J50&lt;&gt;"",H54&lt;&gt;"",RunScenFlag=1),'Scenario Output'!$BJ3,NA())</f>
        <v>#N/A</v>
      </c>
      <c r="K54" s="286" t="e">
        <f>IF(AND(K50&lt;&gt;"",H54&lt;&gt;"",RunScenFlag=1),'Scenario Output'!$CS3,NA())</f>
        <v>#N/A</v>
      </c>
      <c r="L54" s="286" t="e">
        <f>IF(AND(L50&lt;&gt;"",H54&lt;&gt;"",RunScenFlag=1),'Scenario Output'!$EB3,NA())</f>
        <v>#N/A</v>
      </c>
      <c r="M54" s="287" t="e">
        <f>IF(AND(M50&lt;&gt;"",H54&lt;&gt;"",RunScenFlag=1),'Scenario Output'!$FK3,NA())</f>
        <v>#N/A</v>
      </c>
      <c r="N54" s="269"/>
      <c r="O54" s="277" t="str">
        <f>IF(Scenarios!$F$41&lt;&gt;1,"","Strategy 3")</f>
        <v/>
      </c>
      <c r="P54" s="288" t="e">
        <f>IF(AND(O54&lt;&gt;"",RunScenFlag=1),'Scenario Output'!$AA4,NA())</f>
        <v>#N/A</v>
      </c>
      <c r="Q54" s="286" t="e">
        <f>IF(AND(Q50&lt;&gt;"",O54&lt;&gt;"",RunScenFlag=1),'Scenario Output'!$BJ4,NA())</f>
        <v>#N/A</v>
      </c>
      <c r="R54" s="286" t="e">
        <f>IF(AND(R50&lt;&gt;"",O54&lt;&gt;"",RunScenFlag=1),'Scenario Output'!$CS4,NA())</f>
        <v>#N/A</v>
      </c>
      <c r="S54" s="286" t="e">
        <f>IF(AND(S50&lt;&gt;"",O54&lt;&gt;"",RunScenFlag=1),'Scenario Output'!$EB4,NA())</f>
        <v>#N/A</v>
      </c>
      <c r="T54" s="287" t="e">
        <f>IF(AND(T50&lt;&gt;"",O54&lt;&gt;"",RunScenFlag=1),'Scenario Output'!$FK4,NA())</f>
        <v>#N/A</v>
      </c>
      <c r="U54" s="269"/>
      <c r="V54" s="277" t="str">
        <f>IF(Scenarios!$F$55&lt;&gt;1,"","Strategy 3")</f>
        <v/>
      </c>
      <c r="W54" s="288" t="e">
        <f>IF(AND(V54&lt;&gt;"",RunScenFlag=1),'Scenario Output'!$AA5,NA())</f>
        <v>#N/A</v>
      </c>
      <c r="X54" s="286" t="e">
        <f>IF(AND(X50&lt;&gt;"",V54&lt;&gt;"",RunScenFlag=1),'Scenario Output'!$BJ5,NA())</f>
        <v>#N/A</v>
      </c>
      <c r="Y54" s="286" t="e">
        <f>IF(AND(Y50&lt;&gt;"",V54&lt;&gt;"",RunScenFlag=1),'Scenario Output'!$CS5,NA())</f>
        <v>#N/A</v>
      </c>
      <c r="Z54" s="286" t="e">
        <f>IF(AND(Z50&lt;&gt;"",V54&lt;&gt;"",RunScenFlag=1),'Scenario Output'!$EB5,NA())</f>
        <v>#N/A</v>
      </c>
      <c r="AA54" s="287" t="e">
        <f>IF(AND(AA50&lt;&gt;"",V54&lt;&gt;"",RunScenFlag=1),'Scenario Output'!$FK5,NA())</f>
        <v>#N/A</v>
      </c>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row>
    <row r="55" spans="1:71" ht="21" customHeight="1" x14ac:dyDescent="0.5">
      <c r="A55" s="277" t="str">
        <f>IF(Scenarios!$G$12&lt;&gt;1,"","Strategy 4")</f>
        <v/>
      </c>
      <c r="B55" s="296" t="e">
        <f>IF(AND(A55&lt;&gt;"",RunScenFlag=1),'Scenario Output'!$AH2,NA())</f>
        <v>#N/A</v>
      </c>
      <c r="C55" s="294" t="e">
        <f>IF(AND(C50&lt;&gt;"",A55&lt;&gt;"",RunScenFlag=1),'Scenario Output'!$BQ2,NA())</f>
        <v>#N/A</v>
      </c>
      <c r="D55" s="294" t="e">
        <f>IF(AND(D50&lt;&gt;"",A55&lt;&gt;"",RunScenFlag=1),'Scenario Output'!$CZ2,NA())</f>
        <v>#N/A</v>
      </c>
      <c r="E55" s="294" t="e">
        <f>IF(AND(E50&lt;&gt;"",A55&lt;&gt;"",RunScenFlag=1),'Scenario Output'!$EI2,NA())</f>
        <v>#N/A</v>
      </c>
      <c r="F55" s="295" t="e">
        <f>IF(AND(F50&lt;&gt;"",A55&lt;&gt;"",RunScenFlag=1),'Scenario Output'!$FR2,NA())</f>
        <v>#N/A</v>
      </c>
      <c r="G55" s="269"/>
      <c r="H55" s="277" t="str">
        <f>IF(Scenarios!$G$27&lt;&gt;1,"","Strategy 4")</f>
        <v/>
      </c>
      <c r="I55" s="296" t="e">
        <f>IF(AND(H55&lt;&gt;"",RunScenFlag=1),'Scenario Output'!$AH3,NA())</f>
        <v>#N/A</v>
      </c>
      <c r="J55" s="294" t="e">
        <f>IF(AND(J50&lt;&gt;"",H55&lt;&gt;"",RunScenFlag=1),'Scenario Output'!$BQ3,NA())</f>
        <v>#N/A</v>
      </c>
      <c r="K55" s="294" t="e">
        <f>IF(AND(K50&lt;&gt;"",H55&lt;&gt;"",RunScenFlag=1),'Scenario Output'!$CZ3,NA())</f>
        <v>#N/A</v>
      </c>
      <c r="L55" s="294" t="e">
        <f>IF(AND(L50&lt;&gt;"",H55&lt;&gt;"",RunScenFlag=1),'Scenario Output'!$EI3,NA())</f>
        <v>#N/A</v>
      </c>
      <c r="M55" s="295" t="e">
        <f>IF(AND(M50&lt;&gt;"",H55&lt;&gt;"",RunScenFlag=1),'Scenario Output'!$FR3,NA())</f>
        <v>#N/A</v>
      </c>
      <c r="N55" s="269"/>
      <c r="O55" s="277" t="str">
        <f>IF(Scenarios!$G$41&lt;&gt;1,"","Strategy 4")</f>
        <v/>
      </c>
      <c r="P55" s="296" t="e">
        <f>IF(AND(O55&lt;&gt;"",RunScenFlag=1),'Scenario Output'!$AH4,NA())</f>
        <v>#N/A</v>
      </c>
      <c r="Q55" s="294" t="e">
        <f>IF(AND(Q50&lt;&gt;"",O55&lt;&gt;"",RunScenFlag=1),'Scenario Output'!$BQ4,NA())</f>
        <v>#N/A</v>
      </c>
      <c r="R55" s="294" t="e">
        <f>IF(AND(R50&lt;&gt;"",O55&lt;&gt;"",RunScenFlag=1),'Scenario Output'!$CZ4,NA())</f>
        <v>#N/A</v>
      </c>
      <c r="S55" s="294" t="e">
        <f>IF(AND(S50&lt;&gt;"",O55&lt;&gt;"",RunScenFlag=1),'Scenario Output'!$EI4,NA())</f>
        <v>#N/A</v>
      </c>
      <c r="T55" s="295" t="e">
        <f>IF(AND(T50&lt;&gt;"",O55&lt;&gt;"",RunScenFlag=1),'Scenario Output'!$FR4,NA())</f>
        <v>#N/A</v>
      </c>
      <c r="U55" s="269"/>
      <c r="V55" s="277" t="str">
        <f>IF(Scenarios!$G$55&lt;&gt;1,"","Strategy 4")</f>
        <v/>
      </c>
      <c r="W55" s="296" t="e">
        <f>IF(AND(V55&lt;&gt;"",RunScenFlag=1),'Scenario Output'!$AH5,NA())</f>
        <v>#N/A</v>
      </c>
      <c r="X55" s="294" t="e">
        <f>IF(AND(X50&lt;&gt;"",V55&lt;&gt;"",RunScenFlag=1),'Scenario Output'!$BQ5,NA())</f>
        <v>#N/A</v>
      </c>
      <c r="Y55" s="294" t="e">
        <f>IF(AND(Y50&lt;&gt;"",V55&lt;&gt;"",RunScenFlag=1),'Scenario Output'!$CZ5,NA())</f>
        <v>#N/A</v>
      </c>
      <c r="Z55" s="294" t="e">
        <f>IF(AND(Z50&lt;&gt;"",V55&lt;&gt;"",RunScenFlag=1),'Scenario Output'!$EI5,NA())</f>
        <v>#N/A</v>
      </c>
      <c r="AA55" s="295" t="e">
        <f>IF(AND(AA50&lt;&gt;"",V55&lt;&gt;"",RunScenFlag=1),'Scenario Output'!$FR5,NA())</f>
        <v>#N/A</v>
      </c>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row>
    <row r="56" spans="1:71" ht="21" customHeight="1" x14ac:dyDescent="0.5">
      <c r="A56" s="269"/>
      <c r="B56" s="269"/>
      <c r="C56" s="269"/>
      <c r="D56" s="269"/>
      <c r="E56" s="269"/>
      <c r="F56" s="269"/>
      <c r="G56" s="269"/>
      <c r="H56" s="269"/>
      <c r="I56" s="269"/>
      <c r="J56" s="269"/>
      <c r="K56" s="269"/>
      <c r="L56" s="269"/>
      <c r="M56" s="269"/>
      <c r="N56" s="269"/>
      <c r="O56" s="269"/>
      <c r="P56" s="269"/>
      <c r="Q56" s="269"/>
      <c r="R56" s="269"/>
      <c r="S56" s="269"/>
      <c r="T56" s="269"/>
      <c r="U56" s="269"/>
      <c r="V56" s="269"/>
      <c r="W56" s="269"/>
      <c r="X56" s="269"/>
      <c r="Y56" s="269"/>
      <c r="Z56" s="269"/>
      <c r="AA56" s="269"/>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row>
    <row r="57" spans="1:71" ht="21" customHeight="1" x14ac:dyDescent="0.5">
      <c r="A57" s="269"/>
      <c r="B57" s="370" t="str">
        <f>IF(Inputs!F44&lt;&gt;"", "Averted deaths", "Averted hospitalized deaths")</f>
        <v>Averted hospitalized deaths</v>
      </c>
      <c r="C57" s="371"/>
      <c r="D57" s="371"/>
      <c r="E57" s="371"/>
      <c r="F57" s="372"/>
      <c r="G57" s="269"/>
      <c r="H57" s="269"/>
      <c r="I57" s="370" t="str">
        <f>IF(Inputs!F44&lt;&gt;"", "Averted deaths", "Averted hospitalized deaths")</f>
        <v>Averted hospitalized deaths</v>
      </c>
      <c r="J57" s="371"/>
      <c r="K57" s="371"/>
      <c r="L57" s="371"/>
      <c r="M57" s="372"/>
      <c r="N57" s="269"/>
      <c r="O57" s="269"/>
      <c r="P57" s="370" t="str">
        <f>IF(Inputs!F44&lt;&gt;"", "Averted deaths", "Averted hospitalized deaths")</f>
        <v>Averted hospitalized deaths</v>
      </c>
      <c r="Q57" s="371"/>
      <c r="R57" s="371"/>
      <c r="S57" s="371"/>
      <c r="T57" s="372"/>
      <c r="U57" s="269"/>
      <c r="V57" s="269"/>
      <c r="W57" s="370" t="str">
        <f>IF(Inputs!M44&lt;&gt;"", "Averted deaths", "Averted hospitalized deaths")</f>
        <v>Averted hospitalized deaths</v>
      </c>
      <c r="X57" s="371"/>
      <c r="Y57" s="371"/>
      <c r="Z57" s="371"/>
      <c r="AA57" s="37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row>
    <row r="58" spans="1:71" ht="21" customHeight="1" x14ac:dyDescent="0.5">
      <c r="A58" s="269"/>
      <c r="B58" s="367" t="s">
        <v>105</v>
      </c>
      <c r="C58" s="368"/>
      <c r="D58" s="368"/>
      <c r="E58" s="368"/>
      <c r="F58" s="369"/>
      <c r="G58" s="269"/>
      <c r="H58" s="269"/>
      <c r="I58" s="367" t="s">
        <v>105</v>
      </c>
      <c r="J58" s="368"/>
      <c r="K58" s="368"/>
      <c r="L58" s="368"/>
      <c r="M58" s="369"/>
      <c r="N58" s="269"/>
      <c r="O58" s="269"/>
      <c r="P58" s="367" t="s">
        <v>105</v>
      </c>
      <c r="Q58" s="368"/>
      <c r="R58" s="368"/>
      <c r="S58" s="368"/>
      <c r="T58" s="369"/>
      <c r="U58" s="269"/>
      <c r="V58" s="269"/>
      <c r="W58" s="367" t="s">
        <v>105</v>
      </c>
      <c r="X58" s="368"/>
      <c r="Y58" s="368"/>
      <c r="Z58" s="368"/>
      <c r="AA58" s="369"/>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row>
    <row r="59" spans="1:71" ht="21" customHeight="1" x14ac:dyDescent="0.5">
      <c r="A59" s="269"/>
      <c r="B59" s="305">
        <f>Scenarios!$C$5</f>
        <v>0</v>
      </c>
      <c r="C59" s="270" t="str">
        <f>IF(Scenarios!$C$6="","",Scenarios!$C$6)</f>
        <v/>
      </c>
      <c r="D59" s="270" t="str">
        <f>IF(Scenarios!$C$7="","",Scenarios!$C$7)</f>
        <v/>
      </c>
      <c r="E59" s="270" t="str">
        <f>IF(Scenarios!$C$8="","",Scenarios!$C$8)</f>
        <v/>
      </c>
      <c r="F59" s="271" t="str">
        <f>IF(Scenarios!$C$9="","",Scenarios!$C$9)</f>
        <v/>
      </c>
      <c r="G59" s="269"/>
      <c r="H59" s="269"/>
      <c r="I59" s="305">
        <f>Scenarios!$D$5</f>
        <v>0</v>
      </c>
      <c r="J59" s="270" t="str">
        <f>IF(Scenarios!$D$6="","",Scenarios!$D$6)</f>
        <v/>
      </c>
      <c r="K59" s="270" t="str">
        <f>IF(Scenarios!$D$7="","",Scenarios!$D$7)</f>
        <v/>
      </c>
      <c r="L59" s="270" t="str">
        <f>IF(Scenarios!$D$8="","",Scenarios!$D$8)</f>
        <v/>
      </c>
      <c r="M59" s="271" t="str">
        <f>IF(Scenarios!$D$9="","",Scenarios!$D$9)</f>
        <v/>
      </c>
      <c r="N59" s="269"/>
      <c r="O59" s="269"/>
      <c r="P59" s="305">
        <f>Scenarios!$E$5</f>
        <v>0</v>
      </c>
      <c r="Q59" s="270" t="str">
        <f>IF(Scenarios!$E$6="","",Scenarios!$E$6)</f>
        <v/>
      </c>
      <c r="R59" s="270" t="str">
        <f>IF(Scenarios!$E$7="","",Scenarios!$E$7)</f>
        <v/>
      </c>
      <c r="S59" s="270" t="str">
        <f>IF(Scenarios!$E$8="","",Scenarios!$E$8)</f>
        <v/>
      </c>
      <c r="T59" s="271" t="str">
        <f>IF(Scenarios!$E$9="","",Scenarios!$E$9)</f>
        <v/>
      </c>
      <c r="U59" s="269"/>
      <c r="V59" s="269"/>
      <c r="W59" s="305">
        <f>Scenarios!$F$5</f>
        <v>0</v>
      </c>
      <c r="X59" s="270" t="str">
        <f>IF(Scenarios!$F$6="","",Scenarios!$F$6)</f>
        <v/>
      </c>
      <c r="Y59" s="270" t="str">
        <f>IF(Scenarios!$F$7="","",Scenarios!$F$7)</f>
        <v/>
      </c>
      <c r="Z59" s="270" t="str">
        <f>IF(Scenarios!$F$8="","",Scenarios!$F$8)</f>
        <v/>
      </c>
      <c r="AA59" s="271" t="str">
        <f>IF(Scenarios!$F$9="","",Scenarios!$F$9)</f>
        <v/>
      </c>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row>
    <row r="60" spans="1:71" ht="21" customHeight="1" x14ac:dyDescent="0.5">
      <c r="A60" s="272" t="s">
        <v>104</v>
      </c>
      <c r="B60" s="298">
        <f>IF(RunScenFlag=1,'Scenario Output'!$G2,NA())</f>
        <v>0</v>
      </c>
      <c r="C60" s="299" t="e">
        <f>IF(AND(C59&lt;&gt;"",RunScenFlag=1),'Scenario Output'!$AP2,NA())</f>
        <v>#N/A</v>
      </c>
      <c r="D60" s="299" t="e">
        <f>IF(AND(D59&lt;&gt;"",RunScenFlag=1),'Scenario Output'!$BY2,NA())</f>
        <v>#N/A</v>
      </c>
      <c r="E60" s="299" t="e">
        <f>IF(AND(E59&lt;&gt;"",RunScenFlag=1),'Scenario Output'!$DH2,NA())</f>
        <v>#N/A</v>
      </c>
      <c r="F60" s="300" t="e">
        <f>IF(AND(F59&lt;&gt;"",RunScenFlag=1),'Scenario Output'!$EQ2,NA())</f>
        <v>#N/A</v>
      </c>
      <c r="G60" s="269"/>
      <c r="H60" s="272" t="s">
        <v>104</v>
      </c>
      <c r="I60" s="298">
        <f>IF(RunScenFlag=1,'Scenario Output'!$G3,NA())</f>
        <v>0</v>
      </c>
      <c r="J60" s="299" t="e">
        <f>IF(AND(J59&lt;&gt;"",RunScenFlag=1),'Scenario Output'!$AP3,NA())</f>
        <v>#N/A</v>
      </c>
      <c r="K60" s="299" t="e">
        <f>IF(AND(K59&lt;&gt;"",RunScenFlag=1),'Scenario Output'!$BY3,NA())</f>
        <v>#N/A</v>
      </c>
      <c r="L60" s="299" t="e">
        <f>IF(AND(L59&lt;&gt;"",RunScenFlag=1),'Scenario Output'!$DH3,NA())</f>
        <v>#N/A</v>
      </c>
      <c r="M60" s="300" t="e">
        <f>IF(AND(M59&lt;&gt;"",RunScenFlag=1),'Scenario Output'!$EQ3,NA())</f>
        <v>#N/A</v>
      </c>
      <c r="N60" s="269"/>
      <c r="O60" s="272" t="s">
        <v>104</v>
      </c>
      <c r="P60" s="298">
        <f>IF(RunScenFlag=1,'Scenario Output'!$G4,NA())</f>
        <v>0</v>
      </c>
      <c r="Q60" s="299" t="e">
        <f>IF(AND(Q59&lt;&gt;"",RunScenFlag=1),'Scenario Output'!$AP4,NA())</f>
        <v>#N/A</v>
      </c>
      <c r="R60" s="299" t="e">
        <f>IF(AND(R59&lt;&gt;"",RunScenFlag=1),'Scenario Output'!$BY4,NA())</f>
        <v>#N/A</v>
      </c>
      <c r="S60" s="299" t="e">
        <f>IF(AND(S59&lt;&gt;"",RunScenFlag=1),'Scenario Output'!$DH4,NA())</f>
        <v>#N/A</v>
      </c>
      <c r="T60" s="300" t="e">
        <f>IF(AND(T59&lt;&gt;"",RunScenFlag=1),'Scenario Output'!$EQ4,NA())</f>
        <v>#N/A</v>
      </c>
      <c r="U60" s="269"/>
      <c r="V60" s="272" t="s">
        <v>104</v>
      </c>
      <c r="W60" s="298">
        <f>IF(RunScenFlag=1,'Scenario Output'!$G5,NA())</f>
        <v>0</v>
      </c>
      <c r="X60" s="299" t="e">
        <f>IF(AND(X59&lt;&gt;"",RunScenFlag=1),'Scenario Output'!$AP5,NA())</f>
        <v>#N/A</v>
      </c>
      <c r="Y60" s="299" t="e">
        <f>IF(AND(Y59&lt;&gt;"",RunScenFlag=1),'Scenario Output'!$BY5,NA())</f>
        <v>#N/A</v>
      </c>
      <c r="Z60" s="299" t="e">
        <f>IF(AND(Z59&lt;&gt;"",RunScenFlag=1),'Scenario Output'!$DH5,NA())</f>
        <v>#N/A</v>
      </c>
      <c r="AA60" s="300" t="e">
        <f>IF(AND(AA59&lt;&gt;"",RunScenFlag=1),'Scenario Output'!$EQ5,NA())</f>
        <v>#N/A</v>
      </c>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row>
    <row r="61" spans="1:71" ht="21" customHeight="1" x14ac:dyDescent="0.5">
      <c r="A61" s="277" t="str">
        <f>IF(Scenarios!$D$12&lt;&gt;1,"","Strategy 1")</f>
        <v/>
      </c>
      <c r="B61" s="301" t="e">
        <f>IF(AND(A61&lt;&gt;"",RunScenFlag=1),'Scenario Output'!$N2,NA())</f>
        <v>#N/A</v>
      </c>
      <c r="C61" s="299" t="e">
        <f>IF(AND(C59&lt;&gt;"",A61&lt;&gt;"",RunScenFlag=1),'Scenario Output'!$AW2,NA())</f>
        <v>#N/A</v>
      </c>
      <c r="D61" s="299" t="e">
        <f>IF(AND(D59&lt;&gt;"",A61&lt;&gt;"",RunScenFlag=1),'Scenario Output'!$CF2,NA())</f>
        <v>#N/A</v>
      </c>
      <c r="E61" s="299" t="e">
        <f>IF(AND(E59&lt;&gt;"",A61&lt;&gt;"",RunScenFlag=1),'Scenario Output'!$DO2,NA())</f>
        <v>#N/A</v>
      </c>
      <c r="F61" s="300" t="e">
        <f>IF(AND(F59&lt;&gt;"",A61&lt;&gt;"",RunScenFlag=1),'Scenario Output'!$EX2,NA())</f>
        <v>#N/A</v>
      </c>
      <c r="G61" s="269"/>
      <c r="H61" s="277" t="str">
        <f>IF(Scenarios!$D$27&lt;&gt;1,"","Strategy 1")</f>
        <v/>
      </c>
      <c r="I61" s="301" t="e">
        <f>IF(AND(H61&lt;&gt;"",RunScenFlag=1),'Scenario Output'!$N3,NA())</f>
        <v>#N/A</v>
      </c>
      <c r="J61" s="299" t="e">
        <f>IF(AND(J59&lt;&gt;"",H61&lt;&gt;"",RunScenFlag=1),'Scenario Output'!$AW3,NA())</f>
        <v>#N/A</v>
      </c>
      <c r="K61" s="299" t="e">
        <f>IF(AND(K59&lt;&gt;"",H61&lt;&gt;"",RunScenFlag=1),'Scenario Output'!$CF3,NA())</f>
        <v>#N/A</v>
      </c>
      <c r="L61" s="299" t="e">
        <f>IF(AND(L59&lt;&gt;"",H61&lt;&gt;"",RunScenFlag=1),'Scenario Output'!$DO3,NA())</f>
        <v>#N/A</v>
      </c>
      <c r="M61" s="300" t="e">
        <f>IF(AND(M59&lt;&gt;"",H61&lt;&gt;"",RunScenFlag=1),'Scenario Output'!$EX3,NA())</f>
        <v>#N/A</v>
      </c>
      <c r="N61" s="269"/>
      <c r="O61" s="277" t="str">
        <f>IF(Scenarios!$D$41&lt;&gt;1,"","Strategy 1")</f>
        <v/>
      </c>
      <c r="P61" s="301" t="e">
        <f>IF(AND(O61&lt;&gt;"",RunScenFlag=1),'Scenario Output'!$N4,NA())</f>
        <v>#N/A</v>
      </c>
      <c r="Q61" s="299" t="e">
        <f>IF(AND(Q59&lt;&gt;"",O61&lt;&gt;"",RunScenFlag=1),'Scenario Output'!$AW4,NA())</f>
        <v>#N/A</v>
      </c>
      <c r="R61" s="299" t="e">
        <f>IF(AND(R59&lt;&gt;"",O61&lt;&gt;"",RunScenFlag=1),'Scenario Output'!$CF4,NA())</f>
        <v>#N/A</v>
      </c>
      <c r="S61" s="299" t="e">
        <f>IF(AND(S59&lt;&gt;"",O61&lt;&gt;"",RunScenFlag=1),'Scenario Output'!$DO4,NA())</f>
        <v>#N/A</v>
      </c>
      <c r="T61" s="300" t="e">
        <f>IF(AND(T59&lt;&gt;"",O61&lt;&gt;"",RunScenFlag=1),'Scenario Output'!$EX4,NA())</f>
        <v>#N/A</v>
      </c>
      <c r="U61" s="269"/>
      <c r="V61" s="277" t="str">
        <f>IF(Scenarios!$D$55&lt;&gt;1,"","Strategy 1")</f>
        <v/>
      </c>
      <c r="W61" s="301" t="e">
        <f>IF(AND(V61&lt;&gt;"",RunScenFlag=1),'Scenario Output'!$N5,NA())</f>
        <v>#N/A</v>
      </c>
      <c r="X61" s="299" t="e">
        <f>IF(AND(X59&lt;&gt;"",V61&lt;&gt;"",RunScenFlag=1),'Scenario Output'!$AW5,NA())</f>
        <v>#N/A</v>
      </c>
      <c r="Y61" s="299" t="e">
        <f>IF(AND(Y59&lt;&gt;"",V61&lt;&gt;"",RunScenFlag=1),'Scenario Output'!$CF5,NA())</f>
        <v>#N/A</v>
      </c>
      <c r="Z61" s="299" t="e">
        <f>IF(AND(Z59&lt;&gt;"",V61&lt;&gt;"",RunScenFlag=1),'Scenario Output'!$DO5,NA())</f>
        <v>#N/A</v>
      </c>
      <c r="AA61" s="300" t="e">
        <f>IF(AND(AA59&lt;&gt;"",V61&lt;&gt;"",RunScenFlag=1),'Scenario Output'!$EX5,NA())</f>
        <v>#N/A</v>
      </c>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row>
    <row r="62" spans="1:71" ht="21" customHeight="1" x14ac:dyDescent="0.5">
      <c r="A62" s="277" t="str">
        <f>IF(Scenarios!$E$12&lt;&gt;1,"","Strategy 2")</f>
        <v/>
      </c>
      <c r="B62" s="301" t="e">
        <f>IF(AND(A62&lt;&gt;"",RunScenFlag=1),'Scenario Output'!$U2,NA())</f>
        <v>#N/A</v>
      </c>
      <c r="C62" s="299" t="e">
        <f>IF(AND(C59&lt;&gt;"",A62&lt;&gt;"",RunScenFlag=1),'Scenario Output'!$BD2,NA())</f>
        <v>#N/A</v>
      </c>
      <c r="D62" s="299" t="e">
        <f>IF(AND(D59&lt;&gt;"",A62&lt;&gt;"",RunScenFlag=1),'Scenario Output'!$CM2,NA())</f>
        <v>#N/A</v>
      </c>
      <c r="E62" s="299" t="e">
        <f>IF(AND(E59&lt;&gt;"",A62&lt;&gt;"",RunScenFlag=1),'Scenario Output'!$DV2,NA())</f>
        <v>#N/A</v>
      </c>
      <c r="F62" s="300" t="e">
        <f>IF(AND(F59&lt;&gt;"",A62&lt;&gt;"",RunScenFlag=1),'Scenario Output'!$FE2,NA())</f>
        <v>#N/A</v>
      </c>
      <c r="G62" s="269"/>
      <c r="H62" s="277" t="str">
        <f>IF(Scenarios!$E$27&lt;&gt;1,"","Strategy 2")</f>
        <v/>
      </c>
      <c r="I62" s="301" t="e">
        <f>IF(AND(H62&lt;&gt;"",RunScenFlag=1),'Scenario Output'!$U3,NA())</f>
        <v>#N/A</v>
      </c>
      <c r="J62" s="299" t="e">
        <f>IF(AND(J59&lt;&gt;"",H62&lt;&gt;"",RunScenFlag=1),'Scenario Output'!$BD3,NA())</f>
        <v>#N/A</v>
      </c>
      <c r="K62" s="299" t="e">
        <f>IF(AND(K59&lt;&gt;"",H62&lt;&gt;"",RunScenFlag=1),'Scenario Output'!$CM3,NA())</f>
        <v>#N/A</v>
      </c>
      <c r="L62" s="299" t="e">
        <f>IF(AND(L59&lt;&gt;"",H62&lt;&gt;"",RunScenFlag=1),'Scenario Output'!$DV3,NA())</f>
        <v>#N/A</v>
      </c>
      <c r="M62" s="300" t="e">
        <f>IF(AND(M59&lt;&gt;"",H62&lt;&gt;"",RunScenFlag=1),'Scenario Output'!$FE3,NA())</f>
        <v>#N/A</v>
      </c>
      <c r="N62" s="269"/>
      <c r="O62" s="277" t="str">
        <f>IF(Scenarios!$E$41&lt;&gt;1,"","Strategy 2")</f>
        <v/>
      </c>
      <c r="P62" s="301" t="e">
        <f>IF(AND(O62&lt;&gt;"",RunScenFlag=1),'Scenario Output'!$U4,NA())</f>
        <v>#N/A</v>
      </c>
      <c r="Q62" s="299" t="e">
        <f>IF(AND(Q59&lt;&gt;"",O62&lt;&gt;"",RunScenFlag=1),'Scenario Output'!$BD4,NA())</f>
        <v>#N/A</v>
      </c>
      <c r="R62" s="299" t="e">
        <f>IF(AND(R59&lt;&gt;"",O62&lt;&gt;"",RunScenFlag=1),'Scenario Output'!$CM4,NA())</f>
        <v>#N/A</v>
      </c>
      <c r="S62" s="299" t="e">
        <f>IF(AND(S59&lt;&gt;"",O62&lt;&gt;"",RunScenFlag=1),'Scenario Output'!$DV4,NA())</f>
        <v>#N/A</v>
      </c>
      <c r="T62" s="300" t="e">
        <f>IF(AND(T59&lt;&gt;"",O62&lt;&gt;"",RunScenFlag=1),'Scenario Output'!$FE4,NA())</f>
        <v>#N/A</v>
      </c>
      <c r="U62" s="269"/>
      <c r="V62" s="277" t="str">
        <f>IF(Scenarios!$E$55&lt;&gt;1,"","Strategy 2")</f>
        <v/>
      </c>
      <c r="W62" s="301" t="e">
        <f>IF(AND(V62&lt;&gt;"",RunScenFlag=1),'Scenario Output'!$U5,NA())</f>
        <v>#N/A</v>
      </c>
      <c r="X62" s="299" t="e">
        <f>IF(AND(X59&lt;&gt;"",V62&lt;&gt;"",RunScenFlag=1),'Scenario Output'!$BD5,NA())</f>
        <v>#N/A</v>
      </c>
      <c r="Y62" s="299" t="e">
        <f>IF(AND(Y59&lt;&gt;"",V62&lt;&gt;"",RunScenFlag=1),'Scenario Output'!$CM5,NA())</f>
        <v>#N/A</v>
      </c>
      <c r="Z62" s="299" t="e">
        <f>IF(AND(Z59&lt;&gt;"",V62&lt;&gt;"",RunScenFlag=1),'Scenario Output'!$DV5,NA())</f>
        <v>#N/A</v>
      </c>
      <c r="AA62" s="300" t="e">
        <f>IF(AND(AA59&lt;&gt;"",V62&lt;&gt;"",RunScenFlag=1),'Scenario Output'!$FE5,NA())</f>
        <v>#N/A</v>
      </c>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row>
    <row r="63" spans="1:71" ht="21" customHeight="1" x14ac:dyDescent="0.5">
      <c r="A63" s="277" t="str">
        <f>IF(Scenarios!$F$12&lt;&gt;1,"","Strategy 3")</f>
        <v/>
      </c>
      <c r="B63" s="301" t="e">
        <f>IF(AND(A63&lt;&gt;"",RunScenFlag=1),'Scenario Output'!$AB2,NA())</f>
        <v>#N/A</v>
      </c>
      <c r="C63" s="299" t="e">
        <f>IF(AND(C59&lt;&gt;"",A63&lt;&gt;"",RunScenFlag=1),'Scenario Output'!$BK2,NA())</f>
        <v>#N/A</v>
      </c>
      <c r="D63" s="299" t="e">
        <f>IF(AND(D59&lt;&gt;"",A63&lt;&gt;"",RunScenFlag=1),'Scenario Output'!$CT2,NA())</f>
        <v>#N/A</v>
      </c>
      <c r="E63" s="299" t="e">
        <f>IF(AND(E59&lt;&gt;"",A63&lt;&gt;"",RunScenFlag=1),'Scenario Output'!$EC2,NA())</f>
        <v>#N/A</v>
      </c>
      <c r="F63" s="300" t="e">
        <f>IF(AND(F59&lt;&gt;"",A63&lt;&gt;"",RunScenFlag=1),'Scenario Output'!$FL2,NA())</f>
        <v>#N/A</v>
      </c>
      <c r="G63" s="269"/>
      <c r="H63" s="277" t="str">
        <f>IF(Scenarios!$F$27&lt;&gt;1,"","Strategy 3")</f>
        <v/>
      </c>
      <c r="I63" s="301" t="e">
        <f>IF(AND(H63&lt;&gt;"",RunScenFlag=1),'Scenario Output'!$AB3,NA())</f>
        <v>#N/A</v>
      </c>
      <c r="J63" s="299" t="e">
        <f>IF(AND(J59&lt;&gt;"",H63&lt;&gt;"",RunScenFlag=1),'Scenario Output'!$BK3,NA())</f>
        <v>#N/A</v>
      </c>
      <c r="K63" s="299" t="e">
        <f>IF(AND(K59&lt;&gt;"",H63&lt;&gt;"",RunScenFlag=1),'Scenario Output'!$CT3,NA())</f>
        <v>#N/A</v>
      </c>
      <c r="L63" s="299" t="e">
        <f>IF(AND(L59&lt;&gt;"",H63&lt;&gt;"",RunScenFlag=1),'Scenario Output'!$EC3,NA())</f>
        <v>#N/A</v>
      </c>
      <c r="M63" s="300" t="e">
        <f>IF(AND(M59&lt;&gt;"",H63&lt;&gt;"",RunScenFlag=1),'Scenario Output'!$FL3,NA())</f>
        <v>#N/A</v>
      </c>
      <c r="N63" s="269"/>
      <c r="O63" s="277" t="str">
        <f>IF(Scenarios!$F$41&lt;&gt;1,"","Strategy 3")</f>
        <v/>
      </c>
      <c r="P63" s="301" t="e">
        <f>IF(AND(O63&lt;&gt;"",RunScenFlag=1),'Scenario Output'!$AB4,NA())</f>
        <v>#N/A</v>
      </c>
      <c r="Q63" s="299" t="e">
        <f>IF(AND(Q59&lt;&gt;"",O63&lt;&gt;"",RunScenFlag=1),'Scenario Output'!$BK4,NA())</f>
        <v>#N/A</v>
      </c>
      <c r="R63" s="299" t="e">
        <f>IF(AND(R59&lt;&gt;"",O63&lt;&gt;"",RunScenFlag=1),'Scenario Output'!$CT4,NA())</f>
        <v>#N/A</v>
      </c>
      <c r="S63" s="299" t="e">
        <f>IF(AND(S59&lt;&gt;"",O63&lt;&gt;"",RunScenFlag=1),'Scenario Output'!$EC4,NA())</f>
        <v>#N/A</v>
      </c>
      <c r="T63" s="300" t="e">
        <f>IF(AND(T59&lt;&gt;"",O63&lt;&gt;"",RunScenFlag=1),'Scenario Output'!$FL4,NA())</f>
        <v>#N/A</v>
      </c>
      <c r="U63" s="269"/>
      <c r="V63" s="277" t="str">
        <f>IF(Scenarios!$F$55&lt;&gt;1,"","Strategy 3")</f>
        <v/>
      </c>
      <c r="W63" s="301" t="e">
        <f>IF(AND(V63&lt;&gt;"",RunScenFlag=1),'Scenario Output'!$AB5,NA())</f>
        <v>#N/A</v>
      </c>
      <c r="X63" s="299" t="e">
        <f>IF(AND(X59&lt;&gt;"",V63&lt;&gt;"",RunScenFlag=1),'Scenario Output'!$BK5,NA())</f>
        <v>#N/A</v>
      </c>
      <c r="Y63" s="299" t="e">
        <f>IF(AND(Y59&lt;&gt;"",V63&lt;&gt;"",RunScenFlag=1),'Scenario Output'!$CT5,NA())</f>
        <v>#N/A</v>
      </c>
      <c r="Z63" s="299" t="e">
        <f>IF(AND(Z59&lt;&gt;"",V63&lt;&gt;"",RunScenFlag=1),'Scenario Output'!$EC5,NA())</f>
        <v>#N/A</v>
      </c>
      <c r="AA63" s="300" t="e">
        <f>IF(AND(AA59&lt;&gt;"",V63&lt;&gt;"",RunScenFlag=1),'Scenario Output'!$FL5,NA())</f>
        <v>#N/A</v>
      </c>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row>
    <row r="64" spans="1:71" ht="21" customHeight="1" x14ac:dyDescent="0.5">
      <c r="A64" s="277" t="str">
        <f>IF(Scenarios!$G$12&lt;&gt;1,"","Strategy 4")</f>
        <v/>
      </c>
      <c r="B64" s="302" t="e">
        <f>IF(AND(A64&lt;&gt;"",RunScenFlag=1),'Scenario Output'!$AI2,NA())</f>
        <v>#N/A</v>
      </c>
      <c r="C64" s="303" t="e">
        <f>IF(AND(C59&lt;&gt;"",A64&lt;&gt;"",RunScenFlag=1),'Scenario Output'!$BR2,NA())</f>
        <v>#N/A</v>
      </c>
      <c r="D64" s="303" t="e">
        <f>IF(AND(D59&lt;&gt;"",A64&lt;&gt;"",RunScenFlag=1),'Scenario Output'!$DA2,NA())</f>
        <v>#N/A</v>
      </c>
      <c r="E64" s="303" t="e">
        <f>IF(AND(E59&lt;&gt;"",A64&lt;&gt;"",RunScenFlag=1),'Scenario Output'!$EJ2,NA())</f>
        <v>#N/A</v>
      </c>
      <c r="F64" s="304" t="e">
        <f>IF(AND(F59&lt;&gt;"",A64&lt;&gt;"",RunScenFlag=1),'Scenario Output'!$FS2,NA())</f>
        <v>#N/A</v>
      </c>
      <c r="G64" s="269"/>
      <c r="H64" s="277" t="str">
        <f>IF(Scenarios!$G$27&lt;&gt;1,"","Strategy 4")</f>
        <v/>
      </c>
      <c r="I64" s="302" t="e">
        <f>IF(AND(H64&lt;&gt;"",RunScenFlag=1),'Scenario Output'!$AI3,NA())</f>
        <v>#N/A</v>
      </c>
      <c r="J64" s="303" t="e">
        <f>IF(AND(J59&lt;&gt;"",H64&lt;&gt;"",RunScenFlag=1),'Scenario Output'!$BR3,NA())</f>
        <v>#N/A</v>
      </c>
      <c r="K64" s="303" t="e">
        <f>IF(AND(K59&lt;&gt;"",H64&lt;&gt;"",RunScenFlag=1),'Scenario Output'!$DA3,NA())</f>
        <v>#N/A</v>
      </c>
      <c r="L64" s="303" t="e">
        <f>IF(AND(L59&lt;&gt;"",H64&lt;&gt;"",RunScenFlag=1),'Scenario Output'!$EJ3,NA())</f>
        <v>#N/A</v>
      </c>
      <c r="M64" s="304" t="e">
        <f>IF(AND(M59&lt;&gt;"",H64&lt;&gt;"",RunScenFlag=1),'Scenario Output'!$FS3,NA())</f>
        <v>#N/A</v>
      </c>
      <c r="N64" s="269"/>
      <c r="O64" s="277" t="str">
        <f>IF(Scenarios!$G$41&lt;&gt;1,"","Strategy 4")</f>
        <v/>
      </c>
      <c r="P64" s="302" t="e">
        <f>IF(AND(O64&lt;&gt;"",RunScenFlag=1),'Scenario Output'!$AI4,NA())</f>
        <v>#N/A</v>
      </c>
      <c r="Q64" s="303" t="e">
        <f>IF(AND(Q59&lt;&gt;"",O64&lt;&gt;"",RunScenFlag=1),'Scenario Output'!$BR4,NA())</f>
        <v>#N/A</v>
      </c>
      <c r="R64" s="303" t="e">
        <f>IF(AND(R59&lt;&gt;"",O64&lt;&gt;"",RunScenFlag=1),'Scenario Output'!$DA4,NA())</f>
        <v>#N/A</v>
      </c>
      <c r="S64" s="303" t="e">
        <f>IF(AND(S59&lt;&gt;"",O64&lt;&gt;"",RunScenFlag=1),'Scenario Output'!$EJ4,NA())</f>
        <v>#N/A</v>
      </c>
      <c r="T64" s="304" t="e">
        <f>IF(AND(T59&lt;&gt;"",O64&lt;&gt;"",RunScenFlag=1),'Scenario Output'!$FS4,NA())</f>
        <v>#N/A</v>
      </c>
      <c r="U64" s="269"/>
      <c r="V64" s="277" t="str">
        <f>IF(Scenarios!$G$55&lt;&gt;1,"","Strategy 4")</f>
        <v/>
      </c>
      <c r="W64" s="302" t="e">
        <f>IF(AND(V64&lt;&gt;"",RunScenFlag=1),'Scenario Output'!$AI5,NA())</f>
        <v>#N/A</v>
      </c>
      <c r="X64" s="303" t="e">
        <f>IF(AND(X59&lt;&gt;"",V64&lt;&gt;"",RunScenFlag=1),'Scenario Output'!$BR5,NA())</f>
        <v>#N/A</v>
      </c>
      <c r="Y64" s="303" t="e">
        <f>IF(AND(Y59&lt;&gt;"",V64&lt;&gt;"",RunScenFlag=1),'Scenario Output'!$DA5,NA())</f>
        <v>#N/A</v>
      </c>
      <c r="Z64" s="303" t="e">
        <f>IF(AND(Z59&lt;&gt;"",V64&lt;&gt;"",RunScenFlag=1),'Scenario Output'!$EJ5,NA())</f>
        <v>#N/A</v>
      </c>
      <c r="AA64" s="304" t="e">
        <f>IF(AND(AA59&lt;&gt;"",V64&lt;&gt;"",RunScenFlag=1),'Scenario Output'!$FS5,NA())</f>
        <v>#N/A</v>
      </c>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row>
    <row r="65" spans="1:71" x14ac:dyDescent="0.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row>
    <row r="66" spans="1:71" x14ac:dyDescent="0.35">
      <c r="A66" s="52" t="str">
        <f>_xlfn.CONCAT("Prevented Fraction under different influenza vaccination coverage and deployment strategies. ", Inputs!$B$6, ", ", Inputs!$F$6)</f>
        <v xml:space="preserve">Prevented Fraction under different influenza vaccination coverage and deployment strategies. , </v>
      </c>
      <c r="B66" s="52"/>
      <c r="C66" s="52"/>
      <c r="D66" s="52"/>
      <c r="E66" s="52"/>
      <c r="F66" s="52"/>
      <c r="G66" s="52"/>
      <c r="H66" s="52" t="str">
        <f>_xlfn.CONCAT("Prevented Fraction under different influenza vaccination coverage and deployment strategies. ", Inputs!$B$6, ", ", Inputs!$F$6+1)</f>
        <v>Prevented Fraction under different influenza vaccination coverage and deployment strategies. , 1</v>
      </c>
      <c r="I66" s="52"/>
      <c r="J66" s="52"/>
      <c r="K66" s="52"/>
      <c r="L66" s="52"/>
      <c r="M66" s="52"/>
      <c r="N66" s="52"/>
      <c r="O66" s="52" t="str">
        <f>_xlfn.CONCAT("Prevented Fraction under different influenza vaccination coverage and deployment strategies. ", Inputs!$B$6, ", ", Inputs!$F$6+2)</f>
        <v>Prevented Fraction under different influenza vaccination coverage and deployment strategies. , 2</v>
      </c>
      <c r="P66" s="52"/>
      <c r="Q66" s="52"/>
      <c r="R66" s="52"/>
      <c r="S66" s="52"/>
      <c r="T66" s="52"/>
      <c r="U66" s="52"/>
      <c r="V66" s="52" t="str">
        <f>_xlfn.CONCAT("Prevented Fraction under different influenza vaccination coverage and deployment strategies. ", Inputs!$B$6, ", ", Inputs!$F$6+3)</f>
        <v>Prevented Fraction under different influenza vaccination coverage and deployment strategies. , 3</v>
      </c>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row>
    <row r="67" spans="1:71" x14ac:dyDescent="0.35">
      <c r="A67" s="297"/>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row>
    <row r="68" spans="1:71" x14ac:dyDescent="0.35">
      <c r="A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row>
    <row r="69" spans="1:71" x14ac:dyDescent="0.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row>
    <row r="70" spans="1:71" x14ac:dyDescent="0.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row>
    <row r="71" spans="1:71" x14ac:dyDescent="0.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row>
    <row r="72" spans="1:71" x14ac:dyDescent="0.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row>
    <row r="73" spans="1:71" x14ac:dyDescent="0.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row>
    <row r="74" spans="1:71" x14ac:dyDescent="0.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row>
    <row r="75" spans="1:71" x14ac:dyDescent="0.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row>
    <row r="76" spans="1:71" x14ac:dyDescent="0.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row>
    <row r="77" spans="1:71" x14ac:dyDescent="0.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row>
    <row r="78" spans="1:71" x14ac:dyDescent="0.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row>
    <row r="79" spans="1:71" x14ac:dyDescent="0.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row>
    <row r="80" spans="1:71" x14ac:dyDescent="0.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row>
    <row r="81" spans="1:71" x14ac:dyDescent="0.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row>
    <row r="82" spans="1:71" x14ac:dyDescent="0.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row>
    <row r="83" spans="1:71" x14ac:dyDescent="0.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row>
    <row r="84" spans="1:71" x14ac:dyDescent="0.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row>
    <row r="85" spans="1:71" x14ac:dyDescent="0.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row>
    <row r="86" spans="1:71" ht="21" customHeight="1" x14ac:dyDescent="0.5">
      <c r="A86" s="252" t="s">
        <v>134</v>
      </c>
      <c r="B86" s="253"/>
      <c r="C86" s="253"/>
      <c r="D86" s="310" t="s">
        <v>108</v>
      </c>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row>
    <row r="87" spans="1:71" x14ac:dyDescent="0.35">
      <c r="A87" s="52" t="str">
        <f>_xlfn.CONCAT($D$86, " under different influenza vaccination coverage and deployment strategies. ", Inputs!$B$6, ", ", Inputs!$F$6)</f>
        <v xml:space="preserve">Averted overall illnesses under different influenza vaccination coverage and deployment strategies. , </v>
      </c>
      <c r="B87" s="52"/>
      <c r="C87" s="52"/>
      <c r="D87" s="52"/>
      <c r="E87" s="52"/>
      <c r="F87" s="52"/>
      <c r="G87" s="52"/>
      <c r="H87" s="52" t="str">
        <f>_xlfn.CONCAT($D$86, " under different influenza vaccination coverage and deployment strategies. ", Inputs!$B$6, ", ", Inputs!$F$6+1)</f>
        <v>Averted overall illnesses under different influenza vaccination coverage and deployment strategies. , 1</v>
      </c>
      <c r="I87" s="52"/>
      <c r="J87" s="52"/>
      <c r="K87" s="52"/>
      <c r="L87" s="52"/>
      <c r="M87" s="52"/>
      <c r="N87" s="52"/>
      <c r="O87" s="52" t="str">
        <f>_xlfn.CONCAT($D$86, " under different influenza vaccination coverage and deployment strategies. ", Inputs!$B$6, ", ", Inputs!$F$6+2)</f>
        <v>Averted overall illnesses under different influenza vaccination coverage and deployment strategies. , 2</v>
      </c>
      <c r="P87" s="52"/>
      <c r="Q87" s="52"/>
      <c r="R87" s="52"/>
      <c r="S87" s="52"/>
      <c r="T87" s="52"/>
      <c r="U87" s="52"/>
      <c r="V87" s="52" t="str">
        <f>_xlfn.CONCAT($D$86, " under different influenza vaccination coverage and deployment strategies. ", Inputs!$B$6, ", ", Inputs!$F$6+3)</f>
        <v>Averted overall illnesses under different influenza vaccination coverage and deployment strategies. , 3</v>
      </c>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row>
    <row r="88" spans="1:71" x14ac:dyDescent="0.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row>
    <row r="89" spans="1:71" x14ac:dyDescent="0.35">
      <c r="A89" s="52"/>
      <c r="B89" s="52"/>
      <c r="C89" s="52"/>
      <c r="D89" s="52"/>
      <c r="E89" s="52"/>
      <c r="F89" s="52"/>
      <c r="G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row>
    <row r="90" spans="1:71" x14ac:dyDescent="0.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row>
    <row r="91" spans="1:71" x14ac:dyDescent="0.35">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row>
    <row r="92" spans="1:71" x14ac:dyDescent="0.35">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row>
    <row r="93" spans="1:71" x14ac:dyDescent="0.35">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row>
    <row r="94" spans="1:71" x14ac:dyDescent="0.35">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row>
    <row r="95" spans="1:71" x14ac:dyDescent="0.35">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row>
    <row r="96" spans="1:71" x14ac:dyDescent="0.35">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row>
    <row r="97" spans="1:71" x14ac:dyDescent="0.35">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row>
    <row r="98" spans="1:71" x14ac:dyDescent="0.35">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row>
    <row r="99" spans="1:71" x14ac:dyDescent="0.35">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row>
    <row r="100" spans="1:71" x14ac:dyDescent="0.35">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row>
    <row r="101" spans="1:71" x14ac:dyDescent="0.35">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row>
    <row r="102" spans="1:71" x14ac:dyDescent="0.35">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row>
    <row r="103" spans="1:71" x14ac:dyDescent="0.35">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row>
    <row r="104" spans="1:71" x14ac:dyDescent="0.35">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row>
    <row r="105" spans="1:71" x14ac:dyDescent="0.35">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row>
    <row r="106" spans="1:71" x14ac:dyDescent="0.35">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row>
    <row r="107" spans="1:71" x14ac:dyDescent="0.35">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row>
    <row r="108" spans="1:71" x14ac:dyDescent="0.35">
      <c r="A108" s="52" t="s">
        <v>135</v>
      </c>
      <c r="B108" s="52"/>
      <c r="C108" s="52"/>
      <c r="D108" s="52"/>
      <c r="E108" s="52"/>
      <c r="F108" s="52"/>
      <c r="G108" s="52"/>
      <c r="H108" s="52" t="s">
        <v>136</v>
      </c>
      <c r="I108" s="52"/>
      <c r="J108" s="52"/>
      <c r="K108" s="52"/>
      <c r="L108" s="52"/>
      <c r="M108" s="52"/>
      <c r="N108" s="52"/>
      <c r="O108" s="52" t="s">
        <v>137</v>
      </c>
      <c r="P108" s="52"/>
      <c r="Q108" s="52"/>
      <c r="R108" s="52"/>
      <c r="S108" s="52"/>
      <c r="T108" s="52"/>
      <c r="U108" s="52"/>
      <c r="V108" s="52" t="s">
        <v>137</v>
      </c>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row>
    <row r="109" spans="1:71" ht="21" customHeight="1" x14ac:dyDescent="0.5">
      <c r="A109" s="269"/>
      <c r="B109" s="367" t="s">
        <v>105</v>
      </c>
      <c r="C109" s="368"/>
      <c r="D109" s="368"/>
      <c r="E109" s="368"/>
      <c r="F109" s="369"/>
      <c r="G109" s="52"/>
      <c r="H109" s="269"/>
      <c r="I109" s="367" t="s">
        <v>105</v>
      </c>
      <c r="J109" s="368"/>
      <c r="K109" s="368"/>
      <c r="L109" s="368"/>
      <c r="M109" s="369"/>
      <c r="N109" s="52"/>
      <c r="O109" s="269"/>
      <c r="P109" s="367" t="s">
        <v>105</v>
      </c>
      <c r="Q109" s="368"/>
      <c r="R109" s="368"/>
      <c r="S109" s="368"/>
      <c r="T109" s="369"/>
      <c r="U109" s="52"/>
      <c r="V109" s="269"/>
      <c r="W109" s="367" t="s">
        <v>105</v>
      </c>
      <c r="X109" s="368"/>
      <c r="Y109" s="368"/>
      <c r="Z109" s="368"/>
      <c r="AA109" s="369"/>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row>
    <row r="110" spans="1:71" ht="21" customHeight="1" x14ac:dyDescent="0.5">
      <c r="A110" s="269"/>
      <c r="B110" s="305">
        <f>B5</f>
        <v>0</v>
      </c>
      <c r="C110" s="270" t="str">
        <f>C5</f>
        <v/>
      </c>
      <c r="D110" s="270" t="str">
        <f t="shared" ref="D110:F110" si="0">D5</f>
        <v/>
      </c>
      <c r="E110" s="270" t="str">
        <f t="shared" si="0"/>
        <v/>
      </c>
      <c r="F110" s="270" t="str">
        <f t="shared" si="0"/>
        <v/>
      </c>
      <c r="G110" s="52"/>
      <c r="H110" s="269"/>
      <c r="I110" s="305">
        <f>I5</f>
        <v>0</v>
      </c>
      <c r="J110" s="270" t="str">
        <f>J5</f>
        <v/>
      </c>
      <c r="K110" s="270" t="str">
        <f t="shared" ref="K110:M110" si="1">K5</f>
        <v/>
      </c>
      <c r="L110" s="270" t="str">
        <f t="shared" si="1"/>
        <v/>
      </c>
      <c r="M110" s="270" t="str">
        <f t="shared" si="1"/>
        <v/>
      </c>
      <c r="N110" s="52"/>
      <c r="O110" s="269"/>
      <c r="P110" s="305">
        <f>P5</f>
        <v>0</v>
      </c>
      <c r="Q110" s="270" t="str">
        <f>Q5</f>
        <v/>
      </c>
      <c r="R110" s="270" t="str">
        <f t="shared" ref="R110:T110" si="2">R5</f>
        <v/>
      </c>
      <c r="S110" s="270" t="str">
        <f t="shared" si="2"/>
        <v/>
      </c>
      <c r="T110" s="270" t="str">
        <f t="shared" si="2"/>
        <v/>
      </c>
      <c r="U110" s="52"/>
      <c r="V110" s="269"/>
      <c r="W110" s="305">
        <f>W5</f>
        <v>0</v>
      </c>
      <c r="X110" s="270" t="str">
        <f>X5</f>
        <v/>
      </c>
      <c r="Y110" s="270" t="str">
        <f t="shared" ref="Y110:AA110" si="3">Y5</f>
        <v/>
      </c>
      <c r="Z110" s="270" t="str">
        <f t="shared" si="3"/>
        <v/>
      </c>
      <c r="AA110" s="270" t="str">
        <f t="shared" si="3"/>
        <v/>
      </c>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row>
    <row r="111" spans="1:71" ht="21" customHeight="1" x14ac:dyDescent="0.5">
      <c r="A111" s="272" t="str">
        <f>A6</f>
        <v>Base strategy</v>
      </c>
      <c r="B111" s="285">
        <f>IF($D$86="Averted hospitalized illnesses", B24,
 IF($D$86="Averted overall illnesses", B33,
 IF($D$86="Averted non-hospitalized illnesses", B42,
 IF($D$86="Averted medically attended illnesses", B51,
 IF($D$86="Averted hospitalized deaths", A60,
 "")))))</f>
        <v>0</v>
      </c>
      <c r="C111" s="285" t="e">
        <f t="shared" ref="C111:F111" si="4">IF($D$86="Averted hospitalized illnesses", C24,
 IF($D$86="Averted overall illnesses", C33,
 IF($D$86="Averted non-hospitalized illnesses", C42,
 IF($D$86="Averted medically attended illnesses", C51,
 IF($D$86="Averted hospitalized deaths", B60,
 "")))))</f>
        <v>#N/A</v>
      </c>
      <c r="D111" s="285" t="e">
        <f t="shared" si="4"/>
        <v>#N/A</v>
      </c>
      <c r="E111" s="285" t="e">
        <f t="shared" si="4"/>
        <v>#N/A</v>
      </c>
      <c r="F111" s="285" t="e">
        <f t="shared" si="4"/>
        <v>#N/A</v>
      </c>
      <c r="G111" s="52"/>
      <c r="H111" s="272" t="str">
        <f>H6</f>
        <v>Base strategy</v>
      </c>
      <c r="I111" s="285">
        <f>IF($D$86="Averted hospitalized illnesses", I24,
 IF($D$86="Averted overall illnesses", I33,
 IF($D$86="Averted non-hospitalized illnesses", I42,
 IF($D$86="Averted medically attended illnesses", I51,
 IF($D$86="Averted hospitalized deaths", H60,
 "")))))</f>
        <v>0</v>
      </c>
      <c r="J111" s="285" t="e">
        <f t="shared" ref="J111:M111" si="5">IF($D$86="Averted hospitalized illnesses", J24,
 IF($D$86="Averted overall illnesses", J33,
 IF($D$86="Averted non-hospitalized illnesses", J42,
 IF($D$86="Averted medically attended illnesses", J51,
 IF($D$86="Averted hospitalized deaths", I60,
 "")))))</f>
        <v>#N/A</v>
      </c>
      <c r="K111" s="285" t="e">
        <f t="shared" si="5"/>
        <v>#N/A</v>
      </c>
      <c r="L111" s="285" t="e">
        <f t="shared" si="5"/>
        <v>#N/A</v>
      </c>
      <c r="M111" s="285" t="e">
        <f t="shared" si="5"/>
        <v>#N/A</v>
      </c>
      <c r="N111" s="52"/>
      <c r="O111" s="272" t="str">
        <f>O6</f>
        <v>Base strategy</v>
      </c>
      <c r="P111" s="285">
        <f>IF($D$86="Averted hospitalized illnesses", P24,
 IF($D$86="Averted overall illnesses", P33,
 IF($D$86="Averted non-hospitalized illnesses", P42,
 IF($D$86="Averted medically attended illnesses", P51,
 IF($D$86="Averted hospitalized deaths", O60,
 "")))))</f>
        <v>0</v>
      </c>
      <c r="Q111" s="285" t="e">
        <f t="shared" ref="Q111:T111" si="6">IF($D$86="Averted hospitalized illnesses", Q24,
 IF($D$86="Averted overall illnesses", Q33,
 IF($D$86="Averted non-hospitalized illnesses", Q42,
 IF($D$86="Averted medically attended illnesses", Q51,
 IF($D$86="Averted hospitalized deaths", P60,
 "")))))</f>
        <v>#N/A</v>
      </c>
      <c r="R111" s="285" t="e">
        <f t="shared" si="6"/>
        <v>#N/A</v>
      </c>
      <c r="S111" s="285" t="e">
        <f t="shared" si="6"/>
        <v>#N/A</v>
      </c>
      <c r="T111" s="285" t="e">
        <f t="shared" si="6"/>
        <v>#N/A</v>
      </c>
      <c r="U111" s="52"/>
      <c r="V111" s="272" t="str">
        <f>V6</f>
        <v>Base strategy</v>
      </c>
      <c r="W111" s="285">
        <f>IF($D$86="Averted hospitalized illnesses", W24,
 IF($D$86="Averted overall illnesses", W33,
 IF($D$86="Averted non-hospitalized illnesses", W42,
 IF($D$86="Averted medically attended illnesses", W51,
 IF($D$86="Averted hospitalized deaths", V60,
 "")))))</f>
        <v>0</v>
      </c>
      <c r="X111" s="285" t="e">
        <f t="shared" ref="X111:X115" si="7">IF($D$86="Averted hospitalized illnesses", X24,
 IF($D$86="Averted overall illnesses", X33,
 IF($D$86="Averted non-hospitalized illnesses", X42,
 IF($D$86="Averted medically attended illnesses", X51,
 IF($D$86="Averted hospitalized deaths", W60,
 "")))))</f>
        <v>#N/A</v>
      </c>
      <c r="Y111" s="285" t="e">
        <f t="shared" ref="Y111:Y115" si="8">IF($D$86="Averted hospitalized illnesses", Y24,
 IF($D$86="Averted overall illnesses", Y33,
 IF($D$86="Averted non-hospitalized illnesses", Y42,
 IF($D$86="Averted medically attended illnesses", Y51,
 IF($D$86="Averted hospitalized deaths", X60,
 "")))))</f>
        <v>#N/A</v>
      </c>
      <c r="Z111" s="285" t="e">
        <f t="shared" ref="Z111:Z115" si="9">IF($D$86="Averted hospitalized illnesses", Z24,
 IF($D$86="Averted overall illnesses", Z33,
 IF($D$86="Averted non-hospitalized illnesses", Z42,
 IF($D$86="Averted medically attended illnesses", Z51,
 IF($D$86="Averted hospitalized deaths", Y60,
 "")))))</f>
        <v>#N/A</v>
      </c>
      <c r="AA111" s="285" t="e">
        <f t="shared" ref="AA111:AA115" si="10">IF($D$86="Averted hospitalized illnesses", AA24,
 IF($D$86="Averted overall illnesses", AA33,
 IF($D$86="Averted non-hospitalized illnesses", AA42,
 IF($D$86="Averted medically attended illnesses", AA51,
 IF($D$86="Averted hospitalized deaths", Z60,
 "")))))</f>
        <v>#N/A</v>
      </c>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row>
    <row r="112" spans="1:71" ht="21" customHeight="1" x14ac:dyDescent="0.5">
      <c r="A112" s="277" t="str">
        <f>A7</f>
        <v/>
      </c>
      <c r="B112" s="285" t="e">
        <f t="shared" ref="B112:F115" si="11">IF($D$86="Averted hospitalized illnesses", B25,
 IF($D$86="Averted overall illnesses", B34,
 IF($D$86="Averted non-hospitalized illnesses", B43,
 IF($D$86="Averted medically attended illnesses", B52,
 IF($D$86="Averted hospitalized deaths", A61,
 "")))))</f>
        <v>#N/A</v>
      </c>
      <c r="C112" s="285" t="e">
        <f t="shared" si="11"/>
        <v>#N/A</v>
      </c>
      <c r="D112" s="285" t="e">
        <f t="shared" si="11"/>
        <v>#N/A</v>
      </c>
      <c r="E112" s="285" t="e">
        <f t="shared" si="11"/>
        <v>#N/A</v>
      </c>
      <c r="F112" s="285" t="e">
        <f t="shared" si="11"/>
        <v>#N/A</v>
      </c>
      <c r="G112" s="52"/>
      <c r="H112" s="277" t="str">
        <f>H7</f>
        <v/>
      </c>
      <c r="I112" s="285" t="e">
        <f t="shared" ref="I112:M112" si="12">IF($D$86="Averted hospitalized illnesses", I25,
 IF($D$86="Averted overall illnesses", I34,
 IF($D$86="Averted non-hospitalized illnesses", I43,
 IF($D$86="Averted medically attended illnesses", I52,
 IF($D$86="Averted hospitalized deaths", H61,
 "")))))</f>
        <v>#N/A</v>
      </c>
      <c r="J112" s="285" t="e">
        <f t="shared" si="12"/>
        <v>#N/A</v>
      </c>
      <c r="K112" s="285" t="e">
        <f t="shared" si="12"/>
        <v>#N/A</v>
      </c>
      <c r="L112" s="285" t="e">
        <f t="shared" si="12"/>
        <v>#N/A</v>
      </c>
      <c r="M112" s="285" t="e">
        <f t="shared" si="12"/>
        <v>#N/A</v>
      </c>
      <c r="N112" s="52"/>
      <c r="O112" s="277" t="str">
        <f>O7</f>
        <v/>
      </c>
      <c r="P112" s="285" t="e">
        <f t="shared" ref="P112:T112" si="13">IF($D$86="Averted hospitalized illnesses", P25,
 IF($D$86="Averted overall illnesses", P34,
 IF($D$86="Averted non-hospitalized illnesses", P43,
 IF($D$86="Averted medically attended illnesses", P52,
 IF($D$86="Averted hospitalized deaths", O61,
 "")))))</f>
        <v>#N/A</v>
      </c>
      <c r="Q112" s="285" t="e">
        <f t="shared" si="13"/>
        <v>#N/A</v>
      </c>
      <c r="R112" s="285" t="e">
        <f t="shared" si="13"/>
        <v>#N/A</v>
      </c>
      <c r="S112" s="285" t="e">
        <f t="shared" si="13"/>
        <v>#N/A</v>
      </c>
      <c r="T112" s="285" t="e">
        <f t="shared" si="13"/>
        <v>#N/A</v>
      </c>
      <c r="U112" s="52"/>
      <c r="V112" s="277" t="str">
        <f>V7</f>
        <v/>
      </c>
      <c r="W112" s="285" t="e">
        <f t="shared" ref="W112:W115" si="14">IF($D$86="Averted hospitalized illnesses", W25,
 IF($D$86="Averted overall illnesses", W34,
 IF($D$86="Averted non-hospitalized illnesses", W43,
 IF($D$86="Averted medically attended illnesses", W52,
 IF($D$86="Averted hospitalized deaths", V61,
 "")))))</f>
        <v>#N/A</v>
      </c>
      <c r="X112" s="285" t="e">
        <f t="shared" si="7"/>
        <v>#N/A</v>
      </c>
      <c r="Y112" s="285" t="e">
        <f t="shared" si="8"/>
        <v>#N/A</v>
      </c>
      <c r="Z112" s="285" t="e">
        <f t="shared" si="9"/>
        <v>#N/A</v>
      </c>
      <c r="AA112" s="285" t="e">
        <f t="shared" si="10"/>
        <v>#N/A</v>
      </c>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row>
    <row r="113" spans="1:71" ht="21" customHeight="1" x14ac:dyDescent="0.5">
      <c r="A113" s="277" t="str">
        <f t="shared" ref="A113:A115" si="15">A8</f>
        <v/>
      </c>
      <c r="B113" s="285" t="e">
        <f t="shared" si="11"/>
        <v>#N/A</v>
      </c>
      <c r="C113" s="285" t="e">
        <f t="shared" si="11"/>
        <v>#N/A</v>
      </c>
      <c r="D113" s="285" t="e">
        <f t="shared" si="11"/>
        <v>#N/A</v>
      </c>
      <c r="E113" s="285" t="e">
        <f t="shared" si="11"/>
        <v>#N/A</v>
      </c>
      <c r="F113" s="285" t="e">
        <f t="shared" si="11"/>
        <v>#N/A</v>
      </c>
      <c r="G113" s="52"/>
      <c r="H113" s="277" t="str">
        <f t="shared" ref="H113:H115" si="16">H8</f>
        <v/>
      </c>
      <c r="I113" s="285" t="e">
        <f t="shared" ref="I113:M113" si="17">IF($D$86="Averted hospitalized illnesses", I26,
 IF($D$86="Averted overall illnesses", I35,
 IF($D$86="Averted non-hospitalized illnesses", I44,
 IF($D$86="Averted medically attended illnesses", I53,
 IF($D$86="Averted hospitalized deaths", H62,
 "")))))</f>
        <v>#N/A</v>
      </c>
      <c r="J113" s="285" t="e">
        <f t="shared" si="17"/>
        <v>#N/A</v>
      </c>
      <c r="K113" s="285" t="e">
        <f t="shared" si="17"/>
        <v>#N/A</v>
      </c>
      <c r="L113" s="285" t="e">
        <f t="shared" si="17"/>
        <v>#N/A</v>
      </c>
      <c r="M113" s="285" t="e">
        <f t="shared" si="17"/>
        <v>#N/A</v>
      </c>
      <c r="N113" s="52"/>
      <c r="O113" s="277" t="str">
        <f t="shared" ref="O113:O115" si="18">O8</f>
        <v/>
      </c>
      <c r="P113" s="285" t="e">
        <f t="shared" ref="P113:T113" si="19">IF($D$86="Averted hospitalized illnesses", P26,
 IF($D$86="Averted overall illnesses", P35,
 IF($D$86="Averted non-hospitalized illnesses", P44,
 IF($D$86="Averted medically attended illnesses", P53,
 IF($D$86="Averted hospitalized deaths", O62,
 "")))))</f>
        <v>#N/A</v>
      </c>
      <c r="Q113" s="285" t="e">
        <f t="shared" si="19"/>
        <v>#N/A</v>
      </c>
      <c r="R113" s="285" t="e">
        <f t="shared" si="19"/>
        <v>#N/A</v>
      </c>
      <c r="S113" s="285" t="e">
        <f t="shared" si="19"/>
        <v>#N/A</v>
      </c>
      <c r="T113" s="285" t="e">
        <f t="shared" si="19"/>
        <v>#N/A</v>
      </c>
      <c r="U113" s="52"/>
      <c r="V113" s="277" t="str">
        <f t="shared" ref="V113:V115" si="20">V8</f>
        <v/>
      </c>
      <c r="W113" s="285" t="e">
        <f t="shared" si="14"/>
        <v>#N/A</v>
      </c>
      <c r="X113" s="285" t="e">
        <f t="shared" si="7"/>
        <v>#N/A</v>
      </c>
      <c r="Y113" s="285" t="e">
        <f t="shared" si="8"/>
        <v>#N/A</v>
      </c>
      <c r="Z113" s="285" t="e">
        <f t="shared" si="9"/>
        <v>#N/A</v>
      </c>
      <c r="AA113" s="285" t="e">
        <f t="shared" si="10"/>
        <v>#N/A</v>
      </c>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row>
    <row r="114" spans="1:71" ht="21" customHeight="1" x14ac:dyDescent="0.5">
      <c r="A114" s="277" t="str">
        <f t="shared" si="15"/>
        <v/>
      </c>
      <c r="B114" s="285" t="e">
        <f t="shared" si="11"/>
        <v>#N/A</v>
      </c>
      <c r="C114" s="285" t="e">
        <f t="shared" si="11"/>
        <v>#N/A</v>
      </c>
      <c r="D114" s="285" t="e">
        <f t="shared" si="11"/>
        <v>#N/A</v>
      </c>
      <c r="E114" s="285" t="e">
        <f t="shared" si="11"/>
        <v>#N/A</v>
      </c>
      <c r="F114" s="285" t="e">
        <f t="shared" si="11"/>
        <v>#N/A</v>
      </c>
      <c r="G114" s="52"/>
      <c r="H114" s="277" t="str">
        <f t="shared" si="16"/>
        <v/>
      </c>
      <c r="I114" s="285" t="e">
        <f t="shared" ref="I114:M114" si="21">IF($D$86="Averted hospitalized illnesses", I27,
 IF($D$86="Averted overall illnesses", I36,
 IF($D$86="Averted non-hospitalized illnesses", I45,
 IF($D$86="Averted medically attended illnesses", I54,
 IF($D$86="Averted hospitalized deaths", H63,
 "")))))</f>
        <v>#N/A</v>
      </c>
      <c r="J114" s="285" t="e">
        <f t="shared" si="21"/>
        <v>#N/A</v>
      </c>
      <c r="K114" s="285" t="e">
        <f t="shared" si="21"/>
        <v>#N/A</v>
      </c>
      <c r="L114" s="285" t="e">
        <f t="shared" si="21"/>
        <v>#N/A</v>
      </c>
      <c r="M114" s="285" t="e">
        <f t="shared" si="21"/>
        <v>#N/A</v>
      </c>
      <c r="N114" s="52"/>
      <c r="O114" s="277" t="str">
        <f t="shared" si="18"/>
        <v/>
      </c>
      <c r="P114" s="285" t="e">
        <f t="shared" ref="P114:T114" si="22">IF($D$86="Averted hospitalized illnesses", P27,
 IF($D$86="Averted overall illnesses", P36,
 IF($D$86="Averted non-hospitalized illnesses", P45,
 IF($D$86="Averted medically attended illnesses", P54,
 IF($D$86="Averted hospitalized deaths", O63,
 "")))))</f>
        <v>#N/A</v>
      </c>
      <c r="Q114" s="285" t="e">
        <f t="shared" si="22"/>
        <v>#N/A</v>
      </c>
      <c r="R114" s="285" t="e">
        <f t="shared" si="22"/>
        <v>#N/A</v>
      </c>
      <c r="S114" s="285" t="e">
        <f t="shared" si="22"/>
        <v>#N/A</v>
      </c>
      <c r="T114" s="285" t="e">
        <f t="shared" si="22"/>
        <v>#N/A</v>
      </c>
      <c r="U114" s="52"/>
      <c r="V114" s="277" t="str">
        <f t="shared" si="20"/>
        <v/>
      </c>
      <c r="W114" s="285" t="e">
        <f t="shared" si="14"/>
        <v>#N/A</v>
      </c>
      <c r="X114" s="285" t="e">
        <f t="shared" si="7"/>
        <v>#N/A</v>
      </c>
      <c r="Y114" s="285" t="e">
        <f t="shared" si="8"/>
        <v>#N/A</v>
      </c>
      <c r="Z114" s="285" t="e">
        <f t="shared" si="9"/>
        <v>#N/A</v>
      </c>
      <c r="AA114" s="285" t="e">
        <f t="shared" si="10"/>
        <v>#N/A</v>
      </c>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row>
    <row r="115" spans="1:71" ht="21" customHeight="1" x14ac:dyDescent="0.5">
      <c r="A115" s="277" t="str">
        <f t="shared" si="15"/>
        <v/>
      </c>
      <c r="B115" s="285" t="e">
        <f t="shared" si="11"/>
        <v>#N/A</v>
      </c>
      <c r="C115" s="285" t="e">
        <f t="shared" si="11"/>
        <v>#N/A</v>
      </c>
      <c r="D115" s="285" t="e">
        <f t="shared" si="11"/>
        <v>#N/A</v>
      </c>
      <c r="E115" s="285" t="e">
        <f t="shared" si="11"/>
        <v>#N/A</v>
      </c>
      <c r="F115" s="285" t="e">
        <f t="shared" si="11"/>
        <v>#N/A</v>
      </c>
      <c r="G115" s="52"/>
      <c r="H115" s="277" t="str">
        <f t="shared" si="16"/>
        <v/>
      </c>
      <c r="I115" s="285" t="e">
        <f t="shared" ref="I115:M115" si="23">IF($D$86="Averted hospitalized illnesses", I28,
 IF($D$86="Averted overall illnesses", I37,
 IF($D$86="Averted non-hospitalized illnesses", I46,
 IF($D$86="Averted medically attended illnesses", I55,
 IF($D$86="Averted hospitalized deaths", H64,
 "")))))</f>
        <v>#N/A</v>
      </c>
      <c r="J115" s="285" t="e">
        <f t="shared" si="23"/>
        <v>#N/A</v>
      </c>
      <c r="K115" s="285" t="e">
        <f t="shared" si="23"/>
        <v>#N/A</v>
      </c>
      <c r="L115" s="285" t="e">
        <f t="shared" si="23"/>
        <v>#N/A</v>
      </c>
      <c r="M115" s="285" t="e">
        <f t="shared" si="23"/>
        <v>#N/A</v>
      </c>
      <c r="N115" s="52"/>
      <c r="O115" s="277" t="str">
        <f t="shared" si="18"/>
        <v/>
      </c>
      <c r="P115" s="285" t="e">
        <f t="shared" ref="P115:T115" si="24">IF($D$86="Averted hospitalized illnesses", P28,
 IF($D$86="Averted overall illnesses", P37,
 IF($D$86="Averted non-hospitalized illnesses", P46,
 IF($D$86="Averted medically attended illnesses", P55,
 IF($D$86="Averted hospitalized deaths", O64,
 "")))))</f>
        <v>#N/A</v>
      </c>
      <c r="Q115" s="285" t="e">
        <f t="shared" si="24"/>
        <v>#N/A</v>
      </c>
      <c r="R115" s="285" t="e">
        <f t="shared" si="24"/>
        <v>#N/A</v>
      </c>
      <c r="S115" s="285" t="e">
        <f t="shared" si="24"/>
        <v>#N/A</v>
      </c>
      <c r="T115" s="285" t="e">
        <f t="shared" si="24"/>
        <v>#N/A</v>
      </c>
      <c r="U115" s="52"/>
      <c r="V115" s="277" t="str">
        <f t="shared" si="20"/>
        <v/>
      </c>
      <c r="W115" s="285" t="e">
        <f t="shared" si="14"/>
        <v>#N/A</v>
      </c>
      <c r="X115" s="285" t="e">
        <f t="shared" si="7"/>
        <v>#N/A</v>
      </c>
      <c r="Y115" s="285" t="e">
        <f t="shared" si="8"/>
        <v>#N/A</v>
      </c>
      <c r="Z115" s="285" t="e">
        <f t="shared" si="9"/>
        <v>#N/A</v>
      </c>
      <c r="AA115" s="285" t="e">
        <f t="shared" si="10"/>
        <v>#N/A</v>
      </c>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row>
    <row r="116" spans="1:71" x14ac:dyDescent="0.35">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row>
    <row r="117" spans="1:71" x14ac:dyDescent="0.35">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row>
    <row r="118" spans="1:71" x14ac:dyDescent="0.35">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row>
    <row r="119" spans="1:71" x14ac:dyDescent="0.35">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row>
    <row r="120" spans="1:71" x14ac:dyDescent="0.35">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row>
    <row r="121" spans="1:71" x14ac:dyDescent="0.35">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row>
    <row r="122" spans="1:71" x14ac:dyDescent="0.35">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row>
    <row r="123" spans="1:71" x14ac:dyDescent="0.35">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row>
    <row r="124" spans="1:71" x14ac:dyDescent="0.35">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row>
    <row r="125" spans="1:71" x14ac:dyDescent="0.35">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row>
    <row r="126" spans="1:71" x14ac:dyDescent="0.35">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row>
    <row r="127" spans="1:71" x14ac:dyDescent="0.35">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row>
    <row r="128" spans="1:71" x14ac:dyDescent="0.35">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row>
    <row r="129" spans="1:71" x14ac:dyDescent="0.35">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row>
    <row r="130" spans="1:71" x14ac:dyDescent="0.35">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row>
    <row r="131" spans="1:71" x14ac:dyDescent="0.35">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row>
    <row r="132" spans="1:71" x14ac:dyDescent="0.35">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row>
    <row r="133" spans="1:71" x14ac:dyDescent="0.35">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row>
    <row r="134" spans="1:71" x14ac:dyDescent="0.35">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row>
    <row r="135" spans="1:71" x14ac:dyDescent="0.35">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row>
    <row r="136" spans="1:71" x14ac:dyDescent="0.35">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row>
    <row r="137" spans="1:71" x14ac:dyDescent="0.35">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row>
    <row r="138" spans="1:71" x14ac:dyDescent="0.35">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row>
    <row r="139" spans="1:71" x14ac:dyDescent="0.35">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row>
    <row r="140" spans="1:71" x14ac:dyDescent="0.35">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row>
    <row r="141" spans="1:71" x14ac:dyDescent="0.35">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row>
    <row r="142" spans="1:71" x14ac:dyDescent="0.35">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row>
    <row r="143" spans="1:71" x14ac:dyDescent="0.35">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row>
    <row r="144" spans="1:71" x14ac:dyDescent="0.35">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row>
    <row r="145" spans="1:71" x14ac:dyDescent="0.35">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row>
    <row r="146" spans="1:71" x14ac:dyDescent="0.35">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row>
    <row r="147" spans="1:71" x14ac:dyDescent="0.35">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row>
    <row r="148" spans="1:71" x14ac:dyDescent="0.35">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row>
    <row r="149" spans="1:71" x14ac:dyDescent="0.35">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row>
    <row r="150" spans="1:71" x14ac:dyDescent="0.35">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row>
    <row r="151" spans="1:71" x14ac:dyDescent="0.35">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row>
    <row r="152" spans="1:71" x14ac:dyDescent="0.35">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row>
    <row r="153" spans="1:71" x14ac:dyDescent="0.35">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row>
    <row r="154" spans="1:71" x14ac:dyDescent="0.35">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row>
    <row r="155" spans="1:71" x14ac:dyDescent="0.35">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row>
    <row r="156" spans="1:71" x14ac:dyDescent="0.35">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row>
    <row r="157" spans="1:71" x14ac:dyDescent="0.35">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row>
    <row r="158" spans="1:71" x14ac:dyDescent="0.35">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row>
    <row r="159" spans="1:71" x14ac:dyDescent="0.35">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row>
    <row r="160" spans="1:71" x14ac:dyDescent="0.35">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row>
    <row r="161" spans="1:71" x14ac:dyDescent="0.35">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row>
    <row r="162" spans="1:71" x14ac:dyDescent="0.35">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row>
    <row r="163" spans="1:71" x14ac:dyDescent="0.35">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row>
    <row r="164" spans="1:71" x14ac:dyDescent="0.35">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row>
    <row r="165" spans="1:71" x14ac:dyDescent="0.35">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row>
    <row r="166" spans="1:71" x14ac:dyDescent="0.35">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row>
    <row r="167" spans="1:71" x14ac:dyDescent="0.35">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row>
    <row r="168" spans="1:71" x14ac:dyDescent="0.35">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row>
    <row r="169" spans="1:71" x14ac:dyDescent="0.35">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row>
    <row r="170" spans="1:71" x14ac:dyDescent="0.35">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row>
    <row r="171" spans="1:71" x14ac:dyDescent="0.35">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row>
    <row r="172" spans="1:71" x14ac:dyDescent="0.35">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row>
    <row r="173" spans="1:71" x14ac:dyDescent="0.35">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row>
    <row r="174" spans="1:71" x14ac:dyDescent="0.35">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row>
    <row r="175" spans="1:71" x14ac:dyDescent="0.35">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row>
    <row r="176" spans="1:71" x14ac:dyDescent="0.35">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row>
    <row r="177" spans="1:71" x14ac:dyDescent="0.35">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row>
    <row r="178" spans="1:71" x14ac:dyDescent="0.35">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row>
    <row r="179" spans="1:71" x14ac:dyDescent="0.35">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row>
    <row r="180" spans="1:71" x14ac:dyDescent="0.35">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row>
    <row r="181" spans="1:71" x14ac:dyDescent="0.35">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row>
    <row r="182" spans="1:71" x14ac:dyDescent="0.35">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row>
    <row r="183" spans="1:71" x14ac:dyDescent="0.35">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row>
    <row r="184" spans="1:71" x14ac:dyDescent="0.35">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row>
    <row r="185" spans="1:71" x14ac:dyDescent="0.35">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row>
    <row r="186" spans="1:71" x14ac:dyDescent="0.35">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row>
    <row r="187" spans="1:71" x14ac:dyDescent="0.35">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row>
    <row r="188" spans="1:71" x14ac:dyDescent="0.35">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row>
    <row r="189" spans="1:71" x14ac:dyDescent="0.35">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row>
    <row r="190" spans="1:71" x14ac:dyDescent="0.35">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row>
    <row r="191" spans="1:71" x14ac:dyDescent="0.35">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row>
    <row r="192" spans="1:71" x14ac:dyDescent="0.35">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row>
    <row r="193" spans="1:71" x14ac:dyDescent="0.35">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row>
    <row r="194" spans="1:71" x14ac:dyDescent="0.35">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row>
    <row r="195" spans="1:71" x14ac:dyDescent="0.35">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row>
    <row r="196" spans="1:71" x14ac:dyDescent="0.35">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row>
    <row r="197" spans="1:71" x14ac:dyDescent="0.35">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row>
    <row r="198" spans="1:71" x14ac:dyDescent="0.35">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row>
    <row r="199" spans="1:71" x14ac:dyDescent="0.35">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row>
    <row r="200" spans="1:71" x14ac:dyDescent="0.35">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row>
    <row r="201" spans="1:71" x14ac:dyDescent="0.35">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row>
    <row r="202" spans="1:71" x14ac:dyDescent="0.35">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row>
    <row r="203" spans="1:71" x14ac:dyDescent="0.35">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row>
    <row r="204" spans="1:71" x14ac:dyDescent="0.35">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row>
    <row r="205" spans="1:71" x14ac:dyDescent="0.35">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row>
    <row r="206" spans="1:71" x14ac:dyDescent="0.35">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row>
    <row r="207" spans="1:71" x14ac:dyDescent="0.35">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row>
    <row r="208" spans="1:71" x14ac:dyDescent="0.35">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row>
    <row r="209" spans="1:71" x14ac:dyDescent="0.35">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row>
    <row r="210" spans="1:71" x14ac:dyDescent="0.35">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row>
    <row r="211" spans="1:71" x14ac:dyDescent="0.35">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row>
    <row r="212" spans="1:71" x14ac:dyDescent="0.35">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row>
    <row r="213" spans="1:71" x14ac:dyDescent="0.35">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row>
    <row r="214" spans="1:71" x14ac:dyDescent="0.35">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row>
    <row r="215" spans="1:71" x14ac:dyDescent="0.35">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row>
    <row r="216" spans="1:71" x14ac:dyDescent="0.35">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row>
    <row r="217" spans="1:71" x14ac:dyDescent="0.35">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row>
    <row r="218" spans="1:71" x14ac:dyDescent="0.35">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row>
    <row r="219" spans="1:71" x14ac:dyDescent="0.35">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row>
    <row r="220" spans="1:71" x14ac:dyDescent="0.35">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row>
    <row r="221" spans="1:71" x14ac:dyDescent="0.35">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row>
    <row r="222" spans="1:71" x14ac:dyDescent="0.35">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row>
    <row r="223" spans="1:71" x14ac:dyDescent="0.35">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row>
    <row r="224" spans="1:71" x14ac:dyDescent="0.35">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row>
    <row r="225" spans="1:71" x14ac:dyDescent="0.35">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row>
    <row r="226" spans="1:71" x14ac:dyDescent="0.35">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row>
    <row r="227" spans="1:71" x14ac:dyDescent="0.35">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row>
    <row r="228" spans="1:71" x14ac:dyDescent="0.35">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row>
    <row r="229" spans="1:71" x14ac:dyDescent="0.35">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row>
    <row r="230" spans="1:71" x14ac:dyDescent="0.35">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row>
    <row r="231" spans="1:71" x14ac:dyDescent="0.35">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row>
    <row r="232" spans="1:71" x14ac:dyDescent="0.35">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row>
    <row r="233" spans="1:71" x14ac:dyDescent="0.35">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row>
    <row r="234" spans="1:71" x14ac:dyDescent="0.35">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row>
    <row r="235" spans="1:71" x14ac:dyDescent="0.35">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row>
    <row r="236" spans="1:71" x14ac:dyDescent="0.35">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row>
    <row r="237" spans="1:71" x14ac:dyDescent="0.35">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row>
    <row r="238" spans="1:71" x14ac:dyDescent="0.35">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row>
    <row r="239" spans="1:71" x14ac:dyDescent="0.35">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row>
    <row r="240" spans="1:71" x14ac:dyDescent="0.35">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row>
    <row r="241" spans="1:71" x14ac:dyDescent="0.35">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row>
    <row r="242" spans="1:71" x14ac:dyDescent="0.35">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row>
    <row r="243" spans="1:71" x14ac:dyDescent="0.35">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row>
    <row r="244" spans="1:71" x14ac:dyDescent="0.35">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row>
    <row r="245" spans="1:71" x14ac:dyDescent="0.35">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row>
    <row r="246" spans="1:71" x14ac:dyDescent="0.35">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row>
    <row r="247" spans="1:71" x14ac:dyDescent="0.35">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row>
    <row r="248" spans="1:71" x14ac:dyDescent="0.35">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row>
    <row r="249" spans="1:71" x14ac:dyDescent="0.35">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row>
    <row r="250" spans="1:71" x14ac:dyDescent="0.35">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row>
    <row r="251" spans="1:71" x14ac:dyDescent="0.35">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row>
    <row r="252" spans="1:71" x14ac:dyDescent="0.35">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row>
    <row r="253" spans="1:71" x14ac:dyDescent="0.35">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row>
    <row r="254" spans="1:71" x14ac:dyDescent="0.35">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row>
    <row r="255" spans="1:71" x14ac:dyDescent="0.35">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row>
    <row r="256" spans="1:71" x14ac:dyDescent="0.35">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row>
    <row r="257" spans="1:71" x14ac:dyDescent="0.35">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row>
    <row r="258" spans="1:71" x14ac:dyDescent="0.35">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row>
    <row r="259" spans="1:71" x14ac:dyDescent="0.35">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row>
    <row r="260" spans="1:71" x14ac:dyDescent="0.35">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row>
    <row r="261" spans="1:71" x14ac:dyDescent="0.35">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row>
    <row r="262" spans="1:71" x14ac:dyDescent="0.35">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row>
    <row r="263" spans="1:71" x14ac:dyDescent="0.35">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row>
    <row r="264" spans="1:71" x14ac:dyDescent="0.35">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row>
    <row r="265" spans="1:71" x14ac:dyDescent="0.35">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row>
    <row r="266" spans="1:71" x14ac:dyDescent="0.35">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row>
    <row r="267" spans="1:71" x14ac:dyDescent="0.35">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row>
    <row r="268" spans="1:71" x14ac:dyDescent="0.35">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row>
    <row r="269" spans="1:71" x14ac:dyDescent="0.35">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row>
    <row r="270" spans="1:71" x14ac:dyDescent="0.35">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row>
    <row r="271" spans="1:71" x14ac:dyDescent="0.35">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row>
    <row r="272" spans="1:71" x14ac:dyDescent="0.35">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row>
    <row r="273" spans="1:71" x14ac:dyDescent="0.35">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row>
    <row r="274" spans="1:71" x14ac:dyDescent="0.35">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row>
    <row r="275" spans="1:71" x14ac:dyDescent="0.35">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row>
    <row r="276" spans="1:71" x14ac:dyDescent="0.35">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row>
    <row r="277" spans="1:71" x14ac:dyDescent="0.35">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row>
    <row r="278" spans="1:71" x14ac:dyDescent="0.35">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row>
    <row r="279" spans="1:71" x14ac:dyDescent="0.35">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row>
    <row r="280" spans="1:71" x14ac:dyDescent="0.35">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row>
    <row r="281" spans="1:71" x14ac:dyDescent="0.35">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row>
    <row r="282" spans="1:71" x14ac:dyDescent="0.35">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row>
    <row r="283" spans="1:71" x14ac:dyDescent="0.35">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row>
    <row r="284" spans="1:71" x14ac:dyDescent="0.35">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row>
    <row r="285" spans="1:71" x14ac:dyDescent="0.35">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row>
    <row r="286" spans="1:71" x14ac:dyDescent="0.35">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row>
    <row r="287" spans="1:71" x14ac:dyDescent="0.35">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row>
    <row r="288" spans="1:71" x14ac:dyDescent="0.35">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row>
    <row r="289" spans="1:71" x14ac:dyDescent="0.35">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row>
    <row r="290" spans="1:71" x14ac:dyDescent="0.35">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row>
    <row r="291" spans="1:71" x14ac:dyDescent="0.35">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row>
    <row r="292" spans="1:71" x14ac:dyDescent="0.35">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row>
    <row r="293" spans="1:71" x14ac:dyDescent="0.35">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row>
    <row r="294" spans="1:71" x14ac:dyDescent="0.35">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row>
    <row r="295" spans="1:71" x14ac:dyDescent="0.35">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row>
    <row r="296" spans="1:71" x14ac:dyDescent="0.35">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row>
    <row r="297" spans="1:71" x14ac:dyDescent="0.35">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row>
    <row r="298" spans="1:71" x14ac:dyDescent="0.35">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row>
    <row r="299" spans="1:71" x14ac:dyDescent="0.35">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row>
    <row r="300" spans="1:71" x14ac:dyDescent="0.35">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row>
    <row r="301" spans="1:71" x14ac:dyDescent="0.35">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row>
    <row r="302" spans="1:71" x14ac:dyDescent="0.35">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row>
    <row r="303" spans="1:71" x14ac:dyDescent="0.35">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row>
    <row r="304" spans="1:71" x14ac:dyDescent="0.35">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row>
    <row r="305" spans="1:71" x14ac:dyDescent="0.35">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row>
    <row r="306" spans="1:71" x14ac:dyDescent="0.35">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row>
    <row r="307" spans="1:71" x14ac:dyDescent="0.35">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row>
    <row r="308" spans="1:71" x14ac:dyDescent="0.35">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row>
    <row r="309" spans="1:71" x14ac:dyDescent="0.35">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row>
    <row r="310" spans="1:71" x14ac:dyDescent="0.35">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row>
    <row r="311" spans="1:71" x14ac:dyDescent="0.35">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row>
    <row r="312" spans="1:71" x14ac:dyDescent="0.35">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row>
    <row r="313" spans="1:71" x14ac:dyDescent="0.35">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row>
    <row r="314" spans="1:71" x14ac:dyDescent="0.35">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row>
    <row r="315" spans="1:71" x14ac:dyDescent="0.3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row>
    <row r="316" spans="1:71" x14ac:dyDescent="0.35">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row>
    <row r="317" spans="1:71" x14ac:dyDescent="0.35">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row>
  </sheetData>
  <sheetProtection sheet="1" objects="1" scenarios="1"/>
  <mergeCells count="64">
    <mergeCell ref="B109:F109"/>
    <mergeCell ref="I109:M109"/>
    <mergeCell ref="P109:T109"/>
    <mergeCell ref="P58:T58"/>
    <mergeCell ref="P22:T22"/>
    <mergeCell ref="P30:T30"/>
    <mergeCell ref="P31:T31"/>
    <mergeCell ref="P39:T39"/>
    <mergeCell ref="P40:T40"/>
    <mergeCell ref="P48:T48"/>
    <mergeCell ref="P49:T49"/>
    <mergeCell ref="P57:T57"/>
    <mergeCell ref="I40:M40"/>
    <mergeCell ref="I39:M39"/>
    <mergeCell ref="H1:M1"/>
    <mergeCell ref="O1:T1"/>
    <mergeCell ref="I3:M3"/>
    <mergeCell ref="I4:M4"/>
    <mergeCell ref="I31:M31"/>
    <mergeCell ref="P3:T3"/>
    <mergeCell ref="P4:T4"/>
    <mergeCell ref="I30:M30"/>
    <mergeCell ref="P21:T21"/>
    <mergeCell ref="I21:M21"/>
    <mergeCell ref="P12:T12"/>
    <mergeCell ref="P13:T13"/>
    <mergeCell ref="B21:F21"/>
    <mergeCell ref="B22:F22"/>
    <mergeCell ref="B12:F12"/>
    <mergeCell ref="B13:F13"/>
    <mergeCell ref="I12:M12"/>
    <mergeCell ref="I13:M13"/>
    <mergeCell ref="A1:F1"/>
    <mergeCell ref="B3:F3"/>
    <mergeCell ref="B4:F4"/>
    <mergeCell ref="I58:M58"/>
    <mergeCell ref="I22:M22"/>
    <mergeCell ref="B48:F48"/>
    <mergeCell ref="I48:M48"/>
    <mergeCell ref="I49:M49"/>
    <mergeCell ref="I57:M57"/>
    <mergeCell ref="B49:F49"/>
    <mergeCell ref="B57:F57"/>
    <mergeCell ref="B58:F58"/>
    <mergeCell ref="B39:F39"/>
    <mergeCell ref="B40:F40"/>
    <mergeCell ref="B31:F31"/>
    <mergeCell ref="B30:F30"/>
    <mergeCell ref="V1:AA1"/>
    <mergeCell ref="W3:AA3"/>
    <mergeCell ref="W4:AA4"/>
    <mergeCell ref="W12:AA12"/>
    <mergeCell ref="W13:AA13"/>
    <mergeCell ref="W21:AA21"/>
    <mergeCell ref="W22:AA22"/>
    <mergeCell ref="W30:AA30"/>
    <mergeCell ref="W31:AA31"/>
    <mergeCell ref="W39:AA39"/>
    <mergeCell ref="W109:AA109"/>
    <mergeCell ref="W40:AA40"/>
    <mergeCell ref="W48:AA48"/>
    <mergeCell ref="W49:AA49"/>
    <mergeCell ref="W57:AA57"/>
    <mergeCell ref="W58:AA58"/>
  </mergeCells>
  <pageMargins left="0.7" right="0.7" top="0.75" bottom="0.75" header="0.3" footer="0.3"/>
  <pageSetup paperSize="9" orientation="portrait" horizontalDpi="300" verticalDpi="300"/>
  <drawing r:id="rId1"/>
  <extLst>
    <ext xmlns:x14="http://schemas.microsoft.com/office/spreadsheetml/2009/9/main" uri="{78C0D931-6437-407d-A8EE-F0AAD7539E65}">
      <x14:conditionalFormattings>
        <x14:conditionalFormatting xmlns:xm="http://schemas.microsoft.com/office/excel/2006/main">
          <x14:cfRule type="expression" priority="1" id="{338FD3DB-234B-481A-BA4E-469C95FDCC98}">
            <xm:f>Inputs!$B$12&lt;=12</xm:f>
            <x14:dxf>
              <font>
                <color theme="0"/>
              </font>
              <fill>
                <patternFill patternType="solid">
                  <bgColor theme="0"/>
                </patternFill>
              </fill>
              <border>
                <left/>
                <right/>
                <top/>
                <bottom/>
                <vertical/>
                <horizontal/>
              </border>
            </x14:dxf>
          </x14:cfRule>
          <xm:sqref>H1:AA115</xm:sqref>
        </x14:conditionalFormatting>
        <x14:conditionalFormatting xmlns:xm="http://schemas.microsoft.com/office/excel/2006/main">
          <x14:cfRule type="expression" priority="5" id="{53B26847-CA9D-4061-9C71-B60B6CAA003C}">
            <xm:f>Inputs!$B$12&lt;=24</xm:f>
            <x14:dxf>
              <font>
                <color theme="0"/>
              </font>
              <fill>
                <patternFill patternType="solid">
                  <bgColor theme="0"/>
                </patternFill>
              </fill>
              <border>
                <left/>
                <right/>
                <top/>
                <bottom/>
                <vertical/>
                <horizontal/>
              </border>
            </x14:dxf>
          </x14:cfRule>
          <xm:sqref>A66:M66 O1:AA115</xm:sqref>
        </x14:conditionalFormatting>
        <x14:conditionalFormatting xmlns:xm="http://schemas.microsoft.com/office/excel/2006/main">
          <x14:cfRule type="expression" priority="8" id="{3DAB6DA6-C310-4BFD-B7BD-669555B15154}">
            <xm:f>Inputs!$B$12&lt;=24</xm:f>
            <x14:dxf>
              <font>
                <color theme="0"/>
              </font>
              <fill>
                <patternFill patternType="solid">
                  <bgColor theme="0"/>
                </patternFill>
              </fill>
              <border>
                <left/>
                <right/>
                <top/>
                <bottom/>
                <vertical/>
                <horizontal/>
              </border>
            </x14:dxf>
          </x14:cfRule>
          <xm:sqref>A87:M87</xm:sqref>
        </x14:conditionalFormatting>
        <x14:conditionalFormatting xmlns:xm="http://schemas.microsoft.com/office/excel/2006/main">
          <x14:cfRule type="expression" priority="3" id="{3CE3D2E0-D6AC-4A42-88BF-22CCE368408C}">
            <xm:f>Inputs!$B$12&lt;=12</xm:f>
            <x14:dxf>
              <font>
                <color theme="0"/>
              </font>
              <fill>
                <patternFill patternType="solid">
                  <bgColor theme="0"/>
                </patternFill>
              </fill>
              <border>
                <left/>
                <right/>
                <top/>
                <bottom/>
                <vertical/>
                <horizontal/>
              </border>
            </x14:dxf>
          </x14:cfRule>
          <xm:sqref>A66:F66</xm:sqref>
        </x14:conditionalFormatting>
        <x14:conditionalFormatting xmlns:xm="http://schemas.microsoft.com/office/excel/2006/main">
          <x14:cfRule type="expression" priority="4" id="{6D3A3DFA-6E1B-4C1D-A4F5-B865F5433540}">
            <xm:f>Inputs!$B$12&lt;=12</xm:f>
            <x14:dxf>
              <font>
                <color theme="0"/>
              </font>
              <fill>
                <patternFill patternType="solid">
                  <bgColor theme="0"/>
                </patternFill>
              </fill>
              <border>
                <left/>
                <right/>
                <top/>
                <bottom/>
                <vertical/>
                <horizontal/>
              </border>
            </x14:dxf>
          </x14:cfRule>
          <xm:sqref>A87:F87</xm:sqref>
        </x14:conditionalFormatting>
        <x14:conditionalFormatting xmlns:xm="http://schemas.microsoft.com/office/excel/2006/main">
          <x14:cfRule type="expression" priority="10" id="{C33F29ED-58CE-446C-9826-96BFC73DFDAF}">
            <xm:f>Inputs!$B$12&lt;=36</xm:f>
            <x14:dxf>
              <font>
                <color theme="0"/>
              </font>
              <fill>
                <patternFill patternType="solid">
                  <bgColor theme="0"/>
                </patternFill>
              </fill>
              <border>
                <left/>
                <right/>
                <top/>
                <bottom/>
                <vertical/>
                <horizontal/>
              </border>
            </x14:dxf>
          </x14:cfRule>
          <xm:sqref>A66:AA66 V1:AA115</xm:sqref>
        </x14:conditionalFormatting>
        <x14:conditionalFormatting xmlns:xm="http://schemas.microsoft.com/office/excel/2006/main">
          <x14:cfRule type="expression" priority="13" id="{123D04E7-8A0D-4E7A-A125-4C325DBE524E}">
            <xm:f>Inputs!$B$12&lt;=36</xm:f>
            <x14:dxf>
              <font>
                <color theme="0"/>
              </font>
              <fill>
                <patternFill patternType="solid">
                  <bgColor theme="0"/>
                </patternFill>
              </fill>
              <border>
                <left/>
                <right/>
                <top/>
                <bottom/>
                <vertical/>
                <horizontal/>
              </border>
            </x14:dxf>
          </x14:cfRule>
          <xm:sqref>A87:AA87</xm:sqref>
        </x14:conditionalFormatting>
        <x14:conditionalFormatting xmlns:xm="http://schemas.microsoft.com/office/excel/2006/main">
          <x14:cfRule type="expression" priority="14" id="{D4BD6029-8A56-485D-9412-374059386A25}">
            <xm:f>Inputs!$B$12&lt;=48</xm:f>
            <x14:dxf>
              <font>
                <color theme="0"/>
              </font>
              <fill>
                <patternFill patternType="solid">
                  <bgColor theme="0"/>
                </patternFill>
              </fill>
              <border>
                <left/>
                <right/>
                <top/>
                <bottom/>
                <vertical/>
                <horizontal/>
              </border>
            </x14:dxf>
          </x14:cfRule>
          <xm:sqref>A108:AA115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774680F-F426-49D9-8C39-4D91C64ED466}">
          <x14:formula1>
            <xm:f>Selections!$H$1:$H$5</xm:f>
          </x14:formula1>
          <xm:sqref>D86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FM1"/>
  <sheetViews>
    <sheetView topLeftCell="D1" zoomScaleNormal="100" workbookViewId="0">
      <selection activeCell="L2" sqref="L2"/>
    </sheetView>
  </sheetViews>
  <sheetFormatPr defaultColWidth="10.90625" defaultRowHeight="14.5" x14ac:dyDescent="0.35"/>
  <cols>
    <col min="41" max="41" width="8.81640625" customWidth="1"/>
    <col min="59" max="59" width="8.81640625" customWidth="1"/>
  </cols>
  <sheetData>
    <row r="1" spans="1:169" x14ac:dyDescent="0.35">
      <c r="A1" s="80" t="s">
        <v>99</v>
      </c>
      <c r="H1" s="80" t="s">
        <v>98</v>
      </c>
      <c r="O1" s="80" t="s">
        <v>97</v>
      </c>
      <c r="V1" s="80" t="s">
        <v>96</v>
      </c>
      <c r="AC1" s="80" t="s">
        <v>95</v>
      </c>
      <c r="AJ1" s="80" t="s">
        <v>94</v>
      </c>
      <c r="AQ1" s="80" t="s">
        <v>93</v>
      </c>
      <c r="AX1" s="80" t="s">
        <v>92</v>
      </c>
      <c r="BE1" s="80" t="s">
        <v>91</v>
      </c>
      <c r="BL1" s="80" t="s">
        <v>90</v>
      </c>
      <c r="BS1" s="80" t="s">
        <v>89</v>
      </c>
      <c r="BZ1" s="80" t="s">
        <v>88</v>
      </c>
      <c r="CG1" s="80" t="s">
        <v>87</v>
      </c>
      <c r="CN1" s="80" t="s">
        <v>86</v>
      </c>
      <c r="CU1" s="80" t="s">
        <v>85</v>
      </c>
      <c r="DB1" s="80" t="s">
        <v>84</v>
      </c>
      <c r="DI1" s="80" t="s">
        <v>83</v>
      </c>
      <c r="DP1" s="80" t="s">
        <v>82</v>
      </c>
      <c r="DW1" s="80" t="s">
        <v>81</v>
      </c>
      <c r="ED1" s="80" t="s">
        <v>80</v>
      </c>
      <c r="EK1" s="80" t="s">
        <v>79</v>
      </c>
      <c r="ER1" s="80" t="s">
        <v>78</v>
      </c>
      <c r="EY1" s="80" t="s">
        <v>77</v>
      </c>
      <c r="FF1" s="80" t="s">
        <v>76</v>
      </c>
      <c r="FM1" s="80" t="s">
        <v>75</v>
      </c>
    </row>
  </sheetData>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47F16670FC25C43975ABA7EEDD7AF73" ma:contentTypeVersion="15" ma:contentTypeDescription="Create a new document." ma:contentTypeScope="" ma:versionID="fa546bdd30ebb573e9e47567600b5c18">
  <xsd:schema xmlns:xsd="http://www.w3.org/2001/XMLSchema" xmlns:xs="http://www.w3.org/2001/XMLSchema" xmlns:p="http://schemas.microsoft.com/office/2006/metadata/properties" xmlns:ns2="0bad6899-3f1d-43f2-b16a-ec30e4f34e89" xmlns:ns3="7e45b331-e9c2-48de-b307-1d728fcc5de8" targetNamespace="http://schemas.microsoft.com/office/2006/metadata/properties" ma:root="true" ma:fieldsID="a8cb1ea5153873dce38d7abdb3aa4edc" ns2:_="" ns3:_="">
    <xsd:import namespace="0bad6899-3f1d-43f2-b16a-ec30e4f34e89"/>
    <xsd:import namespace="7e45b331-e9c2-48de-b307-1d728fcc5de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ad6899-3f1d-43f2-b16a-ec30e4f34e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353dbe8-8260-4ccf-8219-3d2995e6fa1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45b331-e9c2-48de-b307-1d728fcc5de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fe922e77-4154-4655-91a5-fb7789f2c301}" ma:internalName="TaxCatchAll" ma:showField="CatchAllData" ma:web="7e45b331-e9c2-48de-b307-1d728fcc5d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bad6899-3f1d-43f2-b16a-ec30e4f34e89">
      <Terms xmlns="http://schemas.microsoft.com/office/infopath/2007/PartnerControls"/>
    </lcf76f155ced4ddcb4097134ff3c332f>
    <TaxCatchAll xmlns="7e45b331-e9c2-48de-b307-1d728fcc5de8" xsi:nil="true"/>
  </documentManagement>
</p:properties>
</file>

<file path=customXml/itemProps1.xml><?xml version="1.0" encoding="utf-8"?>
<ds:datastoreItem xmlns:ds="http://schemas.openxmlformats.org/officeDocument/2006/customXml" ds:itemID="{58093FCF-79F0-48F9-83BA-46EDC620B651}">
  <ds:schemaRefs>
    <ds:schemaRef ds:uri="http://schemas.microsoft.com/sharepoint/v3/contenttype/forms"/>
  </ds:schemaRefs>
</ds:datastoreItem>
</file>

<file path=customXml/itemProps2.xml><?xml version="1.0" encoding="utf-8"?>
<ds:datastoreItem xmlns:ds="http://schemas.openxmlformats.org/officeDocument/2006/customXml" ds:itemID="{5372FCD6-9D5B-492C-A9DB-0819168608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bad6899-3f1d-43f2-b16a-ec30e4f34e89"/>
    <ds:schemaRef ds:uri="7e45b331-e9c2-48de-b307-1d728fcc5d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37D95D5-8432-4063-9F96-40457A7546EE}">
  <ds:schemaRefs>
    <ds:schemaRef ds:uri="http://schemas.microsoft.com/office/2006/metadata/properties"/>
    <ds:schemaRef ds:uri="http://schemas.microsoft.com/office/infopath/2007/PartnerControls"/>
    <ds:schemaRef ds:uri="0bad6899-3f1d-43f2-b16a-ec30e4f34e89"/>
    <ds:schemaRef ds:uri="7e45b331-e9c2-48de-b307-1d728fcc5d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Selections</vt:lpstr>
      <vt:lpstr>Inputs</vt:lpstr>
      <vt:lpstr>Results</vt:lpstr>
      <vt:lpstr>Export</vt:lpstr>
      <vt:lpstr>HelperFunctions</vt:lpstr>
      <vt:lpstr>EffectivelyVax</vt:lpstr>
      <vt:lpstr>NotEffectivelyVax (hypo)</vt:lpstr>
      <vt:lpstr>Hypothetical vaccine model</vt:lpstr>
      <vt:lpstr>NotEffectivelyVax (current)</vt:lpstr>
      <vt:lpstr>Current vaccine model</vt:lpstr>
      <vt:lpstr>R Output</vt:lpstr>
      <vt:lpstr>Scenarios</vt:lpstr>
      <vt:lpstr>Scenarios Export</vt:lpstr>
      <vt:lpstr>Scen EffectivelyVax</vt:lpstr>
      <vt:lpstr>Scen NotEffectivelyVax (hypo)</vt:lpstr>
      <vt:lpstr>Scen Hypothetical vaccine model</vt:lpstr>
      <vt:lpstr>Scenario Results</vt:lpstr>
      <vt:lpstr>Scenario Output</vt:lpstr>
      <vt:lpstr>NNV</vt:lpstr>
      <vt:lpstr>PreventedFraction</vt:lpstr>
      <vt:lpstr>RunFlag</vt:lpstr>
      <vt:lpstr>RunScenFlag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Chard, Anna (CDC/NCIRD/ID)</dc:creator>
  <cp:lastModifiedBy>Yoo, Young (Daniel) (CDC/NCIRD/ID)</cp:lastModifiedBy>
  <dcterms:created xsi:type="dcterms:W3CDTF">2024-10-22T13:20:18Z</dcterms:created>
  <dcterms:modified xsi:type="dcterms:W3CDTF">2026-04-27T17:30:10Z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af03ff0-41c5-4c41-b55e-fabb8fae94be_ActionId">
    <vt:lpwstr>9654448f-557d-4b6c-b06b-df3786fd4ffa</vt:lpwstr>
  </property>
  <property fmtid="{D5CDD505-2E9C-101B-9397-08002B2CF9AE}" pid="3" name="MediaServiceImageTags">
    <vt:lpwstr/>
  </property>
  <property fmtid="{D5CDD505-2E9C-101B-9397-08002B2CF9AE}" pid="4" name="MSIP_Label_8af03ff0-41c5-4c41-b55e-fabb8fae94be_Tag">
    <vt:lpwstr>10, 0, 1, 1</vt:lpwstr>
  </property>
  <property fmtid="{D5CDD505-2E9C-101B-9397-08002B2CF9AE}" pid="5" name="MSIP_Label_8af03ff0-41c5-4c41-b55e-fabb8fae94be_ContentBits">
    <vt:lpwstr>0</vt:lpwstr>
  </property>
  <property fmtid="{D5CDD505-2E9C-101B-9397-08002B2CF9AE}" pid="6" name="ContentTypeId">
    <vt:lpwstr>0x010100C47F16670FC25C43975ABA7EEDD7AF73</vt:lpwstr>
  </property>
  <property fmtid="{D5CDD505-2E9C-101B-9397-08002B2CF9AE}" pid="7" name="MSIP_Label_8af03ff0-41c5-4c41-b55e-fabb8fae94be_SiteId">
    <vt:lpwstr>9ce70869-60db-44fd-abe8-d2767077fc8f</vt:lpwstr>
  </property>
  <property fmtid="{D5CDD505-2E9C-101B-9397-08002B2CF9AE}" pid="8" name="MSIP_Label_8af03ff0-41c5-4c41-b55e-fabb8fae94be_Method">
    <vt:lpwstr>Privileged</vt:lpwstr>
  </property>
  <property fmtid="{D5CDD505-2E9C-101B-9397-08002B2CF9AE}" pid="9" name="MSIP_Label_8af03ff0-41c5-4c41-b55e-fabb8fae94be_Enabled">
    <vt:lpwstr>true</vt:lpwstr>
  </property>
  <property fmtid="{D5CDD505-2E9C-101B-9397-08002B2CF9AE}" pid="10" name="MSIP_Label_8af03ff0-41c5-4c41-b55e-fabb8fae94be_Name">
    <vt:lpwstr>8af03ff0-41c5-4c41-b55e-fabb8fae94be</vt:lpwstr>
  </property>
  <property fmtid="{D5CDD505-2E9C-101B-9397-08002B2CF9AE}" pid="11" name="MSIP_Label_8af03ff0-41c5-4c41-b55e-fabb8fae94be_SetDate">
    <vt:lpwstr>2026-02-20T21:09:36Z</vt:lpwstr>
  </property>
</Properties>
</file>